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lc05\OneDrive\Desktop\Data Projects\Bullpen Optimization\"/>
    </mc:Choice>
  </mc:AlternateContent>
  <xr:revisionPtr revIDLastSave="0" documentId="13_ncr:1_{E4E9E1CB-B618-4D50-A9C5-5675E58521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raves_19_25" sheetId="6" r:id="rId1"/>
    <sheet name="Arsenal Profile" sheetId="3" r:id="rId2"/>
    <sheet name="Arm Slot Profile" sheetId="5" r:id="rId3"/>
    <sheet name="Movement Profile" sheetId="7" r:id="rId4"/>
    <sheet name="Movement Matrices" sheetId="8" r:id="rId5"/>
  </sheets>
  <definedNames>
    <definedName name="ExternalData_1" localSheetId="0" hidden="1">braves_19_25!$A$1:$R$327</definedName>
    <definedName name="FamilyWeightMatrix">'Arsenal Profile'!$E$4:$U$20</definedName>
    <definedName name="PitchClass">'Arsenal Profile'!$A$3:$C$19</definedName>
    <definedName name="PlayerArsenalVectors">'Arsenal Profile'!$W$5:$AM$77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 a="1"/>
  <c r="C3" i="8"/>
  <c r="D3" i="8" a="1"/>
  <c r="D3" i="8" s="1"/>
  <c r="E3" i="8" a="1"/>
  <c r="E3" i="8"/>
  <c r="F3" i="8" a="1"/>
  <c r="F3" i="8" s="1"/>
  <c r="G3" i="8" a="1"/>
  <c r="G3" i="8"/>
  <c r="H3" i="8" a="1"/>
  <c r="H3" i="8"/>
  <c r="I3" i="8" a="1"/>
  <c r="I3" i="8" s="1"/>
  <c r="J3" i="8" a="1"/>
  <c r="J3" i="8" s="1"/>
  <c r="K3" i="8" a="1"/>
  <c r="K3" i="8"/>
  <c r="L3" i="8" a="1"/>
  <c r="L3" i="8"/>
  <c r="M3" i="8" a="1"/>
  <c r="M3" i="8" s="1"/>
  <c r="N3" i="8" a="1"/>
  <c r="N3" i="8"/>
  <c r="O3" i="8" a="1"/>
  <c r="O3" i="8"/>
  <c r="P3" i="8" a="1"/>
  <c r="P3" i="8" s="1"/>
  <c r="Q3" i="8" a="1"/>
  <c r="Q3" i="8"/>
  <c r="R3" i="8" a="1"/>
  <c r="R3" i="8"/>
  <c r="S3" i="8" a="1"/>
  <c r="S3" i="8"/>
  <c r="T3" i="8" a="1"/>
  <c r="T3" i="8"/>
  <c r="U3" i="8" a="1"/>
  <c r="U3" i="8"/>
  <c r="V3" i="8" a="1"/>
  <c r="V3" i="8" s="1"/>
  <c r="W3" i="8" a="1"/>
  <c r="W3" i="8"/>
  <c r="X3" i="8" a="1"/>
  <c r="X3" i="8"/>
  <c r="Y3" i="8" a="1"/>
  <c r="Y3" i="8"/>
  <c r="Z3" i="8" a="1"/>
  <c r="Z3" i="8" s="1"/>
  <c r="AA3" i="8" a="1"/>
  <c r="AA3" i="8"/>
  <c r="AB3" i="8" a="1"/>
  <c r="AB3" i="8" s="1"/>
  <c r="AC3" i="8" a="1"/>
  <c r="AC3" i="8" s="1"/>
  <c r="AD3" i="8" a="1"/>
  <c r="AD3" i="8" s="1"/>
  <c r="AE3" i="8" a="1"/>
  <c r="AE3" i="8"/>
  <c r="AF3" i="8" a="1"/>
  <c r="AF3" i="8"/>
  <c r="AG3" i="8" a="1"/>
  <c r="AG3" i="8"/>
  <c r="AH3" i="8" a="1"/>
  <c r="AH3" i="8" s="1"/>
  <c r="AI3" i="8" a="1"/>
  <c r="AI3" i="8"/>
  <c r="AJ3" i="8" a="1"/>
  <c r="AJ3" i="8"/>
  <c r="AK3" i="8" a="1"/>
  <c r="AK3" i="8"/>
  <c r="AL3" i="8" a="1"/>
  <c r="AL3" i="8"/>
  <c r="AM3" i="8" a="1"/>
  <c r="AM3" i="8"/>
  <c r="AN3" i="8" a="1"/>
  <c r="AN3" i="8" s="1"/>
  <c r="AO3" i="8" a="1"/>
  <c r="AO3" i="8"/>
  <c r="AP3" i="8" a="1"/>
  <c r="AP3" i="8" s="1"/>
  <c r="AQ3" i="8" a="1"/>
  <c r="AQ3" i="8" s="1"/>
  <c r="AR3" i="8" a="1"/>
  <c r="AR3" i="8"/>
  <c r="AS3" i="8" a="1"/>
  <c r="AS3" i="8"/>
  <c r="AT3" i="8" a="1"/>
  <c r="AT3" i="8" s="1"/>
  <c r="AU3" i="8" a="1"/>
  <c r="AU3" i="8"/>
  <c r="AV3" i="8" a="1"/>
  <c r="AV3" i="8" s="1"/>
  <c r="AW3" i="8" a="1"/>
  <c r="AW3" i="8"/>
  <c r="AX3" i="8" a="1"/>
  <c r="AX3" i="8" s="1"/>
  <c r="AY3" i="8" a="1"/>
  <c r="AY3" i="8"/>
  <c r="AZ3" i="8" a="1"/>
  <c r="AZ3" i="8" s="1"/>
  <c r="BA3" i="8" a="1"/>
  <c r="BA3" i="8"/>
  <c r="BB3" i="8" a="1"/>
  <c r="BB3" i="8"/>
  <c r="BC3" i="8" a="1"/>
  <c r="BC3" i="8" s="1"/>
  <c r="BD3" i="8" a="1"/>
  <c r="BD3" i="8"/>
  <c r="BE3" i="8" a="1"/>
  <c r="BE3" i="8" s="1"/>
  <c r="BF3" i="8" a="1"/>
  <c r="BF3" i="8" s="1"/>
  <c r="BG3" i="8" a="1"/>
  <c r="BG3" i="8"/>
  <c r="BH3" i="8" a="1"/>
  <c r="BH3" i="8"/>
  <c r="BI3" i="8" a="1"/>
  <c r="BI3" i="8"/>
  <c r="BJ3" i="8" a="1"/>
  <c r="BJ3" i="8"/>
  <c r="BK3" i="8" a="1"/>
  <c r="BK3" i="8" s="1"/>
  <c r="BL3" i="8" a="1"/>
  <c r="BL3" i="8" s="1"/>
  <c r="BM3" i="8" a="1"/>
  <c r="BM3" i="8"/>
  <c r="BN3" i="8" a="1"/>
  <c r="BN3" i="8"/>
  <c r="BO3" i="8" a="1"/>
  <c r="BO3" i="8" s="1"/>
  <c r="BP3" i="8" a="1"/>
  <c r="BP3" i="8" s="1"/>
  <c r="BQ3" i="8" a="1"/>
  <c r="BQ3" i="8"/>
  <c r="BR3" i="8" a="1"/>
  <c r="BR3" i="8" s="1"/>
  <c r="BS3" i="8" a="1"/>
  <c r="BS3" i="8" s="1"/>
  <c r="BT3" i="8" a="1"/>
  <c r="BT3" i="8"/>
  <c r="BU3" i="8" a="1"/>
  <c r="BU3" i="8"/>
  <c r="BV3" i="8" a="1"/>
  <c r="BV3" i="8" s="1"/>
  <c r="C4" i="8" a="1"/>
  <c r="C4" i="8"/>
  <c r="D4" i="8" a="1"/>
  <c r="D4" i="8" s="1"/>
  <c r="E4" i="8" a="1"/>
  <c r="E4" i="8" s="1"/>
  <c r="F4" i="8" a="1"/>
  <c r="F4" i="8"/>
  <c r="G4" i="8" a="1"/>
  <c r="G4" i="8" s="1"/>
  <c r="H4" i="8" a="1"/>
  <c r="H4" i="8" s="1"/>
  <c r="I4" i="8" a="1"/>
  <c r="I4" i="8" s="1"/>
  <c r="J4" i="8" a="1"/>
  <c r="J4" i="8" s="1"/>
  <c r="K4" i="8" a="1"/>
  <c r="K4" i="8"/>
  <c r="L4" i="8" a="1"/>
  <c r="L4" i="8" s="1"/>
  <c r="M4" i="8" a="1"/>
  <c r="M4" i="8"/>
  <c r="N4" i="8" a="1"/>
  <c r="N4" i="8"/>
  <c r="O4" i="8" a="1"/>
  <c r="O4" i="8"/>
  <c r="P4" i="8" a="1"/>
  <c r="P4" i="8" s="1"/>
  <c r="Q4" i="8" a="1"/>
  <c r="Q4" i="8" s="1"/>
  <c r="R4" i="8" a="1"/>
  <c r="R4" i="8"/>
  <c r="S4" i="8" a="1"/>
  <c r="S4" i="8" s="1"/>
  <c r="T4" i="8" a="1"/>
  <c r="T4" i="8"/>
  <c r="U4" i="8" a="1"/>
  <c r="U4" i="8"/>
  <c r="V4" i="8" a="1"/>
  <c r="V4" i="8" s="1"/>
  <c r="W4" i="8" a="1"/>
  <c r="W4" i="8"/>
  <c r="X4" i="8" a="1"/>
  <c r="X4" i="8" s="1"/>
  <c r="Y4" i="8" a="1"/>
  <c r="Y4" i="8" s="1"/>
  <c r="Z4" i="8" a="1"/>
  <c r="Z4" i="8"/>
  <c r="AA4" i="8" a="1"/>
  <c r="AA4" i="8"/>
  <c r="AB4" i="8" a="1"/>
  <c r="AB4" i="8" s="1"/>
  <c r="AC4" i="8" a="1"/>
  <c r="AC4" i="8" s="1"/>
  <c r="AD4" i="8" a="1"/>
  <c r="AD4" i="8"/>
  <c r="AE4" i="8" a="1"/>
  <c r="AE4" i="8"/>
  <c r="AF4" i="8" a="1"/>
  <c r="AF4" i="8" s="1"/>
  <c r="AG4" i="8" a="1"/>
  <c r="AG4" i="8"/>
  <c r="AH4" i="8" a="1"/>
  <c r="AH4" i="8" s="1"/>
  <c r="AI4" i="8" a="1"/>
  <c r="AI4" i="8" s="1"/>
  <c r="AJ4" i="8" a="1"/>
  <c r="AJ4" i="8"/>
  <c r="AK4" i="8" a="1"/>
  <c r="AK4" i="8"/>
  <c r="AL4" i="8" a="1"/>
  <c r="AL4" i="8" s="1"/>
  <c r="AM4" i="8" a="1"/>
  <c r="AM4" i="8" s="1"/>
  <c r="AN4" i="8" a="1"/>
  <c r="AN4" i="8" s="1"/>
  <c r="AO4" i="8" a="1"/>
  <c r="AO4" i="8"/>
  <c r="AP4" i="8" a="1"/>
  <c r="AP4" i="8" s="1"/>
  <c r="AQ4" i="8" a="1"/>
  <c r="AQ4" i="8"/>
  <c r="AR4" i="8" a="1"/>
  <c r="AR4" i="8" s="1"/>
  <c r="AS4" i="8" a="1"/>
  <c r="AS4" i="8"/>
  <c r="AT4" i="8" a="1"/>
  <c r="AT4" i="8" s="1"/>
  <c r="AU4" i="8" a="1"/>
  <c r="AU4" i="8"/>
  <c r="AV4" i="8" a="1"/>
  <c r="AV4" i="8"/>
  <c r="AW4" i="8" a="1"/>
  <c r="AW4" i="8"/>
  <c r="AX4" i="8" a="1"/>
  <c r="AX4" i="8"/>
  <c r="AY4" i="8" a="1"/>
  <c r="AY4" i="8"/>
  <c r="AZ4" i="8" a="1"/>
  <c r="AZ4" i="8" s="1"/>
  <c r="BA4" i="8" a="1"/>
  <c r="BA4" i="8" s="1"/>
  <c r="BB4" i="8" a="1"/>
  <c r="BB4" i="8" s="1"/>
  <c r="BC4" i="8" a="1"/>
  <c r="BC4" i="8" s="1"/>
  <c r="BD4" i="8" a="1"/>
  <c r="BD4" i="8" s="1"/>
  <c r="BE4" i="8" a="1"/>
  <c r="BE4" i="8" s="1"/>
  <c r="BF4" i="8" a="1"/>
  <c r="BF4" i="8" s="1"/>
  <c r="BG4" i="8" a="1"/>
  <c r="BG4" i="8"/>
  <c r="BH4" i="8" a="1"/>
  <c r="BH4" i="8" s="1"/>
  <c r="BI4" i="8" a="1"/>
  <c r="BI4" i="8" s="1"/>
  <c r="BJ4" i="8" a="1"/>
  <c r="BJ4" i="8"/>
  <c r="BK4" i="8" a="1"/>
  <c r="BK4" i="8"/>
  <c r="BL4" i="8" a="1"/>
  <c r="BL4" i="8" s="1"/>
  <c r="BM4" i="8" a="1"/>
  <c r="BM4" i="8" s="1"/>
  <c r="BN4" i="8" a="1"/>
  <c r="BN4" i="8" s="1"/>
  <c r="BO4" i="8" a="1"/>
  <c r="BO4" i="8"/>
  <c r="BP4" i="8" a="1"/>
  <c r="BP4" i="8" s="1"/>
  <c r="BQ4" i="8" a="1"/>
  <c r="BQ4" i="8" s="1"/>
  <c r="BR4" i="8" a="1"/>
  <c r="BR4" i="8" s="1"/>
  <c r="BS4" i="8" a="1"/>
  <c r="BS4" i="8"/>
  <c r="BT4" i="8" a="1"/>
  <c r="BT4" i="8"/>
  <c r="BU4" i="8" a="1"/>
  <c r="BU4" i="8" s="1"/>
  <c r="BV4" i="8" a="1"/>
  <c r="BV4" i="8"/>
  <c r="C5" i="8" a="1"/>
  <c r="C5" i="8"/>
  <c r="D5" i="8" a="1"/>
  <c r="D5" i="8" s="1"/>
  <c r="E5" i="8" a="1"/>
  <c r="E5" i="8"/>
  <c r="F5" i="8" a="1"/>
  <c r="F5" i="8"/>
  <c r="G5" i="8" a="1"/>
  <c r="G5" i="8"/>
  <c r="H5" i="8" a="1"/>
  <c r="H5" i="8" s="1"/>
  <c r="I5" i="8" a="1"/>
  <c r="I5" i="8" s="1"/>
  <c r="J5" i="8" a="1"/>
  <c r="J5" i="8" s="1"/>
  <c r="K5" i="8" a="1"/>
  <c r="K5" i="8"/>
  <c r="L5" i="8" a="1"/>
  <c r="L5" i="8" s="1"/>
  <c r="M5" i="8" a="1"/>
  <c r="M5" i="8"/>
  <c r="N5" i="8" a="1"/>
  <c r="N5" i="8"/>
  <c r="O5" i="8" a="1"/>
  <c r="O5" i="8" s="1"/>
  <c r="P5" i="8" a="1"/>
  <c r="P5" i="8" s="1"/>
  <c r="Q5" i="8" a="1"/>
  <c r="Q5" i="8" s="1"/>
  <c r="R5" i="8" a="1"/>
  <c r="R5" i="8"/>
  <c r="S5" i="8" a="1"/>
  <c r="S5" i="8" s="1"/>
  <c r="T5" i="8" a="1"/>
  <c r="T5" i="8"/>
  <c r="U5" i="8" a="1"/>
  <c r="U5" i="8" s="1"/>
  <c r="V5" i="8" a="1"/>
  <c r="V5" i="8" s="1"/>
  <c r="W5" i="8" a="1"/>
  <c r="W5" i="8"/>
  <c r="X5" i="8" a="1"/>
  <c r="X5" i="8" s="1"/>
  <c r="Y5" i="8" a="1"/>
  <c r="Y5" i="8"/>
  <c r="Z5" i="8" a="1"/>
  <c r="Z5" i="8" s="1"/>
  <c r="AA5" i="8" a="1"/>
  <c r="AA5" i="8"/>
  <c r="AB5" i="8" a="1"/>
  <c r="AB5" i="8" s="1"/>
  <c r="AC5" i="8" a="1"/>
  <c r="AC5" i="8" s="1"/>
  <c r="AD5" i="8" a="1"/>
  <c r="AD5" i="8"/>
  <c r="AE5" i="8" a="1"/>
  <c r="AE5" i="8"/>
  <c r="AF5" i="8" a="1"/>
  <c r="AF5" i="8" s="1"/>
  <c r="AG5" i="8" a="1"/>
  <c r="AG5" i="8" s="1"/>
  <c r="AH5" i="8" a="1"/>
  <c r="AH5" i="8" s="1"/>
  <c r="AI5" i="8" a="1"/>
  <c r="AI5" i="8" s="1"/>
  <c r="AJ5" i="8" a="1"/>
  <c r="AJ5" i="8"/>
  <c r="AK5" i="8" a="1"/>
  <c r="AK5" i="8"/>
  <c r="AL5" i="8" a="1"/>
  <c r="AL5" i="8"/>
  <c r="AM5" i="8" a="1"/>
  <c r="AM5" i="8" s="1"/>
  <c r="AN5" i="8" a="1"/>
  <c r="AN5" i="8" s="1"/>
  <c r="AO5" i="8" a="1"/>
  <c r="AO5" i="8"/>
  <c r="AP5" i="8" a="1"/>
  <c r="AP5" i="8" s="1"/>
  <c r="AQ5" i="8" a="1"/>
  <c r="AQ5" i="8"/>
  <c r="AR5" i="8" a="1"/>
  <c r="AR5" i="8"/>
  <c r="AS5" i="8" a="1"/>
  <c r="AS5" i="8" s="1"/>
  <c r="AT5" i="8" a="1"/>
  <c r="AT5" i="8" s="1"/>
  <c r="AU5" i="8" a="1"/>
  <c r="AU5" i="8" s="1"/>
  <c r="AV5" i="8" a="1"/>
  <c r="AV5" i="8"/>
  <c r="AW5" i="8" a="1"/>
  <c r="AW5" i="8"/>
  <c r="AX5" i="8" a="1"/>
  <c r="AX5" i="8" s="1"/>
  <c r="AY5" i="8" a="1"/>
  <c r="AY5" i="8" s="1"/>
  <c r="AZ5" i="8" a="1"/>
  <c r="AZ5" i="8" s="1"/>
  <c r="BA5" i="8" a="1"/>
  <c r="BA5" i="8"/>
  <c r="BB5" i="8" a="1"/>
  <c r="BB5" i="8" s="1"/>
  <c r="BC5" i="8" a="1"/>
  <c r="BC5" i="8" s="1"/>
  <c r="BD5" i="8" a="1"/>
  <c r="BD5" i="8" s="1"/>
  <c r="BE5" i="8" a="1"/>
  <c r="BE5" i="8" s="1"/>
  <c r="BF5" i="8" a="1"/>
  <c r="BF5" i="8" s="1"/>
  <c r="BG5" i="8" a="1"/>
  <c r="BG5" i="8" s="1"/>
  <c r="BH5" i="8" a="1"/>
  <c r="BH5" i="8"/>
  <c r="BI5" i="8" a="1"/>
  <c r="BI5" i="8" s="1"/>
  <c r="BJ5" i="8" a="1"/>
  <c r="BJ5" i="8"/>
  <c r="BK5" i="8" a="1"/>
  <c r="BK5" i="8"/>
  <c r="BL5" i="8" a="1"/>
  <c r="BL5" i="8" s="1"/>
  <c r="BM5" i="8" a="1"/>
  <c r="BM5" i="8" s="1"/>
  <c r="BN5" i="8" a="1"/>
  <c r="BN5" i="8" s="1"/>
  <c r="BO5" i="8" a="1"/>
  <c r="BO5" i="8"/>
  <c r="BP5" i="8" a="1"/>
  <c r="BP5" i="8" s="1"/>
  <c r="BQ5" i="8" a="1"/>
  <c r="BQ5" i="8" s="1"/>
  <c r="BR5" i="8" a="1"/>
  <c r="BR5" i="8" s="1"/>
  <c r="BS5" i="8" a="1"/>
  <c r="BS5" i="8"/>
  <c r="BT5" i="8" a="1"/>
  <c r="BT5" i="8"/>
  <c r="BU5" i="8" a="1"/>
  <c r="BU5" i="8" s="1"/>
  <c r="BV5" i="8" a="1"/>
  <c r="BV5" i="8"/>
  <c r="C6" i="8" a="1"/>
  <c r="C6" i="8"/>
  <c r="D6" i="8" a="1"/>
  <c r="D6" i="8" s="1"/>
  <c r="E6" i="8" a="1"/>
  <c r="E6" i="8"/>
  <c r="F6" i="8" a="1"/>
  <c r="F6" i="8"/>
  <c r="G6" i="8" a="1"/>
  <c r="G6" i="8"/>
  <c r="H6" i="8" a="1"/>
  <c r="H6" i="8" s="1"/>
  <c r="I6" i="8" a="1"/>
  <c r="I6" i="8" s="1"/>
  <c r="J6" i="8" a="1"/>
  <c r="J6" i="8" s="1"/>
  <c r="K6" i="8" a="1"/>
  <c r="K6" i="8" s="1"/>
  <c r="L6" i="8" a="1"/>
  <c r="L6" i="8"/>
  <c r="M6" i="8" a="1"/>
  <c r="M6" i="8"/>
  <c r="N6" i="8" a="1"/>
  <c r="N6" i="8" s="1"/>
  <c r="O6" i="8" a="1"/>
  <c r="O6" i="8"/>
  <c r="P6" i="8" a="1"/>
  <c r="P6" i="8" s="1"/>
  <c r="Q6" i="8" a="1"/>
  <c r="Q6" i="8"/>
  <c r="R6" i="8" a="1"/>
  <c r="R6" i="8" s="1"/>
  <c r="S6" i="8" a="1"/>
  <c r="S6" i="8"/>
  <c r="T6" i="8" a="1"/>
  <c r="T6" i="8"/>
  <c r="U6" i="8" a="1"/>
  <c r="U6" i="8" s="1"/>
  <c r="V6" i="8" a="1"/>
  <c r="V6" i="8" s="1"/>
  <c r="W6" i="8" a="1"/>
  <c r="W6" i="8"/>
  <c r="X6" i="8" a="1"/>
  <c r="X6" i="8" s="1"/>
  <c r="Y6" i="8" a="1"/>
  <c r="Y6" i="8"/>
  <c r="Z6" i="8" a="1"/>
  <c r="Z6" i="8"/>
  <c r="AA6" i="8" a="1"/>
  <c r="AA6" i="8"/>
  <c r="AB6" i="8" a="1"/>
  <c r="AB6" i="8" s="1"/>
  <c r="AC6" i="8" a="1"/>
  <c r="AC6" i="8" s="1"/>
  <c r="AD6" i="8" a="1"/>
  <c r="AD6" i="8"/>
  <c r="AE6" i="8" a="1"/>
  <c r="AE6" i="8" s="1"/>
  <c r="AF6" i="8" a="1"/>
  <c r="AF6" i="8"/>
  <c r="AG6" i="8" a="1"/>
  <c r="AG6" i="8" s="1"/>
  <c r="AH6" i="8" a="1"/>
  <c r="AH6" i="8" s="1"/>
  <c r="AI6" i="8" a="1"/>
  <c r="AI6" i="8" s="1"/>
  <c r="AJ6" i="8" a="1"/>
  <c r="AJ6" i="8"/>
  <c r="AK6" i="8" a="1"/>
  <c r="AK6" i="8" s="1"/>
  <c r="AL6" i="8" a="1"/>
  <c r="AL6" i="8" s="1"/>
  <c r="AM6" i="8" a="1"/>
  <c r="AM6" i="8" s="1"/>
  <c r="AN6" i="8" a="1"/>
  <c r="AN6" i="8" s="1"/>
  <c r="AO6" i="8" a="1"/>
  <c r="AO6" i="8"/>
  <c r="AP6" i="8" a="1"/>
  <c r="AP6" i="8" s="1"/>
  <c r="AQ6" i="8" a="1"/>
  <c r="AQ6" i="8"/>
  <c r="AR6" i="8" a="1"/>
  <c r="AR6" i="8"/>
  <c r="AS6" i="8" a="1"/>
  <c r="AS6" i="8" s="1"/>
  <c r="AT6" i="8" a="1"/>
  <c r="AT6" i="8" s="1"/>
  <c r="AU6" i="8" a="1"/>
  <c r="AU6" i="8" s="1"/>
  <c r="AV6" i="8" a="1"/>
  <c r="AV6" i="8" s="1"/>
  <c r="AW6" i="8" a="1"/>
  <c r="AW6" i="8"/>
  <c r="AX6" i="8" a="1"/>
  <c r="AX6" i="8" s="1"/>
  <c r="AY6" i="8" a="1"/>
  <c r="AY6" i="8" s="1"/>
  <c r="AZ6" i="8" a="1"/>
  <c r="AZ6" i="8" s="1"/>
  <c r="BA6" i="8" a="1"/>
  <c r="BA6" i="8" s="1"/>
  <c r="BB6" i="8" a="1"/>
  <c r="BB6" i="8"/>
  <c r="BC6" i="8" a="1"/>
  <c r="BC6" i="8" s="1"/>
  <c r="BD6" i="8" a="1"/>
  <c r="BD6" i="8"/>
  <c r="BE6" i="8" a="1"/>
  <c r="BE6" i="8" s="1"/>
  <c r="BF6" i="8" a="1"/>
  <c r="BF6" i="8" s="1"/>
  <c r="BG6" i="8" a="1"/>
  <c r="BG6" i="8" s="1"/>
  <c r="BH6" i="8" a="1"/>
  <c r="BH6" i="8" s="1"/>
  <c r="BI6" i="8" a="1"/>
  <c r="BI6" i="8" s="1"/>
  <c r="BJ6" i="8" a="1"/>
  <c r="BJ6" i="8"/>
  <c r="BK6" i="8" a="1"/>
  <c r="BK6" i="8"/>
  <c r="BL6" i="8" a="1"/>
  <c r="BL6" i="8" s="1"/>
  <c r="BM6" i="8" a="1"/>
  <c r="BM6" i="8" s="1"/>
  <c r="BN6" i="8" a="1"/>
  <c r="BN6" i="8"/>
  <c r="BO6" i="8" a="1"/>
  <c r="BO6" i="8"/>
  <c r="BP6" i="8" a="1"/>
  <c r="BP6" i="8" s="1"/>
  <c r="BQ6" i="8" a="1"/>
  <c r="BQ6" i="8"/>
  <c r="BR6" i="8" a="1"/>
  <c r="BR6" i="8" s="1"/>
  <c r="BS6" i="8" a="1"/>
  <c r="BS6" i="8"/>
  <c r="BT6" i="8" a="1"/>
  <c r="BT6" i="8" s="1"/>
  <c r="BU6" i="8" a="1"/>
  <c r="BU6" i="8"/>
  <c r="BV6" i="8" a="1"/>
  <c r="BV6" i="8"/>
  <c r="C7" i="8" a="1"/>
  <c r="C7" i="8"/>
  <c r="D7" i="8" a="1"/>
  <c r="D7" i="8" s="1"/>
  <c r="E7" i="8" a="1"/>
  <c r="E7" i="8" s="1"/>
  <c r="F7" i="8" a="1"/>
  <c r="F7" i="8"/>
  <c r="G7" i="8" a="1"/>
  <c r="G7" i="8" s="1"/>
  <c r="H7" i="8" a="1"/>
  <c r="H7" i="8" s="1"/>
  <c r="I7" i="8" a="1"/>
  <c r="I7" i="8" s="1"/>
  <c r="J7" i="8" a="1"/>
  <c r="J7" i="8" s="1"/>
  <c r="K7" i="8" a="1"/>
  <c r="K7" i="8"/>
  <c r="L7" i="8" a="1"/>
  <c r="L7" i="8" s="1"/>
  <c r="M7" i="8" a="1"/>
  <c r="M7" i="8" s="1"/>
  <c r="N7" i="8" a="1"/>
  <c r="N7" i="8" s="1"/>
  <c r="O7" i="8" a="1"/>
  <c r="O7" i="8" s="1"/>
  <c r="P7" i="8" a="1"/>
  <c r="P7" i="8" s="1"/>
  <c r="Q7" i="8" a="1"/>
  <c r="Q7" i="8" s="1"/>
  <c r="R7" i="8" a="1"/>
  <c r="R7" i="8"/>
  <c r="S7" i="8" a="1"/>
  <c r="S7" i="8"/>
  <c r="T7" i="8" a="1"/>
  <c r="T7" i="8" s="1"/>
  <c r="U7" i="8" a="1"/>
  <c r="U7" i="8"/>
  <c r="V7" i="8" a="1"/>
  <c r="V7" i="8" s="1"/>
  <c r="W7" i="8" a="1"/>
  <c r="W7" i="8"/>
  <c r="X7" i="8" a="1"/>
  <c r="X7" i="8" s="1"/>
  <c r="Y7" i="8" a="1"/>
  <c r="Y7" i="8"/>
  <c r="Z7" i="8" a="1"/>
  <c r="Z7" i="8"/>
  <c r="AA7" i="8" a="1"/>
  <c r="AA7" i="8" s="1"/>
  <c r="AB7" i="8" a="1"/>
  <c r="AB7" i="8" s="1"/>
  <c r="AC7" i="8" a="1"/>
  <c r="AC7" i="8" s="1"/>
  <c r="AD7" i="8" a="1"/>
  <c r="AD7" i="8"/>
  <c r="AE7" i="8" a="1"/>
  <c r="AE7" i="8" s="1"/>
  <c r="AF7" i="8" a="1"/>
  <c r="AF7" i="8"/>
  <c r="AG7" i="8" a="1"/>
  <c r="AG7" i="8"/>
  <c r="AH7" i="8" a="1"/>
  <c r="AH7" i="8" s="1"/>
  <c r="AI7" i="8" a="1"/>
  <c r="AI7" i="8"/>
  <c r="AJ7" i="8" a="1"/>
  <c r="AJ7" i="8"/>
  <c r="AK7" i="8" a="1"/>
  <c r="AK7" i="8"/>
  <c r="AL7" i="8" a="1"/>
  <c r="AL7" i="8" s="1"/>
  <c r="AM7" i="8" a="1"/>
  <c r="AM7" i="8"/>
  <c r="AN7" i="8" a="1"/>
  <c r="AN7" i="8" s="1"/>
  <c r="AO7" i="8" a="1"/>
  <c r="AO7" i="8" s="1"/>
  <c r="AP7" i="8" a="1"/>
  <c r="AP7" i="8" s="1"/>
  <c r="AQ7" i="8" a="1"/>
  <c r="AQ7" i="8"/>
  <c r="AR7" i="8" a="1"/>
  <c r="AR7" i="8"/>
  <c r="AS7" i="8" a="1"/>
  <c r="AS7" i="8" s="1"/>
  <c r="AT7" i="8" a="1"/>
  <c r="AT7" i="8" s="1"/>
  <c r="AU7" i="8" a="1"/>
  <c r="AU7" i="8"/>
  <c r="AV7" i="8" a="1"/>
  <c r="AV7" i="8" s="1"/>
  <c r="AW7" i="8" a="1"/>
  <c r="AW7" i="8"/>
  <c r="AX7" i="8" a="1"/>
  <c r="AX7" i="8"/>
  <c r="AY7" i="8" a="1"/>
  <c r="AY7" i="8"/>
  <c r="AZ7" i="8" a="1"/>
  <c r="AZ7" i="8" s="1"/>
  <c r="BA7" i="8" a="1"/>
  <c r="BA7" i="8" s="1"/>
  <c r="BB7" i="8" a="1"/>
  <c r="BB7" i="8" s="1"/>
  <c r="BC7" i="8" a="1"/>
  <c r="BC7" i="8" s="1"/>
  <c r="BD7" i="8" a="1"/>
  <c r="BD7" i="8" s="1"/>
  <c r="BE7" i="8" a="1"/>
  <c r="BE7" i="8" s="1"/>
  <c r="BF7" i="8" a="1"/>
  <c r="BF7" i="8" s="1"/>
  <c r="BG7" i="8" a="1"/>
  <c r="BG7" i="8"/>
  <c r="BH7" i="8" a="1"/>
  <c r="BH7" i="8"/>
  <c r="BI7" i="8" a="1"/>
  <c r="BI7" i="8" s="1"/>
  <c r="BJ7" i="8" a="1"/>
  <c r="BJ7" i="8"/>
  <c r="BK7" i="8" a="1"/>
  <c r="BK7" i="8"/>
  <c r="BL7" i="8" a="1"/>
  <c r="BL7" i="8" s="1"/>
  <c r="BM7" i="8" a="1"/>
  <c r="BM7" i="8" s="1"/>
  <c r="BN7" i="8" a="1"/>
  <c r="BN7" i="8" s="1"/>
  <c r="BO7" i="8" a="1"/>
  <c r="BO7" i="8" s="1"/>
  <c r="BP7" i="8" a="1"/>
  <c r="BP7" i="8" s="1"/>
  <c r="BQ7" i="8" a="1"/>
  <c r="BQ7" i="8"/>
  <c r="BR7" i="8" a="1"/>
  <c r="BR7" i="8" s="1"/>
  <c r="BS7" i="8" a="1"/>
  <c r="BS7" i="8" s="1"/>
  <c r="BT7" i="8" a="1"/>
  <c r="BT7" i="8" s="1"/>
  <c r="BU7" i="8" a="1"/>
  <c r="BU7" i="8"/>
  <c r="BV7" i="8" a="1"/>
  <c r="BV7" i="8" s="1"/>
  <c r="C8" i="8" a="1"/>
  <c r="C8" i="8"/>
  <c r="D8" i="8" a="1"/>
  <c r="D8" i="8" s="1"/>
  <c r="E8" i="8" a="1"/>
  <c r="E8" i="8" s="1"/>
  <c r="F8" i="8" a="1"/>
  <c r="F8" i="8" s="1"/>
  <c r="G8" i="8" a="1"/>
  <c r="G8" i="8"/>
  <c r="H8" i="8" a="1"/>
  <c r="H8" i="8" s="1"/>
  <c r="I8" i="8" a="1"/>
  <c r="I8" i="8" s="1"/>
  <c r="J8" i="8" a="1"/>
  <c r="J8" i="8" s="1"/>
  <c r="K8" i="8" a="1"/>
  <c r="K8" i="8"/>
  <c r="L8" i="8" a="1"/>
  <c r="L8" i="8" s="1"/>
  <c r="M8" i="8" a="1"/>
  <c r="M8" i="8" s="1"/>
  <c r="N8" i="8" a="1"/>
  <c r="N8" i="8"/>
  <c r="O8" i="8" a="1"/>
  <c r="O8" i="8"/>
  <c r="P8" i="8" a="1"/>
  <c r="P8" i="8" s="1"/>
  <c r="Q8" i="8" a="1"/>
  <c r="Q8" i="8" s="1"/>
  <c r="R8" i="8" a="1"/>
  <c r="R8" i="8"/>
  <c r="S8" i="8" a="1"/>
  <c r="S8" i="8"/>
  <c r="T8" i="8" a="1"/>
  <c r="T8" i="8" s="1"/>
  <c r="U8" i="8" a="1"/>
  <c r="U8" i="8"/>
  <c r="V8" i="8" a="1"/>
  <c r="V8" i="8" s="1"/>
  <c r="W8" i="8" a="1"/>
  <c r="W8" i="8"/>
  <c r="X8" i="8" a="1"/>
  <c r="X8" i="8"/>
  <c r="Y8" i="8" a="1"/>
  <c r="Y8" i="8"/>
  <c r="Z8" i="8" a="1"/>
  <c r="Z8" i="8" s="1"/>
  <c r="AA8" i="8" a="1"/>
  <c r="AA8" i="8" s="1"/>
  <c r="AB8" i="8" a="1"/>
  <c r="AB8" i="8" s="1"/>
  <c r="AC8" i="8" a="1"/>
  <c r="AC8" i="8" s="1"/>
  <c r="AD8" i="8" a="1"/>
  <c r="AD8" i="8" s="1"/>
  <c r="AE8" i="8" a="1"/>
  <c r="AE8" i="8"/>
  <c r="AF8" i="8" a="1"/>
  <c r="AF8" i="8"/>
  <c r="AG8" i="8" a="1"/>
  <c r="AG8" i="8"/>
  <c r="AH8" i="8" a="1"/>
  <c r="AH8" i="8" s="1"/>
  <c r="AI8" i="8" a="1"/>
  <c r="AI8" i="8" s="1"/>
  <c r="AJ8" i="8" a="1"/>
  <c r="AJ8" i="8"/>
  <c r="AK8" i="8" a="1"/>
  <c r="AK8" i="8" s="1"/>
  <c r="AL8" i="8" a="1"/>
  <c r="AL8" i="8"/>
  <c r="AM8" i="8" a="1"/>
  <c r="AM8" i="8"/>
  <c r="AN8" i="8" a="1"/>
  <c r="AN8" i="8" s="1"/>
  <c r="AO8" i="8" a="1"/>
  <c r="AO8" i="8" s="1"/>
  <c r="AP8" i="8" a="1"/>
  <c r="AP8" i="8" s="1"/>
  <c r="AQ8" i="8" a="1"/>
  <c r="AQ8" i="8"/>
  <c r="AR8" i="8" a="1"/>
  <c r="AR8" i="8" s="1"/>
  <c r="AS8" i="8" a="1"/>
  <c r="AS8" i="8" s="1"/>
  <c r="AT8" i="8" a="1"/>
  <c r="AT8" i="8" s="1"/>
  <c r="AU8" i="8" a="1"/>
  <c r="AU8" i="8"/>
  <c r="AV8" i="8" a="1"/>
  <c r="AV8" i="8"/>
  <c r="AW8" i="8" a="1"/>
  <c r="AW8" i="8"/>
  <c r="AX8" i="8" a="1"/>
  <c r="AX8" i="8" s="1"/>
  <c r="AY8" i="8" a="1"/>
  <c r="AY8" i="8"/>
  <c r="AZ8" i="8" a="1"/>
  <c r="AZ8" i="8" s="1"/>
  <c r="BA8" i="8" a="1"/>
  <c r="BA8" i="8"/>
  <c r="BB8" i="8" a="1"/>
  <c r="BB8" i="8"/>
  <c r="BC8" i="8" a="1"/>
  <c r="BC8" i="8" s="1"/>
  <c r="BD8" i="8" a="1"/>
  <c r="BD8" i="8" s="1"/>
  <c r="BE8" i="8" a="1"/>
  <c r="BE8" i="8" s="1"/>
  <c r="BF8" i="8" a="1"/>
  <c r="BF8" i="8" s="1"/>
  <c r="BG8" i="8" a="1"/>
  <c r="BG8" i="8"/>
  <c r="BH8" i="8" a="1"/>
  <c r="BH8" i="8" s="1"/>
  <c r="BI8" i="8" a="1"/>
  <c r="BI8" i="8"/>
  <c r="BJ8" i="8" a="1"/>
  <c r="BJ8" i="8"/>
  <c r="BK8" i="8" a="1"/>
  <c r="BK8" i="8" s="1"/>
  <c r="BL8" i="8" a="1"/>
  <c r="BL8" i="8" s="1"/>
  <c r="BM8" i="8" a="1"/>
  <c r="BM8" i="8"/>
  <c r="BN8" i="8" a="1"/>
  <c r="BN8" i="8"/>
  <c r="BO8" i="8" a="1"/>
  <c r="BO8" i="8" s="1"/>
  <c r="BP8" i="8" a="1"/>
  <c r="BP8" i="8" s="1"/>
  <c r="BQ8" i="8" a="1"/>
  <c r="BQ8" i="8"/>
  <c r="BR8" i="8" a="1"/>
  <c r="BR8" i="8" s="1"/>
  <c r="BS8" i="8" a="1"/>
  <c r="BS8" i="8" s="1"/>
  <c r="BT8" i="8" a="1"/>
  <c r="BT8" i="8"/>
  <c r="BU8" i="8" a="1"/>
  <c r="BU8" i="8"/>
  <c r="BV8" i="8" a="1"/>
  <c r="BV8" i="8"/>
  <c r="C9" i="8" a="1"/>
  <c r="C9" i="8"/>
  <c r="D9" i="8" a="1"/>
  <c r="D9" i="8" s="1"/>
  <c r="E9" i="8" a="1"/>
  <c r="E9" i="8" s="1"/>
  <c r="F9" i="8" a="1"/>
  <c r="F9" i="8" s="1"/>
  <c r="G9" i="8" a="1"/>
  <c r="G9" i="8" s="1"/>
  <c r="H9" i="8" a="1"/>
  <c r="H9" i="8"/>
  <c r="I9" i="8" a="1"/>
  <c r="I9" i="8" s="1"/>
  <c r="J9" i="8" a="1"/>
  <c r="J9" i="8" s="1"/>
  <c r="K9" i="8" a="1"/>
  <c r="K9" i="8" s="1"/>
  <c r="L9" i="8" a="1"/>
  <c r="L9" i="8"/>
  <c r="M9" i="8" a="1"/>
  <c r="M9" i="8" s="1"/>
  <c r="N9" i="8" a="1"/>
  <c r="N9" i="8" s="1"/>
  <c r="O9" i="8" a="1"/>
  <c r="O9" i="8"/>
  <c r="P9" i="8" a="1"/>
  <c r="P9" i="8" s="1"/>
  <c r="Q9" i="8" a="1"/>
  <c r="Q9" i="8" s="1"/>
  <c r="R9" i="8" a="1"/>
  <c r="R9" i="8" s="1"/>
  <c r="S9" i="8" a="1"/>
  <c r="S9" i="8" s="1"/>
  <c r="T9" i="8" a="1"/>
  <c r="T9" i="8"/>
  <c r="U9" i="8" a="1"/>
  <c r="U9" i="8" s="1"/>
  <c r="V9" i="8" a="1"/>
  <c r="V9" i="8" s="1"/>
  <c r="W9" i="8" a="1"/>
  <c r="W9" i="8"/>
  <c r="X9" i="8" a="1"/>
  <c r="X9" i="8"/>
  <c r="Y9" i="8" a="1"/>
  <c r="Y9" i="8" s="1"/>
  <c r="Z9" i="8" a="1"/>
  <c r="Z9" i="8" s="1"/>
  <c r="AA9" i="8" a="1"/>
  <c r="AA9" i="8" s="1"/>
  <c r="AB9" i="8" a="1"/>
  <c r="AB9" i="8" s="1"/>
  <c r="AC9" i="8" a="1"/>
  <c r="AC9" i="8" s="1"/>
  <c r="AD9" i="8" a="1"/>
  <c r="AD9" i="8"/>
  <c r="AE9" i="8" a="1"/>
  <c r="AE9" i="8" s="1"/>
  <c r="AF9" i="8" a="1"/>
  <c r="AF9" i="8"/>
  <c r="AG9" i="8" a="1"/>
  <c r="AG9" i="8" s="1"/>
  <c r="AH9" i="8" a="1"/>
  <c r="AH9" i="8" s="1"/>
  <c r="AI9" i="8" a="1"/>
  <c r="AI9" i="8" s="1"/>
  <c r="AJ9" i="8" a="1"/>
  <c r="AJ9" i="8"/>
  <c r="AK9" i="8" a="1"/>
  <c r="AK9" i="8"/>
  <c r="AL9" i="8" a="1"/>
  <c r="AL9" i="8" s="1"/>
  <c r="AM9" i="8" a="1"/>
  <c r="AM9" i="8" s="1"/>
  <c r="AN9" i="8" a="1"/>
  <c r="AN9" i="8" s="1"/>
  <c r="AO9" i="8" a="1"/>
  <c r="AO9" i="8"/>
  <c r="AP9" i="8" a="1"/>
  <c r="AP9" i="8" s="1"/>
  <c r="AQ9" i="8" a="1"/>
  <c r="AQ9" i="8" s="1"/>
  <c r="AR9" i="8" a="1"/>
  <c r="AR9" i="8" s="1"/>
  <c r="AS9" i="8" a="1"/>
  <c r="AS9" i="8" s="1"/>
  <c r="AT9" i="8" a="1"/>
  <c r="AT9" i="8" s="1"/>
  <c r="AU9" i="8" a="1"/>
  <c r="AU9" i="8" s="1"/>
  <c r="AV9" i="8" a="1"/>
  <c r="AV9" i="8" s="1"/>
  <c r="AW9" i="8" a="1"/>
  <c r="AW9" i="8"/>
  <c r="AX9" i="8" a="1"/>
  <c r="AX9" i="8" s="1"/>
  <c r="AY9" i="8" a="1"/>
  <c r="AY9" i="8" s="1"/>
  <c r="AZ9" i="8" a="1"/>
  <c r="AZ9" i="8" s="1"/>
  <c r="BA9" i="8" a="1"/>
  <c r="BA9" i="8" s="1"/>
  <c r="BB9" i="8" a="1"/>
  <c r="BB9" i="8"/>
  <c r="BC9" i="8" a="1"/>
  <c r="BC9" i="8" s="1"/>
  <c r="BD9" i="8" a="1"/>
  <c r="BD9" i="8"/>
  <c r="BE9" i="8" a="1"/>
  <c r="BE9" i="8" s="1"/>
  <c r="BF9" i="8" a="1"/>
  <c r="BF9" i="8" s="1"/>
  <c r="BG9" i="8" a="1"/>
  <c r="BG9" i="8" s="1"/>
  <c r="BH9" i="8" a="1"/>
  <c r="BH9" i="8" s="1"/>
  <c r="BI9" i="8" a="1"/>
  <c r="BI9" i="8"/>
  <c r="BJ9" i="8" a="1"/>
  <c r="BJ9" i="8"/>
  <c r="BK9" i="8" a="1"/>
  <c r="BK9" i="8" s="1"/>
  <c r="BL9" i="8" a="1"/>
  <c r="BL9" i="8" s="1"/>
  <c r="BM9" i="8" a="1"/>
  <c r="BM9" i="8" s="1"/>
  <c r="BN9" i="8" a="1"/>
  <c r="BN9" i="8" s="1"/>
  <c r="BO9" i="8" a="1"/>
  <c r="BO9" i="8" s="1"/>
  <c r="BP9" i="8" a="1"/>
  <c r="BP9" i="8" s="1"/>
  <c r="BQ9" i="8" a="1"/>
  <c r="BQ9" i="8" s="1"/>
  <c r="BR9" i="8" a="1"/>
  <c r="BR9" i="8" s="1"/>
  <c r="BS9" i="8" a="1"/>
  <c r="BS9" i="8"/>
  <c r="BT9" i="8" a="1"/>
  <c r="BT9" i="8"/>
  <c r="BU9" i="8" a="1"/>
  <c r="BU9" i="8" s="1"/>
  <c r="BV9" i="8" a="1"/>
  <c r="BV9" i="8" s="1"/>
  <c r="C10" i="8" a="1"/>
  <c r="C10" i="8"/>
  <c r="D10" i="8" a="1"/>
  <c r="D10" i="8" s="1"/>
  <c r="E10" i="8" a="1"/>
  <c r="E10" i="8" s="1"/>
  <c r="F10" i="8" a="1"/>
  <c r="F10" i="8"/>
  <c r="G10" i="8" a="1"/>
  <c r="G10" i="8"/>
  <c r="H10" i="8" a="1"/>
  <c r="H10" i="8" s="1"/>
  <c r="I10" i="8" a="1"/>
  <c r="I10" i="8" s="1"/>
  <c r="J10" i="8" a="1"/>
  <c r="J10" i="8"/>
  <c r="K10" i="8" a="1"/>
  <c r="K10" i="8"/>
  <c r="L10" i="8" a="1"/>
  <c r="L10" i="8" s="1"/>
  <c r="M10" i="8" a="1"/>
  <c r="M10" i="8"/>
  <c r="N10" i="8" a="1"/>
  <c r="N10" i="8"/>
  <c r="O10" i="8" a="1"/>
  <c r="O10" i="8" s="1"/>
  <c r="P10" i="8" a="1"/>
  <c r="P10" i="8"/>
  <c r="Q10" i="8" a="1"/>
  <c r="Q10" i="8"/>
  <c r="R10" i="8" a="1"/>
  <c r="R10" i="8" s="1"/>
  <c r="S10" i="8" a="1"/>
  <c r="S10" i="8"/>
  <c r="T10" i="8" a="1"/>
  <c r="T10" i="8"/>
  <c r="U10" i="8" a="1"/>
  <c r="U10" i="8" s="1"/>
  <c r="V10" i="8" a="1"/>
  <c r="V10" i="8" s="1"/>
  <c r="W10" i="8" a="1"/>
  <c r="W10" i="8" s="1"/>
  <c r="X10" i="8" a="1"/>
  <c r="X10" i="8"/>
  <c r="Y10" i="8" a="1"/>
  <c r="Y10" i="8"/>
  <c r="Z10" i="8" a="1"/>
  <c r="Z10" i="8" s="1"/>
  <c r="AA10" i="8" a="1"/>
  <c r="AA10" i="8" s="1"/>
  <c r="AB10" i="8" a="1"/>
  <c r="AB10" i="8" s="1"/>
  <c r="AC10" i="8" a="1"/>
  <c r="AC10" i="8"/>
  <c r="AD10" i="8" a="1"/>
  <c r="AD10" i="8" s="1"/>
  <c r="AE10" i="8" a="1"/>
  <c r="AE10" i="8"/>
  <c r="AF10" i="8" a="1"/>
  <c r="AF10" i="8"/>
  <c r="AG10" i="8" a="1"/>
  <c r="AG10" i="8" s="1"/>
  <c r="AH10" i="8" a="1"/>
  <c r="AH10" i="8" s="1"/>
  <c r="AI10" i="8" a="1"/>
  <c r="AI10" i="8" s="1"/>
  <c r="AJ10" i="8" a="1"/>
  <c r="AJ10" i="8" s="1"/>
  <c r="AK10" i="8" a="1"/>
  <c r="AK10" i="8" s="1"/>
  <c r="AL10" i="8" a="1"/>
  <c r="AL10" i="8"/>
  <c r="AM10" i="8" a="1"/>
  <c r="AM10" i="8" s="1"/>
  <c r="AN10" i="8" a="1"/>
  <c r="AN10" i="8"/>
  <c r="AO10" i="8" a="1"/>
  <c r="AO10" i="8" s="1"/>
  <c r="AP10" i="8" a="1"/>
  <c r="AP10" i="8"/>
  <c r="AQ10" i="8" a="1"/>
  <c r="AQ10" i="8" s="1"/>
  <c r="AR10" i="8" a="1"/>
  <c r="AR10" i="8" s="1"/>
  <c r="AS10" i="8" a="1"/>
  <c r="AS10" i="8" s="1"/>
  <c r="AT10" i="8" a="1"/>
  <c r="AT10" i="8" s="1"/>
  <c r="AU10" i="8" a="1"/>
  <c r="AU10" i="8" s="1"/>
  <c r="AV10" i="8" a="1"/>
  <c r="AV10" i="8" s="1"/>
  <c r="AW10" i="8" a="1"/>
  <c r="AW10" i="8" s="1"/>
  <c r="AX10" i="8" a="1"/>
  <c r="AX10" i="8" s="1"/>
  <c r="AY10" i="8" a="1"/>
  <c r="AY10" i="8" s="1"/>
  <c r="AZ10" i="8" a="1"/>
  <c r="AZ10" i="8"/>
  <c r="BA10" i="8" a="1"/>
  <c r="BA10" i="8" s="1"/>
  <c r="BB10" i="8" a="1"/>
  <c r="BB10" i="8" s="1"/>
  <c r="BC10" i="8" a="1"/>
  <c r="BC10" i="8"/>
  <c r="BD10" i="8" a="1"/>
  <c r="BD10" i="8"/>
  <c r="BE10" i="8" a="1"/>
  <c r="BE10" i="8" s="1"/>
  <c r="BF10" i="8" a="1"/>
  <c r="BF10" i="8" s="1"/>
  <c r="BG10" i="8" a="1"/>
  <c r="BG10" i="8"/>
  <c r="BH10" i="8" a="1"/>
  <c r="BH10" i="8"/>
  <c r="BI10" i="8" a="1"/>
  <c r="BI10" i="8" s="1"/>
  <c r="BJ10" i="8" a="1"/>
  <c r="BJ10" i="8" s="1"/>
  <c r="BK10" i="8" a="1"/>
  <c r="BK10" i="8" s="1"/>
  <c r="BL10" i="8" a="1"/>
  <c r="BL10" i="8"/>
  <c r="BM10" i="8" a="1"/>
  <c r="BM10" i="8" s="1"/>
  <c r="BN10" i="8" a="1"/>
  <c r="BN10" i="8"/>
  <c r="BO10" i="8" a="1"/>
  <c r="BO10" i="8" s="1"/>
  <c r="BP10" i="8" a="1"/>
  <c r="BP10" i="8"/>
  <c r="BQ10" i="8" a="1"/>
  <c r="BQ10" i="8" s="1"/>
  <c r="BR10" i="8" a="1"/>
  <c r="BR10" i="8" s="1"/>
  <c r="BS10" i="8" a="1"/>
  <c r="BS10" i="8"/>
  <c r="BT10" i="8" a="1"/>
  <c r="BT10" i="8" s="1"/>
  <c r="BU10" i="8" a="1"/>
  <c r="BU10" i="8"/>
  <c r="BV10" i="8" a="1"/>
  <c r="BV10" i="8" s="1"/>
  <c r="C11" i="8" a="1"/>
  <c r="C11" i="8" s="1"/>
  <c r="D11" i="8" a="1"/>
  <c r="D11" i="8"/>
  <c r="E11" i="8" a="1"/>
  <c r="E11" i="8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K11" i="8" a="1"/>
  <c r="K11" i="8"/>
  <c r="L11" i="8" a="1"/>
  <c r="L11" i="8" s="1"/>
  <c r="M11" i="8" a="1"/>
  <c r="M11" i="8" s="1"/>
  <c r="N11" i="8" a="1"/>
  <c r="N11" i="8" s="1"/>
  <c r="O11" i="8" a="1"/>
  <c r="O11" i="8" s="1"/>
  <c r="P11" i="8" a="1"/>
  <c r="P11" i="8"/>
  <c r="Q11" i="8" a="1"/>
  <c r="Q11" i="8" s="1"/>
  <c r="R11" i="8" a="1"/>
  <c r="R11" i="8"/>
  <c r="S11" i="8" a="1"/>
  <c r="S11" i="8"/>
  <c r="T11" i="8" a="1"/>
  <c r="T11" i="8" s="1"/>
  <c r="U11" i="8" a="1"/>
  <c r="U11" i="8" s="1"/>
  <c r="V11" i="8" a="1"/>
  <c r="V11" i="8" s="1"/>
  <c r="W11" i="8" a="1"/>
  <c r="W11" i="8" s="1"/>
  <c r="X11" i="8" a="1"/>
  <c r="X11" i="8"/>
  <c r="Y11" i="8" a="1"/>
  <c r="Y11" i="8" s="1"/>
  <c r="Z11" i="8" a="1"/>
  <c r="Z11" i="8"/>
  <c r="AA11" i="8" a="1"/>
  <c r="AA11" i="8" s="1"/>
  <c r="AB11" i="8" a="1"/>
  <c r="AB11" i="8" s="1"/>
  <c r="AC11" i="8" a="1"/>
  <c r="AC11" i="8"/>
  <c r="AD11" i="8" a="1"/>
  <c r="AD11" i="8" s="1"/>
  <c r="AE11" i="8" a="1"/>
  <c r="AE11" i="8"/>
  <c r="AF11" i="8" a="1"/>
  <c r="AF11" i="8" s="1"/>
  <c r="AG11" i="8" a="1"/>
  <c r="AG11" i="8" s="1"/>
  <c r="AH11" i="8" a="1"/>
  <c r="AH11" i="8"/>
  <c r="AI11" i="8" a="1"/>
  <c r="AI11" i="8" s="1"/>
  <c r="AJ11" i="8" a="1"/>
  <c r="AJ11" i="8" s="1"/>
  <c r="AK11" i="8" a="1"/>
  <c r="AK11" i="8" s="1"/>
  <c r="AL11" i="8" a="1"/>
  <c r="AL11" i="8" s="1"/>
  <c r="AM11" i="8" a="1"/>
  <c r="AM11" i="8" s="1"/>
  <c r="AN11" i="8" a="1"/>
  <c r="AN11" i="8" s="1"/>
  <c r="AO11" i="8" a="1"/>
  <c r="AO11" i="8" s="1"/>
  <c r="AP11" i="8" a="1"/>
  <c r="AP11" i="8"/>
  <c r="AQ11" i="8" a="1"/>
  <c r="AQ11" i="8" s="1"/>
  <c r="AR11" i="8" a="1"/>
  <c r="AR11" i="8"/>
  <c r="AS11" i="8" a="1"/>
  <c r="AS11" i="8" s="1"/>
  <c r="AT11" i="8" a="1"/>
  <c r="AT11" i="8"/>
  <c r="AU11" i="8" a="1"/>
  <c r="AU11" i="8" s="1"/>
  <c r="AV11" i="8" a="1"/>
  <c r="AV11" i="8" s="1"/>
  <c r="AW11" i="8" a="1"/>
  <c r="AW11" i="8" s="1"/>
  <c r="AX11" i="8" a="1"/>
  <c r="AX11" i="8" s="1"/>
  <c r="AY11" i="8" a="1"/>
  <c r="AY11" i="8" s="1"/>
  <c r="AZ11" i="8" a="1"/>
  <c r="AZ11" i="8"/>
  <c r="BA11" i="8" a="1"/>
  <c r="BA11" i="8"/>
  <c r="BB11" i="8" a="1"/>
  <c r="BB11" i="8" s="1"/>
  <c r="BC11" i="8" a="1"/>
  <c r="BC11" i="8"/>
  <c r="BD11" i="8" a="1"/>
  <c r="BD11" i="8" s="1"/>
  <c r="BE11" i="8" a="1"/>
  <c r="BE11" i="8" s="1"/>
  <c r="BF11" i="8" a="1"/>
  <c r="BF11" i="8"/>
  <c r="BG11" i="8" a="1"/>
  <c r="BG11" i="8"/>
  <c r="BH11" i="8" a="1"/>
  <c r="BH11" i="8" s="1"/>
  <c r="BI11" i="8" a="1"/>
  <c r="BI11" i="8" s="1"/>
  <c r="BJ11" i="8" a="1"/>
  <c r="BJ11" i="8" s="1"/>
  <c r="BK11" i="8" a="1"/>
  <c r="BK11" i="8" s="1"/>
  <c r="BL11" i="8" a="1"/>
  <c r="BL11" i="8" s="1"/>
  <c r="BM11" i="8" a="1"/>
  <c r="BM11" i="8"/>
  <c r="BN11" i="8" a="1"/>
  <c r="BN11" i="8" s="1"/>
  <c r="BO11" i="8" a="1"/>
  <c r="BO11" i="8" s="1"/>
  <c r="BP11" i="8" a="1"/>
  <c r="BP11" i="8"/>
  <c r="BQ11" i="8" a="1"/>
  <c r="BQ11" i="8" s="1"/>
  <c r="BR11" i="8" a="1"/>
  <c r="BR11" i="8"/>
  <c r="BS11" i="8" a="1"/>
  <c r="BS11" i="8" s="1"/>
  <c r="BT11" i="8" a="1"/>
  <c r="BT11" i="8"/>
  <c r="BU11" i="8" a="1"/>
  <c r="BU11" i="8"/>
  <c r="BV11" i="8" a="1"/>
  <c r="BV11" i="8" s="1"/>
  <c r="C12" i="8" a="1"/>
  <c r="C12" i="8" s="1"/>
  <c r="D12" i="8" a="1"/>
  <c r="D12" i="8" s="1"/>
  <c r="E12" i="8" a="1"/>
  <c r="E12" i="8"/>
  <c r="F12" i="8" a="1"/>
  <c r="F12" i="8" s="1"/>
  <c r="G12" i="8" a="1"/>
  <c r="G12" i="8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/>
  <c r="O12" i="8" a="1"/>
  <c r="O12" i="8" s="1"/>
  <c r="P12" i="8" a="1"/>
  <c r="P12" i="8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V12" i="8" a="1"/>
  <c r="V12" i="8" s="1"/>
  <c r="W12" i="8" a="1"/>
  <c r="W12" i="8" s="1"/>
  <c r="X12" i="8" a="1"/>
  <c r="X12" i="8"/>
  <c r="Y12" i="8" a="1"/>
  <c r="Y12" i="8"/>
  <c r="Z12" i="8" a="1"/>
  <c r="Z12" i="8" s="1"/>
  <c r="AA12" i="8" a="1"/>
  <c r="AA12" i="8" s="1"/>
  <c r="AB12" i="8" a="1"/>
  <c r="AB12" i="8" s="1"/>
  <c r="AC12" i="8" a="1"/>
  <c r="AC12" i="8"/>
  <c r="AD12" i="8" a="1"/>
  <c r="AD12" i="8" s="1"/>
  <c r="AE12" i="8" a="1"/>
  <c r="AE12" i="8" s="1"/>
  <c r="AF12" i="8" a="1"/>
  <c r="AF12" i="8"/>
  <c r="AG12" i="8" a="1"/>
  <c r="AG12" i="8" s="1"/>
  <c r="AH12" i="8" a="1"/>
  <c r="AH12" i="8" s="1"/>
  <c r="AI12" i="8" a="1"/>
  <c r="AI12" i="8" s="1"/>
  <c r="AJ12" i="8" a="1"/>
  <c r="AJ12" i="8"/>
  <c r="AK12" i="8" a="1"/>
  <c r="AK12" i="8" s="1"/>
  <c r="AL12" i="8" a="1"/>
  <c r="AL12" i="8" s="1"/>
  <c r="AM12" i="8" a="1"/>
  <c r="AM12" i="8" s="1"/>
  <c r="AN12" i="8" a="1"/>
  <c r="AN12" i="8"/>
  <c r="AO12" i="8" a="1"/>
  <c r="AO12" i="8" s="1"/>
  <c r="AP12" i="8" a="1"/>
  <c r="AP12" i="8"/>
  <c r="AQ12" i="8" a="1"/>
  <c r="AQ12" i="8"/>
  <c r="AR12" i="8" a="1"/>
  <c r="AR12" i="8"/>
  <c r="AS12" i="8" a="1"/>
  <c r="AS12" i="8" s="1"/>
  <c r="AT12" i="8" a="1"/>
  <c r="AT12" i="8" s="1"/>
  <c r="AU12" i="8" a="1"/>
  <c r="AU12" i="8"/>
  <c r="AV12" i="8" a="1"/>
  <c r="AV12" i="8" s="1"/>
  <c r="AW12" i="8" a="1"/>
  <c r="AW12" i="8" s="1"/>
  <c r="AX12" i="8" a="1"/>
  <c r="AX12" i="8"/>
  <c r="AY12" i="8" a="1"/>
  <c r="AY12" i="8" s="1"/>
  <c r="AZ12" i="8" a="1"/>
  <c r="AZ12" i="8"/>
  <c r="BA12" i="8" a="1"/>
  <c r="BA12" i="8" s="1"/>
  <c r="BB12" i="8" a="1"/>
  <c r="BB12" i="8" s="1"/>
  <c r="BC12" i="8" a="1"/>
  <c r="BC12" i="8"/>
  <c r="BD12" i="8" a="1"/>
  <c r="BD12" i="8" s="1"/>
  <c r="BE12" i="8" a="1"/>
  <c r="BE12" i="8" s="1"/>
  <c r="BF12" i="8" a="1"/>
  <c r="BF12" i="8"/>
  <c r="BG12" i="8" a="1"/>
  <c r="BG12" i="8" s="1"/>
  <c r="BH12" i="8" a="1"/>
  <c r="BH12" i="8" s="1"/>
  <c r="BI12" i="8" a="1"/>
  <c r="BI12" i="8" s="1"/>
  <c r="BJ12" i="8" a="1"/>
  <c r="BJ12" i="8"/>
  <c r="BK12" i="8" a="1"/>
  <c r="BK12" i="8" s="1"/>
  <c r="BL12" i="8" a="1"/>
  <c r="BL12" i="8"/>
  <c r="BM12" i="8" a="1"/>
  <c r="BM12" i="8"/>
  <c r="BN12" i="8" a="1"/>
  <c r="BN12" i="8" s="1"/>
  <c r="BO12" i="8" a="1"/>
  <c r="BO12" i="8" s="1"/>
  <c r="BP12" i="8" a="1"/>
  <c r="BP12" i="8"/>
  <c r="BQ12" i="8" a="1"/>
  <c r="BQ12" i="8" s="1"/>
  <c r="BR12" i="8" a="1"/>
  <c r="BR12" i="8" s="1"/>
  <c r="BS12" i="8" a="1"/>
  <c r="BS12" i="8"/>
  <c r="BT12" i="8" a="1"/>
  <c r="BT12" i="8" s="1"/>
  <c r="BU12" i="8" a="1"/>
  <c r="BU12" i="8"/>
  <c r="BV12" i="8" a="1"/>
  <c r="BV12" i="8" s="1"/>
  <c r="C13" i="8" a="1"/>
  <c r="C13" i="8" s="1"/>
  <c r="D13" i="8" a="1"/>
  <c r="D13" i="8" s="1"/>
  <c r="E13" i="8" a="1"/>
  <c r="E13" i="8" s="1"/>
  <c r="F13" i="8" a="1"/>
  <c r="F13" i="8"/>
  <c r="G13" i="8" a="1"/>
  <c r="G13" i="8" s="1"/>
  <c r="H13" i="8" a="1"/>
  <c r="H13" i="8" s="1"/>
  <c r="I13" i="8" a="1"/>
  <c r="I13" i="8" s="1"/>
  <c r="J13" i="8" a="1"/>
  <c r="J13" i="8"/>
  <c r="K13" i="8" a="1"/>
  <c r="K13" i="8"/>
  <c r="L13" i="8" a="1"/>
  <c r="L13" i="8" s="1"/>
  <c r="M13" i="8" a="1"/>
  <c r="M13" i="8"/>
  <c r="N13" i="8" a="1"/>
  <c r="N13" i="8"/>
  <c r="O13" i="8" a="1"/>
  <c r="O13" i="8" s="1"/>
  <c r="P13" i="8" a="1"/>
  <c r="P13" i="8"/>
  <c r="Q13" i="8" a="1"/>
  <c r="Q13" i="8"/>
  <c r="R13" i="8" a="1"/>
  <c r="R13" i="8"/>
  <c r="S13" i="8" a="1"/>
  <c r="S13" i="8" s="1"/>
  <c r="T13" i="8" a="1"/>
  <c r="T13" i="8"/>
  <c r="U13" i="8" a="1"/>
  <c r="U13" i="8" s="1"/>
  <c r="V13" i="8" a="1"/>
  <c r="V13" i="8" s="1"/>
  <c r="W13" i="8" a="1"/>
  <c r="W13" i="8" s="1"/>
  <c r="X13" i="8" a="1"/>
  <c r="X13" i="8"/>
  <c r="Y13" i="8" a="1"/>
  <c r="Y13" i="8" s="1"/>
  <c r="Z13" i="8" a="1"/>
  <c r="Z13" i="8" s="1"/>
  <c r="AA13" i="8" a="1"/>
  <c r="AA13" i="8" s="1"/>
  <c r="AB13" i="8" a="1"/>
  <c r="AB13" i="8" s="1"/>
  <c r="AC13" i="8" a="1"/>
  <c r="AC13" i="8"/>
  <c r="AD13" i="8" a="1"/>
  <c r="AD13" i="8" s="1"/>
  <c r="AE13" i="8" a="1"/>
  <c r="AE13" i="8" s="1"/>
  <c r="AF13" i="8" a="1"/>
  <c r="AF13" i="8"/>
  <c r="AG13" i="8" a="1"/>
  <c r="AG13" i="8" s="1"/>
  <c r="AH13" i="8" a="1"/>
  <c r="AH13" i="8"/>
  <c r="AI13" i="8" a="1"/>
  <c r="AI13" i="8" s="1"/>
  <c r="AJ13" i="8" a="1"/>
  <c r="AJ13" i="8"/>
  <c r="AK13" i="8" a="1"/>
  <c r="AK13" i="8"/>
  <c r="AL13" i="8" a="1"/>
  <c r="AL13" i="8" s="1"/>
  <c r="AM13" i="8" a="1"/>
  <c r="AM13" i="8" s="1"/>
  <c r="AN13" i="8" a="1"/>
  <c r="AN13" i="8" s="1"/>
  <c r="AO13" i="8" a="1"/>
  <c r="AO13" i="8" s="1"/>
  <c r="AP13" i="8" a="1"/>
  <c r="AP13" i="8"/>
  <c r="AQ13" i="8" a="1"/>
  <c r="AQ13" i="8"/>
  <c r="AR13" i="8" a="1"/>
  <c r="AR13" i="8" s="1"/>
  <c r="AS13" i="8" a="1"/>
  <c r="AS13" i="8" s="1"/>
  <c r="AT13" i="8" a="1"/>
  <c r="AT13" i="8" s="1"/>
  <c r="AU13" i="8" a="1"/>
  <c r="AU13" i="8" s="1"/>
  <c r="AV13" i="8" a="1"/>
  <c r="AV13" i="8" s="1"/>
  <c r="AW13" i="8" a="1"/>
  <c r="AW13" i="8"/>
  <c r="AX13" i="8" a="1"/>
  <c r="AX13" i="8" s="1"/>
  <c r="AY13" i="8" a="1"/>
  <c r="AY13" i="8" s="1"/>
  <c r="AZ13" i="8" a="1"/>
  <c r="AZ13" i="8"/>
  <c r="BA13" i="8" a="1"/>
  <c r="BA13" i="8" s="1"/>
  <c r="BB13" i="8" a="1"/>
  <c r="BB13" i="8" s="1"/>
  <c r="BC13" i="8" a="1"/>
  <c r="BC13" i="8"/>
  <c r="BD13" i="8" a="1"/>
  <c r="BD13" i="8" s="1"/>
  <c r="BE13" i="8" a="1"/>
  <c r="BE13" i="8" s="1"/>
  <c r="BF13" i="8" a="1"/>
  <c r="BF13" i="8"/>
  <c r="BG13" i="8" a="1"/>
  <c r="BG13" i="8" s="1"/>
  <c r="BH13" i="8" a="1"/>
  <c r="BH13" i="8" s="1"/>
  <c r="BI13" i="8" a="1"/>
  <c r="BI13" i="8" s="1"/>
  <c r="BJ13" i="8" a="1"/>
  <c r="BJ13" i="8" s="1"/>
  <c r="BK13" i="8" a="1"/>
  <c r="BK13" i="8" s="1"/>
  <c r="BL13" i="8" a="1"/>
  <c r="BL13" i="8" s="1"/>
  <c r="BM13" i="8" a="1"/>
  <c r="BM13" i="8" s="1"/>
  <c r="BN13" i="8" a="1"/>
  <c r="BN13" i="8"/>
  <c r="BO13" i="8" a="1"/>
  <c r="BO13" i="8" s="1"/>
  <c r="BP13" i="8" a="1"/>
  <c r="BP13" i="8"/>
  <c r="BQ13" i="8" a="1"/>
  <c r="BQ13" i="8" s="1"/>
  <c r="BR13" i="8" a="1"/>
  <c r="BR13" i="8"/>
  <c r="BS13" i="8" a="1"/>
  <c r="BS13" i="8"/>
  <c r="BT13" i="8" a="1"/>
  <c r="BT13" i="8" s="1"/>
  <c r="BU13" i="8" a="1"/>
  <c r="BU13" i="8"/>
  <c r="BV13" i="8" a="1"/>
  <c r="BV13" i="8" s="1"/>
  <c r="C14" i="8" a="1"/>
  <c r="C14" i="8" s="1"/>
  <c r="D14" i="8" a="1"/>
  <c r="D14" i="8" s="1"/>
  <c r="E14" i="8" a="1"/>
  <c r="E14" i="8"/>
  <c r="F14" i="8" a="1"/>
  <c r="F14" i="8"/>
  <c r="G14" i="8" a="1"/>
  <c r="G14" i="8" s="1"/>
  <c r="H14" i="8" a="1"/>
  <c r="H14" i="8" s="1"/>
  <c r="I14" i="8" a="1"/>
  <c r="I14" i="8" s="1"/>
  <c r="J14" i="8" a="1"/>
  <c r="J14" i="8" s="1"/>
  <c r="K14" i="8" a="1"/>
  <c r="K14" i="8"/>
  <c r="L14" i="8" a="1"/>
  <c r="L14" i="8"/>
  <c r="M14" i="8" a="1"/>
  <c r="M14" i="8" s="1"/>
  <c r="N14" i="8" a="1"/>
  <c r="N14" i="8" s="1"/>
  <c r="O14" i="8" a="1"/>
  <c r="O14" i="8" s="1"/>
  <c r="P14" i="8" a="1"/>
  <c r="P14" i="8"/>
  <c r="Q14" i="8" a="1"/>
  <c r="Q14" i="8"/>
  <c r="R14" i="8" a="1"/>
  <c r="R14" i="8" s="1"/>
  <c r="S14" i="8" a="1"/>
  <c r="S14" i="8"/>
  <c r="T14" i="8" a="1"/>
  <c r="T14" i="8"/>
  <c r="U14" i="8" a="1"/>
  <c r="U14" i="8" s="1"/>
  <c r="V14" i="8" a="1"/>
  <c r="V14" i="8"/>
  <c r="W14" i="8" a="1"/>
  <c r="W14" i="8"/>
  <c r="X14" i="8" a="1"/>
  <c r="X14" i="8"/>
  <c r="Y14" i="8" a="1"/>
  <c r="Y14" i="8"/>
  <c r="Z14" i="8" a="1"/>
  <c r="Z14" i="8" s="1"/>
  <c r="AA14" i="8" a="1"/>
  <c r="AA14" i="8" s="1"/>
  <c r="AB14" i="8" a="1"/>
  <c r="AB14" i="8"/>
  <c r="AC14" i="8" a="1"/>
  <c r="AC14" i="8"/>
  <c r="AD14" i="8" a="1"/>
  <c r="AD14" i="8" s="1"/>
  <c r="AE14" i="8" a="1"/>
  <c r="AE14" i="8" s="1"/>
  <c r="AF14" i="8" a="1"/>
  <c r="AF14" i="8"/>
  <c r="AG14" i="8" a="1"/>
  <c r="AG14" i="8" s="1"/>
  <c r="AH14" i="8" a="1"/>
  <c r="AH14" i="8"/>
  <c r="AI14" i="8" a="1"/>
  <c r="AI14" i="8" s="1"/>
  <c r="AJ14" i="8" a="1"/>
  <c r="AJ14" i="8"/>
  <c r="AK14" i="8" a="1"/>
  <c r="AK14" i="8"/>
  <c r="AL14" i="8" a="1"/>
  <c r="AL14" i="8"/>
  <c r="AM14" i="8" a="1"/>
  <c r="AM14" i="8" s="1"/>
  <c r="AN14" i="8" a="1"/>
  <c r="AN14" i="8"/>
  <c r="AO14" i="8" a="1"/>
  <c r="AO14" i="8"/>
  <c r="AP14" i="8" a="1"/>
  <c r="AP14" i="8"/>
  <c r="AQ14" i="8" a="1"/>
  <c r="AQ14" i="8" s="1"/>
  <c r="AR14" i="8" a="1"/>
  <c r="AR14" i="8" s="1"/>
  <c r="AS14" i="8" a="1"/>
  <c r="AS14" i="8" s="1"/>
  <c r="AT14" i="8" a="1"/>
  <c r="AT14" i="8"/>
  <c r="AU14" i="8" a="1"/>
  <c r="AU14" i="8"/>
  <c r="AV14" i="8" a="1"/>
  <c r="AV14" i="8" s="1"/>
  <c r="AW14" i="8" a="1"/>
  <c r="AW14" i="8"/>
  <c r="AX14" i="8" a="1"/>
  <c r="AX14" i="8" s="1"/>
  <c r="AY14" i="8" a="1"/>
  <c r="AY14" i="8" s="1"/>
  <c r="AZ14" i="8" a="1"/>
  <c r="AZ14" i="8"/>
  <c r="BA14" i="8" a="1"/>
  <c r="BA14" i="8" s="1"/>
  <c r="BB14" i="8" a="1"/>
  <c r="BB14" i="8"/>
  <c r="BC14" i="8" a="1"/>
  <c r="BC14" i="8" s="1"/>
  <c r="BD14" i="8" a="1"/>
  <c r="BD14" i="8"/>
  <c r="BE14" i="8" a="1"/>
  <c r="BE14" i="8" s="1"/>
  <c r="BF14" i="8" a="1"/>
  <c r="BF14" i="8"/>
  <c r="BG14" i="8" a="1"/>
  <c r="BG14" i="8"/>
  <c r="BH14" i="8" a="1"/>
  <c r="BH14" i="8" s="1"/>
  <c r="BI14" i="8" a="1"/>
  <c r="BI14" i="8"/>
  <c r="BJ14" i="8" a="1"/>
  <c r="BJ14" i="8"/>
  <c r="BK14" i="8" a="1"/>
  <c r="BK14" i="8" s="1"/>
  <c r="BL14" i="8" a="1"/>
  <c r="BL14" i="8"/>
  <c r="BM14" i="8" a="1"/>
  <c r="BM14" i="8"/>
  <c r="BN14" i="8" a="1"/>
  <c r="BN14" i="8"/>
  <c r="BO14" i="8" a="1"/>
  <c r="BO14" i="8" s="1"/>
  <c r="BP14" i="8" a="1"/>
  <c r="BP14" i="8" s="1"/>
  <c r="BQ14" i="8" a="1"/>
  <c r="BQ14" i="8" s="1"/>
  <c r="BR14" i="8" a="1"/>
  <c r="BR14" i="8"/>
  <c r="BS14" i="8" a="1"/>
  <c r="BS14" i="8"/>
  <c r="BT14" i="8" a="1"/>
  <c r="BT14" i="8"/>
  <c r="BU14" i="8" a="1"/>
  <c r="BU14" i="8" s="1"/>
  <c r="BV14" i="8" a="1"/>
  <c r="BV14" i="8" s="1"/>
  <c r="C15" i="8" a="1"/>
  <c r="C15" i="8" s="1"/>
  <c r="D15" i="8" a="1"/>
  <c r="D15" i="8"/>
  <c r="E15" i="8" a="1"/>
  <c r="E15" i="8" s="1"/>
  <c r="F15" i="8" a="1"/>
  <c r="F15" i="8" s="1"/>
  <c r="G15" i="8" a="1"/>
  <c r="G15" i="8" s="1"/>
  <c r="H15" i="8" a="1"/>
  <c r="H15" i="8"/>
  <c r="I15" i="8" a="1"/>
  <c r="I15" i="8" s="1"/>
  <c r="J15" i="8" a="1"/>
  <c r="J15" i="8"/>
  <c r="K15" i="8" a="1"/>
  <c r="K15" i="8" s="1"/>
  <c r="L15" i="8" a="1"/>
  <c r="L15" i="8"/>
  <c r="M15" i="8" a="1"/>
  <c r="M15" i="8"/>
  <c r="N15" i="8" a="1"/>
  <c r="N15" i="8" s="1"/>
  <c r="O15" i="8" a="1"/>
  <c r="O15" i="8" s="1"/>
  <c r="P15" i="8" a="1"/>
  <c r="P15" i="8"/>
  <c r="Q15" i="8" a="1"/>
  <c r="Q15" i="8"/>
  <c r="R15" i="8" a="1"/>
  <c r="R15" i="8" s="1"/>
  <c r="S15" i="8" a="1"/>
  <c r="S15" i="8"/>
  <c r="T15" i="8" a="1"/>
  <c r="T15" i="8"/>
  <c r="U15" i="8" a="1"/>
  <c r="U15" i="8" s="1"/>
  <c r="V15" i="8" a="1"/>
  <c r="V15" i="8"/>
  <c r="W15" i="8" a="1"/>
  <c r="W15" i="8"/>
  <c r="X15" i="8" a="1"/>
  <c r="X15" i="8"/>
  <c r="Y15" i="8" a="1"/>
  <c r="Y15" i="8"/>
  <c r="Z15" i="8" a="1"/>
  <c r="Z15" i="8" s="1"/>
  <c r="AA15" i="8" a="1"/>
  <c r="AA15" i="8" s="1"/>
  <c r="AB15" i="8" a="1"/>
  <c r="AB15" i="8"/>
  <c r="AC15" i="8" a="1"/>
  <c r="AC15" i="8" s="1"/>
  <c r="AD15" i="8" a="1"/>
  <c r="AD15" i="8" s="1"/>
  <c r="AE15" i="8" a="1"/>
  <c r="AE15" i="8" s="1"/>
  <c r="AF15" i="8" a="1"/>
  <c r="AF15" i="8" s="1"/>
  <c r="AG15" i="8" a="1"/>
  <c r="AG15" i="8" s="1"/>
  <c r="AH15" i="8" a="1"/>
  <c r="AH15" i="8"/>
  <c r="AI15" i="8" a="1"/>
  <c r="AI15" i="8"/>
  <c r="AJ15" i="8" a="1"/>
  <c r="AJ15" i="8"/>
  <c r="AK15" i="8" a="1"/>
  <c r="AK15" i="8" s="1"/>
  <c r="AL15" i="8" a="1"/>
  <c r="AL15" i="8"/>
  <c r="AM15" i="8" a="1"/>
  <c r="AM15" i="8" s="1"/>
  <c r="AN15" i="8" a="1"/>
  <c r="AN15" i="8"/>
  <c r="AO15" i="8" a="1"/>
  <c r="AO15" i="8" s="1"/>
  <c r="AP15" i="8" a="1"/>
  <c r="AP15" i="8" s="1"/>
  <c r="AQ15" i="8" a="1"/>
  <c r="AQ15" i="8" s="1"/>
  <c r="AR15" i="8" a="1"/>
  <c r="AR15" i="8" s="1"/>
  <c r="AS15" i="8" a="1"/>
  <c r="AS15" i="8" s="1"/>
  <c r="AT15" i="8" a="1"/>
  <c r="AT15" i="8"/>
  <c r="AU15" i="8" a="1"/>
  <c r="AU15" i="8"/>
  <c r="AV15" i="8" a="1"/>
  <c r="AV15" i="8" s="1"/>
  <c r="AW15" i="8" a="1"/>
  <c r="AW15" i="8"/>
  <c r="AX15" i="8" a="1"/>
  <c r="AX15" i="8"/>
  <c r="AY15" i="8" a="1"/>
  <c r="AY15" i="8" s="1"/>
  <c r="AZ15" i="8" a="1"/>
  <c r="AZ15" i="8"/>
  <c r="BA15" i="8" a="1"/>
  <c r="BA15" i="8" s="1"/>
  <c r="BB15" i="8" a="1"/>
  <c r="BB15" i="8"/>
  <c r="BC15" i="8" a="1"/>
  <c r="BC15" i="8"/>
  <c r="BD15" i="8" a="1"/>
  <c r="BD15" i="8"/>
  <c r="BE15" i="8" a="1"/>
  <c r="BE15" i="8" s="1"/>
  <c r="BF15" i="8" a="1"/>
  <c r="BF15" i="8"/>
  <c r="BG15" i="8" a="1"/>
  <c r="BG15" i="8"/>
  <c r="BH15" i="8" a="1"/>
  <c r="BH15" i="8"/>
  <c r="BI15" i="8" a="1"/>
  <c r="BI15" i="8" s="1"/>
  <c r="BJ15" i="8" a="1"/>
  <c r="BJ15" i="8" s="1"/>
  <c r="BK15" i="8" a="1"/>
  <c r="BK15" i="8" s="1"/>
  <c r="BL15" i="8" a="1"/>
  <c r="BL15" i="8"/>
  <c r="BM15" i="8" a="1"/>
  <c r="BM15" i="8" s="1"/>
  <c r="BN15" i="8" a="1"/>
  <c r="BN15" i="8" s="1"/>
  <c r="BO15" i="8" a="1"/>
  <c r="BO15" i="8" s="1"/>
  <c r="BP15" i="8" a="1"/>
  <c r="BP15" i="8"/>
  <c r="BQ15" i="8" a="1"/>
  <c r="BQ15" i="8" s="1"/>
  <c r="BR15" i="8" a="1"/>
  <c r="BR15" i="8"/>
  <c r="BS15" i="8" a="1"/>
  <c r="BS15" i="8"/>
  <c r="BT15" i="8" a="1"/>
  <c r="BT15" i="8" s="1"/>
  <c r="BU15" i="8" a="1"/>
  <c r="BU15" i="8"/>
  <c r="BV15" i="8" a="1"/>
  <c r="BV15" i="8" s="1"/>
  <c r="C16" i="8" a="1"/>
  <c r="C16" i="8" s="1"/>
  <c r="D16" i="8" a="1"/>
  <c r="D16" i="8"/>
  <c r="E16" i="8" a="1"/>
  <c r="E16" i="8" s="1"/>
  <c r="F16" i="8" a="1"/>
  <c r="F16" i="8"/>
  <c r="G16" i="8" a="1"/>
  <c r="G16" i="8"/>
  <c r="H16" i="8" a="1"/>
  <c r="H16" i="8"/>
  <c r="I16" i="8" a="1"/>
  <c r="I16" i="8" s="1"/>
  <c r="J16" i="8" a="1"/>
  <c r="J16" i="8"/>
  <c r="K16" i="8" a="1"/>
  <c r="K16" i="8"/>
  <c r="L16" i="8" a="1"/>
  <c r="L16" i="8"/>
  <c r="M16" i="8" a="1"/>
  <c r="M16" i="8" s="1"/>
  <c r="N16" i="8" a="1"/>
  <c r="N16" i="8" s="1"/>
  <c r="O16" i="8" a="1"/>
  <c r="O16" i="8" s="1"/>
  <c r="P16" i="8" a="1"/>
  <c r="P16" i="8"/>
  <c r="Q16" i="8" a="1"/>
  <c r="Q16" i="8" s="1"/>
  <c r="R16" i="8" a="1"/>
  <c r="R16" i="8" s="1"/>
  <c r="S16" i="8" a="1"/>
  <c r="S16" i="8" s="1"/>
  <c r="T16" i="8" a="1"/>
  <c r="T16" i="8"/>
  <c r="U16" i="8" a="1"/>
  <c r="U16" i="8" s="1"/>
  <c r="V16" i="8" a="1"/>
  <c r="V16" i="8"/>
  <c r="W16" i="8" a="1"/>
  <c r="W16" i="8" s="1"/>
  <c r="X16" i="8" a="1"/>
  <c r="X16" i="8"/>
  <c r="Y16" i="8" a="1"/>
  <c r="Y16" i="8"/>
  <c r="Z16" i="8" a="1"/>
  <c r="Z16" i="8"/>
  <c r="AA16" i="8" a="1"/>
  <c r="AA16" i="8" s="1"/>
  <c r="AB16" i="8" a="1"/>
  <c r="AB16" i="8"/>
  <c r="AC16" i="8" a="1"/>
  <c r="AC16" i="8"/>
  <c r="AD16" i="8" a="1"/>
  <c r="AD16" i="8" s="1"/>
  <c r="AE16" i="8" a="1"/>
  <c r="AE16" i="8" s="1"/>
  <c r="AF16" i="8" a="1"/>
  <c r="AF16" i="8" s="1"/>
  <c r="AG16" i="8" a="1"/>
  <c r="AG16" i="8" s="1"/>
  <c r="AH16" i="8" a="1"/>
  <c r="AH16" i="8"/>
  <c r="AI16" i="8" a="1"/>
  <c r="AI16" i="8"/>
  <c r="AJ16" i="8" a="1"/>
  <c r="AJ16" i="8"/>
  <c r="AK16" i="8" a="1"/>
  <c r="AK16" i="8" s="1"/>
  <c r="AL16" i="8" a="1"/>
  <c r="AL16" i="8"/>
  <c r="AM16" i="8" a="1"/>
  <c r="AM16" i="8" s="1"/>
  <c r="AN16" i="8" a="1"/>
  <c r="AN16" i="8"/>
  <c r="AO16" i="8" a="1"/>
  <c r="AO16" i="8" s="1"/>
  <c r="AP16" i="8" a="1"/>
  <c r="AP16" i="8" s="1"/>
  <c r="AQ16" i="8" a="1"/>
  <c r="AQ16" i="8" s="1"/>
  <c r="AR16" i="8" a="1"/>
  <c r="AR16" i="8" s="1"/>
  <c r="AS16" i="8" a="1"/>
  <c r="AS16" i="8" s="1"/>
  <c r="AT16" i="8" a="1"/>
  <c r="AT16" i="8"/>
  <c r="AU16" i="8" a="1"/>
  <c r="AU16" i="8"/>
  <c r="AV16" i="8" a="1"/>
  <c r="AV16" i="8" s="1"/>
  <c r="AW16" i="8" a="1"/>
  <c r="AW16" i="8" s="1"/>
  <c r="AX16" i="8" a="1"/>
  <c r="AX16" i="8"/>
  <c r="AY16" i="8" a="1"/>
  <c r="AY16" i="8" s="1"/>
  <c r="AZ16" i="8" a="1"/>
  <c r="AZ16" i="8"/>
  <c r="BA16" i="8" a="1"/>
  <c r="BA16" i="8" s="1"/>
  <c r="BB16" i="8" a="1"/>
  <c r="BB16" i="8" s="1"/>
  <c r="BC16" i="8" a="1"/>
  <c r="BC16" i="8"/>
  <c r="BD16" i="8" a="1"/>
  <c r="BD16" i="8" s="1"/>
  <c r="BE16" i="8" a="1"/>
  <c r="BE16" i="8" s="1"/>
  <c r="BF16" i="8" a="1"/>
  <c r="BF16" i="8"/>
  <c r="BG16" i="8" a="1"/>
  <c r="BG16" i="8"/>
  <c r="BH16" i="8" a="1"/>
  <c r="BH16" i="8"/>
  <c r="BI16" i="8" a="1"/>
  <c r="BI16" i="8" s="1"/>
  <c r="BJ16" i="8" a="1"/>
  <c r="BJ16" i="8"/>
  <c r="BK16" i="8" a="1"/>
  <c r="BK16" i="8" s="1"/>
  <c r="BL16" i="8" a="1"/>
  <c r="BL16" i="8"/>
  <c r="BM16" i="8" a="1"/>
  <c r="BM16" i="8"/>
  <c r="BN16" i="8" a="1"/>
  <c r="BN16" i="8" s="1"/>
  <c r="BO16" i="8" a="1"/>
  <c r="BO16" i="8"/>
  <c r="BP16" i="8" a="1"/>
  <c r="BP16" i="8" s="1"/>
  <c r="BQ16" i="8" a="1"/>
  <c r="BQ16" i="8" s="1"/>
  <c r="BR16" i="8" a="1"/>
  <c r="BR16" i="8"/>
  <c r="BS16" i="8" a="1"/>
  <c r="BS16" i="8"/>
  <c r="BT16" i="8" a="1"/>
  <c r="BT16" i="8"/>
  <c r="BU16" i="8" a="1"/>
  <c r="BU16" i="8"/>
  <c r="BV16" i="8" a="1"/>
  <c r="BV16" i="8" s="1"/>
  <c r="C17" i="8" a="1"/>
  <c r="C17" i="8" s="1"/>
  <c r="D17" i="8" a="1"/>
  <c r="D17" i="8"/>
  <c r="E17" i="8" a="1"/>
  <c r="E17" i="8" s="1"/>
  <c r="F17" i="8" a="1"/>
  <c r="F17" i="8"/>
  <c r="G17" i="8" a="1"/>
  <c r="G17" i="8"/>
  <c r="H17" i="8" a="1"/>
  <c r="H17" i="8"/>
  <c r="I17" i="8" a="1"/>
  <c r="I17" i="8" s="1"/>
  <c r="J17" i="8" a="1"/>
  <c r="J17" i="8"/>
  <c r="K17" i="8" a="1"/>
  <c r="K17" i="8"/>
  <c r="L17" i="8" a="1"/>
  <c r="L17" i="8"/>
  <c r="M17" i="8" a="1"/>
  <c r="M17" i="8" s="1"/>
  <c r="N17" i="8" a="1"/>
  <c r="N17" i="8" s="1"/>
  <c r="O17" i="8" a="1"/>
  <c r="O17" i="8" s="1"/>
  <c r="P17" i="8" a="1"/>
  <c r="P17" i="8"/>
  <c r="Q17" i="8" a="1"/>
  <c r="Q17" i="8" s="1"/>
  <c r="R17" i="8" a="1"/>
  <c r="R17" i="8" s="1"/>
  <c r="S17" i="8" a="1"/>
  <c r="S17" i="8" s="1"/>
  <c r="T17" i="8" a="1"/>
  <c r="T17" i="8" s="1"/>
  <c r="U17" i="8" a="1"/>
  <c r="U17" i="8" s="1"/>
  <c r="V17" i="8" a="1"/>
  <c r="V17" i="8"/>
  <c r="W17" i="8" a="1"/>
  <c r="W17" i="8"/>
  <c r="X17" i="8" a="1"/>
  <c r="X17" i="8" s="1"/>
  <c r="Y17" i="8" a="1"/>
  <c r="Y17" i="8" s="1"/>
  <c r="Z17" i="8" a="1"/>
  <c r="Z17" i="8" s="1"/>
  <c r="AA17" i="8" a="1"/>
  <c r="AA17" i="8"/>
  <c r="AB17" i="8" a="1"/>
  <c r="AB17" i="8"/>
  <c r="AC17" i="8" a="1"/>
  <c r="AC17" i="8"/>
  <c r="AD17" i="8" a="1"/>
  <c r="AD17" i="8" s="1"/>
  <c r="AE17" i="8" a="1"/>
  <c r="AE17" i="8"/>
  <c r="AF17" i="8" a="1"/>
  <c r="AF17" i="8" s="1"/>
  <c r="AG17" i="8" a="1"/>
  <c r="AG17" i="8"/>
  <c r="AH17" i="8" a="1"/>
  <c r="AH17" i="8"/>
  <c r="AI17" i="8" a="1"/>
  <c r="AI17" i="8"/>
  <c r="AJ17" i="8" a="1"/>
  <c r="AJ17" i="8" s="1"/>
  <c r="AK17" i="8" a="1"/>
  <c r="AK17" i="8"/>
  <c r="AL17" i="8" a="1"/>
  <c r="AL17" i="8"/>
  <c r="AM17" i="8" a="1"/>
  <c r="AM17" i="8" s="1"/>
  <c r="AN17" i="8" a="1"/>
  <c r="AN17" i="8"/>
  <c r="AO17" i="8" a="1"/>
  <c r="AO17" i="8"/>
  <c r="AP17" i="8" a="1"/>
  <c r="AP17" i="8" s="1"/>
  <c r="AQ17" i="8" a="1"/>
  <c r="AQ17" i="8"/>
  <c r="AR17" i="8" a="1"/>
  <c r="AR17" i="8"/>
  <c r="AS17" i="8" a="1"/>
  <c r="AS17" i="8"/>
  <c r="AT17" i="8" a="1"/>
  <c r="AT17" i="8"/>
  <c r="AU17" i="8" a="1"/>
  <c r="AU17" i="8" s="1"/>
  <c r="AV17" i="8" a="1"/>
  <c r="AV17" i="8" s="1"/>
  <c r="AW17" i="8" a="1"/>
  <c r="AW17" i="8" s="1"/>
  <c r="AX17" i="8" a="1"/>
  <c r="AX17" i="8"/>
  <c r="AY17" i="8" a="1"/>
  <c r="AY17" i="8"/>
  <c r="AZ17" i="8" a="1"/>
  <c r="AZ17" i="8"/>
  <c r="BA17" i="8" a="1"/>
  <c r="BA17" i="8"/>
  <c r="BB17" i="8" a="1"/>
  <c r="BB17" i="8" s="1"/>
  <c r="BC17" i="8" a="1"/>
  <c r="BC17" i="8"/>
  <c r="BD17" i="8" a="1"/>
  <c r="BD17" i="8"/>
  <c r="BE17" i="8" a="1"/>
  <c r="BE17" i="8" s="1"/>
  <c r="BF17" i="8" a="1"/>
  <c r="BF17" i="8"/>
  <c r="BG17" i="8" a="1"/>
  <c r="BG17" i="8" s="1"/>
  <c r="BH17" i="8" a="1"/>
  <c r="BH17" i="8" s="1"/>
  <c r="BI17" i="8" a="1"/>
  <c r="BI17" i="8"/>
  <c r="BJ17" i="8" a="1"/>
  <c r="BJ17" i="8" s="1"/>
  <c r="BK17" i="8" a="1"/>
  <c r="BK17" i="8"/>
  <c r="BL17" i="8" a="1"/>
  <c r="BL17" i="8"/>
  <c r="BM17" i="8" a="1"/>
  <c r="BM17" i="8"/>
  <c r="BN17" i="8" a="1"/>
  <c r="BN17" i="8" s="1"/>
  <c r="BO17" i="8" a="1"/>
  <c r="BO17" i="8" s="1"/>
  <c r="BP17" i="8" a="1"/>
  <c r="BP17" i="8" s="1"/>
  <c r="BQ17" i="8" a="1"/>
  <c r="BQ17" i="8" s="1"/>
  <c r="BR17" i="8" a="1"/>
  <c r="BR17" i="8"/>
  <c r="BS17" i="8" a="1"/>
  <c r="BS17" i="8"/>
  <c r="BT17" i="8" a="1"/>
  <c r="BT17" i="8" s="1"/>
  <c r="BU17" i="8" a="1"/>
  <c r="BU17" i="8" s="1"/>
  <c r="BV17" i="8" a="1"/>
  <c r="BV17" i="8"/>
  <c r="C18" i="8" a="1"/>
  <c r="C18" i="8"/>
  <c r="D18" i="8" a="1"/>
  <c r="D18" i="8"/>
  <c r="E18" i="8" a="1"/>
  <c r="E18" i="8" s="1"/>
  <c r="F18" i="8" a="1"/>
  <c r="F18" i="8" s="1"/>
  <c r="G18" i="8" a="1"/>
  <c r="G18" i="8" s="1"/>
  <c r="H18" i="8" a="1"/>
  <c r="H18" i="8" s="1"/>
  <c r="I18" i="8" a="1"/>
  <c r="I18" i="8"/>
  <c r="J18" i="8" a="1"/>
  <c r="J18" i="8"/>
  <c r="K18" i="8" a="1"/>
  <c r="K18" i="8"/>
  <c r="L18" i="8" a="1"/>
  <c r="L18" i="8" s="1"/>
  <c r="M18" i="8" a="1"/>
  <c r="M18" i="8"/>
  <c r="N18" i="8" a="1"/>
  <c r="N18" i="8" s="1"/>
  <c r="O18" i="8" a="1"/>
  <c r="O18" i="8"/>
  <c r="P18" i="8" a="1"/>
  <c r="P18" i="8"/>
  <c r="Q18" i="8" a="1"/>
  <c r="Q18" i="8"/>
  <c r="R18" i="8" a="1"/>
  <c r="R18" i="8" s="1"/>
  <c r="S18" i="8" a="1"/>
  <c r="S18" i="8" s="1"/>
  <c r="T18" i="8" a="1"/>
  <c r="T18" i="8"/>
  <c r="U18" i="8" a="1"/>
  <c r="U18" i="8" s="1"/>
  <c r="V18" i="8" a="1"/>
  <c r="V18" i="8"/>
  <c r="W18" i="8" a="1"/>
  <c r="W18" i="8" s="1"/>
  <c r="X18" i="8" a="1"/>
  <c r="X18" i="8" s="1"/>
  <c r="Y18" i="8" a="1"/>
  <c r="Y18" i="8"/>
  <c r="Z18" i="8" a="1"/>
  <c r="Z18" i="8"/>
  <c r="AA18" i="8" a="1"/>
  <c r="AA18" i="8"/>
  <c r="AB18" i="8" a="1"/>
  <c r="AB18" i="8"/>
  <c r="AC18" i="8" a="1"/>
  <c r="AC18" i="8"/>
  <c r="AD18" i="8" a="1"/>
  <c r="AD18" i="8" s="1"/>
  <c r="AE18" i="8" a="1"/>
  <c r="AE18" i="8"/>
  <c r="AF18" i="8" a="1"/>
  <c r="AF18" i="8"/>
  <c r="AG18" i="8" a="1"/>
  <c r="AG18" i="8" s="1"/>
  <c r="AH18" i="8" a="1"/>
  <c r="AH18" i="8"/>
  <c r="AI18" i="8" a="1"/>
  <c r="AI18" i="8"/>
  <c r="AJ18" i="8" a="1"/>
  <c r="AJ18" i="8" s="1"/>
  <c r="AK18" i="8" a="1"/>
  <c r="AK18" i="8"/>
  <c r="AL18" i="8" a="1"/>
  <c r="AL18" i="8"/>
  <c r="AM18" i="8" a="1"/>
  <c r="AM18" i="8"/>
  <c r="AN18" i="8" a="1"/>
  <c r="AN18" i="8"/>
  <c r="AO18" i="8" a="1"/>
  <c r="AO18" i="8"/>
  <c r="AP18" i="8" a="1"/>
  <c r="AP18" i="8" s="1"/>
  <c r="AQ18" i="8" a="1"/>
  <c r="AQ18" i="8" s="1"/>
  <c r="AR18" i="8" a="1"/>
  <c r="AR18" i="8" s="1"/>
  <c r="AS18" i="8" a="1"/>
  <c r="AS18" i="8"/>
  <c r="AT18" i="8" a="1"/>
  <c r="AT18" i="8"/>
  <c r="AU18" i="8" a="1"/>
  <c r="AU18" i="8" s="1"/>
  <c r="AV18" i="8" a="1"/>
  <c r="AV18" i="8" s="1"/>
  <c r="AW18" i="8" a="1"/>
  <c r="AW18" i="8" s="1"/>
  <c r="AX18" i="8" a="1"/>
  <c r="AX18" i="8" s="1"/>
  <c r="AY18" i="8" a="1"/>
  <c r="AY18" i="8" s="1"/>
  <c r="AZ18" i="8" a="1"/>
  <c r="AZ18" i="8"/>
  <c r="BA18" i="8" a="1"/>
  <c r="BA18" i="8"/>
  <c r="BB18" i="8" a="1"/>
  <c r="BB18" i="8" s="1"/>
  <c r="BC18" i="8" a="1"/>
  <c r="BC18" i="8"/>
  <c r="BD18" i="8" a="1"/>
  <c r="BD18" i="8" s="1"/>
  <c r="BE18" i="8" a="1"/>
  <c r="BE18" i="8"/>
  <c r="BF18" i="8" a="1"/>
  <c r="BF18" i="8"/>
  <c r="BG18" i="8" a="1"/>
  <c r="BG18" i="8" s="1"/>
  <c r="BH18" i="8" a="1"/>
  <c r="BH18" i="8" s="1"/>
  <c r="BI18" i="8" a="1"/>
  <c r="BI18" i="8"/>
  <c r="BJ18" i="8" a="1"/>
  <c r="BJ18" i="8"/>
  <c r="BK18" i="8" a="1"/>
  <c r="BK18" i="8" s="1"/>
  <c r="BL18" i="8" a="1"/>
  <c r="BL18" i="8"/>
  <c r="BM18" i="8" a="1"/>
  <c r="BM18" i="8"/>
  <c r="BN18" i="8" a="1"/>
  <c r="BN18" i="8" s="1"/>
  <c r="BO18" i="8" a="1"/>
  <c r="BO18" i="8" s="1"/>
  <c r="BP18" i="8" a="1"/>
  <c r="BP18" i="8"/>
  <c r="BQ18" i="8" a="1"/>
  <c r="BQ18" i="8"/>
  <c r="BR18" i="8" a="1"/>
  <c r="BR18" i="8"/>
  <c r="BS18" i="8" a="1"/>
  <c r="BS18" i="8"/>
  <c r="BT18" i="8" a="1"/>
  <c r="BT18" i="8" s="1"/>
  <c r="BU18" i="8" a="1"/>
  <c r="BU18" i="8" s="1"/>
  <c r="BV18" i="8" a="1"/>
  <c r="BV18" i="8"/>
  <c r="C19" i="8" a="1"/>
  <c r="C19" i="8" s="1"/>
  <c r="D19" i="8" a="1"/>
  <c r="D19" i="8"/>
  <c r="E19" i="8" a="1"/>
  <c r="E19" i="8"/>
  <c r="F19" i="8" a="1"/>
  <c r="F19" i="8" s="1"/>
  <c r="G19" i="8" a="1"/>
  <c r="G19" i="8"/>
  <c r="H19" i="8" a="1"/>
  <c r="H19" i="8" s="1"/>
  <c r="I19" i="8" a="1"/>
  <c r="I19" i="8" s="1"/>
  <c r="J19" i="8" a="1"/>
  <c r="J19" i="8"/>
  <c r="K19" i="8" a="1"/>
  <c r="K19" i="8"/>
  <c r="L19" i="8" a="1"/>
  <c r="L19" i="8" s="1"/>
  <c r="M19" i="8" a="1"/>
  <c r="M19" i="8"/>
  <c r="N19" i="8" a="1"/>
  <c r="N19" i="8"/>
  <c r="O19" i="8" a="1"/>
  <c r="O19" i="8"/>
  <c r="P19" i="8" a="1"/>
  <c r="P19" i="8"/>
  <c r="Q19" i="8" a="1"/>
  <c r="Q19" i="8"/>
  <c r="R19" i="8" a="1"/>
  <c r="R19" i="8" s="1"/>
  <c r="S19" i="8" a="1"/>
  <c r="S19" i="8"/>
  <c r="T19" i="8" a="1"/>
  <c r="T19" i="8"/>
  <c r="U19" i="8" a="1"/>
  <c r="U19" i="8" s="1"/>
  <c r="V19" i="8" a="1"/>
  <c r="V19" i="8"/>
  <c r="W19" i="8" a="1"/>
  <c r="W19" i="8" s="1"/>
  <c r="X19" i="8" a="1"/>
  <c r="X19" i="8" s="1"/>
  <c r="Y19" i="8" a="1"/>
  <c r="Y19" i="8"/>
  <c r="Z19" i="8" a="1"/>
  <c r="Z19" i="8"/>
  <c r="AA19" i="8" a="1"/>
  <c r="AA19" i="8"/>
  <c r="AB19" i="8" a="1"/>
  <c r="AB19" i="8"/>
  <c r="AC19" i="8" a="1"/>
  <c r="AC19" i="8" s="1"/>
  <c r="AD19" i="8" a="1"/>
  <c r="AD19" i="8" s="1"/>
  <c r="AE19" i="8" a="1"/>
  <c r="AE19" i="8"/>
  <c r="AF19" i="8" a="1"/>
  <c r="AF19" i="8" s="1"/>
  <c r="AG19" i="8" a="1"/>
  <c r="AG19" i="8"/>
  <c r="AH19" i="8" a="1"/>
  <c r="AH19" i="8"/>
  <c r="AI19" i="8" a="1"/>
  <c r="AI19" i="8"/>
  <c r="AJ19" i="8" a="1"/>
  <c r="AJ19" i="8" s="1"/>
  <c r="AK19" i="8" a="1"/>
  <c r="AK19" i="8" s="1"/>
  <c r="AL19" i="8" a="1"/>
  <c r="AL19" i="8"/>
  <c r="AM19" i="8" a="1"/>
  <c r="AM19" i="8"/>
  <c r="AN19" i="8" a="1"/>
  <c r="AN19" i="8"/>
  <c r="AO19" i="8" a="1"/>
  <c r="AO19" i="8"/>
  <c r="AP19" i="8" a="1"/>
  <c r="AP19" i="8" s="1"/>
  <c r="AQ19" i="8" a="1"/>
  <c r="AQ19" i="8" s="1"/>
  <c r="AR19" i="8" a="1"/>
  <c r="AR19" i="8" s="1"/>
  <c r="AS19" i="8" a="1"/>
  <c r="AS19" i="8" s="1"/>
  <c r="AT19" i="8" a="1"/>
  <c r="AT19" i="8"/>
  <c r="AU19" i="8" a="1"/>
  <c r="AU19" i="8" s="1"/>
  <c r="AV19" i="8" a="1"/>
  <c r="AV19" i="8" s="1"/>
  <c r="AW19" i="8" a="1"/>
  <c r="AW19" i="8" s="1"/>
  <c r="AX19" i="8" a="1"/>
  <c r="AX19" i="8"/>
  <c r="AY19" i="8" a="1"/>
  <c r="AY19" i="8" s="1"/>
  <c r="AZ19" i="8" a="1"/>
  <c r="AZ19" i="8"/>
  <c r="BA19" i="8" a="1"/>
  <c r="BA19" i="8" s="1"/>
  <c r="BB19" i="8" a="1"/>
  <c r="BB19" i="8" s="1"/>
  <c r="BC19" i="8" a="1"/>
  <c r="BC19" i="8" s="1"/>
  <c r="BD19" i="8" a="1"/>
  <c r="BD19" i="8" s="1"/>
  <c r="BE19" i="8" a="1"/>
  <c r="BE19" i="8" s="1"/>
  <c r="BF19" i="8" a="1"/>
  <c r="BF19" i="8"/>
  <c r="BG19" i="8" a="1"/>
  <c r="BG19" i="8"/>
  <c r="BH19" i="8" a="1"/>
  <c r="BH19" i="8" s="1"/>
  <c r="BI19" i="8" a="1"/>
  <c r="BI19" i="8"/>
  <c r="BJ19" i="8" a="1"/>
  <c r="BJ19" i="8" s="1"/>
  <c r="BK19" i="8" a="1"/>
  <c r="BK19" i="8" s="1"/>
  <c r="BL19" i="8" a="1"/>
  <c r="BL19" i="8"/>
  <c r="BM19" i="8" a="1"/>
  <c r="BM19" i="8" s="1"/>
  <c r="BN19" i="8" a="1"/>
  <c r="BN19" i="8" s="1"/>
  <c r="BO19" i="8" a="1"/>
  <c r="BO19" i="8" s="1"/>
  <c r="BP19" i="8" a="1"/>
  <c r="BP19" i="8"/>
  <c r="BQ19" i="8" a="1"/>
  <c r="BQ19" i="8"/>
  <c r="BR19" i="8" a="1"/>
  <c r="BR19" i="8"/>
  <c r="BS19" i="8" a="1"/>
  <c r="BS19" i="8" s="1"/>
  <c r="BT19" i="8" a="1"/>
  <c r="BT19" i="8" s="1"/>
  <c r="BU19" i="8" a="1"/>
  <c r="BU19" i="8"/>
  <c r="BV19" i="8" a="1"/>
  <c r="BV19" i="8"/>
  <c r="C20" i="8" a="1"/>
  <c r="C20" i="8"/>
  <c r="D20" i="8" a="1"/>
  <c r="D20" i="8"/>
  <c r="E20" i="8" a="1"/>
  <c r="E20" i="8" s="1"/>
  <c r="F20" i="8" a="1"/>
  <c r="F20" i="8" s="1"/>
  <c r="G20" i="8" a="1"/>
  <c r="G20" i="8" s="1"/>
  <c r="H20" i="8" a="1"/>
  <c r="H20" i="8" s="1"/>
  <c r="I20" i="8" a="1"/>
  <c r="I20" i="8"/>
  <c r="J20" i="8" a="1"/>
  <c r="J20" i="8"/>
  <c r="K20" i="8" a="1"/>
  <c r="K20" i="8"/>
  <c r="L20" i="8" a="1"/>
  <c r="L20" i="8" s="1"/>
  <c r="M20" i="8" a="1"/>
  <c r="M20" i="8" s="1"/>
  <c r="N20" i="8" a="1"/>
  <c r="N20" i="8" s="1"/>
  <c r="O20" i="8" a="1"/>
  <c r="O20" i="8"/>
  <c r="P20" i="8" a="1"/>
  <c r="P20" i="8"/>
  <c r="Q20" i="8" a="1"/>
  <c r="Q20" i="8"/>
  <c r="R20" i="8" a="1"/>
  <c r="R20" i="8" s="1"/>
  <c r="S20" i="8" a="1"/>
  <c r="S20" i="8"/>
  <c r="T20" i="8" a="1"/>
  <c r="T20" i="8" s="1"/>
  <c r="U20" i="8" a="1"/>
  <c r="U20" i="8" s="1"/>
  <c r="V20" i="8" a="1"/>
  <c r="V20" i="8"/>
  <c r="W20" i="8" a="1"/>
  <c r="W20" i="8"/>
  <c r="X20" i="8" a="1"/>
  <c r="X20" i="8" s="1"/>
  <c r="Y20" i="8" a="1"/>
  <c r="Y20" i="8"/>
  <c r="Z20" i="8" a="1"/>
  <c r="Z20" i="8"/>
  <c r="AA20" i="8" a="1"/>
  <c r="AA20" i="8" s="1"/>
  <c r="AB20" i="8" a="1"/>
  <c r="AB20" i="8"/>
  <c r="AC20" i="8" a="1"/>
  <c r="AC20" i="8"/>
  <c r="AD20" i="8" a="1"/>
  <c r="AD20" i="8" s="1"/>
  <c r="AE20" i="8" a="1"/>
  <c r="AE20" i="8"/>
  <c r="AF20" i="8" a="1"/>
  <c r="AF20" i="8"/>
  <c r="AG20" i="8" a="1"/>
  <c r="AG20" i="8"/>
  <c r="AH20" i="8" a="1"/>
  <c r="AH20" i="8"/>
  <c r="AI20" i="8" a="1"/>
  <c r="AI20" i="8" s="1"/>
  <c r="AJ20" i="8" a="1"/>
  <c r="AJ20" i="8" s="1"/>
  <c r="AK20" i="8" a="1"/>
  <c r="AK20" i="8" s="1"/>
  <c r="AL20" i="8" a="1"/>
  <c r="AL20" i="8"/>
  <c r="AM20" i="8" a="1"/>
  <c r="AM20" i="8"/>
  <c r="AN20" i="8" a="1"/>
  <c r="AN20" i="8"/>
  <c r="AO20" i="8" a="1"/>
  <c r="AO20" i="8"/>
  <c r="AP20" i="8" a="1"/>
  <c r="AP20" i="8" s="1"/>
  <c r="AQ20" i="8" a="1"/>
  <c r="AQ20" i="8"/>
  <c r="AR20" i="8" a="1"/>
  <c r="AR20" i="8"/>
  <c r="AS20" i="8" a="1"/>
  <c r="AS20" i="8" s="1"/>
  <c r="AT20" i="8" a="1"/>
  <c r="AT20" i="8"/>
  <c r="AU20" i="8" a="1"/>
  <c r="AU20" i="8" s="1"/>
  <c r="AV20" i="8" a="1"/>
  <c r="AV20" i="8" s="1"/>
  <c r="AW20" i="8" a="1"/>
  <c r="AW20" i="8" s="1"/>
  <c r="AX20" i="8" a="1"/>
  <c r="AX20" i="8"/>
  <c r="AY20" i="8" a="1"/>
  <c r="AY20" i="8"/>
  <c r="AZ20" i="8" a="1"/>
  <c r="AZ20" i="8"/>
  <c r="BA20" i="8" a="1"/>
  <c r="BA20" i="8"/>
  <c r="BB20" i="8" a="1"/>
  <c r="BB20" i="8" s="1"/>
  <c r="BC20" i="8" a="1"/>
  <c r="BC20" i="8"/>
  <c r="BD20" i="8" a="1"/>
  <c r="BD20" i="8"/>
  <c r="BE20" i="8" a="1"/>
  <c r="BE20" i="8" s="1"/>
  <c r="BF20" i="8" a="1"/>
  <c r="BF20" i="8"/>
  <c r="BG20" i="8" a="1"/>
  <c r="BG20" i="8"/>
  <c r="BH20" i="8" a="1"/>
  <c r="BH20" i="8" s="1"/>
  <c r="BI20" i="8" a="1"/>
  <c r="BI20" i="8"/>
  <c r="BJ20" i="8" a="1"/>
  <c r="BJ20" i="8" s="1"/>
  <c r="BK20" i="8" a="1"/>
  <c r="BK20" i="8"/>
  <c r="BL20" i="8" a="1"/>
  <c r="BL20" i="8"/>
  <c r="BM20" i="8" a="1"/>
  <c r="BM20" i="8" s="1"/>
  <c r="BN20" i="8" a="1"/>
  <c r="BN20" i="8" s="1"/>
  <c r="BO20" i="8" a="1"/>
  <c r="BO20" i="8" s="1"/>
  <c r="BP20" i="8" a="1"/>
  <c r="BP20" i="8" s="1"/>
  <c r="BQ20" i="8" a="1"/>
  <c r="BQ20" i="8"/>
  <c r="BR20" i="8" a="1"/>
  <c r="BR20" i="8"/>
  <c r="BS20" i="8" a="1"/>
  <c r="BS20" i="8" s="1"/>
  <c r="BT20" i="8" a="1"/>
  <c r="BT20" i="8" s="1"/>
  <c r="BU20" i="8" a="1"/>
  <c r="BU20" i="8" s="1"/>
  <c r="BV20" i="8" a="1"/>
  <c r="BV20" i="8"/>
  <c r="C21" i="8" a="1"/>
  <c r="C21" i="8"/>
  <c r="D21" i="8" a="1"/>
  <c r="D21" i="8"/>
  <c r="E21" i="8" a="1"/>
  <c r="E21" i="8"/>
  <c r="F21" i="8" a="1"/>
  <c r="F21" i="8" s="1"/>
  <c r="G21" i="8" a="1"/>
  <c r="G21" i="8" s="1"/>
  <c r="H21" i="8" a="1"/>
  <c r="H21" i="8" s="1"/>
  <c r="I21" i="8" a="1"/>
  <c r="I21" i="8"/>
  <c r="J21" i="8" a="1"/>
  <c r="J21" i="8"/>
  <c r="K21" i="8" a="1"/>
  <c r="K21" i="8" s="1"/>
  <c r="L21" i="8" a="1"/>
  <c r="L21" i="8" s="1"/>
  <c r="M21" i="8" a="1"/>
  <c r="M21" i="8" s="1"/>
  <c r="N21" i="8" a="1"/>
  <c r="N21" i="8"/>
  <c r="O21" i="8" a="1"/>
  <c r="O21" i="8"/>
  <c r="P21" i="8" a="1"/>
  <c r="P21" i="8"/>
  <c r="Q21" i="8" a="1"/>
  <c r="Q21" i="8"/>
  <c r="R21" i="8" a="1"/>
  <c r="R21" i="8" s="1"/>
  <c r="S21" i="8" a="1"/>
  <c r="S21" i="8"/>
  <c r="T21" i="8" a="1"/>
  <c r="T21" i="8"/>
  <c r="U21" i="8" a="1"/>
  <c r="U21" i="8" s="1"/>
  <c r="V21" i="8" a="1"/>
  <c r="V21" i="8"/>
  <c r="W21" i="8" a="1"/>
  <c r="W21" i="8" s="1"/>
  <c r="X21" i="8" a="1"/>
  <c r="X21" i="8" s="1"/>
  <c r="Y21" i="8" a="1"/>
  <c r="Y21" i="8"/>
  <c r="Z21" i="8" a="1"/>
  <c r="Z21" i="8"/>
  <c r="AA21" i="8" a="1"/>
  <c r="AA21" i="8" s="1"/>
  <c r="AB21" i="8" a="1"/>
  <c r="AB21" i="8"/>
  <c r="AC21" i="8" a="1"/>
  <c r="AC21" i="8" s="1"/>
  <c r="AD21" i="8" a="1"/>
  <c r="AD21" i="8" s="1"/>
  <c r="AE21" i="8" a="1"/>
  <c r="AE21" i="8" s="1"/>
  <c r="AF21" i="8" a="1"/>
  <c r="AF21" i="8" s="1"/>
  <c r="AG21" i="8" a="1"/>
  <c r="AG21" i="8"/>
  <c r="AH21" i="8" a="1"/>
  <c r="AH21" i="8"/>
  <c r="AI21" i="8" a="1"/>
  <c r="AI21" i="8" s="1"/>
  <c r="AJ21" i="8" a="1"/>
  <c r="AJ21" i="8" s="1"/>
  <c r="AK21" i="8" a="1"/>
  <c r="AK21" i="8" s="1"/>
  <c r="AL21" i="8" a="1"/>
  <c r="AL21" i="8" s="1"/>
  <c r="AM21" i="8" a="1"/>
  <c r="AM21" i="8"/>
  <c r="AN21" i="8" a="1"/>
  <c r="AN21" i="8"/>
  <c r="AO21" i="8" a="1"/>
  <c r="AO21" i="8"/>
  <c r="AP21" i="8" a="1"/>
  <c r="AP21" i="8" s="1"/>
  <c r="AQ21" i="8" a="1"/>
  <c r="AQ21" i="8" s="1"/>
  <c r="AR21" i="8" a="1"/>
  <c r="AR21" i="8" s="1"/>
  <c r="AS21" i="8" a="1"/>
  <c r="AS21" i="8" s="1"/>
  <c r="AT21" i="8" a="1"/>
  <c r="AT21" i="8"/>
  <c r="AU21" i="8" a="1"/>
  <c r="AU21" i="8"/>
  <c r="AV21" i="8" a="1"/>
  <c r="AV21" i="8" s="1"/>
  <c r="AW21" i="8" a="1"/>
  <c r="AW21" i="8"/>
  <c r="AX21" i="8" a="1"/>
  <c r="AX21" i="8" s="1"/>
  <c r="AY21" i="8" a="1"/>
  <c r="AY21" i="8" s="1"/>
  <c r="AZ21" i="8" a="1"/>
  <c r="AZ21" i="8"/>
  <c r="BA21" i="8" a="1"/>
  <c r="BA21" i="8" s="1"/>
  <c r="BB21" i="8" a="1"/>
  <c r="BB21" i="8" s="1"/>
  <c r="BC21" i="8" a="1"/>
  <c r="BC21" i="8"/>
  <c r="BD21" i="8" a="1"/>
  <c r="BD21" i="8" s="1"/>
  <c r="BE21" i="8" a="1"/>
  <c r="BE21" i="8" s="1"/>
  <c r="BF21" i="8" a="1"/>
  <c r="BF21" i="8"/>
  <c r="BG21" i="8" a="1"/>
  <c r="BG21" i="8"/>
  <c r="BH21" i="8" a="1"/>
  <c r="BH21" i="8" s="1"/>
  <c r="BI21" i="8" a="1"/>
  <c r="BI21" i="8"/>
  <c r="BJ21" i="8" a="1"/>
  <c r="BJ21" i="8" s="1"/>
  <c r="BK21" i="8" a="1"/>
  <c r="BK21" i="8"/>
  <c r="BL21" i="8" a="1"/>
  <c r="BL21" i="8"/>
  <c r="BM21" i="8" a="1"/>
  <c r="BM21" i="8"/>
  <c r="BN21" i="8" a="1"/>
  <c r="BN21" i="8" s="1"/>
  <c r="BO21" i="8" a="1"/>
  <c r="BO21" i="8"/>
  <c r="BP21" i="8" a="1"/>
  <c r="BP21" i="8"/>
  <c r="BQ21" i="8" a="1"/>
  <c r="BQ21" i="8" s="1"/>
  <c r="BR21" i="8" a="1"/>
  <c r="BR21" i="8"/>
  <c r="BS21" i="8" a="1"/>
  <c r="BS21" i="8" s="1"/>
  <c r="BT21" i="8" a="1"/>
  <c r="BT21" i="8" s="1"/>
  <c r="BU21" i="8" a="1"/>
  <c r="BU21" i="8" s="1"/>
  <c r="BV21" i="8" a="1"/>
  <c r="BV21" i="8"/>
  <c r="C22" i="8" a="1"/>
  <c r="C22" i="8"/>
  <c r="D22" i="8" a="1"/>
  <c r="D22" i="8"/>
  <c r="E22" i="8" a="1"/>
  <c r="E22" i="8"/>
  <c r="F22" i="8" a="1"/>
  <c r="F22" i="8" s="1"/>
  <c r="G22" i="8" a="1"/>
  <c r="G22" i="8"/>
  <c r="H22" i="8" a="1"/>
  <c r="H22" i="8"/>
  <c r="I22" i="8" a="1"/>
  <c r="I22" i="8" s="1"/>
  <c r="J22" i="8" a="1"/>
  <c r="J22" i="8"/>
  <c r="K22" i="8" a="1"/>
  <c r="K22" i="8" s="1"/>
  <c r="L22" i="8" a="1"/>
  <c r="L22" i="8" s="1"/>
  <c r="M22" i="8" a="1"/>
  <c r="M22" i="8"/>
  <c r="N22" i="8" a="1"/>
  <c r="N22" i="8" s="1"/>
  <c r="O22" i="8" a="1"/>
  <c r="O22" i="8"/>
  <c r="P22" i="8" a="1"/>
  <c r="P22" i="8"/>
  <c r="Q22" i="8" a="1"/>
  <c r="Q22" i="8"/>
  <c r="R22" i="8" a="1"/>
  <c r="R22" i="8" s="1"/>
  <c r="S22" i="8" a="1"/>
  <c r="S22" i="8" s="1"/>
  <c r="T22" i="8" a="1"/>
  <c r="T22" i="8"/>
  <c r="U22" i="8" a="1"/>
  <c r="U22" i="8"/>
  <c r="V22" i="8" a="1"/>
  <c r="V22" i="8"/>
  <c r="W22" i="8" a="1"/>
  <c r="W22" i="8" s="1"/>
  <c r="X22" i="8" a="1"/>
  <c r="X22" i="8" s="1"/>
  <c r="Y22" i="8" a="1"/>
  <c r="Y22" i="8"/>
  <c r="Z22" i="8" a="1"/>
  <c r="Z22" i="8"/>
  <c r="AA22" i="8" a="1"/>
  <c r="AA22" i="8" s="1"/>
  <c r="AB22" i="8" a="1"/>
  <c r="AB22" i="8"/>
  <c r="AC22" i="8" a="1"/>
  <c r="AC22" i="8"/>
  <c r="AD22" i="8" a="1"/>
  <c r="AD22" i="8" s="1"/>
  <c r="AE22" i="8" a="1"/>
  <c r="AE22" i="8"/>
  <c r="AF22" i="8" a="1"/>
  <c r="AF22" i="8" s="1"/>
  <c r="AG22" i="8" a="1"/>
  <c r="AG22" i="8"/>
  <c r="AH22" i="8" a="1"/>
  <c r="AH22" i="8"/>
  <c r="AI22" i="8" a="1"/>
  <c r="AI22" i="8" s="1"/>
  <c r="AJ22" i="8" a="1"/>
  <c r="AJ22" i="8" s="1"/>
  <c r="AK22" i="8" a="1"/>
  <c r="AK22" i="8"/>
  <c r="AL22" i="8" a="1"/>
  <c r="AL22" i="8" s="1"/>
  <c r="AM22" i="8" a="1"/>
  <c r="AM22" i="8"/>
  <c r="AN22" i="8" a="1"/>
  <c r="AN22" i="8"/>
  <c r="AO22" i="8" a="1"/>
  <c r="AO22" i="8" s="1"/>
  <c r="AP22" i="8" a="1"/>
  <c r="AP22" i="8" s="1"/>
  <c r="AQ22" i="8" a="1"/>
  <c r="AQ22" i="8"/>
  <c r="AR22" i="8" a="1"/>
  <c r="AR22" i="8" s="1"/>
  <c r="AS22" i="8" a="1"/>
  <c r="AS22" i="8" s="1"/>
  <c r="AT22" i="8" a="1"/>
  <c r="AT22" i="8"/>
  <c r="AU22" i="8" a="1"/>
  <c r="AU22" i="8"/>
  <c r="AV22" i="8" a="1"/>
  <c r="AV22" i="8" s="1"/>
  <c r="AW22" i="8" a="1"/>
  <c r="AW22" i="8" s="1"/>
  <c r="AX22" i="8" a="1"/>
  <c r="AX22" i="8"/>
  <c r="AY22" i="8" a="1"/>
  <c r="AY22" i="8"/>
  <c r="AZ22" i="8" a="1"/>
  <c r="AZ22" i="8"/>
  <c r="BA22" i="8" a="1"/>
  <c r="BA22" i="8" s="1"/>
  <c r="BB22" i="8" a="1"/>
  <c r="BB22" i="8" s="1"/>
  <c r="BC22" i="8" a="1"/>
  <c r="BC22" i="8"/>
  <c r="BD22" i="8" a="1"/>
  <c r="BD22" i="8" s="1"/>
  <c r="BE22" i="8" a="1"/>
  <c r="BE22" i="8"/>
  <c r="BF22" i="8" a="1"/>
  <c r="BF22" i="8"/>
  <c r="BG22" i="8" a="1"/>
  <c r="BG22" i="8"/>
  <c r="BH22" i="8" a="1"/>
  <c r="BH22" i="8" s="1"/>
  <c r="BI22" i="8" a="1"/>
  <c r="BI22" i="8"/>
  <c r="BJ22" i="8" a="1"/>
  <c r="BJ22" i="8"/>
  <c r="BK22" i="8" a="1"/>
  <c r="BK22" i="8" s="1"/>
  <c r="BL22" i="8" a="1"/>
  <c r="BL22" i="8"/>
  <c r="BM22" i="8" a="1"/>
  <c r="BM22" i="8"/>
  <c r="BN22" i="8" a="1"/>
  <c r="BN22" i="8" s="1"/>
  <c r="BO22" i="8" a="1"/>
  <c r="BO22" i="8"/>
  <c r="BP22" i="8" a="1"/>
  <c r="BP22" i="8"/>
  <c r="BQ22" i="8" a="1"/>
  <c r="BQ22" i="8" s="1"/>
  <c r="BR22" i="8" a="1"/>
  <c r="BR22" i="8"/>
  <c r="BS22" i="8" a="1"/>
  <c r="BS22" i="8" s="1"/>
  <c r="BT22" i="8" a="1"/>
  <c r="BT22" i="8" s="1"/>
  <c r="BU22" i="8" a="1"/>
  <c r="BU22" i="8" s="1"/>
  <c r="BV22" i="8" a="1"/>
  <c r="BV22" i="8"/>
  <c r="C23" i="8" a="1"/>
  <c r="C23" i="8" s="1"/>
  <c r="D23" i="8" a="1"/>
  <c r="D23" i="8"/>
  <c r="E23" i="8" a="1"/>
  <c r="E23" i="8" s="1"/>
  <c r="F23" i="8" a="1"/>
  <c r="F23" i="8" s="1"/>
  <c r="G23" i="8" a="1"/>
  <c r="G23" i="8"/>
  <c r="H23" i="8" a="1"/>
  <c r="H23" i="8"/>
  <c r="I23" i="8" a="1"/>
  <c r="I23" i="8"/>
  <c r="J23" i="8" a="1"/>
  <c r="J23" i="8"/>
  <c r="K23" i="8" a="1"/>
  <c r="K23" i="8" s="1"/>
  <c r="L23" i="8" a="1"/>
  <c r="L23" i="8" s="1"/>
  <c r="M23" i="8" a="1"/>
  <c r="M23" i="8"/>
  <c r="N23" i="8" a="1"/>
  <c r="N23" i="8" s="1"/>
  <c r="O23" i="8" a="1"/>
  <c r="O23" i="8"/>
  <c r="P23" i="8" a="1"/>
  <c r="P23" i="8"/>
  <c r="Q23" i="8" a="1"/>
  <c r="Q23" i="8" s="1"/>
  <c r="R23" i="8" a="1"/>
  <c r="R23" i="8" s="1"/>
  <c r="S23" i="8" a="1"/>
  <c r="S23" i="8" s="1"/>
  <c r="T23" i="8" a="1"/>
  <c r="T23" i="8"/>
  <c r="U23" i="8" a="1"/>
  <c r="U23" i="8"/>
  <c r="V23" i="8" a="1"/>
  <c r="V23" i="8"/>
  <c r="W23" i="8" a="1"/>
  <c r="W23" i="8" s="1"/>
  <c r="X23" i="8" a="1"/>
  <c r="X23" i="8" s="1"/>
  <c r="Y23" i="8" a="1"/>
  <c r="Y23" i="8" s="1"/>
  <c r="Z23" i="8" a="1"/>
  <c r="Z23" i="8"/>
  <c r="AA23" i="8" a="1"/>
  <c r="AA23" i="8" s="1"/>
  <c r="AB23" i="8" a="1"/>
  <c r="AB23" i="8"/>
  <c r="AC23" i="8" a="1"/>
  <c r="AC23" i="8"/>
  <c r="AD23" i="8" a="1"/>
  <c r="AD23" i="8" s="1"/>
  <c r="AE23" i="8" a="1"/>
  <c r="AE23" i="8" s="1"/>
  <c r="AF23" i="8" a="1"/>
  <c r="AF23" i="8" s="1"/>
  <c r="AG23" i="8" a="1"/>
  <c r="AG23" i="8"/>
  <c r="AH23" i="8" a="1"/>
  <c r="AH23" i="8"/>
  <c r="AI23" i="8" a="1"/>
  <c r="AI23" i="8" s="1"/>
  <c r="AJ23" i="8" a="1"/>
  <c r="AJ23" i="8" s="1"/>
  <c r="AK23" i="8" a="1"/>
  <c r="AK23" i="8"/>
  <c r="AL23" i="8" a="1"/>
  <c r="AL23" i="8"/>
  <c r="AM23" i="8" a="1"/>
  <c r="AM23" i="8"/>
  <c r="AN23" i="8" a="1"/>
  <c r="AN23" i="8"/>
  <c r="AO23" i="8" a="1"/>
  <c r="AO23" i="8"/>
  <c r="AP23" i="8" a="1"/>
  <c r="AP23" i="8" s="1"/>
  <c r="AQ23" i="8" a="1"/>
  <c r="AQ23" i="8"/>
  <c r="AR23" i="8" a="1"/>
  <c r="AR23" i="8"/>
  <c r="AS23" i="8" a="1"/>
  <c r="AS23" i="8" s="1"/>
  <c r="AT23" i="8" a="1"/>
  <c r="AT23" i="8"/>
  <c r="AU23" i="8" a="1"/>
  <c r="AU23" i="8"/>
  <c r="AV23" i="8" a="1"/>
  <c r="AV23" i="8" s="1"/>
  <c r="AW23" i="8" a="1"/>
  <c r="AW23" i="8" s="1"/>
  <c r="AX23" i="8" a="1"/>
  <c r="AX23" i="8"/>
  <c r="AY23" i="8" a="1"/>
  <c r="AY23" i="8"/>
  <c r="AZ23" i="8" a="1"/>
  <c r="AZ23" i="8"/>
  <c r="BA23" i="8" a="1"/>
  <c r="BA23" i="8" s="1"/>
  <c r="BB23" i="8" a="1"/>
  <c r="BB23" i="8" s="1"/>
  <c r="BC23" i="8" a="1"/>
  <c r="BC23" i="8"/>
  <c r="BD23" i="8" a="1"/>
  <c r="BD23" i="8" s="1"/>
  <c r="BE23" i="8" a="1"/>
  <c r="BE23" i="8"/>
  <c r="BF23" i="8" a="1"/>
  <c r="BF23" i="8"/>
  <c r="BG23" i="8" a="1"/>
  <c r="BG23" i="8"/>
  <c r="BH23" i="8" a="1"/>
  <c r="BH23" i="8" s="1"/>
  <c r="BI23" i="8" a="1"/>
  <c r="BI23" i="8" s="1"/>
  <c r="BJ23" i="8" a="1"/>
  <c r="BJ23" i="8"/>
  <c r="BK23" i="8" a="1"/>
  <c r="BK23" i="8" s="1"/>
  <c r="BL23" i="8" a="1"/>
  <c r="BL23" i="8"/>
  <c r="BM23" i="8" a="1"/>
  <c r="BM23" i="8"/>
  <c r="BN23" i="8" a="1"/>
  <c r="BN23" i="8" s="1"/>
  <c r="BO23" i="8" a="1"/>
  <c r="BO23" i="8"/>
  <c r="BP23" i="8" a="1"/>
  <c r="BP23" i="8"/>
  <c r="BQ23" i="8" a="1"/>
  <c r="BQ23" i="8"/>
  <c r="BR23" i="8" a="1"/>
  <c r="BR23" i="8"/>
  <c r="BS23" i="8" a="1"/>
  <c r="BS23" i="8" s="1"/>
  <c r="BT23" i="8" a="1"/>
  <c r="BT23" i="8" s="1"/>
  <c r="BU23" i="8" a="1"/>
  <c r="BU23" i="8" s="1"/>
  <c r="BV23" i="8" a="1"/>
  <c r="BV23" i="8" s="1"/>
  <c r="C24" i="8" a="1"/>
  <c r="C24" i="8" s="1"/>
  <c r="D24" i="8" a="1"/>
  <c r="D24" i="8"/>
  <c r="E24" i="8" a="1"/>
  <c r="E24" i="8" s="1"/>
  <c r="F24" i="8" a="1"/>
  <c r="F24" i="8" s="1"/>
  <c r="G24" i="8" a="1"/>
  <c r="G24" i="8"/>
  <c r="H24" i="8" a="1"/>
  <c r="H24" i="8"/>
  <c r="I24" i="8" a="1"/>
  <c r="I24" i="8" s="1"/>
  <c r="J24" i="8" a="1"/>
  <c r="J24" i="8"/>
  <c r="K24" i="8" a="1"/>
  <c r="K24" i="8"/>
  <c r="L24" i="8" a="1"/>
  <c r="L24" i="8" s="1"/>
  <c r="M24" i="8" a="1"/>
  <c r="M24" i="8"/>
  <c r="N24" i="8" a="1"/>
  <c r="N24" i="8" s="1"/>
  <c r="O24" i="8" a="1"/>
  <c r="O24" i="8" s="1"/>
  <c r="P24" i="8" a="1"/>
  <c r="P24" i="8"/>
  <c r="Q24" i="8" a="1"/>
  <c r="Q24" i="8"/>
  <c r="R24" i="8" a="1"/>
  <c r="R24" i="8" s="1"/>
  <c r="S24" i="8" a="1"/>
  <c r="S24" i="8" s="1"/>
  <c r="T24" i="8" a="1"/>
  <c r="T24" i="8"/>
  <c r="U24" i="8" a="1"/>
  <c r="U24" i="8"/>
  <c r="V24" i="8" a="1"/>
  <c r="V24" i="8"/>
  <c r="W24" i="8" a="1"/>
  <c r="W24" i="8" s="1"/>
  <c r="X24" i="8" a="1"/>
  <c r="X24" i="8" s="1"/>
  <c r="Y24" i="8" a="1"/>
  <c r="Y24" i="8"/>
  <c r="Z24" i="8" a="1"/>
  <c r="Z24" i="8"/>
  <c r="AA24" i="8" a="1"/>
  <c r="AA24" i="8" s="1"/>
  <c r="AB24" i="8" a="1"/>
  <c r="AB24" i="8"/>
  <c r="AC24" i="8" a="1"/>
  <c r="AC24" i="8"/>
  <c r="AD24" i="8" a="1"/>
  <c r="AD24" i="8" s="1"/>
  <c r="AE24" i="8" a="1"/>
  <c r="AE24" i="8" s="1"/>
  <c r="AF24" i="8" a="1"/>
  <c r="AF24" i="8" s="1"/>
  <c r="AG24" i="8" a="1"/>
  <c r="AG24" i="8"/>
  <c r="AH24" i="8" a="1"/>
  <c r="AH24" i="8"/>
  <c r="AI24" i="8" a="1"/>
  <c r="AI24" i="8" s="1"/>
  <c r="AJ24" i="8" a="1"/>
  <c r="AJ24" i="8" s="1"/>
  <c r="AK24" i="8" a="1"/>
  <c r="AK24" i="8"/>
  <c r="AL24" i="8" a="1"/>
  <c r="AL24" i="8" s="1"/>
  <c r="AM24" i="8" a="1"/>
  <c r="AM24" i="8"/>
  <c r="AN24" i="8" a="1"/>
  <c r="AN24" i="8"/>
  <c r="AO24" i="8" a="1"/>
  <c r="AO24" i="8"/>
  <c r="AP24" i="8" a="1"/>
  <c r="AP24" i="8" s="1"/>
  <c r="AQ24" i="8" a="1"/>
  <c r="AQ24" i="8"/>
  <c r="AR24" i="8" a="1"/>
  <c r="AR24" i="8" s="1"/>
  <c r="AS24" i="8" a="1"/>
  <c r="AS24" i="8" s="1"/>
  <c r="AT24" i="8" a="1"/>
  <c r="AT24" i="8"/>
  <c r="AU24" i="8" a="1"/>
  <c r="AU24" i="8"/>
  <c r="AV24" i="8" a="1"/>
  <c r="AV24" i="8" s="1"/>
  <c r="AW24" i="8" a="1"/>
  <c r="AW24" i="8"/>
  <c r="AX24" i="8" a="1"/>
  <c r="AX24" i="8" s="1"/>
  <c r="AY24" i="8" a="1"/>
  <c r="AY24" i="8" s="1"/>
  <c r="AZ24" i="8" a="1"/>
  <c r="AZ24" i="8"/>
  <c r="BA24" i="8" a="1"/>
  <c r="BA24" i="8" s="1"/>
  <c r="BB24" i="8" a="1"/>
  <c r="BB24" i="8" s="1"/>
  <c r="BC24" i="8" a="1"/>
  <c r="BC24" i="8" s="1"/>
  <c r="BD24" i="8" a="1"/>
  <c r="BD24" i="8"/>
  <c r="BE24" i="8" a="1"/>
  <c r="BE24" i="8"/>
  <c r="BF24" i="8" a="1"/>
  <c r="BF24" i="8"/>
  <c r="BG24" i="8" a="1"/>
  <c r="BG24" i="8"/>
  <c r="BH24" i="8" a="1"/>
  <c r="BH24" i="8" s="1"/>
  <c r="BI24" i="8" a="1"/>
  <c r="BI24" i="8"/>
  <c r="BJ24" i="8" a="1"/>
  <c r="BJ24" i="8" s="1"/>
  <c r="BK24" i="8" a="1"/>
  <c r="BK24" i="8"/>
  <c r="BL24" i="8" a="1"/>
  <c r="BL24" i="8"/>
  <c r="BM24" i="8" a="1"/>
  <c r="BM24" i="8"/>
  <c r="BN24" i="8" a="1"/>
  <c r="BN24" i="8" s="1"/>
  <c r="BO24" i="8" a="1"/>
  <c r="BO24" i="8"/>
  <c r="BP24" i="8" a="1"/>
  <c r="BP24" i="8" s="1"/>
  <c r="BQ24" i="8" a="1"/>
  <c r="BQ24" i="8" s="1"/>
  <c r="BR24" i="8" a="1"/>
  <c r="BR24" i="8"/>
  <c r="BS24" i="8" a="1"/>
  <c r="BS24" i="8" s="1"/>
  <c r="BT24" i="8" a="1"/>
  <c r="BT24" i="8" s="1"/>
  <c r="BU24" i="8" a="1"/>
  <c r="BU24" i="8" s="1"/>
  <c r="BV24" i="8" a="1"/>
  <c r="BV24" i="8"/>
  <c r="C25" i="8" a="1"/>
  <c r="C25" i="8" s="1"/>
  <c r="D25" i="8" a="1"/>
  <c r="D25" i="8"/>
  <c r="E25" i="8" a="1"/>
  <c r="E25" i="8"/>
  <c r="F25" i="8" a="1"/>
  <c r="F25" i="8" s="1"/>
  <c r="G25" i="8" a="1"/>
  <c r="G25" i="8" s="1"/>
  <c r="H25" i="8" a="1"/>
  <c r="H25" i="8"/>
  <c r="I25" i="8" a="1"/>
  <c r="I25" i="8" s="1"/>
  <c r="J25" i="8" a="1"/>
  <c r="J25" i="8"/>
  <c r="K25" i="8" a="1"/>
  <c r="K25" i="8" s="1"/>
  <c r="L25" i="8" a="1"/>
  <c r="L25" i="8" s="1"/>
  <c r="M25" i="8" a="1"/>
  <c r="M25" i="8"/>
  <c r="N25" i="8" a="1"/>
  <c r="N25" i="8" s="1"/>
  <c r="O25" i="8" a="1"/>
  <c r="O25" i="8"/>
  <c r="P25" i="8" a="1"/>
  <c r="P25" i="8"/>
  <c r="Q25" i="8" a="1"/>
  <c r="Q25" i="8"/>
  <c r="R25" i="8" a="1"/>
  <c r="R25" i="8" s="1"/>
  <c r="S25" i="8" a="1"/>
  <c r="S25" i="8" s="1"/>
  <c r="T25" i="8" a="1"/>
  <c r="T25" i="8"/>
  <c r="U25" i="8" a="1"/>
  <c r="U25" i="8"/>
  <c r="V25" i="8" a="1"/>
  <c r="V25" i="8"/>
  <c r="W25" i="8" a="1"/>
  <c r="W25" i="8" s="1"/>
  <c r="X25" i="8" a="1"/>
  <c r="X25" i="8" s="1"/>
  <c r="Y25" i="8" a="1"/>
  <c r="Y25" i="8" s="1"/>
  <c r="Z25" i="8" a="1"/>
  <c r="Z25" i="8"/>
  <c r="AA25" i="8" a="1"/>
  <c r="AA25" i="8" s="1"/>
  <c r="AB25" i="8" a="1"/>
  <c r="AB25" i="8"/>
  <c r="AC25" i="8" a="1"/>
  <c r="AC25" i="8"/>
  <c r="AD25" i="8" a="1"/>
  <c r="AD25" i="8" s="1"/>
  <c r="AE25" i="8" a="1"/>
  <c r="AE25" i="8" s="1"/>
  <c r="AF25" i="8" a="1"/>
  <c r="AF25" i="8" s="1"/>
  <c r="AG25" i="8" a="1"/>
  <c r="AG25" i="8" s="1"/>
  <c r="AH25" i="8" a="1"/>
  <c r="AH25" i="8"/>
  <c r="AI25" i="8" a="1"/>
  <c r="AI25" i="8" s="1"/>
  <c r="AJ25" i="8" a="1"/>
  <c r="AJ25" i="8" s="1"/>
  <c r="AK25" i="8" a="1"/>
  <c r="AK25" i="8"/>
  <c r="AL25" i="8" a="1"/>
  <c r="AL25" i="8"/>
  <c r="AM25" i="8" a="1"/>
  <c r="AM25" i="8"/>
  <c r="AN25" i="8" a="1"/>
  <c r="AN25" i="8"/>
  <c r="AO25" i="8" a="1"/>
  <c r="AO25" i="8"/>
  <c r="AP25" i="8" a="1"/>
  <c r="AP25" i="8" s="1"/>
  <c r="AQ25" i="8" a="1"/>
  <c r="AQ25" i="8"/>
  <c r="AR25" i="8" a="1"/>
  <c r="AR25" i="8" s="1"/>
  <c r="AS25" i="8" a="1"/>
  <c r="AS25" i="8" s="1"/>
  <c r="AT25" i="8" a="1"/>
  <c r="AT25" i="8"/>
  <c r="AU25" i="8" a="1"/>
  <c r="AU25" i="8"/>
  <c r="AV25" i="8" a="1"/>
  <c r="AV25" i="8" s="1"/>
  <c r="AW25" i="8" a="1"/>
  <c r="AW25" i="8" s="1"/>
  <c r="AX25" i="8" a="1"/>
  <c r="AX25" i="8"/>
  <c r="AY25" i="8" a="1"/>
  <c r="AY25" i="8" s="1"/>
  <c r="AZ25" i="8" a="1"/>
  <c r="AZ25" i="8"/>
  <c r="BA25" i="8" a="1"/>
  <c r="BA25" i="8" s="1"/>
  <c r="BB25" i="8" a="1"/>
  <c r="BB25" i="8" s="1"/>
  <c r="BC25" i="8" a="1"/>
  <c r="BC25" i="8" s="1"/>
  <c r="BD25" i="8" a="1"/>
  <c r="BD25" i="8" s="1"/>
  <c r="BE25" i="8" a="1"/>
  <c r="BE25" i="8"/>
  <c r="BF25" i="8" a="1"/>
  <c r="BF25" i="8"/>
  <c r="BG25" i="8" a="1"/>
  <c r="BG25" i="8" s="1"/>
  <c r="BH25" i="8" a="1"/>
  <c r="BH25" i="8" s="1"/>
  <c r="BI25" i="8" a="1"/>
  <c r="BI25" i="8"/>
  <c r="BJ25" i="8" a="1"/>
  <c r="BJ25" i="8" s="1"/>
  <c r="BK25" i="8" a="1"/>
  <c r="BK25" i="8" s="1"/>
  <c r="BL25" i="8" a="1"/>
  <c r="BL25" i="8"/>
  <c r="BM25" i="8" a="1"/>
  <c r="BM25" i="8"/>
  <c r="BN25" i="8" a="1"/>
  <c r="BN25" i="8" s="1"/>
  <c r="BO25" i="8" a="1"/>
  <c r="BO25" i="8"/>
  <c r="BP25" i="8" a="1"/>
  <c r="BP25" i="8"/>
  <c r="BQ25" i="8" a="1"/>
  <c r="BQ25" i="8" s="1"/>
  <c r="BR25" i="8" a="1"/>
  <c r="BR25" i="8"/>
  <c r="BS25" i="8" a="1"/>
  <c r="BS25" i="8" s="1"/>
  <c r="BT25" i="8" a="1"/>
  <c r="BT25" i="8" s="1"/>
  <c r="BU25" i="8" a="1"/>
  <c r="BU25" i="8" s="1"/>
  <c r="BV25" i="8" a="1"/>
  <c r="BV25" i="8"/>
  <c r="C26" i="8" a="1"/>
  <c r="C26" i="8" s="1"/>
  <c r="D26" i="8" a="1"/>
  <c r="D26" i="8"/>
  <c r="E26" i="8" a="1"/>
  <c r="E26" i="8" s="1"/>
  <c r="F26" i="8" a="1"/>
  <c r="F26" i="8" s="1"/>
  <c r="G26" i="8" a="1"/>
  <c r="G26" i="8"/>
  <c r="H26" i="8" a="1"/>
  <c r="H26" i="8"/>
  <c r="I26" i="8" a="1"/>
  <c r="I26" i="8"/>
  <c r="J26" i="8" a="1"/>
  <c r="J26" i="8"/>
  <c r="K26" i="8" a="1"/>
  <c r="K26" i="8" s="1"/>
  <c r="L26" i="8" a="1"/>
  <c r="L26" i="8" s="1"/>
  <c r="M26" i="8" a="1"/>
  <c r="M26" i="8"/>
  <c r="N26" i="8" a="1"/>
  <c r="N26" i="8" s="1"/>
  <c r="O26" i="8" a="1"/>
  <c r="O26" i="8" s="1"/>
  <c r="P26" i="8" a="1"/>
  <c r="P26" i="8"/>
  <c r="Q26" i="8" a="1"/>
  <c r="Q26" i="8"/>
  <c r="R26" i="8" a="1"/>
  <c r="R26" i="8" s="1"/>
  <c r="S26" i="8" a="1"/>
  <c r="S26" i="8" s="1"/>
  <c r="T26" i="8" a="1"/>
  <c r="T26" i="8"/>
  <c r="U26" i="8" a="1"/>
  <c r="U26" i="8"/>
  <c r="V26" i="8" a="1"/>
  <c r="V26" i="8"/>
  <c r="W26" i="8" a="1"/>
  <c r="W26" i="8"/>
  <c r="X26" i="8" a="1"/>
  <c r="X26" i="8" s="1"/>
  <c r="Y26" i="8" a="1"/>
  <c r="Y26" i="8"/>
  <c r="Z26" i="8" a="1"/>
  <c r="Z26" i="8"/>
  <c r="AA26" i="8" a="1"/>
  <c r="AA26" i="8" s="1"/>
  <c r="AB26" i="8" a="1"/>
  <c r="AB26" i="8"/>
  <c r="AC26" i="8" a="1"/>
  <c r="AC26" i="8" s="1"/>
  <c r="AD26" i="8" a="1"/>
  <c r="AD26" i="8" s="1"/>
  <c r="AE26" i="8" a="1"/>
  <c r="AE26" i="8"/>
  <c r="AF26" i="8" a="1"/>
  <c r="AF26" i="8" s="1"/>
  <c r="AG26" i="8" a="1"/>
  <c r="AG26" i="8" s="1"/>
  <c r="AH26" i="8" a="1"/>
  <c r="AH26" i="8"/>
  <c r="AI26" i="8" a="1"/>
  <c r="AI26" i="8" s="1"/>
  <c r="AJ26" i="8" a="1"/>
  <c r="AJ26" i="8" s="1"/>
  <c r="AK26" i="8" a="1"/>
  <c r="AK26" i="8"/>
  <c r="AL26" i="8" a="1"/>
  <c r="AL26" i="8"/>
  <c r="AM26" i="8" a="1"/>
  <c r="AM26" i="8"/>
  <c r="AN26" i="8" a="1"/>
  <c r="AN26" i="8"/>
  <c r="AO26" i="8" a="1"/>
  <c r="AO26" i="8"/>
  <c r="AP26" i="8" a="1"/>
  <c r="AP26" i="8" s="1"/>
  <c r="AQ26" i="8" a="1"/>
  <c r="AQ26" i="8"/>
  <c r="AR26" i="8" a="1"/>
  <c r="AR26" i="8" s="1"/>
  <c r="AS26" i="8" a="1"/>
  <c r="AS26" i="8" s="1"/>
  <c r="AT26" i="8" a="1"/>
  <c r="AT26" i="8"/>
  <c r="AU26" i="8" a="1"/>
  <c r="AU26" i="8"/>
  <c r="AV26" i="8" a="1"/>
  <c r="AV26" i="8" s="1"/>
  <c r="AW26" i="8" a="1"/>
  <c r="AW26" i="8" s="1"/>
  <c r="AX26" i="8" a="1"/>
  <c r="AX26" i="8"/>
  <c r="AY26" i="8" a="1"/>
  <c r="AY26" i="8"/>
  <c r="AZ26" i="8" a="1"/>
  <c r="AZ26" i="8"/>
  <c r="BA26" i="8" a="1"/>
  <c r="BA26" i="8" s="1"/>
  <c r="BB26" i="8" a="1"/>
  <c r="BB26" i="8" s="1"/>
  <c r="BC26" i="8" a="1"/>
  <c r="BC26" i="8"/>
  <c r="BD26" i="8" a="1"/>
  <c r="BD26" i="8" s="1"/>
  <c r="BE26" i="8" a="1"/>
  <c r="BE26" i="8"/>
  <c r="BF26" i="8" a="1"/>
  <c r="BF26" i="8"/>
  <c r="BG26" i="8" a="1"/>
  <c r="BG26" i="8" s="1"/>
  <c r="BH26" i="8" a="1"/>
  <c r="BH26" i="8" s="1"/>
  <c r="BI26" i="8" a="1"/>
  <c r="BI26" i="8" s="1"/>
  <c r="BJ26" i="8" a="1"/>
  <c r="BJ26" i="8"/>
  <c r="BK26" i="8" a="1"/>
  <c r="BK26" i="8" s="1"/>
  <c r="BL26" i="8" a="1"/>
  <c r="BL26" i="8"/>
  <c r="BM26" i="8" a="1"/>
  <c r="BM26" i="8"/>
  <c r="BN26" i="8" a="1"/>
  <c r="BN26" i="8" s="1"/>
  <c r="BO26" i="8" a="1"/>
  <c r="BO26" i="8"/>
  <c r="BP26" i="8" a="1"/>
  <c r="BP26" i="8"/>
  <c r="BQ26" i="8" a="1"/>
  <c r="BQ26" i="8" s="1"/>
  <c r="BR26" i="8" a="1"/>
  <c r="BR26" i="8"/>
  <c r="BS26" i="8" a="1"/>
  <c r="BS26" i="8" s="1"/>
  <c r="BT26" i="8" a="1"/>
  <c r="BT26" i="8" s="1"/>
  <c r="BU26" i="8" a="1"/>
  <c r="BU26" i="8" s="1"/>
  <c r="BV26" i="8" a="1"/>
  <c r="BV26" i="8" s="1"/>
  <c r="C27" i="8" a="1"/>
  <c r="C27" i="8" s="1"/>
  <c r="D27" i="8" a="1"/>
  <c r="D27" i="8"/>
  <c r="E27" i="8" a="1"/>
  <c r="E27" i="8" s="1"/>
  <c r="F27" i="8" a="1"/>
  <c r="F27" i="8" s="1"/>
  <c r="G27" i="8" a="1"/>
  <c r="G27" i="8"/>
  <c r="H27" i="8" a="1"/>
  <c r="H27" i="8"/>
  <c r="I27" i="8" a="1"/>
  <c r="I27" i="8" s="1"/>
  <c r="J27" i="8" a="1"/>
  <c r="J27" i="8"/>
  <c r="K27" i="8" a="1"/>
  <c r="K27" i="8" s="1"/>
  <c r="L27" i="8" a="1"/>
  <c r="L27" i="8" s="1"/>
  <c r="M27" i="8" a="1"/>
  <c r="M27" i="8"/>
  <c r="N27" i="8" a="1"/>
  <c r="N27" i="8" s="1"/>
  <c r="O27" i="8" a="1"/>
  <c r="O27" i="8" s="1"/>
  <c r="P27" i="8" a="1"/>
  <c r="P27" i="8"/>
  <c r="Q27" i="8" a="1"/>
  <c r="Q27" i="8"/>
  <c r="R27" i="8" a="1"/>
  <c r="R27" i="8" s="1"/>
  <c r="S27" i="8" a="1"/>
  <c r="S27" i="8" s="1"/>
  <c r="T27" i="8" a="1"/>
  <c r="T27" i="8" s="1"/>
  <c r="U27" i="8" a="1"/>
  <c r="U27" i="8"/>
  <c r="V27" i="8" a="1"/>
  <c r="V27" i="8"/>
  <c r="W27" i="8" a="1"/>
  <c r="W27" i="8" s="1"/>
  <c r="X27" i="8" a="1"/>
  <c r="X27" i="8" s="1"/>
  <c r="Y27" i="8" a="1"/>
  <c r="Y27" i="8"/>
  <c r="Z27" i="8" a="1"/>
  <c r="Z27" i="8"/>
  <c r="AA27" i="8" a="1"/>
  <c r="AA27" i="8" s="1"/>
  <c r="AB27" i="8" a="1"/>
  <c r="AB27" i="8"/>
  <c r="AC27" i="8" a="1"/>
  <c r="AC27" i="8"/>
  <c r="AD27" i="8" a="1"/>
  <c r="AD27" i="8" s="1"/>
  <c r="AE27" i="8" a="1"/>
  <c r="AE27" i="8" s="1"/>
  <c r="AF27" i="8" a="1"/>
  <c r="AF27" i="8" s="1"/>
  <c r="AG27" i="8" a="1"/>
  <c r="AG27" i="8" s="1"/>
  <c r="AH27" i="8" a="1"/>
  <c r="AH27" i="8"/>
  <c r="AI27" i="8" a="1"/>
  <c r="AI27" i="8" s="1"/>
  <c r="AJ27" i="8" a="1"/>
  <c r="AJ27" i="8" s="1"/>
  <c r="AK27" i="8" a="1"/>
  <c r="AK27" i="8"/>
  <c r="AL27" i="8" a="1"/>
  <c r="AL27" i="8" s="1"/>
  <c r="AM27" i="8" a="1"/>
  <c r="AM27" i="8"/>
  <c r="AN27" i="8" a="1"/>
  <c r="AN27" i="8"/>
  <c r="AO27" i="8" a="1"/>
  <c r="AO27" i="8" s="1"/>
  <c r="AP27" i="8" a="1"/>
  <c r="AP27" i="8" s="1"/>
  <c r="AQ27" i="8" a="1"/>
  <c r="AQ27" i="8" s="1"/>
  <c r="AR27" i="8" a="1"/>
  <c r="AR27" i="8" s="1"/>
  <c r="AS27" i="8" a="1"/>
  <c r="AS27" i="8" s="1"/>
  <c r="AT27" i="8" a="1"/>
  <c r="AT27" i="8"/>
  <c r="AU27" i="8" a="1"/>
  <c r="AU27" i="8"/>
  <c r="AV27" i="8" a="1"/>
  <c r="AV27" i="8" s="1"/>
  <c r="AW27" i="8" a="1"/>
  <c r="AW27" i="8" s="1"/>
  <c r="AX27" i="8" a="1"/>
  <c r="AX27" i="8" s="1"/>
  <c r="AY27" i="8" a="1"/>
  <c r="AY27" i="8" s="1"/>
  <c r="AZ27" i="8" a="1"/>
  <c r="AZ27" i="8"/>
  <c r="BA27" i="8" a="1"/>
  <c r="BA27" i="8" s="1"/>
  <c r="BB27" i="8" a="1"/>
  <c r="BB27" i="8" s="1"/>
  <c r="BC27" i="8" a="1"/>
  <c r="BC27" i="8"/>
  <c r="BD27" i="8" a="1"/>
  <c r="BD27" i="8"/>
  <c r="BE27" i="8" a="1"/>
  <c r="BE27" i="8" s="1"/>
  <c r="BF27" i="8" a="1"/>
  <c r="BF27" i="8"/>
  <c r="BG27" i="8" a="1"/>
  <c r="BG27" i="8"/>
  <c r="BH27" i="8" a="1"/>
  <c r="BH27" i="8" s="1"/>
  <c r="BI27" i="8" a="1"/>
  <c r="BI27" i="8" s="1"/>
  <c r="BJ27" i="8" a="1"/>
  <c r="BJ27" i="8" s="1"/>
  <c r="BK27" i="8" a="1"/>
  <c r="BK27" i="8"/>
  <c r="BL27" i="8" a="1"/>
  <c r="BL27" i="8"/>
  <c r="BM27" i="8" a="1"/>
  <c r="BM27" i="8"/>
  <c r="BN27" i="8" a="1"/>
  <c r="BN27" i="8" s="1"/>
  <c r="BO27" i="8" a="1"/>
  <c r="BO27" i="8"/>
  <c r="BP27" i="8" a="1"/>
  <c r="BP27" i="8" s="1"/>
  <c r="BQ27" i="8" a="1"/>
  <c r="BQ27" i="8"/>
  <c r="BR27" i="8" a="1"/>
  <c r="BR27" i="8"/>
  <c r="BS27" i="8" a="1"/>
  <c r="BS27" i="8" s="1"/>
  <c r="BT27" i="8" a="1"/>
  <c r="BT27" i="8" s="1"/>
  <c r="BU27" i="8" a="1"/>
  <c r="BU27" i="8" s="1"/>
  <c r="BV27" i="8" a="1"/>
  <c r="BV27" i="8"/>
  <c r="C28" i="8" a="1"/>
  <c r="C28" i="8"/>
  <c r="D28" i="8" a="1"/>
  <c r="D28" i="8"/>
  <c r="E28" i="8" a="1"/>
  <c r="E28" i="8"/>
  <c r="F28" i="8" a="1"/>
  <c r="F28" i="8" s="1"/>
  <c r="G28" i="8" a="1"/>
  <c r="G28" i="8" s="1"/>
  <c r="H28" i="8" a="1"/>
  <c r="H28" i="8"/>
  <c r="I28" i="8" a="1"/>
  <c r="I28" i="8"/>
  <c r="J28" i="8" a="1"/>
  <c r="J28" i="8"/>
  <c r="K28" i="8" a="1"/>
  <c r="K28" i="8" s="1"/>
  <c r="L28" i="8" a="1"/>
  <c r="L28" i="8" s="1"/>
  <c r="M28" i="8" a="1"/>
  <c r="M28" i="8"/>
  <c r="N28" i="8" a="1"/>
  <c r="N28" i="8" s="1"/>
  <c r="O28" i="8" a="1"/>
  <c r="O28" i="8"/>
  <c r="P28" i="8" a="1"/>
  <c r="P28" i="8"/>
  <c r="Q28" i="8" a="1"/>
  <c r="Q28" i="8"/>
  <c r="R28" i="8" a="1"/>
  <c r="R28" i="8" s="1"/>
  <c r="S28" i="8" a="1"/>
  <c r="S28" i="8" s="1"/>
  <c r="T28" i="8" a="1"/>
  <c r="T28" i="8"/>
  <c r="U28" i="8" a="1"/>
  <c r="U28" i="8"/>
  <c r="V28" i="8" a="1"/>
  <c r="V28" i="8"/>
  <c r="W28" i="8" a="1"/>
  <c r="W28" i="8"/>
  <c r="X28" i="8" a="1"/>
  <c r="X28" i="8" s="1"/>
  <c r="Y28" i="8" a="1"/>
  <c r="Y28" i="8"/>
  <c r="Z28" i="8" a="1"/>
  <c r="Z28" i="8"/>
  <c r="AA28" i="8" a="1"/>
  <c r="AA28" i="8" s="1"/>
  <c r="AB28" i="8" a="1"/>
  <c r="AB28" i="8"/>
  <c r="AC28" i="8" a="1"/>
  <c r="AC28" i="8"/>
  <c r="AD28" i="8" a="1"/>
  <c r="AD28" i="8" s="1"/>
  <c r="AE28" i="8" a="1"/>
  <c r="AE28" i="8"/>
  <c r="AF28" i="8" a="1"/>
  <c r="AF28" i="8" s="1"/>
  <c r="AG28" i="8" a="1"/>
  <c r="AG28" i="8" s="1"/>
  <c r="AH28" i="8" a="1"/>
  <c r="AH28" i="8"/>
  <c r="AI28" i="8" a="1"/>
  <c r="AI28" i="8" s="1"/>
  <c r="AJ28" i="8" a="1"/>
  <c r="AJ28" i="8" s="1"/>
  <c r="AK28" i="8" a="1"/>
  <c r="AK28" i="8"/>
  <c r="AL28" i="8" a="1"/>
  <c r="AL28" i="8"/>
  <c r="AM28" i="8" a="1"/>
  <c r="AM28" i="8"/>
  <c r="AN28" i="8" a="1"/>
  <c r="AN28" i="8"/>
  <c r="AO28" i="8" a="1"/>
  <c r="AO28" i="8" s="1"/>
  <c r="AP28" i="8" a="1"/>
  <c r="AP28" i="8" s="1"/>
  <c r="AQ28" i="8" a="1"/>
  <c r="AQ28" i="8"/>
  <c r="AR28" i="8" a="1"/>
  <c r="AR28" i="8"/>
  <c r="AS28" i="8" a="1"/>
  <c r="AS28" i="8" s="1"/>
  <c r="AT28" i="8" a="1"/>
  <c r="AT28" i="8"/>
  <c r="AU28" i="8" a="1"/>
  <c r="AU28" i="8"/>
  <c r="AV28" i="8" a="1"/>
  <c r="AV28" i="8" s="1"/>
  <c r="AW28" i="8" a="1"/>
  <c r="AW28" i="8" s="1"/>
  <c r="AX28" i="8" a="1"/>
  <c r="AX28" i="8"/>
  <c r="AY28" i="8" a="1"/>
  <c r="AY28" i="8"/>
  <c r="AZ28" i="8" a="1"/>
  <c r="AZ28" i="8"/>
  <c r="BA28" i="8" a="1"/>
  <c r="BA28" i="8" s="1"/>
  <c r="BB28" i="8" a="1"/>
  <c r="BB28" i="8" s="1"/>
  <c r="BC28" i="8" a="1"/>
  <c r="BC28" i="8" s="1"/>
  <c r="BD28" i="8" a="1"/>
  <c r="BD28" i="8" s="1"/>
  <c r="BE28" i="8" a="1"/>
  <c r="BE28" i="8"/>
  <c r="BF28" i="8" a="1"/>
  <c r="BF28" i="8"/>
  <c r="BG28" i="8" a="1"/>
  <c r="BG28" i="8"/>
  <c r="BH28" i="8" a="1"/>
  <c r="BH28" i="8" s="1"/>
  <c r="BI28" i="8" a="1"/>
  <c r="BI28" i="8"/>
  <c r="BJ28" i="8" a="1"/>
  <c r="BJ28" i="8" s="1"/>
  <c r="BK28" i="8" a="1"/>
  <c r="BK28" i="8" s="1"/>
  <c r="BL28" i="8" a="1"/>
  <c r="BL28" i="8"/>
  <c r="BM28" i="8" a="1"/>
  <c r="BM28" i="8"/>
  <c r="BN28" i="8" a="1"/>
  <c r="BN28" i="8" s="1"/>
  <c r="BO28" i="8" a="1"/>
  <c r="BO28" i="8"/>
  <c r="BP28" i="8" a="1"/>
  <c r="BP28" i="8"/>
  <c r="BQ28" i="8" a="1"/>
  <c r="BQ28" i="8" s="1"/>
  <c r="BR28" i="8" a="1"/>
  <c r="BR28" i="8"/>
  <c r="BS28" i="8" a="1"/>
  <c r="BS28" i="8" s="1"/>
  <c r="BT28" i="8" a="1"/>
  <c r="BT28" i="8" s="1"/>
  <c r="BU28" i="8" a="1"/>
  <c r="BU28" i="8" s="1"/>
  <c r="BV28" i="8" a="1"/>
  <c r="BV28" i="8"/>
  <c r="C29" i="8" a="1"/>
  <c r="C29" i="8"/>
  <c r="D29" i="8" a="1"/>
  <c r="D29" i="8"/>
  <c r="E29" i="8" a="1"/>
  <c r="E29" i="8"/>
  <c r="F29" i="8" a="1"/>
  <c r="F29" i="8" s="1"/>
  <c r="G29" i="8" a="1"/>
  <c r="G29" i="8" s="1"/>
  <c r="H29" i="8" a="1"/>
  <c r="H29" i="8"/>
  <c r="I29" i="8" a="1"/>
  <c r="I29" i="8" s="1"/>
  <c r="J29" i="8" a="1"/>
  <c r="J29" i="8"/>
  <c r="K29" i="8" a="1"/>
  <c r="K29" i="8" s="1"/>
  <c r="L29" i="8" a="1"/>
  <c r="L29" i="8" s="1"/>
  <c r="M29" i="8" a="1"/>
  <c r="M29" i="8"/>
  <c r="N29" i="8" a="1"/>
  <c r="N29" i="8" s="1"/>
  <c r="O29" i="8" a="1"/>
  <c r="O29" i="8"/>
  <c r="P29" i="8" a="1"/>
  <c r="P29" i="8"/>
  <c r="Q29" i="8" a="1"/>
  <c r="Q29" i="8" s="1"/>
  <c r="R29" i="8" a="1"/>
  <c r="R29" i="8" s="1"/>
  <c r="S29" i="8" a="1"/>
  <c r="S29" i="8" s="1"/>
  <c r="T29" i="8" a="1"/>
  <c r="T29" i="8"/>
  <c r="U29" i="8" a="1"/>
  <c r="U29" i="8" s="1"/>
  <c r="V29" i="8" a="1"/>
  <c r="V29" i="8"/>
  <c r="W29" i="8" a="1"/>
  <c r="W29" i="8"/>
  <c r="X29" i="8" a="1"/>
  <c r="X29" i="8" s="1"/>
  <c r="Y29" i="8" a="1"/>
  <c r="Y29" i="8" s="1"/>
  <c r="Z29" i="8" a="1"/>
  <c r="Z29" i="8"/>
  <c r="AA29" i="8" a="1"/>
  <c r="AA29" i="8"/>
  <c r="AB29" i="8" a="1"/>
  <c r="AB29" i="8"/>
  <c r="AC29" i="8" a="1"/>
  <c r="AC29" i="8" s="1"/>
  <c r="AD29" i="8" a="1"/>
  <c r="AD29" i="8" s="1"/>
  <c r="AE29" i="8" a="1"/>
  <c r="AE29" i="8" s="1"/>
  <c r="AF29" i="8" a="1"/>
  <c r="AF29" i="8" s="1"/>
  <c r="AG29" i="8" a="1"/>
  <c r="AG29" i="8"/>
  <c r="AH29" i="8" a="1"/>
  <c r="AH29" i="8"/>
  <c r="AI29" i="8" a="1"/>
  <c r="AI29" i="8"/>
  <c r="AJ29" i="8" a="1"/>
  <c r="AJ29" i="8" s="1"/>
  <c r="AK29" i="8" a="1"/>
  <c r="AK29" i="8" s="1"/>
  <c r="AL29" i="8" a="1"/>
  <c r="AL29" i="8" s="1"/>
  <c r="AM29" i="8" a="1"/>
  <c r="AM29" i="8"/>
  <c r="AN29" i="8" a="1"/>
  <c r="AN29" i="8"/>
  <c r="AO29" i="8" a="1"/>
  <c r="AO29" i="8"/>
  <c r="AP29" i="8" a="1"/>
  <c r="AP29" i="8" s="1"/>
  <c r="AQ29" i="8" a="1"/>
  <c r="AQ29" i="8"/>
  <c r="AR29" i="8" a="1"/>
  <c r="AR29" i="8" s="1"/>
  <c r="AS29" i="8" a="1"/>
  <c r="AS29" i="8" s="1"/>
  <c r="AT29" i="8" a="1"/>
  <c r="AT29" i="8"/>
  <c r="AU29" i="8" a="1"/>
  <c r="AU29" i="8" s="1"/>
  <c r="AV29" i="8" a="1"/>
  <c r="AV29" i="8" s="1"/>
  <c r="AW29" i="8" a="1"/>
  <c r="AW29" i="8"/>
  <c r="AX29" i="8" a="1"/>
  <c r="AX29" i="8"/>
  <c r="AY29" i="8" a="1"/>
  <c r="AY29" i="8" s="1"/>
  <c r="AZ29" i="8" a="1"/>
  <c r="AZ29" i="8"/>
  <c r="BA29" i="8" a="1"/>
  <c r="BA29" i="8"/>
  <c r="BB29" i="8" a="1"/>
  <c r="BB29" i="8" s="1"/>
  <c r="BC29" i="8" a="1"/>
  <c r="BC29" i="8"/>
  <c r="BD29" i="8" a="1"/>
  <c r="BD29" i="8"/>
  <c r="BE29" i="8" a="1"/>
  <c r="BE29" i="8" s="1"/>
  <c r="BF29" i="8" a="1"/>
  <c r="BF29" i="8"/>
  <c r="BG29" i="8" a="1"/>
  <c r="BG29" i="8"/>
  <c r="BH29" i="8" a="1"/>
  <c r="BH29" i="8" s="1"/>
  <c r="BI29" i="8" a="1"/>
  <c r="BI29" i="8" s="1"/>
  <c r="BJ29" i="8" a="1"/>
  <c r="BJ29" i="8"/>
  <c r="BK29" i="8" a="1"/>
  <c r="BK29" i="8"/>
  <c r="BL29" i="8" a="1"/>
  <c r="BL29" i="8"/>
  <c r="BM29" i="8" a="1"/>
  <c r="BM29" i="8"/>
  <c r="BN29" i="8" a="1"/>
  <c r="BN29" i="8" s="1"/>
  <c r="BO29" i="8" a="1"/>
  <c r="BO29" i="8"/>
  <c r="BP29" i="8" a="1"/>
  <c r="BP29" i="8" s="1"/>
  <c r="BQ29" i="8" a="1"/>
  <c r="BQ29" i="8" s="1"/>
  <c r="BR29" i="8" a="1"/>
  <c r="BR29" i="8"/>
  <c r="BS29" i="8" a="1"/>
  <c r="BS29" i="8" s="1"/>
  <c r="BT29" i="8" a="1"/>
  <c r="BT29" i="8" s="1"/>
  <c r="BU29" i="8" a="1"/>
  <c r="BU29" i="8"/>
  <c r="BV29" i="8" a="1"/>
  <c r="BV29" i="8"/>
  <c r="C30" i="8" a="1"/>
  <c r="C30" i="8" s="1"/>
  <c r="D30" i="8" a="1"/>
  <c r="D30" i="8"/>
  <c r="E30" i="8" a="1"/>
  <c r="E30" i="8" s="1"/>
  <c r="F30" i="8" a="1"/>
  <c r="F30" i="8" s="1"/>
  <c r="G30" i="8" a="1"/>
  <c r="G30" i="8" s="1"/>
  <c r="H30" i="8" a="1"/>
  <c r="H30" i="8"/>
  <c r="I30" i="8" a="1"/>
  <c r="I30" i="8"/>
  <c r="J30" i="8" a="1"/>
  <c r="J30" i="8"/>
  <c r="K30" i="8" a="1"/>
  <c r="K30" i="8"/>
  <c r="L30" i="8" a="1"/>
  <c r="L30" i="8" s="1"/>
  <c r="M30" i="8" a="1"/>
  <c r="M30" i="8"/>
  <c r="N30" i="8" a="1"/>
  <c r="N30" i="8"/>
  <c r="O30" i="8" a="1"/>
  <c r="O30" i="8" s="1"/>
  <c r="P30" i="8" a="1"/>
  <c r="P30" i="8"/>
  <c r="Q30" i="8" a="1"/>
  <c r="Q30" i="8" s="1"/>
  <c r="R30" i="8" a="1"/>
  <c r="R30" i="8" s="1"/>
  <c r="S30" i="8" a="1"/>
  <c r="S30" i="8" s="1"/>
  <c r="T30" i="8" a="1"/>
  <c r="T30" i="8" s="1"/>
  <c r="U30" i="8" a="1"/>
  <c r="U30" i="8"/>
  <c r="V30" i="8" a="1"/>
  <c r="V30" i="8"/>
  <c r="W30" i="8" a="1"/>
  <c r="W30" i="8"/>
  <c r="X30" i="8" a="1"/>
  <c r="X30" i="8" s="1"/>
  <c r="Y30" i="8" a="1"/>
  <c r="Y30" i="8" s="1"/>
  <c r="Z30" i="8" a="1"/>
  <c r="Z30" i="8"/>
  <c r="AA30" i="8" a="1"/>
  <c r="AA30" i="8" s="1"/>
  <c r="AB30" i="8" a="1"/>
  <c r="AB30" i="8"/>
  <c r="AC30" i="8" a="1"/>
  <c r="AC30" i="8"/>
  <c r="AD30" i="8" a="1"/>
  <c r="AD30" i="8" s="1"/>
  <c r="AE30" i="8" a="1"/>
  <c r="AE30" i="8" s="1"/>
  <c r="AF30" i="8" a="1"/>
  <c r="AF30" i="8" s="1"/>
  <c r="AG30" i="8" a="1"/>
  <c r="AG30" i="8"/>
  <c r="AH30" i="8" a="1"/>
  <c r="AH30" i="8"/>
  <c r="AI30" i="8" a="1"/>
  <c r="AI30" i="8"/>
  <c r="AJ30" i="8" a="1"/>
  <c r="AJ30" i="8" s="1"/>
  <c r="AK30" i="8" a="1"/>
  <c r="AK30" i="8" s="1"/>
  <c r="AL30" i="8" a="1"/>
  <c r="AL30" i="8" s="1"/>
  <c r="AM30" i="8" a="1"/>
  <c r="AM30" i="8"/>
  <c r="AN30" i="8" a="1"/>
  <c r="AN30" i="8"/>
  <c r="AO30" i="8" a="1"/>
  <c r="AO30" i="8"/>
  <c r="AP30" i="8" a="1"/>
  <c r="AP30" i="8" s="1"/>
  <c r="AQ30" i="8" a="1"/>
  <c r="AQ30" i="8"/>
  <c r="AR30" i="8" a="1"/>
  <c r="AR30" i="8"/>
  <c r="AS30" i="8" a="1"/>
  <c r="AS30" i="8" s="1"/>
  <c r="AT30" i="8" a="1"/>
  <c r="AT30" i="8"/>
  <c r="AU30" i="8" a="1"/>
  <c r="AU30" i="8" s="1"/>
  <c r="AV30" i="8" a="1"/>
  <c r="AV30" i="8" s="1"/>
  <c r="AW30" i="8" a="1"/>
  <c r="AW30" i="8"/>
  <c r="AX30" i="8" a="1"/>
  <c r="AX30" i="8"/>
  <c r="AY30" i="8" a="1"/>
  <c r="AY30" i="8" s="1"/>
  <c r="AZ30" i="8" a="1"/>
  <c r="AZ30" i="8"/>
  <c r="BA30" i="8" a="1"/>
  <c r="BA30" i="8" s="1"/>
  <c r="BB30" i="8" a="1"/>
  <c r="BB30" i="8" s="1"/>
  <c r="BC30" i="8" a="1"/>
  <c r="BC30" i="8"/>
  <c r="BD30" i="8" a="1"/>
  <c r="BD30" i="8"/>
  <c r="BE30" i="8" a="1"/>
  <c r="BE30" i="8"/>
  <c r="BF30" i="8" a="1"/>
  <c r="BF30" i="8"/>
  <c r="BG30" i="8" a="1"/>
  <c r="BG30" i="8" s="1"/>
  <c r="BH30" i="8" a="1"/>
  <c r="BH30" i="8" s="1"/>
  <c r="BI30" i="8" a="1"/>
  <c r="BI30" i="8" s="1"/>
  <c r="BJ30" i="8" a="1"/>
  <c r="BJ30" i="8"/>
  <c r="BK30" i="8" a="1"/>
  <c r="BK30" i="8"/>
  <c r="BL30" i="8" a="1"/>
  <c r="BL30" i="8"/>
  <c r="BM30" i="8" a="1"/>
  <c r="BM30" i="8"/>
  <c r="BN30" i="8" a="1"/>
  <c r="BN30" i="8" s="1"/>
  <c r="BO30" i="8" a="1"/>
  <c r="BO30" i="8" s="1"/>
  <c r="BP30" i="8" a="1"/>
  <c r="BP30" i="8"/>
  <c r="BQ30" i="8" a="1"/>
  <c r="BQ30" i="8" s="1"/>
  <c r="BR30" i="8" a="1"/>
  <c r="BR30" i="8"/>
  <c r="BS30" i="8" a="1"/>
  <c r="BS30" i="8" s="1"/>
  <c r="BT30" i="8" a="1"/>
  <c r="BT30" i="8" s="1"/>
  <c r="BU30" i="8" a="1"/>
  <c r="BU30" i="8" s="1"/>
  <c r="BV30" i="8" a="1"/>
  <c r="BV30" i="8" s="1"/>
  <c r="C31" i="8" a="1"/>
  <c r="C31" i="8"/>
  <c r="D31" i="8" a="1"/>
  <c r="D31" i="8"/>
  <c r="E31" i="8" a="1"/>
  <c r="E31" i="8" s="1"/>
  <c r="F31" i="8" a="1"/>
  <c r="F31" i="8" s="1"/>
  <c r="G31" i="8" a="1"/>
  <c r="G31" i="8"/>
  <c r="H31" i="8" a="1"/>
  <c r="H31" i="8"/>
  <c r="I31" i="8" a="1"/>
  <c r="I31" i="8" s="1"/>
  <c r="J31" i="8" a="1"/>
  <c r="J31" i="8"/>
  <c r="K31" i="8" a="1"/>
  <c r="K31" i="8" s="1"/>
  <c r="L31" i="8" a="1"/>
  <c r="L31" i="8" s="1"/>
  <c r="M31" i="8" a="1"/>
  <c r="M31" i="8"/>
  <c r="N31" i="8" a="1"/>
  <c r="N31" i="8"/>
  <c r="O31" i="8" a="1"/>
  <c r="O31" i="8" s="1"/>
  <c r="P31" i="8" a="1"/>
  <c r="P31" i="8"/>
  <c r="Q31" i="8" a="1"/>
  <c r="Q31" i="8"/>
  <c r="R31" i="8" a="1"/>
  <c r="R31" i="8" s="1"/>
  <c r="S31" i="8" a="1"/>
  <c r="S31" i="8" s="1"/>
  <c r="T31" i="8" a="1"/>
  <c r="T31" i="8" s="1"/>
  <c r="U31" i="8" a="1"/>
  <c r="U31" i="8"/>
  <c r="V31" i="8" a="1"/>
  <c r="V31" i="8"/>
  <c r="W31" i="8" a="1"/>
  <c r="W31" i="8"/>
  <c r="X31" i="8" a="1"/>
  <c r="X31" i="8" s="1"/>
  <c r="Y31" i="8" a="1"/>
  <c r="Y31" i="8"/>
  <c r="Z31" i="8" a="1"/>
  <c r="Z31" i="8"/>
  <c r="AA31" i="8" a="1"/>
  <c r="AA31" i="8"/>
  <c r="AB31" i="8" a="1"/>
  <c r="AB31" i="8"/>
  <c r="AC31" i="8" a="1"/>
  <c r="AC31" i="8" s="1"/>
  <c r="AD31" i="8" a="1"/>
  <c r="AD31" i="8" s="1"/>
  <c r="AE31" i="8" a="1"/>
  <c r="AE31" i="8" s="1"/>
  <c r="AF31" i="8" a="1"/>
  <c r="AF31" i="8" s="1"/>
  <c r="AG31" i="8" a="1"/>
  <c r="AG31" i="8" s="1"/>
  <c r="AH31" i="8" a="1"/>
  <c r="AH31" i="8"/>
  <c r="AI31" i="8" a="1"/>
  <c r="AI31" i="8"/>
  <c r="AJ31" i="8" a="1"/>
  <c r="AJ31" i="8" s="1"/>
  <c r="AK31" i="8" a="1"/>
  <c r="AK31" i="8"/>
  <c r="AL31" i="8" a="1"/>
  <c r="AL31" i="8" s="1"/>
  <c r="AM31" i="8" a="1"/>
  <c r="AM31" i="8"/>
  <c r="AN31" i="8" a="1"/>
  <c r="AN31" i="8"/>
  <c r="AO31" i="8" a="1"/>
  <c r="AO31" i="8"/>
  <c r="AP31" i="8" a="1"/>
  <c r="AP31" i="8" s="1"/>
  <c r="AQ31" i="8" a="1"/>
  <c r="AQ31" i="8" s="1"/>
  <c r="AR31" i="8" a="1"/>
  <c r="AR31" i="8"/>
  <c r="AS31" i="8" a="1"/>
  <c r="AS31" i="8" s="1"/>
  <c r="AT31" i="8" a="1"/>
  <c r="AT31" i="8"/>
  <c r="AU31" i="8" a="1"/>
  <c r="AU31" i="8" s="1"/>
  <c r="AV31" i="8" a="1"/>
  <c r="AV31" i="8" s="1"/>
  <c r="AW31" i="8" a="1"/>
  <c r="AW31" i="8"/>
  <c r="AX31" i="8" a="1"/>
  <c r="AX31" i="8" s="1"/>
  <c r="AY31" i="8" a="1"/>
  <c r="AY31" i="8"/>
  <c r="AZ31" i="8" a="1"/>
  <c r="AZ31" i="8"/>
  <c r="BA31" i="8" a="1"/>
  <c r="BA31" i="8"/>
  <c r="BB31" i="8" a="1"/>
  <c r="BB31" i="8" s="1"/>
  <c r="BC31" i="8" a="1"/>
  <c r="BC31" i="8" s="1"/>
  <c r="BD31" i="8" a="1"/>
  <c r="BD31" i="8" s="1"/>
  <c r="BE31" i="8" a="1"/>
  <c r="BE31" i="8"/>
  <c r="BF31" i="8" a="1"/>
  <c r="BF31" i="8"/>
  <c r="BG31" i="8" a="1"/>
  <c r="BG31" i="8"/>
  <c r="BH31" i="8" a="1"/>
  <c r="BH31" i="8" s="1"/>
  <c r="BI31" i="8" a="1"/>
  <c r="BI31" i="8"/>
  <c r="BJ31" i="8" a="1"/>
  <c r="BJ31" i="8" s="1"/>
  <c r="BK31" i="8" a="1"/>
  <c r="BK31" i="8" s="1"/>
  <c r="BL31" i="8" a="1"/>
  <c r="BL31" i="8"/>
  <c r="BM31" i="8" a="1"/>
  <c r="BM31" i="8"/>
  <c r="BN31" i="8" a="1"/>
  <c r="BN31" i="8" s="1"/>
  <c r="BO31" i="8" a="1"/>
  <c r="BO31" i="8"/>
  <c r="BP31" i="8" a="1"/>
  <c r="BP31" i="8" s="1"/>
  <c r="BQ31" i="8" a="1"/>
  <c r="BQ31" i="8" s="1"/>
  <c r="BR31" i="8" a="1"/>
  <c r="BR31" i="8"/>
  <c r="BS31" i="8" a="1"/>
  <c r="BS31" i="8" s="1"/>
  <c r="BT31" i="8" a="1"/>
  <c r="BT31" i="8" s="1"/>
  <c r="BU31" i="8" a="1"/>
  <c r="BU31" i="8"/>
  <c r="BV31" i="8" a="1"/>
  <c r="BV31" i="8"/>
  <c r="C32" i="8" a="1"/>
  <c r="C32" i="8"/>
  <c r="D32" i="8" a="1"/>
  <c r="D32" i="8"/>
  <c r="E32" i="8" a="1"/>
  <c r="E32" i="8"/>
  <c r="F32" i="8" a="1"/>
  <c r="F32" i="8" s="1"/>
  <c r="G32" i="8" a="1"/>
  <c r="G32" i="8" s="1"/>
  <c r="H32" i="8" a="1"/>
  <c r="H32" i="8"/>
  <c r="I32" i="8" a="1"/>
  <c r="I32" i="8"/>
  <c r="J32" i="8" a="1"/>
  <c r="J32" i="8"/>
  <c r="K32" i="8" a="1"/>
  <c r="K32" i="8" s="1"/>
  <c r="L32" i="8" a="1"/>
  <c r="L32" i="8" s="1"/>
  <c r="M32" i="8" a="1"/>
  <c r="M32" i="8"/>
  <c r="N32" i="8" a="1"/>
  <c r="N32" i="8" s="1"/>
  <c r="O32" i="8" a="1"/>
  <c r="O32" i="8"/>
  <c r="P32" i="8" a="1"/>
  <c r="P32" i="8"/>
  <c r="Q32" i="8" a="1"/>
  <c r="Q32" i="8" s="1"/>
  <c r="R32" i="8" a="1"/>
  <c r="R32" i="8" s="1"/>
  <c r="S32" i="8" a="1"/>
  <c r="S32" i="8" s="1"/>
  <c r="T32" i="8" a="1"/>
  <c r="T32" i="8" s="1"/>
  <c r="U32" i="8" a="1"/>
  <c r="U32" i="8"/>
  <c r="V32" i="8" a="1"/>
  <c r="V32" i="8"/>
  <c r="W32" i="8" a="1"/>
  <c r="W32" i="8"/>
  <c r="X32" i="8" a="1"/>
  <c r="X32" i="8" s="1"/>
  <c r="Y32" i="8" a="1"/>
  <c r="Y32" i="8" s="1"/>
  <c r="Z32" i="8" a="1"/>
  <c r="Z32" i="8"/>
  <c r="AA32" i="8" a="1"/>
  <c r="AA32" i="8" s="1"/>
  <c r="AB32" i="8" a="1"/>
  <c r="AB32" i="8"/>
  <c r="AC32" i="8" a="1"/>
  <c r="AC32" i="8"/>
  <c r="AD32" i="8" a="1"/>
  <c r="AD32" i="8" s="1"/>
  <c r="AE32" i="8" a="1"/>
  <c r="AE32" i="8" s="1"/>
  <c r="AF32" i="8" a="1"/>
  <c r="AF32" i="8" s="1"/>
  <c r="AG32" i="8" a="1"/>
  <c r="AG32" i="8"/>
  <c r="AH32" i="8" a="1"/>
  <c r="AH32" i="8"/>
  <c r="AI32" i="8" a="1"/>
  <c r="AI32" i="8"/>
  <c r="AJ32" i="8" a="1"/>
  <c r="AJ32" i="8" s="1"/>
  <c r="AK32" i="8" a="1"/>
  <c r="AK32" i="8"/>
  <c r="AL32" i="8" a="1"/>
  <c r="AL32" i="8" s="1"/>
  <c r="AM32" i="8" a="1"/>
  <c r="AM32" i="8"/>
  <c r="AN32" i="8" a="1"/>
  <c r="AN32" i="8"/>
  <c r="AO32" i="8" a="1"/>
  <c r="AO32" i="8" s="1"/>
  <c r="AP32" i="8" a="1"/>
  <c r="AP32" i="8"/>
  <c r="AQ32" i="8" a="1"/>
  <c r="AQ32" i="8" s="1"/>
  <c r="AR32" i="8" a="1"/>
  <c r="AR32" i="8" s="1"/>
  <c r="AS32" i="8" a="1"/>
  <c r="AS32" i="8"/>
  <c r="AT32" i="8" a="1"/>
  <c r="AT32" i="8"/>
  <c r="AU32" i="8" a="1"/>
  <c r="AU32" i="8"/>
  <c r="AV32" i="8" a="1"/>
  <c r="AV32" i="8" s="1"/>
  <c r="AW32" i="8" a="1"/>
  <c r="AW32" i="8"/>
  <c r="AX32" i="8" a="1"/>
  <c r="AX32" i="8" s="1"/>
  <c r="AY32" i="8" a="1"/>
  <c r="AY32" i="8"/>
  <c r="AZ32" i="8" a="1"/>
  <c r="AZ32" i="8"/>
  <c r="BA32" i="8" a="1"/>
  <c r="BA32" i="8"/>
  <c r="BB32" i="8" a="1"/>
  <c r="BB32" i="8" s="1"/>
  <c r="BC32" i="8" a="1"/>
  <c r="BC32" i="8"/>
  <c r="BD32" i="8" a="1"/>
  <c r="BD32" i="8" s="1"/>
  <c r="BE32" i="8" a="1"/>
  <c r="BE32" i="8"/>
  <c r="BF32" i="8" a="1"/>
  <c r="BF32" i="8"/>
  <c r="BG32" i="8" a="1"/>
  <c r="BG32" i="8"/>
  <c r="BH32" i="8" a="1"/>
  <c r="BH32" i="8"/>
  <c r="BI32" i="8" a="1"/>
  <c r="BI32" i="8" s="1"/>
  <c r="BJ32" i="8" a="1"/>
  <c r="BJ32" i="8" s="1"/>
  <c r="BK32" i="8" a="1"/>
  <c r="BK32" i="8"/>
  <c r="BL32" i="8" a="1"/>
  <c r="BL32" i="8"/>
  <c r="BM32" i="8" a="1"/>
  <c r="BM32" i="8" s="1"/>
  <c r="BN32" i="8" a="1"/>
  <c r="BN32" i="8"/>
  <c r="BO32" i="8" a="1"/>
  <c r="BO32" i="8" s="1"/>
  <c r="BP32" i="8" a="1"/>
  <c r="BP32" i="8" s="1"/>
  <c r="BQ32" i="8" a="1"/>
  <c r="BQ32" i="8"/>
  <c r="BR32" i="8" a="1"/>
  <c r="BR32" i="8"/>
  <c r="BS32" i="8" a="1"/>
  <c r="BS32" i="8"/>
  <c r="BT32" i="8" a="1"/>
  <c r="BT32" i="8" s="1"/>
  <c r="BU32" i="8" a="1"/>
  <c r="BU32" i="8" s="1"/>
  <c r="BV32" i="8" a="1"/>
  <c r="BV32" i="8" s="1"/>
  <c r="C33" i="8" a="1"/>
  <c r="C33" i="8"/>
  <c r="D33" i="8" a="1"/>
  <c r="D33" i="8"/>
  <c r="E33" i="8" a="1"/>
  <c r="E33" i="8"/>
  <c r="F33" i="8" a="1"/>
  <c r="F33" i="8" s="1"/>
  <c r="G33" i="8" a="1"/>
  <c r="G33" i="8"/>
  <c r="H33" i="8" a="1"/>
  <c r="H33" i="8" s="1"/>
  <c r="I33" i="8" a="1"/>
  <c r="I33" i="8"/>
  <c r="J33" i="8" a="1"/>
  <c r="J33" i="8"/>
  <c r="K33" i="8" a="1"/>
  <c r="K33" i="8" s="1"/>
  <c r="L33" i="8" a="1"/>
  <c r="L33" i="8"/>
  <c r="M33" i="8" a="1"/>
  <c r="M33" i="8" s="1"/>
  <c r="N33" i="8" a="1"/>
  <c r="N33" i="8" s="1"/>
  <c r="O33" i="8" a="1"/>
  <c r="O33" i="8"/>
  <c r="P33" i="8" a="1"/>
  <c r="P33" i="8"/>
  <c r="Q33" i="8" a="1"/>
  <c r="Q33" i="8"/>
  <c r="R33" i="8" a="1"/>
  <c r="R33" i="8"/>
  <c r="S33" i="8" a="1"/>
  <c r="S33" i="8" s="1"/>
  <c r="T33" i="8" a="1"/>
  <c r="T33" i="8" s="1"/>
  <c r="U33" i="8" a="1"/>
  <c r="U33" i="8"/>
  <c r="V33" i="8" a="1"/>
  <c r="V33" i="8"/>
  <c r="W33" i="8" a="1"/>
  <c r="W33" i="8"/>
  <c r="X33" i="8" a="1"/>
  <c r="X33" i="8" s="1"/>
  <c r="Y33" i="8" a="1"/>
  <c r="Y33" i="8" s="1"/>
  <c r="Z33" i="8" a="1"/>
  <c r="Z33" i="8" s="1"/>
  <c r="AA33" i="8" a="1"/>
  <c r="AA33" i="8"/>
  <c r="AB33" i="8" a="1"/>
  <c r="AB33" i="8"/>
  <c r="AC33" i="8" a="1"/>
  <c r="AC33" i="8" s="1"/>
  <c r="AD33" i="8" a="1"/>
  <c r="AD33" i="8" s="1"/>
  <c r="AE33" i="8" a="1"/>
  <c r="AE33" i="8" s="1"/>
  <c r="AF33" i="8" a="1"/>
  <c r="AF33" i="8" s="1"/>
  <c r="AG33" i="8" a="1"/>
  <c r="AG33" i="8"/>
  <c r="AH33" i="8" a="1"/>
  <c r="AH33" i="8"/>
  <c r="AI33" i="8" a="1"/>
  <c r="AI33" i="8" s="1"/>
  <c r="AJ33" i="8" a="1"/>
  <c r="AJ33" i="8"/>
  <c r="AK33" i="8" a="1"/>
  <c r="AK33" i="8"/>
  <c r="AL33" i="8" a="1"/>
  <c r="AL33" i="8" s="1"/>
  <c r="AM33" i="8" a="1"/>
  <c r="AM33" i="8"/>
  <c r="AN33" i="8" a="1"/>
  <c r="AN33" i="8"/>
  <c r="AO33" i="8" a="1"/>
  <c r="AO33" i="8" s="1"/>
  <c r="AP33" i="8" a="1"/>
  <c r="AP33" i="8" s="1"/>
  <c r="AQ33" i="8" a="1"/>
  <c r="AQ33" i="8"/>
  <c r="AR33" i="8" a="1"/>
  <c r="AR33" i="8" s="1"/>
  <c r="AS33" i="8" a="1"/>
  <c r="AS33" i="8"/>
  <c r="AT33" i="8" a="1"/>
  <c r="AT33" i="8"/>
  <c r="AU33" i="8" a="1"/>
  <c r="AU33" i="8" s="1"/>
  <c r="AV33" i="8" a="1"/>
  <c r="AV33" i="8" s="1"/>
  <c r="AW33" i="8" a="1"/>
  <c r="AW33" i="8"/>
  <c r="AX33" i="8" a="1"/>
  <c r="AX33" i="8" s="1"/>
  <c r="AY33" i="8" a="1"/>
  <c r="AY33" i="8"/>
  <c r="AZ33" i="8" a="1"/>
  <c r="AZ33" i="8"/>
  <c r="BA33" i="8" a="1"/>
  <c r="BA33" i="8" s="1"/>
  <c r="BB33" i="8" a="1"/>
  <c r="BB33" i="8" s="1"/>
  <c r="BC33" i="8" a="1"/>
  <c r="BC33" i="8" s="1"/>
  <c r="BD33" i="8" a="1"/>
  <c r="BD33" i="8" s="1"/>
  <c r="BE33" i="8" a="1"/>
  <c r="BE33" i="8"/>
  <c r="BF33" i="8" a="1"/>
  <c r="BF33" i="8"/>
  <c r="BG33" i="8" a="1"/>
  <c r="BG33" i="8"/>
  <c r="BH33" i="8" a="1"/>
  <c r="BH33" i="8"/>
  <c r="BI33" i="8" a="1"/>
  <c r="BI33" i="8" s="1"/>
  <c r="BJ33" i="8" a="1"/>
  <c r="BJ33" i="8" s="1"/>
  <c r="BK33" i="8" a="1"/>
  <c r="BK33" i="8"/>
  <c r="BL33" i="8" a="1"/>
  <c r="BL33" i="8"/>
  <c r="BM33" i="8" a="1"/>
  <c r="BM33" i="8"/>
  <c r="BN33" i="8" a="1"/>
  <c r="BN33" i="8"/>
  <c r="BO33" i="8" a="1"/>
  <c r="BO33" i="8" s="1"/>
  <c r="BP33" i="8" a="1"/>
  <c r="BP33" i="8" s="1"/>
  <c r="BQ33" i="8" a="1"/>
  <c r="BQ33" i="8"/>
  <c r="BR33" i="8" a="1"/>
  <c r="BR33" i="8"/>
  <c r="BS33" i="8" a="1"/>
  <c r="BS33" i="8"/>
  <c r="BT33" i="8" a="1"/>
  <c r="BT33" i="8"/>
  <c r="BU33" i="8" a="1"/>
  <c r="BU33" i="8"/>
  <c r="BV33" i="8" a="1"/>
  <c r="BV33" i="8" s="1"/>
  <c r="C34" i="8" a="1"/>
  <c r="C34" i="8"/>
  <c r="D34" i="8" a="1"/>
  <c r="D34" i="8"/>
  <c r="E34" i="8" a="1"/>
  <c r="E34" i="8" s="1"/>
  <c r="F34" i="8" a="1"/>
  <c r="F34" i="8"/>
  <c r="G34" i="8" a="1"/>
  <c r="G34" i="8"/>
  <c r="H34" i="8" a="1"/>
  <c r="H34" i="8" s="1"/>
  <c r="I34" i="8" a="1"/>
  <c r="I34" i="8"/>
  <c r="J34" i="8" a="1"/>
  <c r="J34" i="8"/>
  <c r="K34" i="8" a="1"/>
  <c r="K34" i="8" s="1"/>
  <c r="L34" i="8" a="1"/>
  <c r="L34" i="8"/>
  <c r="M34" i="8" a="1"/>
  <c r="M34" i="8"/>
  <c r="N34" i="8" a="1"/>
  <c r="N34" i="8" s="1"/>
  <c r="O34" i="8" a="1"/>
  <c r="O34" i="8"/>
  <c r="P34" i="8" a="1"/>
  <c r="P34" i="8" s="1"/>
  <c r="Q34" i="8" a="1"/>
  <c r="Q34" i="8"/>
  <c r="R34" i="8" a="1"/>
  <c r="R34" i="8" s="1"/>
  <c r="S34" i="8" a="1"/>
  <c r="S34" i="8"/>
  <c r="T34" i="8" a="1"/>
  <c r="T34" i="8" s="1"/>
  <c r="U34" i="8" a="1"/>
  <c r="U34" i="8" s="1"/>
  <c r="V34" i="8" a="1"/>
  <c r="V34" i="8" s="1"/>
  <c r="W34" i="8" a="1"/>
  <c r="W34" i="8"/>
  <c r="X34" i="8" a="1"/>
  <c r="X34" i="8"/>
  <c r="Y34" i="8" a="1"/>
  <c r="Y34" i="8" s="1"/>
  <c r="Z34" i="8" a="1"/>
  <c r="Z34" i="8"/>
  <c r="AA34" i="8" a="1"/>
  <c r="AA34" i="8" s="1"/>
  <c r="AB34" i="8" a="1"/>
  <c r="AB34" i="8" s="1"/>
  <c r="AC34" i="8" a="1"/>
  <c r="AC34" i="8"/>
  <c r="AD34" i="8" a="1"/>
  <c r="AD34" i="8" s="1"/>
  <c r="AE34" i="8" a="1"/>
  <c r="AE34" i="8"/>
  <c r="AF34" i="8" a="1"/>
  <c r="AF34" i="8" s="1"/>
  <c r="AG34" i="8" a="1"/>
  <c r="AG34" i="8"/>
  <c r="AH34" i="8" a="1"/>
  <c r="AH34" i="8" s="1"/>
  <c r="AI34" i="8" a="1"/>
  <c r="AI34" i="8"/>
  <c r="AJ34" i="8" a="1"/>
  <c r="AJ34" i="8"/>
  <c r="AK34" i="8" a="1"/>
  <c r="AK34" i="8"/>
  <c r="AL34" i="8" a="1"/>
  <c r="AL34" i="8"/>
  <c r="AM34" i="8" a="1"/>
  <c r="AM34" i="8" s="1"/>
  <c r="AN34" i="8" a="1"/>
  <c r="AN34" i="8" s="1"/>
  <c r="AO34" i="8" a="1"/>
  <c r="AO34" i="8" s="1"/>
  <c r="AP34" i="8" a="1"/>
  <c r="AP34" i="8" s="1"/>
  <c r="AQ34" i="8" a="1"/>
  <c r="AQ34" i="8"/>
  <c r="AR34" i="8" a="1"/>
  <c r="AR34" i="8" s="1"/>
  <c r="AS34" i="8" a="1"/>
  <c r="AS34" i="8" s="1"/>
  <c r="AT34" i="8" a="1"/>
  <c r="AT34" i="8" s="1"/>
  <c r="AU34" i="8" a="1"/>
  <c r="AU34" i="8" s="1"/>
  <c r="AV34" i="8" a="1"/>
  <c r="AV34" i="8"/>
  <c r="AW34" i="8" a="1"/>
  <c r="AW34" i="8"/>
  <c r="AX34" i="8" a="1"/>
  <c r="AX34" i="8" s="1"/>
  <c r="AY34" i="8" a="1"/>
  <c r="AY34" i="8"/>
  <c r="AZ34" i="8" a="1"/>
  <c r="AZ34" i="8" s="1"/>
  <c r="BA34" i="8" a="1"/>
  <c r="BA34" i="8"/>
  <c r="BB34" i="8" a="1"/>
  <c r="BB34" i="8" s="1"/>
  <c r="BC34" i="8" a="1"/>
  <c r="BC34" i="8" s="1"/>
  <c r="BD34" i="8" a="1"/>
  <c r="BD34" i="8"/>
  <c r="BE34" i="8" a="1"/>
  <c r="BE34" i="8" s="1"/>
  <c r="BF34" i="8" a="1"/>
  <c r="BF34" i="8" s="1"/>
  <c r="BG34" i="8" a="1"/>
  <c r="BG34" i="8"/>
  <c r="BH34" i="8" a="1"/>
  <c r="BH34" i="8" s="1"/>
  <c r="BI34" i="8" a="1"/>
  <c r="BI34" i="8"/>
  <c r="BJ34" i="8" a="1"/>
  <c r="BJ34" i="8" s="1"/>
  <c r="BK34" i="8" a="1"/>
  <c r="BK34" i="8"/>
  <c r="BL34" i="8" a="1"/>
  <c r="BL34" i="8" s="1"/>
  <c r="BM34" i="8" a="1"/>
  <c r="BM34" i="8" s="1"/>
  <c r="BN34" i="8" a="1"/>
  <c r="BN34" i="8"/>
  <c r="BO34" i="8" a="1"/>
  <c r="BO34" i="8" s="1"/>
  <c r="BP34" i="8" a="1"/>
  <c r="BP34" i="8" s="1"/>
  <c r="BQ34" i="8" a="1"/>
  <c r="BQ34" i="8" s="1"/>
  <c r="BR34" i="8" a="1"/>
  <c r="BR34" i="8" s="1"/>
  <c r="BS34" i="8" a="1"/>
  <c r="BS34" i="8" s="1"/>
  <c r="BT34" i="8" a="1"/>
  <c r="BT34" i="8" s="1"/>
  <c r="BU34" i="8" a="1"/>
  <c r="BU34" i="8" s="1"/>
  <c r="BV34" i="8" a="1"/>
  <c r="BV34" i="8"/>
  <c r="C35" i="8" a="1"/>
  <c r="C35" i="8" s="1"/>
  <c r="D35" i="8" a="1"/>
  <c r="D35" i="8" s="1"/>
  <c r="E35" i="8" a="1"/>
  <c r="E35" i="8"/>
  <c r="F35" i="8" a="1"/>
  <c r="F35" i="8"/>
  <c r="G35" i="8" a="1"/>
  <c r="G35" i="8" s="1"/>
  <c r="H35" i="8" a="1"/>
  <c r="H35" i="8" s="1"/>
  <c r="I35" i="8" a="1"/>
  <c r="I35" i="8"/>
  <c r="J35" i="8" a="1"/>
  <c r="J35" i="8" s="1"/>
  <c r="K35" i="8" a="1"/>
  <c r="K35" i="8" s="1"/>
  <c r="L35" i="8" a="1"/>
  <c r="L35" i="8"/>
  <c r="M35" i="8" a="1"/>
  <c r="M35" i="8"/>
  <c r="N35" i="8" a="1"/>
  <c r="N35" i="8"/>
  <c r="O35" i="8" a="1"/>
  <c r="O35" i="8"/>
  <c r="P35" i="8" a="1"/>
  <c r="P35" i="8" s="1"/>
  <c r="Q35" i="8" a="1"/>
  <c r="Q35" i="8" s="1"/>
  <c r="R35" i="8" a="1"/>
  <c r="R35" i="8"/>
  <c r="S35" i="8" a="1"/>
  <c r="S35" i="8" s="1"/>
  <c r="T35" i="8" a="1"/>
  <c r="T35" i="8"/>
  <c r="U35" i="8" a="1"/>
  <c r="U35" i="8" s="1"/>
  <c r="V35" i="8" a="1"/>
  <c r="V35" i="8" s="1"/>
  <c r="W35" i="8" a="1"/>
  <c r="W35" i="8" s="1"/>
  <c r="X35" i="8" a="1"/>
  <c r="X35" i="8" s="1"/>
  <c r="Y35" i="8" a="1"/>
  <c r="Y35" i="8"/>
  <c r="Z35" i="8" a="1"/>
  <c r="Z35" i="8"/>
  <c r="AA35" i="8" a="1"/>
  <c r="AA35" i="8" s="1"/>
  <c r="AB35" i="8" a="1"/>
  <c r="AB35" i="8" s="1"/>
  <c r="AC35" i="8" a="1"/>
  <c r="AC35" i="8" s="1"/>
  <c r="AD35" i="8" a="1"/>
  <c r="AD35" i="8" s="1"/>
  <c r="AE35" i="8" a="1"/>
  <c r="AE35" i="8" s="1"/>
  <c r="AF35" i="8" a="1"/>
  <c r="AF35" i="8"/>
  <c r="AG35" i="8" a="1"/>
  <c r="AG35" i="8"/>
  <c r="AH35" i="8" a="1"/>
  <c r="AH35" i="8" s="1"/>
  <c r="AI35" i="8" a="1"/>
  <c r="AI35" i="8"/>
  <c r="AJ35" i="8" a="1"/>
  <c r="AJ35" i="8" s="1"/>
  <c r="AK35" i="8" a="1"/>
  <c r="AK35" i="8" s="1"/>
  <c r="AL35" i="8" a="1"/>
  <c r="AL35" i="8"/>
  <c r="AM35" i="8" a="1"/>
  <c r="AM35" i="8" s="1"/>
  <c r="AN35" i="8" a="1"/>
  <c r="AN35" i="8" s="1"/>
  <c r="AO35" i="8" a="1"/>
  <c r="AO35" i="8" s="1"/>
  <c r="AP35" i="8" a="1"/>
  <c r="AP35" i="8"/>
  <c r="AQ35" i="8" a="1"/>
  <c r="AQ35" i="8"/>
  <c r="AR35" i="8" a="1"/>
  <c r="AR35" i="8" s="1"/>
  <c r="AS35" i="8" a="1"/>
  <c r="AS35" i="8"/>
  <c r="AT35" i="8" a="1"/>
  <c r="AT35" i="8" s="1"/>
  <c r="AU35" i="8" a="1"/>
  <c r="AU35" i="8" s="1"/>
  <c r="AV35" i="8" a="1"/>
  <c r="AV35" i="8"/>
  <c r="AW35" i="8" a="1"/>
  <c r="AW35" i="8"/>
  <c r="AX35" i="8" a="1"/>
  <c r="AX35" i="8"/>
  <c r="AY35" i="8" a="1"/>
  <c r="AY35" i="8" s="1"/>
  <c r="AZ35" i="8" a="1"/>
  <c r="AZ35" i="8" s="1"/>
  <c r="BA35" i="8" a="1"/>
  <c r="BA35" i="8" s="1"/>
  <c r="BB35" i="8" a="1"/>
  <c r="BB35" i="8" s="1"/>
  <c r="BC35" i="8" a="1"/>
  <c r="BC35" i="8" s="1"/>
  <c r="BD35" i="8" a="1"/>
  <c r="BD35" i="8"/>
  <c r="BE35" i="8" a="1"/>
  <c r="BE35" i="8"/>
  <c r="BF35" i="8" a="1"/>
  <c r="BF35" i="8" s="1"/>
  <c r="BG35" i="8" a="1"/>
  <c r="BG35" i="8"/>
  <c r="BH35" i="8" a="1"/>
  <c r="BH35" i="8" s="1"/>
  <c r="BI35" i="8" a="1"/>
  <c r="BI35" i="8"/>
  <c r="BJ35" i="8" a="1"/>
  <c r="BJ35" i="8" s="1"/>
  <c r="BK35" i="8" a="1"/>
  <c r="BK35" i="8" s="1"/>
  <c r="BL35" i="8" a="1"/>
  <c r="BL35" i="8" s="1"/>
  <c r="BM35" i="8" a="1"/>
  <c r="BM35" i="8" s="1"/>
  <c r="BN35" i="8" a="1"/>
  <c r="BN35" i="8"/>
  <c r="BO35" i="8" a="1"/>
  <c r="BO35" i="8" s="1"/>
  <c r="BP35" i="8" a="1"/>
  <c r="BP35" i="8"/>
  <c r="BQ35" i="8" a="1"/>
  <c r="BQ35" i="8" s="1"/>
  <c r="BR35" i="8" a="1"/>
  <c r="BR35" i="8" s="1"/>
  <c r="BS35" i="8" a="1"/>
  <c r="BS35" i="8" s="1"/>
  <c r="BT35" i="8" a="1"/>
  <c r="BT35" i="8" s="1"/>
  <c r="BU35" i="8" a="1"/>
  <c r="BU35" i="8"/>
  <c r="BV35" i="8" a="1"/>
  <c r="BV35" i="8"/>
  <c r="C36" i="8" a="1"/>
  <c r="C36" i="8"/>
  <c r="D36" i="8" a="1"/>
  <c r="D36" i="8" s="1"/>
  <c r="E36" i="8" a="1"/>
  <c r="E36" i="8" s="1"/>
  <c r="F36" i="8" a="1"/>
  <c r="F36" i="8"/>
  <c r="G36" i="8" a="1"/>
  <c r="G36" i="8"/>
  <c r="H36" i="8" a="1"/>
  <c r="H36" i="8" s="1"/>
  <c r="I36" i="8" a="1"/>
  <c r="I36" i="8" s="1"/>
  <c r="J36" i="8" a="1"/>
  <c r="J36" i="8" s="1"/>
  <c r="K36" i="8" a="1"/>
  <c r="K36" i="8"/>
  <c r="L36" i="8" a="1"/>
  <c r="L36" i="8" s="1"/>
  <c r="M36" i="8" a="1"/>
  <c r="M36" i="8"/>
  <c r="N36" i="8" a="1"/>
  <c r="N36" i="8"/>
  <c r="O36" i="8" a="1"/>
  <c r="O36" i="8"/>
  <c r="P36" i="8" a="1"/>
  <c r="P36" i="8" s="1"/>
  <c r="Q36" i="8" a="1"/>
  <c r="Q36" i="8"/>
  <c r="R36" i="8" a="1"/>
  <c r="R36" i="8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/>
  <c r="Z36" i="8" a="1"/>
  <c r="Z36" i="8"/>
  <c r="AA36" i="8" a="1"/>
  <c r="AA36" i="8" s="1"/>
  <c r="AB36" i="8" a="1"/>
  <c r="AB36" i="8" s="1"/>
  <c r="AC36" i="8" a="1"/>
  <c r="AC36" i="8"/>
  <c r="AD36" i="8" a="1"/>
  <c r="AD36" i="8" s="1"/>
  <c r="AE36" i="8" a="1"/>
  <c r="AE36" i="8" s="1"/>
  <c r="AF36" i="8" a="1"/>
  <c r="AF36" i="8" s="1"/>
  <c r="AG36" i="8" a="1"/>
  <c r="AG36" i="8"/>
  <c r="AH36" i="8" a="1"/>
  <c r="AH36" i="8" s="1"/>
  <c r="AI36" i="8" a="1"/>
  <c r="AI36" i="8"/>
  <c r="AJ36" i="8" a="1"/>
  <c r="AJ36" i="8" s="1"/>
  <c r="AK36" i="8" a="1"/>
  <c r="AK36" i="8" s="1"/>
  <c r="AL36" i="8" a="1"/>
  <c r="AL36" i="8"/>
  <c r="AM36" i="8" a="1"/>
  <c r="AM36" i="8"/>
  <c r="AN36" i="8" a="1"/>
  <c r="AN36" i="8" s="1"/>
  <c r="AO36" i="8" a="1"/>
  <c r="AO36" i="8" s="1"/>
  <c r="AP36" i="8" a="1"/>
  <c r="AP36" i="8"/>
  <c r="AQ36" i="8" a="1"/>
  <c r="AQ36" i="8" s="1"/>
  <c r="AR36" i="8" a="1"/>
  <c r="AR36" i="8" s="1"/>
  <c r="AS36" i="8" a="1"/>
  <c r="AS36" i="8"/>
  <c r="AT36" i="8" a="1"/>
  <c r="AT36" i="8" s="1"/>
  <c r="AU36" i="8" a="1"/>
  <c r="AU36" i="8" s="1"/>
  <c r="AV36" i="8" a="1"/>
  <c r="AV36" i="8"/>
  <c r="AW36" i="8" a="1"/>
  <c r="AW36" i="8"/>
  <c r="AX36" i="8" a="1"/>
  <c r="AX36" i="8" s="1"/>
  <c r="AY36" i="8" a="1"/>
  <c r="AY36" i="8" s="1"/>
  <c r="AZ36" i="8" a="1"/>
  <c r="AZ36" i="8"/>
  <c r="BA36" i="8" a="1"/>
  <c r="BA36" i="8" s="1"/>
  <c r="BB36" i="8" a="1"/>
  <c r="BB36" i="8" s="1"/>
  <c r="BC36" i="8" a="1"/>
  <c r="BC36" i="8" s="1"/>
  <c r="BD36" i="8" a="1"/>
  <c r="BD36" i="8" s="1"/>
  <c r="BE36" i="8" a="1"/>
  <c r="BE36" i="8" s="1"/>
  <c r="BF36" i="8" a="1"/>
  <c r="BF36" i="8" s="1"/>
  <c r="BG36" i="8" a="1"/>
  <c r="BG36" i="8" s="1"/>
  <c r="BH36" i="8" a="1"/>
  <c r="BH36" i="8" s="1"/>
  <c r="BI36" i="8" a="1"/>
  <c r="BI36" i="8"/>
  <c r="BJ36" i="8" a="1"/>
  <c r="BJ36" i="8"/>
  <c r="BK36" i="8" a="1"/>
  <c r="BK36" i="8" s="1"/>
  <c r="BL36" i="8" a="1"/>
  <c r="BL36" i="8" s="1"/>
  <c r="BM36" i="8" a="1"/>
  <c r="BM36" i="8" s="1"/>
  <c r="BN36" i="8" a="1"/>
  <c r="BN36" i="8"/>
  <c r="BO36" i="8" a="1"/>
  <c r="BO36" i="8" s="1"/>
  <c r="BP36" i="8" a="1"/>
  <c r="BP36" i="8"/>
  <c r="BQ36" i="8" a="1"/>
  <c r="BQ36" i="8"/>
  <c r="BR36" i="8" a="1"/>
  <c r="BR36" i="8" s="1"/>
  <c r="BS36" i="8" a="1"/>
  <c r="BS36" i="8" s="1"/>
  <c r="BT36" i="8" a="1"/>
  <c r="BT36" i="8" s="1"/>
  <c r="BU36" i="8" a="1"/>
  <c r="BU36" i="8"/>
  <c r="BV36" i="8" a="1"/>
  <c r="BV36" i="8"/>
  <c r="C37" i="8" a="1"/>
  <c r="C37" i="8"/>
  <c r="D37" i="8" a="1"/>
  <c r="D37" i="8"/>
  <c r="E37" i="8" a="1"/>
  <c r="E37" i="8" s="1"/>
  <c r="F37" i="8" a="1"/>
  <c r="F37" i="8" s="1"/>
  <c r="G37" i="8" a="1"/>
  <c r="G37" i="8"/>
  <c r="H37" i="8" a="1"/>
  <c r="H37" i="8" s="1"/>
  <c r="I37" i="8" a="1"/>
  <c r="I37" i="8"/>
  <c r="J37" i="8" a="1"/>
  <c r="J37" i="8" s="1"/>
  <c r="K37" i="8" a="1"/>
  <c r="K37" i="8" s="1"/>
  <c r="L37" i="8" a="1"/>
  <c r="L37" i="8"/>
  <c r="M37" i="8" a="1"/>
  <c r="M37" i="8" s="1"/>
  <c r="N37" i="8" a="1"/>
  <c r="N37" i="8"/>
  <c r="O37" i="8" a="1"/>
  <c r="O37" i="8"/>
  <c r="P37" i="8" a="1"/>
  <c r="P37" i="8"/>
  <c r="Q37" i="8" a="1"/>
  <c r="Q37" i="8" s="1"/>
  <c r="R37" i="8" a="1"/>
  <c r="R37" i="8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/>
  <c r="Y37" i="8" a="1"/>
  <c r="Y37" i="8" s="1"/>
  <c r="Z37" i="8" a="1"/>
  <c r="Z37" i="8" s="1"/>
  <c r="AA37" i="8" a="1"/>
  <c r="AA37" i="8" s="1"/>
  <c r="AB37" i="8" a="1"/>
  <c r="AB37" i="8"/>
  <c r="AC37" i="8" a="1"/>
  <c r="AC37" i="8" s="1"/>
  <c r="AD37" i="8" a="1"/>
  <c r="AD37" i="8"/>
  <c r="AE37" i="8" a="1"/>
  <c r="AE37" i="8" s="1"/>
  <c r="AF37" i="8" a="1"/>
  <c r="AF37" i="8"/>
  <c r="AG37" i="8" a="1"/>
  <c r="AG37" i="8" s="1"/>
  <c r="AH37" i="8" a="1"/>
  <c r="AH37" i="8" s="1"/>
  <c r="AI37" i="8" a="1"/>
  <c r="AI37" i="8" s="1"/>
  <c r="AJ37" i="8" a="1"/>
  <c r="AJ37" i="8"/>
  <c r="AK37" i="8" a="1"/>
  <c r="AK37" i="8"/>
  <c r="AL37" i="8" a="1"/>
  <c r="AL37" i="8"/>
  <c r="AM37" i="8" a="1"/>
  <c r="AM37" i="8"/>
  <c r="AN37" i="8" a="1"/>
  <c r="AN37" i="8" s="1"/>
  <c r="AO37" i="8" a="1"/>
  <c r="AO37" i="8" s="1"/>
  <c r="AP37" i="8" a="1"/>
  <c r="AP37" i="8"/>
  <c r="AQ37" i="8" a="1"/>
  <c r="AQ37" i="8"/>
  <c r="AR37" i="8" a="1"/>
  <c r="AR37" i="8"/>
  <c r="AS37" i="8" a="1"/>
  <c r="AS37" i="8"/>
  <c r="AT37" i="8" a="1"/>
  <c r="AT37" i="8" s="1"/>
  <c r="AU37" i="8" a="1"/>
  <c r="AU37" i="8" s="1"/>
  <c r="AV37" i="8" a="1"/>
  <c r="AV37" i="8"/>
  <c r="AW37" i="8" a="1"/>
  <c r="AW37" i="8"/>
  <c r="AX37" i="8" a="1"/>
  <c r="AX37" i="8"/>
  <c r="AY37" i="8" a="1"/>
  <c r="AY37" i="8"/>
  <c r="AZ37" i="8" a="1"/>
  <c r="AZ37" i="8"/>
  <c r="BA37" i="8" a="1"/>
  <c r="BA37" i="8" s="1"/>
  <c r="BB37" i="8" a="1"/>
  <c r="BB37" i="8" s="1"/>
  <c r="BC37" i="8" a="1"/>
  <c r="BC37" i="8"/>
  <c r="BD37" i="8" a="1"/>
  <c r="BD37" i="8"/>
  <c r="BE37" i="8" a="1"/>
  <c r="BE37" i="8"/>
  <c r="BF37" i="8" a="1"/>
  <c r="BF37" i="8"/>
  <c r="BG37" i="8" a="1"/>
  <c r="BG37" i="8" s="1"/>
  <c r="BH37" i="8" a="1"/>
  <c r="BH37" i="8" s="1"/>
  <c r="BI37" i="8" a="1"/>
  <c r="BI37" i="8"/>
  <c r="BJ37" i="8" a="1"/>
  <c r="BJ37" i="8" s="1"/>
  <c r="BK37" i="8" a="1"/>
  <c r="BK37" i="8"/>
  <c r="BL37" i="8" a="1"/>
  <c r="BL37" i="8"/>
  <c r="BM37" i="8" a="1"/>
  <c r="BM37" i="8" s="1"/>
  <c r="BN37" i="8" a="1"/>
  <c r="BN37" i="8"/>
  <c r="BO37" i="8" a="1"/>
  <c r="BO37" i="8" s="1"/>
  <c r="BP37" i="8" a="1"/>
  <c r="BP37" i="8" s="1"/>
  <c r="BQ37" i="8" a="1"/>
  <c r="BQ37" i="8" s="1"/>
  <c r="BR37" i="8" a="1"/>
  <c r="BR37" i="8" s="1"/>
  <c r="BS37" i="8" a="1"/>
  <c r="BS37" i="8" s="1"/>
  <c r="BT37" i="8" a="1"/>
  <c r="BT37" i="8"/>
  <c r="BU37" i="8" a="1"/>
  <c r="BU37" i="8"/>
  <c r="BV37" i="8" a="1"/>
  <c r="BV37" i="8"/>
  <c r="C38" i="8" a="1"/>
  <c r="C38" i="8"/>
  <c r="D38" i="8" a="1"/>
  <c r="D38" i="8" s="1"/>
  <c r="E38" i="8" a="1"/>
  <c r="E38" i="8" s="1"/>
  <c r="F38" i="8" a="1"/>
  <c r="F38" i="8" s="1"/>
  <c r="G38" i="8" a="1"/>
  <c r="G38" i="8"/>
  <c r="H38" i="8" a="1"/>
  <c r="H38" i="8" s="1"/>
  <c r="I38" i="8" a="1"/>
  <c r="I38" i="8" s="1"/>
  <c r="J38" i="8" a="1"/>
  <c r="J38" i="8"/>
  <c r="K38" i="8" a="1"/>
  <c r="K38" i="8" s="1"/>
  <c r="L38" i="8" a="1"/>
  <c r="L38" i="8" s="1"/>
  <c r="M38" i="8" a="1"/>
  <c r="M38" i="8"/>
  <c r="N38" i="8" a="1"/>
  <c r="N38" i="8" s="1"/>
  <c r="O38" i="8" a="1"/>
  <c r="O38" i="8"/>
  <c r="P38" i="8" a="1"/>
  <c r="P38" i="8" s="1"/>
  <c r="Q38" i="8" a="1"/>
  <c r="Q38" i="8" s="1"/>
  <c r="R38" i="8" a="1"/>
  <c r="R38" i="8"/>
  <c r="S38" i="8" a="1"/>
  <c r="S38" i="8" s="1"/>
  <c r="T38" i="8" a="1"/>
  <c r="T38" i="8"/>
  <c r="U38" i="8" a="1"/>
  <c r="U38" i="8" s="1"/>
  <c r="V38" i="8" a="1"/>
  <c r="V38" i="8" s="1"/>
  <c r="W38" i="8" a="1"/>
  <c r="W38" i="8" s="1"/>
  <c r="X38" i="8" a="1"/>
  <c r="X38" i="8"/>
  <c r="Y38" i="8" a="1"/>
  <c r="Y38" i="8" s="1"/>
  <c r="Z38" i="8" a="1"/>
  <c r="Z38" i="8"/>
  <c r="AA38" i="8" a="1"/>
  <c r="AA38" i="8" s="1"/>
  <c r="AB38" i="8" a="1"/>
  <c r="AB38" i="8"/>
  <c r="AC38" i="8" a="1"/>
  <c r="AC38" i="8" s="1"/>
  <c r="AD38" i="8" a="1"/>
  <c r="AD38" i="8" s="1"/>
  <c r="AE38" i="8" a="1"/>
  <c r="AE38" i="8" s="1"/>
  <c r="AF38" i="8" a="1"/>
  <c r="AF38" i="8" s="1"/>
  <c r="AG38" i="8" a="1"/>
  <c r="AG38" i="8"/>
  <c r="AH38" i="8" a="1"/>
  <c r="AH38" i="8" s="1"/>
  <c r="AI38" i="8" a="1"/>
  <c r="AI38" i="8" s="1"/>
  <c r="AJ38" i="8" a="1"/>
  <c r="AJ38" i="8" s="1"/>
  <c r="AK38" i="8" a="1"/>
  <c r="AK38" i="8" s="1"/>
  <c r="AL38" i="8" a="1"/>
  <c r="AL38" i="8" s="1"/>
  <c r="AM38" i="8" a="1"/>
  <c r="AM38" i="8"/>
  <c r="AN38" i="8" a="1"/>
  <c r="AN38" i="8" s="1"/>
  <c r="AO38" i="8" a="1"/>
  <c r="AO38" i="8" s="1"/>
  <c r="AP38" i="8" a="1"/>
  <c r="AP38" i="8" s="1"/>
  <c r="AQ38" i="8" a="1"/>
  <c r="AQ38" i="8" s="1"/>
  <c r="AR38" i="8" a="1"/>
  <c r="AR38" i="8"/>
  <c r="AS38" i="8" a="1"/>
  <c r="AS38" i="8"/>
  <c r="AT38" i="8" a="1"/>
  <c r="AT38" i="8" s="1"/>
  <c r="AU38" i="8" a="1"/>
  <c r="AU38" i="8" s="1"/>
  <c r="AV38" i="8" a="1"/>
  <c r="AV38" i="8"/>
  <c r="AW38" i="8" a="1"/>
  <c r="AW38" i="8" s="1"/>
  <c r="AX38" i="8" a="1"/>
  <c r="AX38" i="8" s="1"/>
  <c r="AY38" i="8" a="1"/>
  <c r="AY38" i="8"/>
  <c r="AZ38" i="8" a="1"/>
  <c r="AZ38" i="8"/>
  <c r="BA38" i="8" a="1"/>
  <c r="BA38" i="8" s="1"/>
  <c r="BB38" i="8" a="1"/>
  <c r="BB38" i="8" s="1"/>
  <c r="BC38" i="8" a="1"/>
  <c r="BC38" i="8" s="1"/>
  <c r="BD38" i="8" a="1"/>
  <c r="BD38" i="8" s="1"/>
  <c r="BE38" i="8" a="1"/>
  <c r="BE38" i="8" s="1"/>
  <c r="BF38" i="8" a="1"/>
  <c r="BF38" i="8" s="1"/>
  <c r="BG38" i="8" a="1"/>
  <c r="BG38" i="8" s="1"/>
  <c r="BH38" i="8" a="1"/>
  <c r="BH38" i="8"/>
  <c r="BI38" i="8" a="1"/>
  <c r="BI38" i="8"/>
  <c r="BJ38" i="8" a="1"/>
  <c r="BJ38" i="8"/>
  <c r="BK38" i="8" a="1"/>
  <c r="BK38" i="8" s="1"/>
  <c r="BL38" i="8" a="1"/>
  <c r="BL38" i="8"/>
  <c r="BM38" i="8" a="1"/>
  <c r="BM38" i="8" s="1"/>
  <c r="BN38" i="8" a="1"/>
  <c r="BN38" i="8" s="1"/>
  <c r="BO38" i="8" a="1"/>
  <c r="BO38" i="8" s="1"/>
  <c r="BP38" i="8" a="1"/>
  <c r="BP38" i="8"/>
  <c r="BQ38" i="8" a="1"/>
  <c r="BQ38" i="8"/>
  <c r="BR38" i="8" a="1"/>
  <c r="BR38" i="8" s="1"/>
  <c r="BS38" i="8" a="1"/>
  <c r="BS38" i="8" s="1"/>
  <c r="BT38" i="8" a="1"/>
  <c r="BT38" i="8"/>
  <c r="BU38" i="8" a="1"/>
  <c r="BU38" i="8" s="1"/>
  <c r="BV38" i="8" a="1"/>
  <c r="BV38" i="8"/>
  <c r="C39" i="8" a="1"/>
  <c r="C39" i="8"/>
  <c r="D39" i="8" a="1"/>
  <c r="D39" i="8" s="1"/>
  <c r="E39" i="8" a="1"/>
  <c r="E39" i="8" s="1"/>
  <c r="F39" i="8" a="1"/>
  <c r="F39" i="8"/>
  <c r="G39" i="8" a="1"/>
  <c r="G39" i="8"/>
  <c r="H39" i="8" a="1"/>
  <c r="H39" i="8" s="1"/>
  <c r="I39" i="8" a="1"/>
  <c r="I39" i="8" s="1"/>
  <c r="J39" i="8" a="1"/>
  <c r="J39" i="8"/>
  <c r="K39" i="8" a="1"/>
  <c r="K39" i="8" s="1"/>
  <c r="L39" i="8" a="1"/>
  <c r="L39" i="8" s="1"/>
  <c r="M39" i="8" a="1"/>
  <c r="M39" i="8"/>
  <c r="N39" i="8" a="1"/>
  <c r="N39" i="8" s="1"/>
  <c r="O39" i="8" a="1"/>
  <c r="O39" i="8"/>
  <c r="P39" i="8" a="1"/>
  <c r="P39" i="8" s="1"/>
  <c r="Q39" i="8" a="1"/>
  <c r="Q39" i="8" s="1"/>
  <c r="R39" i="8" a="1"/>
  <c r="R39" i="8" s="1"/>
  <c r="S39" i="8" a="1"/>
  <c r="S39" i="8" s="1"/>
  <c r="T39" i="8" a="1"/>
  <c r="T39" i="8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/>
  <c r="AC39" i="8" a="1"/>
  <c r="AC39" i="8" s="1"/>
  <c r="AD39" i="8" a="1"/>
  <c r="AD39" i="8" s="1"/>
  <c r="AE39" i="8" a="1"/>
  <c r="AE39" i="8"/>
  <c r="AF39" i="8" a="1"/>
  <c r="AF39" i="8" s="1"/>
  <c r="AG39" i="8" a="1"/>
  <c r="AG39" i="8"/>
  <c r="AH39" i="8" a="1"/>
  <c r="AH39" i="8" s="1"/>
  <c r="AI39" i="8" a="1"/>
  <c r="AI39" i="8" s="1"/>
  <c r="AJ39" i="8" a="1"/>
  <c r="AJ39" i="8"/>
  <c r="AK39" i="8" a="1"/>
  <c r="AK39" i="8"/>
  <c r="AL39" i="8" a="1"/>
  <c r="AL39" i="8"/>
  <c r="AM39" i="8" a="1"/>
  <c r="AM39" i="8" s="1"/>
  <c r="AN39" i="8" a="1"/>
  <c r="AN39" i="8"/>
  <c r="AO39" i="8" a="1"/>
  <c r="AO39" i="8" s="1"/>
  <c r="AP39" i="8" a="1"/>
  <c r="AP39" i="8" s="1"/>
  <c r="AQ39" i="8" a="1"/>
  <c r="AQ39" i="8"/>
  <c r="AR39" i="8" a="1"/>
  <c r="AR39" i="8"/>
  <c r="AS39" i="8" a="1"/>
  <c r="AS39" i="8" s="1"/>
  <c r="AT39" i="8" a="1"/>
  <c r="AT39" i="8" s="1"/>
  <c r="AU39" i="8" a="1"/>
  <c r="AU39" i="8" s="1"/>
  <c r="AV39" i="8" a="1"/>
  <c r="AV39" i="8"/>
  <c r="AW39" i="8" a="1"/>
  <c r="AW39" i="8"/>
  <c r="AX39" i="8" a="1"/>
  <c r="AX39" i="8" s="1"/>
  <c r="AY39" i="8" a="1"/>
  <c r="AY39" i="8" s="1"/>
  <c r="AZ39" i="8" a="1"/>
  <c r="AZ39" i="8" s="1"/>
  <c r="BA39" i="8" a="1"/>
  <c r="BA39" i="8" s="1"/>
  <c r="BB39" i="8" a="1"/>
  <c r="BB39" i="8" s="1"/>
  <c r="BC39" i="8" a="1"/>
  <c r="BC39" i="8" s="1"/>
  <c r="BD39" i="8" a="1"/>
  <c r="BD39" i="8"/>
  <c r="BE39" i="8" a="1"/>
  <c r="BE39" i="8"/>
  <c r="BF39" i="8" a="1"/>
  <c r="BF39" i="8" s="1"/>
  <c r="BG39" i="8" a="1"/>
  <c r="BG39" i="8" s="1"/>
  <c r="BH39" i="8" a="1"/>
  <c r="BH39" i="8" s="1"/>
  <c r="BI39" i="8" a="1"/>
  <c r="BI39" i="8"/>
  <c r="BJ39" i="8" a="1"/>
  <c r="BJ39" i="8" s="1"/>
  <c r="BK39" i="8" a="1"/>
  <c r="BK39" i="8"/>
  <c r="BL39" i="8" a="1"/>
  <c r="BL39" i="8"/>
  <c r="BM39" i="8" a="1"/>
  <c r="BM39" i="8" s="1"/>
  <c r="BN39" i="8" a="1"/>
  <c r="BN39" i="8" s="1"/>
  <c r="BO39" i="8" a="1"/>
  <c r="BO39" i="8" s="1"/>
  <c r="BP39" i="8" a="1"/>
  <c r="BP39" i="8" s="1"/>
  <c r="BQ39" i="8" a="1"/>
  <c r="BQ39" i="8"/>
  <c r="BR39" i="8" a="1"/>
  <c r="BR39" i="8" s="1"/>
  <c r="BS39" i="8" a="1"/>
  <c r="BS39" i="8" s="1"/>
  <c r="BT39" i="8" a="1"/>
  <c r="BT39" i="8"/>
  <c r="BU39" i="8" a="1"/>
  <c r="BU39" i="8" s="1"/>
  <c r="BV39" i="8" a="1"/>
  <c r="BV39" i="8"/>
  <c r="C40" i="8" a="1"/>
  <c r="C40" i="8" s="1"/>
  <c r="D40" i="8" a="1"/>
  <c r="D40" i="8"/>
  <c r="E40" i="8" a="1"/>
  <c r="E40" i="8" s="1"/>
  <c r="F40" i="8" a="1"/>
  <c r="F40" i="8"/>
  <c r="G40" i="8" a="1"/>
  <c r="G40" i="8" s="1"/>
  <c r="H40" i="8" a="1"/>
  <c r="H40" i="8" s="1"/>
  <c r="I40" i="8" a="1"/>
  <c r="I40" i="8"/>
  <c r="J40" i="8" a="1"/>
  <c r="J40" i="8"/>
  <c r="K40" i="8" a="1"/>
  <c r="K40" i="8" s="1"/>
  <c r="L40" i="8" a="1"/>
  <c r="L40" i="8"/>
  <c r="M40" i="8" a="1"/>
  <c r="M40" i="8" s="1"/>
  <c r="N40" i="8" a="1"/>
  <c r="N40" i="8" s="1"/>
  <c r="O40" i="8" a="1"/>
  <c r="O40" i="8"/>
  <c r="P40" i="8" a="1"/>
  <c r="P40" i="8"/>
  <c r="Q40" i="8" a="1"/>
  <c r="Q40" i="8" s="1"/>
  <c r="R40" i="8" a="1"/>
  <c r="R40" i="8" s="1"/>
  <c r="S40" i="8" a="1"/>
  <c r="S40" i="8" s="1"/>
  <c r="T40" i="8" a="1"/>
  <c r="T40" i="8" s="1"/>
  <c r="U40" i="8" a="1"/>
  <c r="U40" i="8" s="1"/>
  <c r="V40" i="8" a="1"/>
  <c r="V40" i="8" s="1"/>
  <c r="W40" i="8" a="1"/>
  <c r="W40" i="8" s="1"/>
  <c r="X40" i="8" a="1"/>
  <c r="X40" i="8"/>
  <c r="Y40" i="8" a="1"/>
  <c r="Y40" i="8"/>
  <c r="Z40" i="8" a="1"/>
  <c r="Z40" i="8"/>
  <c r="AA40" i="8" a="1"/>
  <c r="AA40" i="8" s="1"/>
  <c r="AB40" i="8" a="1"/>
  <c r="AB40" i="8"/>
  <c r="AC40" i="8" a="1"/>
  <c r="AC40" i="8" s="1"/>
  <c r="AD40" i="8" a="1"/>
  <c r="AD40" i="8"/>
  <c r="AE40" i="8" a="1"/>
  <c r="AE40" i="8"/>
  <c r="AF40" i="8" a="1"/>
  <c r="AF40" i="8" s="1"/>
  <c r="AG40" i="8" a="1"/>
  <c r="AG40" i="8"/>
  <c r="AH40" i="8" a="1"/>
  <c r="AH40" i="8" s="1"/>
  <c r="AI40" i="8" a="1"/>
  <c r="AI40" i="8" s="1"/>
  <c r="AJ40" i="8" a="1"/>
  <c r="AJ40" i="8" s="1"/>
  <c r="AK40" i="8" a="1"/>
  <c r="AK40" i="8"/>
  <c r="AL40" i="8" a="1"/>
  <c r="AL40" i="8"/>
  <c r="AM40" i="8" a="1"/>
  <c r="AM40" i="8"/>
  <c r="AN40" i="8" a="1"/>
  <c r="AN40" i="8"/>
  <c r="AO40" i="8" a="1"/>
  <c r="AO40" i="8" s="1"/>
  <c r="AP40" i="8" a="1"/>
  <c r="AP40" i="8" s="1"/>
  <c r="AQ40" i="8" a="1"/>
  <c r="AQ40" i="8"/>
  <c r="AR40" i="8" a="1"/>
  <c r="AR40" i="8"/>
  <c r="AS40" i="8" a="1"/>
  <c r="AS40" i="8"/>
  <c r="AT40" i="8" a="1"/>
  <c r="AT40" i="8"/>
  <c r="AU40" i="8" a="1"/>
  <c r="AU40" i="8" s="1"/>
  <c r="AV40" i="8" a="1"/>
  <c r="AV40" i="8"/>
  <c r="AW40" i="8" a="1"/>
  <c r="AW40" i="8" s="1"/>
  <c r="AX40" i="8" a="1"/>
  <c r="AX40" i="8"/>
  <c r="AY40" i="8" a="1"/>
  <c r="AY40" i="8" s="1"/>
  <c r="AZ40" i="8" a="1"/>
  <c r="AZ40" i="8"/>
  <c r="BA40" i="8" a="1"/>
  <c r="BA40" i="8" s="1"/>
  <c r="BB40" i="8" a="1"/>
  <c r="BB40" i="8" s="1"/>
  <c r="BC40" i="8" a="1"/>
  <c r="BC40" i="8" s="1"/>
  <c r="BD40" i="8" a="1"/>
  <c r="BD40" i="8" s="1"/>
  <c r="BE40" i="8" a="1"/>
  <c r="BE40" i="8" s="1"/>
  <c r="BF40" i="8" a="1"/>
  <c r="BF40" i="8"/>
  <c r="BG40" i="8" a="1"/>
  <c r="BG40" i="8" s="1"/>
  <c r="BH40" i="8" a="1"/>
  <c r="BH40" i="8" s="1"/>
  <c r="BI40" i="8" a="1"/>
  <c r="BI40" i="8"/>
  <c r="BJ40" i="8" a="1"/>
  <c r="BJ40" i="8" s="1"/>
  <c r="BK40" i="8" a="1"/>
  <c r="BK40" i="8"/>
  <c r="BL40" i="8" a="1"/>
  <c r="BL40" i="8" s="1"/>
  <c r="BM40" i="8" a="1"/>
  <c r="BM40" i="8" s="1"/>
  <c r="BN40" i="8" a="1"/>
  <c r="BN40" i="8"/>
  <c r="BO40" i="8" a="1"/>
  <c r="BO40" i="8" s="1"/>
  <c r="BP40" i="8" a="1"/>
  <c r="BP40" i="8" s="1"/>
  <c r="BQ40" i="8" a="1"/>
  <c r="BQ40" i="8" s="1"/>
  <c r="BR40" i="8" a="1"/>
  <c r="BR40" i="8"/>
  <c r="BS40" i="8" a="1"/>
  <c r="BS40" i="8" s="1"/>
  <c r="BT40" i="8" a="1"/>
  <c r="BT40" i="8" s="1"/>
  <c r="BU40" i="8" a="1"/>
  <c r="BU40" i="8"/>
  <c r="BV40" i="8" a="1"/>
  <c r="BV40" i="8"/>
  <c r="C41" i="8" a="1"/>
  <c r="C41" i="8" s="1"/>
  <c r="D41" i="8" a="1"/>
  <c r="D41" i="8" s="1"/>
  <c r="E41" i="8" a="1"/>
  <c r="E41" i="8" s="1"/>
  <c r="F41" i="8" a="1"/>
  <c r="F41" i="8" s="1"/>
  <c r="G41" i="8" a="1"/>
  <c r="G41" i="8"/>
  <c r="H41" i="8" a="1"/>
  <c r="H41" i="8" s="1"/>
  <c r="I41" i="8" a="1"/>
  <c r="I41" i="8"/>
  <c r="J41" i="8" a="1"/>
  <c r="J41" i="8" s="1"/>
  <c r="K41" i="8" a="1"/>
  <c r="K41" i="8" s="1"/>
  <c r="L41" i="8" a="1"/>
  <c r="L41" i="8"/>
  <c r="M41" i="8" a="1"/>
  <c r="M41" i="8" s="1"/>
  <c r="N41" i="8" a="1"/>
  <c r="N41" i="8"/>
  <c r="O41" i="8" a="1"/>
  <c r="O41" i="8"/>
  <c r="P41" i="8" a="1"/>
  <c r="P41" i="8"/>
  <c r="Q41" i="8" a="1"/>
  <c r="Q41" i="8" s="1"/>
  <c r="R41" i="8" a="1"/>
  <c r="R41" i="8" s="1"/>
  <c r="S41" i="8" a="1"/>
  <c r="S41" i="8" s="1"/>
  <c r="T41" i="8" a="1"/>
  <c r="T41" i="8" s="1"/>
  <c r="U41" i="8" a="1"/>
  <c r="U41" i="8" s="1"/>
  <c r="V41" i="8" a="1"/>
  <c r="V41" i="8"/>
  <c r="W41" i="8" a="1"/>
  <c r="W41" i="8" s="1"/>
  <c r="X41" i="8" a="1"/>
  <c r="X41" i="8" s="1"/>
  <c r="Y41" i="8" a="1"/>
  <c r="Y41" i="8" s="1"/>
  <c r="Z41" i="8" a="1"/>
  <c r="Z41" i="8"/>
  <c r="AA41" i="8" a="1"/>
  <c r="AA41" i="8" s="1"/>
  <c r="AB41" i="8" a="1"/>
  <c r="AB41" i="8"/>
  <c r="AC41" i="8" a="1"/>
  <c r="AC41" i="8" s="1"/>
  <c r="AD41" i="8" a="1"/>
  <c r="AD41" i="8"/>
  <c r="AE41" i="8" a="1"/>
  <c r="AE41" i="8" s="1"/>
  <c r="AF41" i="8" a="1"/>
  <c r="AF41" i="8"/>
  <c r="AG41" i="8" a="1"/>
  <c r="AG41" i="8"/>
  <c r="AH41" i="8" a="1"/>
  <c r="AH41" i="8" s="1"/>
  <c r="AI41" i="8" a="1"/>
  <c r="AI41" i="8" s="1"/>
  <c r="AJ41" i="8" a="1"/>
  <c r="AJ41" i="8" s="1"/>
  <c r="AK41" i="8" a="1"/>
  <c r="AK41" i="8"/>
  <c r="AL41" i="8" a="1"/>
  <c r="AL41" i="8" s="1"/>
  <c r="AM41" i="8" a="1"/>
  <c r="AM41" i="8"/>
  <c r="AN41" i="8" a="1"/>
  <c r="AN41" i="8"/>
  <c r="AO41" i="8" a="1"/>
  <c r="AO41" i="8" s="1"/>
  <c r="AP41" i="8" a="1"/>
  <c r="AP41" i="8" s="1"/>
  <c r="AQ41" i="8" a="1"/>
  <c r="AQ41" i="8" s="1"/>
  <c r="AR41" i="8" a="1"/>
  <c r="AR41" i="8" s="1"/>
  <c r="AS41" i="8" a="1"/>
  <c r="AS41" i="8" s="1"/>
  <c r="AT41" i="8" a="1"/>
  <c r="AT41" i="8" s="1"/>
  <c r="AU41" i="8" a="1"/>
  <c r="AU41" i="8" s="1"/>
  <c r="AV41" i="8" a="1"/>
  <c r="AV41" i="8"/>
  <c r="AW41" i="8" a="1"/>
  <c r="AW41" i="8"/>
  <c r="AX41" i="8" a="1"/>
  <c r="AX41" i="8" s="1"/>
  <c r="AY41" i="8" a="1"/>
  <c r="AY41" i="8" s="1"/>
  <c r="AZ41" i="8" a="1"/>
  <c r="AZ41" i="8"/>
  <c r="BA41" i="8" a="1"/>
  <c r="BA41" i="8" s="1"/>
  <c r="BB41" i="8" a="1"/>
  <c r="BB41" i="8" s="1"/>
  <c r="BC41" i="8" a="1"/>
  <c r="BC41" i="8"/>
  <c r="BD41" i="8" a="1"/>
  <c r="BD41" i="8"/>
  <c r="BE41" i="8" a="1"/>
  <c r="BE41" i="8"/>
  <c r="BF41" i="8" a="1"/>
  <c r="BF41" i="8" s="1"/>
  <c r="BG41" i="8" a="1"/>
  <c r="BG41" i="8" s="1"/>
  <c r="BH41" i="8" a="1"/>
  <c r="BH41" i="8"/>
  <c r="BI41" i="8" a="1"/>
  <c r="BI41" i="8"/>
  <c r="BJ41" i="8" a="1"/>
  <c r="BJ41" i="8"/>
  <c r="BK41" i="8" a="1"/>
  <c r="BK41" i="8"/>
  <c r="BL41" i="8" a="1"/>
  <c r="BL41" i="8"/>
  <c r="BM41" i="8" a="1"/>
  <c r="BM41" i="8" s="1"/>
  <c r="BN41" i="8" a="1"/>
  <c r="BN41" i="8"/>
  <c r="BO41" i="8" a="1"/>
  <c r="BO41" i="8" s="1"/>
  <c r="BP41" i="8" a="1"/>
  <c r="BP41" i="8" s="1"/>
  <c r="BQ41" i="8" a="1"/>
  <c r="BQ41" i="8"/>
  <c r="BR41" i="8" a="1"/>
  <c r="BR41" i="8"/>
  <c r="BS41" i="8" a="1"/>
  <c r="BS41" i="8" s="1"/>
  <c r="BT41" i="8" a="1"/>
  <c r="BT41" i="8" s="1"/>
  <c r="BU41" i="8" a="1"/>
  <c r="BU41" i="8"/>
  <c r="BV41" i="8" a="1"/>
  <c r="BV41" i="8"/>
  <c r="C42" i="8" a="1"/>
  <c r="C42" i="8" s="1"/>
  <c r="D42" i="8" a="1"/>
  <c r="D42" i="8"/>
  <c r="E42" i="8" a="1"/>
  <c r="E42" i="8" s="1"/>
  <c r="F42" i="8" a="1"/>
  <c r="F42" i="8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/>
  <c r="M42" i="8" a="1"/>
  <c r="M42" i="8"/>
  <c r="N42" i="8" a="1"/>
  <c r="N42" i="8" s="1"/>
  <c r="O42" i="8" a="1"/>
  <c r="O42" i="8"/>
  <c r="P42" i="8" a="1"/>
  <c r="P42" i="8" s="1"/>
  <c r="Q42" i="8" a="1"/>
  <c r="Q42" i="8" s="1"/>
  <c r="R42" i="8" a="1"/>
  <c r="R42" i="8" s="1"/>
  <c r="S42" i="8" a="1"/>
  <c r="S42" i="8"/>
  <c r="T42" i="8" a="1"/>
  <c r="T42" i="8" s="1"/>
  <c r="U42" i="8" a="1"/>
  <c r="U42" i="8" s="1"/>
  <c r="V42" i="8" a="1"/>
  <c r="V42" i="8"/>
  <c r="W42" i="8" a="1"/>
  <c r="W42" i="8" s="1"/>
  <c r="X42" i="8" a="1"/>
  <c r="X42" i="8" s="1"/>
  <c r="Y42" i="8" a="1"/>
  <c r="Y42" i="8"/>
  <c r="Z42" i="8" a="1"/>
  <c r="Z42" i="8" s="1"/>
  <c r="AA42" i="8" a="1"/>
  <c r="AA42" i="8" s="1"/>
  <c r="AB42" i="8" a="1"/>
  <c r="AB42" i="8"/>
  <c r="AC42" i="8" a="1"/>
  <c r="AC42" i="8" s="1"/>
  <c r="AD42" i="8" a="1"/>
  <c r="AD42" i="8"/>
  <c r="AE42" i="8" a="1"/>
  <c r="AE42" i="8" s="1"/>
  <c r="AF42" i="8" a="1"/>
  <c r="AF42" i="8"/>
  <c r="AG42" i="8" a="1"/>
  <c r="AG42" i="8" s="1"/>
  <c r="AH42" i="8" a="1"/>
  <c r="AH42" i="8" s="1"/>
  <c r="AI42" i="8" a="1"/>
  <c r="AI42" i="8" s="1"/>
  <c r="AJ42" i="8" a="1"/>
  <c r="AJ42" i="8" s="1"/>
  <c r="AK42" i="8" a="1"/>
  <c r="AK42" i="8"/>
  <c r="AL42" i="8" a="1"/>
  <c r="AL42" i="8" s="1"/>
  <c r="AM42" i="8" a="1"/>
  <c r="AM42" i="8"/>
  <c r="AN42" i="8" a="1"/>
  <c r="AN42" i="8" s="1"/>
  <c r="AO42" i="8" a="1"/>
  <c r="AO42" i="8" s="1"/>
  <c r="AP42" i="8" a="1"/>
  <c r="AP42" i="8"/>
  <c r="AQ42" i="8" a="1"/>
  <c r="AQ42" i="8" s="1"/>
  <c r="AR42" i="8" a="1"/>
  <c r="AR42" i="8" s="1"/>
  <c r="AS42" i="8" a="1"/>
  <c r="AS42" i="8"/>
  <c r="AT42" i="8" a="1"/>
  <c r="AT42" i="8" s="1"/>
  <c r="AU42" i="8" a="1"/>
  <c r="AU42" i="8" s="1"/>
  <c r="AV42" i="8" a="1"/>
  <c r="AV42" i="8"/>
  <c r="AW42" i="8" a="1"/>
  <c r="AW42" i="8"/>
  <c r="AX42" i="8" a="1"/>
  <c r="AX42" i="8" s="1"/>
  <c r="AY42" i="8" a="1"/>
  <c r="AY42" i="8" s="1"/>
  <c r="AZ42" i="8" a="1"/>
  <c r="AZ42" i="8" s="1"/>
  <c r="BA42" i="8" a="1"/>
  <c r="BA42" i="8" s="1"/>
  <c r="BB42" i="8" a="1"/>
  <c r="BB42" i="8" s="1"/>
  <c r="BC42" i="8" a="1"/>
  <c r="BC42" i="8" s="1"/>
  <c r="BD42" i="8" a="1"/>
  <c r="BD42" i="8"/>
  <c r="BE42" i="8" a="1"/>
  <c r="BE42" i="8"/>
  <c r="BF42" i="8" a="1"/>
  <c r="BF42" i="8" s="1"/>
  <c r="BG42" i="8" a="1"/>
  <c r="BG42" i="8" s="1"/>
  <c r="BH42" i="8" a="1"/>
  <c r="BH42" i="8" s="1"/>
  <c r="BI42" i="8" a="1"/>
  <c r="BI42" i="8"/>
  <c r="BJ42" i="8" a="1"/>
  <c r="BJ42" i="8"/>
  <c r="BK42" i="8" a="1"/>
  <c r="BK42" i="8"/>
  <c r="BL42" i="8" a="1"/>
  <c r="BL42" i="8"/>
  <c r="BM42" i="8" a="1"/>
  <c r="BM42" i="8" s="1"/>
  <c r="BN42" i="8" a="1"/>
  <c r="BN42" i="8"/>
  <c r="BO42" i="8" a="1"/>
  <c r="BO42" i="8" s="1"/>
  <c r="BP42" i="8" a="1"/>
  <c r="BP42" i="8" s="1"/>
  <c r="BQ42" i="8" a="1"/>
  <c r="BQ42" i="8"/>
  <c r="BR42" i="8" a="1"/>
  <c r="BR42" i="8"/>
  <c r="BS42" i="8" a="1"/>
  <c r="BS42" i="8" s="1"/>
  <c r="BT42" i="8" a="1"/>
  <c r="BT42" i="8"/>
  <c r="BU42" i="8" a="1"/>
  <c r="BU42" i="8" s="1"/>
  <c r="BV42" i="8" a="1"/>
  <c r="BV42" i="8"/>
  <c r="C43" i="8" a="1"/>
  <c r="C43" i="8" s="1"/>
  <c r="D43" i="8" a="1"/>
  <c r="D43" i="8"/>
  <c r="E43" i="8" a="1"/>
  <c r="E43" i="8" s="1"/>
  <c r="F43" i="8" a="1"/>
  <c r="F43" i="8"/>
  <c r="G43" i="8" a="1"/>
  <c r="G43" i="8"/>
  <c r="H43" i="8" a="1"/>
  <c r="H43" i="8" s="1"/>
  <c r="I43" i="8" a="1"/>
  <c r="I43" i="8"/>
  <c r="J43" i="8" a="1"/>
  <c r="J43" i="8" s="1"/>
  <c r="K43" i="8" a="1"/>
  <c r="K43" i="8" s="1"/>
  <c r="L43" i="8" a="1"/>
  <c r="L43" i="8"/>
  <c r="M43" i="8" a="1"/>
  <c r="M43" i="8"/>
  <c r="N43" i="8" a="1"/>
  <c r="N43" i="8"/>
  <c r="O43" i="8" a="1"/>
  <c r="O43" i="8"/>
  <c r="P43" i="8" a="1"/>
  <c r="P43" i="8" s="1"/>
  <c r="Q43" i="8" a="1"/>
  <c r="Q43" i="8" s="1"/>
  <c r="R43" i="8" a="1"/>
  <c r="R43" i="8" s="1"/>
  <c r="S43" i="8" a="1"/>
  <c r="S43" i="8"/>
  <c r="T43" i="8" a="1"/>
  <c r="T43" i="8"/>
  <c r="U43" i="8" a="1"/>
  <c r="U43" i="8" s="1"/>
  <c r="V43" i="8" a="1"/>
  <c r="V43" i="8"/>
  <c r="W43" i="8" a="1"/>
  <c r="W43" i="8" s="1"/>
  <c r="X43" i="8" a="1"/>
  <c r="X43" i="8" s="1"/>
  <c r="Y43" i="8" a="1"/>
  <c r="Y43" i="8" s="1"/>
  <c r="Z43" i="8" a="1"/>
  <c r="Z43" i="8" s="1"/>
  <c r="AA43" i="8" a="1"/>
  <c r="AA43" i="8"/>
  <c r="AB43" i="8" a="1"/>
  <c r="AB43" i="8"/>
  <c r="AC43" i="8" a="1"/>
  <c r="AC43" i="8" s="1"/>
  <c r="AD43" i="8" a="1"/>
  <c r="AD43" i="8" s="1"/>
  <c r="AE43" i="8" a="1"/>
  <c r="AE43" i="8"/>
  <c r="AF43" i="8" a="1"/>
  <c r="AF43" i="8" s="1"/>
  <c r="AG43" i="8" a="1"/>
  <c r="AG43" i="8" s="1"/>
  <c r="AH43" i="8" a="1"/>
  <c r="AH43" i="8" s="1"/>
  <c r="AI43" i="8" a="1"/>
  <c r="AI43" i="8" s="1"/>
  <c r="AJ43" i="8" a="1"/>
  <c r="AJ43" i="8"/>
  <c r="AK43" i="8" a="1"/>
  <c r="AK43" i="8" s="1"/>
  <c r="AL43" i="8" a="1"/>
  <c r="AL43" i="8"/>
  <c r="AM43" i="8" a="1"/>
  <c r="AM43" i="8"/>
  <c r="AN43" i="8" a="1"/>
  <c r="AN43" i="8" s="1"/>
  <c r="AO43" i="8" a="1"/>
  <c r="AO43" i="8" s="1"/>
  <c r="AP43" i="8" a="1"/>
  <c r="AP43" i="8" s="1"/>
  <c r="AQ43" i="8" a="1"/>
  <c r="AQ43" i="8"/>
  <c r="AR43" i="8" a="1"/>
  <c r="AR43" i="8" s="1"/>
  <c r="AS43" i="8" a="1"/>
  <c r="AS43" i="8"/>
  <c r="AT43" i="8" a="1"/>
  <c r="AT43" i="8"/>
  <c r="AU43" i="8" a="1"/>
  <c r="AU43" i="8" s="1"/>
  <c r="AV43" i="8" a="1"/>
  <c r="AV43" i="8"/>
  <c r="AW43" i="8" a="1"/>
  <c r="AW43" i="8" s="1"/>
  <c r="AX43" i="8" a="1"/>
  <c r="AX43" i="8" s="1"/>
  <c r="AY43" i="8" a="1"/>
  <c r="AY43" i="8"/>
  <c r="AZ43" i="8" a="1"/>
  <c r="AZ43" i="8"/>
  <c r="BA43" i="8" a="1"/>
  <c r="BA43" i="8" s="1"/>
  <c r="BB43" i="8" a="1"/>
  <c r="BB43" i="8" s="1"/>
  <c r="BC43" i="8" a="1"/>
  <c r="BC43" i="8" s="1"/>
  <c r="BD43" i="8" a="1"/>
  <c r="BD43" i="8"/>
  <c r="BE43" i="8" a="1"/>
  <c r="BE43" i="8" s="1"/>
  <c r="BF43" i="8" a="1"/>
  <c r="BF43" i="8"/>
  <c r="BG43" i="8" a="1"/>
  <c r="BG43" i="8" s="1"/>
  <c r="BH43" i="8" a="1"/>
  <c r="BH43" i="8"/>
  <c r="BI43" i="8" a="1"/>
  <c r="BI43" i="8"/>
  <c r="BJ43" i="8" a="1"/>
  <c r="BJ43" i="8" s="1"/>
  <c r="BK43" i="8" a="1"/>
  <c r="BK43" i="8"/>
  <c r="BL43" i="8" a="1"/>
  <c r="BL43" i="8" s="1"/>
  <c r="BM43" i="8" a="1"/>
  <c r="BM43" i="8" s="1"/>
  <c r="BN43" i="8" a="1"/>
  <c r="BN43" i="8"/>
  <c r="BO43" i="8" a="1"/>
  <c r="BO43" i="8" s="1"/>
  <c r="BP43" i="8" a="1"/>
  <c r="BP43" i="8" s="1"/>
  <c r="BQ43" i="8" a="1"/>
  <c r="BQ43" i="8"/>
  <c r="BR43" i="8" a="1"/>
  <c r="BR43" i="8" s="1"/>
  <c r="BS43" i="8" a="1"/>
  <c r="BS43" i="8" s="1"/>
  <c r="BT43" i="8" a="1"/>
  <c r="BT43" i="8"/>
  <c r="BU43" i="8" a="1"/>
  <c r="BU43" i="8" s="1"/>
  <c r="BV43" i="8" a="1"/>
  <c r="BV43" i="8"/>
  <c r="C44" i="8" a="1"/>
  <c r="C44" i="8"/>
  <c r="D44" i="8" a="1"/>
  <c r="D44" i="8" s="1"/>
  <c r="E44" i="8" a="1"/>
  <c r="E44" i="8" s="1"/>
  <c r="F44" i="8" a="1"/>
  <c r="F44" i="8" s="1"/>
  <c r="G44" i="8" a="1"/>
  <c r="G44" i="8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/>
  <c r="O44" i="8" a="1"/>
  <c r="O44" i="8"/>
  <c r="P44" i="8" a="1"/>
  <c r="P44" i="8"/>
  <c r="Q44" i="8" a="1"/>
  <c r="Q44" i="8" s="1"/>
  <c r="R44" i="8" a="1"/>
  <c r="R44" i="8"/>
  <c r="S44" i="8" a="1"/>
  <c r="S44" i="8" s="1"/>
  <c r="T44" i="8" a="1"/>
  <c r="T44" i="8"/>
  <c r="U44" i="8" a="1"/>
  <c r="U44" i="8" s="1"/>
  <c r="V44" i="8" a="1"/>
  <c r="V44" i="8"/>
  <c r="W44" i="8" a="1"/>
  <c r="W44" i="8" s="1"/>
  <c r="X44" i="8" a="1"/>
  <c r="X44" i="8"/>
  <c r="Y44" i="8" a="1"/>
  <c r="Y44" i="8" s="1"/>
  <c r="Z44" i="8" a="1"/>
  <c r="Z44" i="8" s="1"/>
  <c r="AA44" i="8" a="1"/>
  <c r="AA44" i="8"/>
  <c r="AB44" i="8" a="1"/>
  <c r="AB44" i="8"/>
  <c r="AC44" i="8" a="1"/>
  <c r="AC44" i="8" s="1"/>
  <c r="AD44" i="8" a="1"/>
  <c r="AD44" i="8"/>
  <c r="AE44" i="8" a="1"/>
  <c r="AE44" i="8"/>
  <c r="AF44" i="8" a="1"/>
  <c r="AF44" i="8" s="1"/>
  <c r="AG44" i="8" a="1"/>
  <c r="AG44" i="8" s="1"/>
  <c r="AH44" i="8" a="1"/>
  <c r="AH44" i="8" s="1"/>
  <c r="AI44" i="8" a="1"/>
  <c r="AI44" i="8" s="1"/>
  <c r="AJ44" i="8" a="1"/>
  <c r="AJ44" i="8" s="1"/>
  <c r="AK44" i="8" a="1"/>
  <c r="AK44" i="8"/>
  <c r="AL44" i="8" a="1"/>
  <c r="AL44" i="8"/>
  <c r="AM44" i="8" a="1"/>
  <c r="AM44" i="8" s="1"/>
  <c r="AN44" i="8" a="1"/>
  <c r="AN44" i="8" s="1"/>
  <c r="AO44" i="8" a="1"/>
  <c r="AO44" i="8" s="1"/>
  <c r="AP44" i="8" a="1"/>
  <c r="AP44" i="8" s="1"/>
  <c r="AQ44" i="8" a="1"/>
  <c r="AQ44" i="8"/>
  <c r="AR44" i="8" a="1"/>
  <c r="AR44" i="8"/>
  <c r="AS44" i="8" a="1"/>
  <c r="AS44" i="8"/>
  <c r="AT44" i="8" a="1"/>
  <c r="AT44" i="8" s="1"/>
  <c r="AU44" i="8" a="1"/>
  <c r="AU44" i="8"/>
  <c r="AV44" i="8" a="1"/>
  <c r="AV44" i="8" s="1"/>
  <c r="AW44" i="8" a="1"/>
  <c r="AW44" i="8"/>
  <c r="AX44" i="8" a="1"/>
  <c r="AX44" i="8"/>
  <c r="AY44" i="8" a="1"/>
  <c r="AY44" i="8"/>
  <c r="AZ44" i="8" a="1"/>
  <c r="AZ44" i="8" s="1"/>
  <c r="BA44" i="8" a="1"/>
  <c r="BA44" i="8" s="1"/>
  <c r="BB44" i="8" a="1"/>
  <c r="BB44" i="8"/>
  <c r="BC44" i="8" a="1"/>
  <c r="BC44" i="8" s="1"/>
  <c r="BD44" i="8" a="1"/>
  <c r="BD44" i="8"/>
  <c r="BE44" i="8" a="1"/>
  <c r="BE44" i="8" s="1"/>
  <c r="BF44" i="8" a="1"/>
  <c r="BF44" i="8" s="1"/>
  <c r="BG44" i="8" a="1"/>
  <c r="BG44" i="8"/>
  <c r="BH44" i="8" a="1"/>
  <c r="BH44" i="8"/>
  <c r="BI44" i="8" a="1"/>
  <c r="BI44" i="8"/>
  <c r="BJ44" i="8" a="1"/>
  <c r="BJ44" i="8" s="1"/>
  <c r="BK44" i="8" a="1"/>
  <c r="BK44" i="8" s="1"/>
  <c r="BL44" i="8" a="1"/>
  <c r="BL44" i="8" s="1"/>
  <c r="BM44" i="8" a="1"/>
  <c r="BM44" i="8"/>
  <c r="BN44" i="8" a="1"/>
  <c r="BN44" i="8" s="1"/>
  <c r="BO44" i="8" a="1"/>
  <c r="BO44" i="8" s="1"/>
  <c r="BP44" i="8" a="1"/>
  <c r="BP44" i="8"/>
  <c r="BQ44" i="8" a="1"/>
  <c r="BQ44" i="8" s="1"/>
  <c r="BR44" i="8" a="1"/>
  <c r="BR44" i="8" s="1"/>
  <c r="BS44" i="8" a="1"/>
  <c r="BS44" i="8"/>
  <c r="BT44" i="8" a="1"/>
  <c r="BT44" i="8" s="1"/>
  <c r="BU44" i="8" a="1"/>
  <c r="BU44" i="8"/>
  <c r="BV44" i="8" a="1"/>
  <c r="BV44" i="8"/>
  <c r="C45" i="8" a="1"/>
  <c r="C45" i="8" s="1"/>
  <c r="D45" i="8" a="1"/>
  <c r="D45" i="8" s="1"/>
  <c r="E45" i="8" a="1"/>
  <c r="E45" i="8"/>
  <c r="F45" i="8" a="1"/>
  <c r="F45" i="8"/>
  <c r="G45" i="8" a="1"/>
  <c r="G45" i="8" s="1"/>
  <c r="H45" i="8" a="1"/>
  <c r="H45" i="8" s="1"/>
  <c r="I45" i="8" a="1"/>
  <c r="I45" i="8"/>
  <c r="J45" i="8" a="1"/>
  <c r="J45" i="8" s="1"/>
  <c r="K45" i="8" a="1"/>
  <c r="K45" i="8" s="1"/>
  <c r="L45" i="8" a="1"/>
  <c r="L45" i="8"/>
  <c r="M45" i="8" a="1"/>
  <c r="M45" i="8"/>
  <c r="N45" i="8" a="1"/>
  <c r="N45" i="8"/>
  <c r="O45" i="8" a="1"/>
  <c r="O45" i="8" s="1"/>
  <c r="P45" i="8" a="1"/>
  <c r="P45" i="8" s="1"/>
  <c r="Q45" i="8" a="1"/>
  <c r="Q45" i="8" s="1"/>
  <c r="R45" i="8" a="1"/>
  <c r="R45" i="8"/>
  <c r="S45" i="8" a="1"/>
  <c r="S45" i="8"/>
  <c r="T45" i="8" a="1"/>
  <c r="T45" i="8" s="1"/>
  <c r="U45" i="8" a="1"/>
  <c r="U45" i="8"/>
  <c r="V45" i="8" a="1"/>
  <c r="V45" i="8" s="1"/>
  <c r="W45" i="8" a="1"/>
  <c r="W45" i="8"/>
  <c r="X45" i="8" a="1"/>
  <c r="X45" i="8" s="1"/>
  <c r="Y45" i="8" a="1"/>
  <c r="Y45" i="8"/>
  <c r="Z45" i="8" a="1"/>
  <c r="Z45" i="8"/>
  <c r="AA45" i="8" a="1"/>
  <c r="AA45" i="8"/>
  <c r="AB45" i="8" a="1"/>
  <c r="AB45" i="8" s="1"/>
  <c r="AC45" i="8" a="1"/>
  <c r="AC45" i="8" s="1"/>
  <c r="AD45" i="8" a="1"/>
  <c r="AD45" i="8" s="1"/>
  <c r="AE45" i="8" a="1"/>
  <c r="AE45" i="8" s="1"/>
  <c r="AF45" i="8" a="1"/>
  <c r="AF45" i="8" s="1"/>
  <c r="AG45" i="8" a="1"/>
  <c r="AG45" i="8" s="1"/>
  <c r="AH45" i="8" a="1"/>
  <c r="AH45" i="8" s="1"/>
  <c r="AI45" i="8" a="1"/>
  <c r="AI45" i="8"/>
  <c r="AJ45" i="8" a="1"/>
  <c r="AJ45" i="8" s="1"/>
  <c r="AK45" i="8" a="1"/>
  <c r="AK45" i="8"/>
  <c r="AL45" i="8" a="1"/>
  <c r="AL45" i="8" s="1"/>
  <c r="AM45" i="8" a="1"/>
  <c r="AM45" i="8" s="1"/>
  <c r="AN45" i="8" a="1"/>
  <c r="AN45" i="8" s="1"/>
  <c r="AO45" i="8" a="1"/>
  <c r="AO45" i="8"/>
  <c r="AP45" i="8" a="1"/>
  <c r="AP45" i="8"/>
  <c r="AQ45" i="8" a="1"/>
  <c r="AQ45" i="8"/>
  <c r="AR45" i="8" a="1"/>
  <c r="AR45" i="8" s="1"/>
  <c r="AS45" i="8" a="1"/>
  <c r="AS45" i="8"/>
  <c r="AT45" i="8" a="1"/>
  <c r="AT45" i="8" s="1"/>
  <c r="AU45" i="8" a="1"/>
  <c r="AU45" i="8"/>
  <c r="AV45" i="8" a="1"/>
  <c r="AV45" i="8"/>
  <c r="AW45" i="8" a="1"/>
  <c r="AW45" i="8" s="1"/>
  <c r="AX45" i="8" a="1"/>
  <c r="AX45" i="8"/>
  <c r="AY45" i="8" a="1"/>
  <c r="AY45" i="8" s="1"/>
  <c r="AZ45" i="8" a="1"/>
  <c r="AZ45" i="8" s="1"/>
  <c r="BA45" i="8" a="1"/>
  <c r="BA45" i="8" s="1"/>
  <c r="BB45" i="8" a="1"/>
  <c r="BB45" i="8" s="1"/>
  <c r="BC45" i="8" a="1"/>
  <c r="BC45" i="8" s="1"/>
  <c r="BD45" i="8" a="1"/>
  <c r="BD45" i="8" s="1"/>
  <c r="BE45" i="8" a="1"/>
  <c r="BE45" i="8"/>
  <c r="BF45" i="8" a="1"/>
  <c r="BF45" i="8" s="1"/>
  <c r="BG45" i="8" a="1"/>
  <c r="BG45" i="8"/>
  <c r="BH45" i="8" a="1"/>
  <c r="BH45" i="8"/>
  <c r="BI45" i="8" a="1"/>
  <c r="BI45" i="8" s="1"/>
  <c r="BJ45" i="8" a="1"/>
  <c r="BJ45" i="8" s="1"/>
  <c r="BK45" i="8" a="1"/>
  <c r="BK45" i="8"/>
  <c r="BL45" i="8" a="1"/>
  <c r="BL45" i="8" s="1"/>
  <c r="BM45" i="8" a="1"/>
  <c r="BM45" i="8" s="1"/>
  <c r="BN45" i="8" a="1"/>
  <c r="BN45" i="8" s="1"/>
  <c r="BO45" i="8" a="1"/>
  <c r="BO45" i="8"/>
  <c r="BP45" i="8" a="1"/>
  <c r="BP45" i="8"/>
  <c r="BQ45" i="8" a="1"/>
  <c r="BQ45" i="8" s="1"/>
  <c r="BR45" i="8" a="1"/>
  <c r="BR45" i="8" s="1"/>
  <c r="BS45" i="8" a="1"/>
  <c r="BS45" i="8" s="1"/>
  <c r="BT45" i="8" a="1"/>
  <c r="BT45" i="8" s="1"/>
  <c r="BU45" i="8" a="1"/>
  <c r="BU45" i="8"/>
  <c r="BV45" i="8" a="1"/>
  <c r="BV45" i="8"/>
  <c r="C46" i="8" a="1"/>
  <c r="C46" i="8"/>
  <c r="D46" i="8" a="1"/>
  <c r="D46" i="8" s="1"/>
  <c r="E46" i="8" a="1"/>
  <c r="E46" i="8" s="1"/>
  <c r="F46" i="8" a="1"/>
  <c r="F46" i="8" s="1"/>
  <c r="G46" i="8" a="1"/>
  <c r="G46" i="8" s="1"/>
  <c r="H46" i="8" a="1"/>
  <c r="H46" i="8"/>
  <c r="I46" i="8" a="1"/>
  <c r="I46" i="8"/>
  <c r="J46" i="8" a="1"/>
  <c r="J46" i="8" s="1"/>
  <c r="K46" i="8" a="1"/>
  <c r="K46" i="8"/>
  <c r="L46" i="8" a="1"/>
  <c r="L46" i="8" s="1"/>
  <c r="M46" i="8" a="1"/>
  <c r="M46" i="8" s="1"/>
  <c r="N46" i="8" a="1"/>
  <c r="N46" i="8"/>
  <c r="O46" i="8" a="1"/>
  <c r="O46" i="8"/>
  <c r="P46" i="8" a="1"/>
  <c r="P46" i="8" s="1"/>
  <c r="Q46" i="8" a="1"/>
  <c r="Q46" i="8"/>
  <c r="R46" i="8" a="1"/>
  <c r="R46" i="8"/>
  <c r="S46" i="8" a="1"/>
  <c r="S46" i="8" s="1"/>
  <c r="T46" i="8" a="1"/>
  <c r="T46" i="8" s="1"/>
  <c r="U46" i="8" a="1"/>
  <c r="U46" i="8"/>
  <c r="V46" i="8" a="1"/>
  <c r="V46" i="8" s="1"/>
  <c r="W46" i="8" a="1"/>
  <c r="W46" i="8"/>
  <c r="X46" i="8" a="1"/>
  <c r="X46" i="8"/>
  <c r="Y46" i="8" a="1"/>
  <c r="Y46" i="8"/>
  <c r="Z46" i="8" a="1"/>
  <c r="Z46" i="8" s="1"/>
  <c r="AA46" i="8" a="1"/>
  <c r="AA46" i="8"/>
  <c r="AB46" i="8" a="1"/>
  <c r="AB46" i="8" s="1"/>
  <c r="AC46" i="8" a="1"/>
  <c r="AC46" i="8"/>
  <c r="AD46" i="8" a="1"/>
  <c r="AD46" i="8"/>
  <c r="AE46" i="8" a="1"/>
  <c r="AE46" i="8"/>
  <c r="AF46" i="8" a="1"/>
  <c r="AF46" i="8" s="1"/>
  <c r="AG46" i="8" a="1"/>
  <c r="AG46" i="8" s="1"/>
  <c r="AH46" i="8" a="1"/>
  <c r="AH46" i="8" s="1"/>
  <c r="AI46" i="8" a="1"/>
  <c r="AI46" i="8"/>
  <c r="AJ46" i="8" a="1"/>
  <c r="AJ46" i="8"/>
  <c r="AK46" i="8" a="1"/>
  <c r="AK46" i="8"/>
  <c r="AL46" i="8" a="1"/>
  <c r="AL46" i="8"/>
  <c r="AM46" i="8" a="1"/>
  <c r="AM46" i="8" s="1"/>
  <c r="AN46" i="8" a="1"/>
  <c r="AN46" i="8" s="1"/>
  <c r="AO46" i="8" a="1"/>
  <c r="AO46" i="8" s="1"/>
  <c r="AP46" i="8" a="1"/>
  <c r="AP46" i="8" s="1"/>
  <c r="AQ46" i="8" a="1"/>
  <c r="AQ46" i="8"/>
  <c r="AR46" i="8" a="1"/>
  <c r="AR46" i="8"/>
  <c r="AS46" i="8" a="1"/>
  <c r="AS46" i="8"/>
  <c r="AT46" i="8" a="1"/>
  <c r="AT46" i="8" s="1"/>
  <c r="AU46" i="8" a="1"/>
  <c r="AU46" i="8"/>
  <c r="AV46" i="8" a="1"/>
  <c r="AV46" i="8"/>
  <c r="AW46" i="8" a="1"/>
  <c r="AW46" i="8"/>
  <c r="AX46" i="8" a="1"/>
  <c r="AX46" i="8"/>
  <c r="AY46" i="8" a="1"/>
  <c r="AY46" i="8"/>
  <c r="AZ46" i="8" a="1"/>
  <c r="AZ46" i="8" s="1"/>
  <c r="BA46" i="8" a="1"/>
  <c r="BA46" i="8" s="1"/>
  <c r="BB46" i="8" a="1"/>
  <c r="BB46" i="8" s="1"/>
  <c r="BC46" i="8" a="1"/>
  <c r="BC46" i="8"/>
  <c r="BD46" i="8" a="1"/>
  <c r="BD46" i="8" s="1"/>
  <c r="BE46" i="8" a="1"/>
  <c r="BE46" i="8"/>
  <c r="BF46" i="8" a="1"/>
  <c r="BF46" i="8" s="1"/>
  <c r="BG46" i="8" a="1"/>
  <c r="BG46" i="8"/>
  <c r="BH46" i="8" a="1"/>
  <c r="BH46" i="8"/>
  <c r="BI46" i="8" a="1"/>
  <c r="BI46" i="8" s="1"/>
  <c r="BJ46" i="8" a="1"/>
  <c r="BJ46" i="8" s="1"/>
  <c r="BK46" i="8" a="1"/>
  <c r="BK46" i="8" s="1"/>
  <c r="BL46" i="8" a="1"/>
  <c r="BL46" i="8" s="1"/>
  <c r="BM46" i="8" a="1"/>
  <c r="BM46" i="8"/>
  <c r="BN46" i="8" a="1"/>
  <c r="BN46" i="8" s="1"/>
  <c r="BO46" i="8" a="1"/>
  <c r="BO46" i="8"/>
  <c r="BP46" i="8" a="1"/>
  <c r="BP46" i="8" s="1"/>
  <c r="BQ46" i="8" a="1"/>
  <c r="BQ46" i="8" s="1"/>
  <c r="BR46" i="8" a="1"/>
  <c r="BR46" i="8" s="1"/>
  <c r="BS46" i="8" a="1"/>
  <c r="BS46" i="8" s="1"/>
  <c r="BT46" i="8" a="1"/>
  <c r="BT46" i="8"/>
  <c r="BU46" i="8" a="1"/>
  <c r="BU46" i="8"/>
  <c r="BV46" i="8" a="1"/>
  <c r="BV46" i="8"/>
  <c r="C47" i="8" a="1"/>
  <c r="C47" i="8"/>
  <c r="D47" i="8" a="1"/>
  <c r="D47" i="8" s="1"/>
  <c r="E47" i="8" a="1"/>
  <c r="E47" i="8"/>
  <c r="F47" i="8" a="1"/>
  <c r="F47" i="8"/>
  <c r="G47" i="8" a="1"/>
  <c r="G47" i="8" s="1"/>
  <c r="H47" i="8" a="1"/>
  <c r="H47" i="8"/>
  <c r="I47" i="8" a="1"/>
  <c r="I47" i="8"/>
  <c r="J47" i="8" a="1"/>
  <c r="J47" i="8" s="1"/>
  <c r="K47" i="8" a="1"/>
  <c r="K47" i="8" s="1"/>
  <c r="L47" i="8" a="1"/>
  <c r="L47" i="8"/>
  <c r="M47" i="8" a="1"/>
  <c r="M47" i="8"/>
  <c r="N47" i="8" a="1"/>
  <c r="N47" i="8"/>
  <c r="O47" i="8" a="1"/>
  <c r="O47" i="8"/>
  <c r="P47" i="8" a="1"/>
  <c r="P47" i="8" s="1"/>
  <c r="Q47" i="8" a="1"/>
  <c r="Q47" i="8"/>
  <c r="R47" i="8" a="1"/>
  <c r="R47" i="8" s="1"/>
  <c r="S47" i="8" a="1"/>
  <c r="S47" i="8" s="1"/>
  <c r="T47" i="8" a="1"/>
  <c r="T47" i="8" s="1"/>
  <c r="U47" i="8" a="1"/>
  <c r="U47" i="8"/>
  <c r="V47" i="8" a="1"/>
  <c r="V47" i="8" s="1"/>
  <c r="W47" i="8" a="1"/>
  <c r="W47" i="8"/>
  <c r="X47" i="8" a="1"/>
  <c r="X47" i="8"/>
  <c r="Y47" i="8" a="1"/>
  <c r="Y47" i="8" s="1"/>
  <c r="Z47" i="8" a="1"/>
  <c r="Z47" i="8" s="1"/>
  <c r="AA47" i="8" a="1"/>
  <c r="AA47" i="8"/>
  <c r="AB47" i="8" a="1"/>
  <c r="AB47" i="8" s="1"/>
  <c r="AC47" i="8" a="1"/>
  <c r="AC47" i="8"/>
  <c r="AD47" i="8" a="1"/>
  <c r="AD47" i="8" s="1"/>
  <c r="AE47" i="8" a="1"/>
  <c r="AE47" i="8" s="1"/>
  <c r="AF47" i="8" a="1"/>
  <c r="AF47" i="8" s="1"/>
  <c r="AG47" i="8" a="1"/>
  <c r="AG47" i="8" s="1"/>
  <c r="AH47" i="8" a="1"/>
  <c r="AH47" i="8" s="1"/>
  <c r="AI47" i="8" a="1"/>
  <c r="AI47" i="8"/>
  <c r="AJ47" i="8" a="1"/>
  <c r="AJ47" i="8"/>
  <c r="AK47" i="8" a="1"/>
  <c r="AK47" i="8" s="1"/>
  <c r="AL47" i="8" a="1"/>
  <c r="AL47" i="8"/>
  <c r="AM47" i="8" a="1"/>
  <c r="AM47" i="8" s="1"/>
  <c r="AN47" i="8" a="1"/>
  <c r="AN47" i="8" s="1"/>
  <c r="AO47" i="8" a="1"/>
  <c r="AO47" i="8" s="1"/>
  <c r="AP47" i="8" a="1"/>
  <c r="AP47" i="8"/>
  <c r="AQ47" i="8" a="1"/>
  <c r="AQ47" i="8"/>
  <c r="AR47" i="8" a="1"/>
  <c r="AR47" i="8"/>
  <c r="AS47" i="8" a="1"/>
  <c r="AS47" i="8" s="1"/>
  <c r="AT47" i="8" a="1"/>
  <c r="AT47" i="8" s="1"/>
  <c r="AU47" i="8" a="1"/>
  <c r="AU47" i="8"/>
  <c r="AV47" i="8" a="1"/>
  <c r="AV47" i="8"/>
  <c r="AW47" i="8" a="1"/>
  <c r="AW47" i="8"/>
  <c r="AX47" i="8" a="1"/>
  <c r="AX47" i="8" s="1"/>
  <c r="AY47" i="8" a="1"/>
  <c r="AY47" i="8"/>
  <c r="AZ47" i="8" a="1"/>
  <c r="AZ47" i="8" s="1"/>
  <c r="BA47" i="8" a="1"/>
  <c r="BA47" i="8" s="1"/>
  <c r="BB47" i="8" a="1"/>
  <c r="BB47" i="8" s="1"/>
  <c r="BC47" i="8" a="1"/>
  <c r="BC47" i="8" s="1"/>
  <c r="BD47" i="8" a="1"/>
  <c r="BD47" i="8"/>
  <c r="BE47" i="8" a="1"/>
  <c r="BE47" i="8" s="1"/>
  <c r="BF47" i="8" a="1"/>
  <c r="BF47" i="8" s="1"/>
  <c r="BG47" i="8" a="1"/>
  <c r="BG47" i="8"/>
  <c r="BH47" i="8" a="1"/>
  <c r="BH47" i="8"/>
  <c r="BI47" i="8" a="1"/>
  <c r="BI47" i="8" s="1"/>
  <c r="BJ47" i="8" a="1"/>
  <c r="BJ47" i="8" s="1"/>
  <c r="BK47" i="8" a="1"/>
  <c r="BK47" i="8"/>
  <c r="BL47" i="8" a="1"/>
  <c r="BL47" i="8" s="1"/>
  <c r="BM47" i="8" a="1"/>
  <c r="BM47" i="8"/>
  <c r="BN47" i="8" a="1"/>
  <c r="BN47" i="8" s="1"/>
  <c r="BO47" i="8" a="1"/>
  <c r="BO47" i="8" s="1"/>
  <c r="BP47" i="8" a="1"/>
  <c r="BP47" i="8" s="1"/>
  <c r="BQ47" i="8" a="1"/>
  <c r="BQ47" i="8" s="1"/>
  <c r="BR47" i="8" a="1"/>
  <c r="BR47" i="8" s="1"/>
  <c r="BS47" i="8" a="1"/>
  <c r="BS47" i="8" s="1"/>
  <c r="BT47" i="8" a="1"/>
  <c r="BT47" i="8"/>
  <c r="BU47" i="8" a="1"/>
  <c r="BU47" i="8"/>
  <c r="BV47" i="8" a="1"/>
  <c r="BV47" i="8" s="1"/>
  <c r="C48" i="8" a="1"/>
  <c r="C48" i="8" s="1"/>
  <c r="D48" i="8" a="1"/>
  <c r="D48" i="8" s="1"/>
  <c r="E48" i="8" a="1"/>
  <c r="E48" i="8"/>
  <c r="F48" i="8" a="1"/>
  <c r="F48" i="8"/>
  <c r="G48" i="8" a="1"/>
  <c r="G48" i="8" s="1"/>
  <c r="H48" i="8" a="1"/>
  <c r="H48" i="8"/>
  <c r="I48" i="8" a="1"/>
  <c r="I48" i="8" s="1"/>
  <c r="J48" i="8" a="1"/>
  <c r="J48" i="8" s="1"/>
  <c r="K48" i="8" a="1"/>
  <c r="K48" i="8"/>
  <c r="L48" i="8" a="1"/>
  <c r="L48" i="8"/>
  <c r="M48" i="8" a="1"/>
  <c r="M48" i="8"/>
  <c r="N48" i="8" a="1"/>
  <c r="N48" i="8"/>
  <c r="O48" i="8" a="1"/>
  <c r="O48" i="8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/>
  <c r="V48" i="8" a="1"/>
  <c r="V48" i="8" s="1"/>
  <c r="W48" i="8" a="1"/>
  <c r="W48" i="8"/>
  <c r="X48" i="8" a="1"/>
  <c r="X48" i="8" s="1"/>
  <c r="Y48" i="8" a="1"/>
  <c r="Y48" i="8"/>
  <c r="Z48" i="8" a="1"/>
  <c r="Z48" i="8" s="1"/>
  <c r="AA48" i="8" a="1"/>
  <c r="AA48" i="8"/>
  <c r="AB48" i="8" a="1"/>
  <c r="AB48" i="8" s="1"/>
  <c r="AC48" i="8" a="1"/>
  <c r="AC48" i="8"/>
  <c r="AD48" i="8" a="1"/>
  <c r="AD48" i="8"/>
  <c r="AE48" i="8" a="1"/>
  <c r="AE48" i="8" s="1"/>
  <c r="AF48" i="8" a="1"/>
  <c r="AF48" i="8"/>
  <c r="AG48" i="8" a="1"/>
  <c r="AG48" i="8" s="1"/>
  <c r="AH48" i="8" a="1"/>
  <c r="AH48" i="8" s="1"/>
  <c r="AI48" i="8" a="1"/>
  <c r="AI48" i="8"/>
  <c r="AJ48" i="8" a="1"/>
  <c r="AJ48" i="8"/>
  <c r="AK48" i="8" a="1"/>
  <c r="AK48" i="8"/>
  <c r="AL48" i="8" a="1"/>
  <c r="AL48" i="8" s="1"/>
  <c r="AM48" i="8" a="1"/>
  <c r="AM48" i="8"/>
  <c r="AN48" i="8" a="1"/>
  <c r="AN48" i="8" s="1"/>
  <c r="AO48" i="8" a="1"/>
  <c r="AO48" i="8"/>
  <c r="AP48" i="8" a="1"/>
  <c r="AP48" i="8"/>
  <c r="AQ48" i="8" a="1"/>
  <c r="AQ48" i="8"/>
  <c r="AR48" i="8" a="1"/>
  <c r="AR48" i="8" s="1"/>
  <c r="AS48" i="8" a="1"/>
  <c r="AS48" i="8" s="1"/>
  <c r="AT48" i="8" a="1"/>
  <c r="AT48" i="8" s="1"/>
  <c r="AU48" i="8" a="1"/>
  <c r="AU48" i="8"/>
  <c r="AV48" i="8" a="1"/>
  <c r="AV48" i="8"/>
  <c r="AW48" i="8" a="1"/>
  <c r="AW48" i="8"/>
  <c r="AX48" i="8" a="1"/>
  <c r="AX48" i="8"/>
  <c r="AY48" i="8" a="1"/>
  <c r="AY48" i="8" s="1"/>
  <c r="AZ48" i="8" a="1"/>
  <c r="AZ48" i="8" s="1"/>
  <c r="BA48" i="8" a="1"/>
  <c r="BA48" i="8" s="1"/>
  <c r="BB48" i="8" a="1"/>
  <c r="BB48" i="8"/>
  <c r="BC48" i="8" a="1"/>
  <c r="BC48" i="8"/>
  <c r="BD48" i="8" a="1"/>
  <c r="BD48" i="8"/>
  <c r="BE48" i="8" a="1"/>
  <c r="BE48" i="8"/>
  <c r="BF48" i="8" a="1"/>
  <c r="BF48" i="8" s="1"/>
  <c r="BG48" i="8" a="1"/>
  <c r="BG48" i="8" s="1"/>
  <c r="BH48" i="8" a="1"/>
  <c r="BH48" i="8"/>
  <c r="BI48" i="8" a="1"/>
  <c r="BI48" i="8"/>
  <c r="BJ48" i="8" a="1"/>
  <c r="BJ48" i="8"/>
  <c r="BK48" i="8" a="1"/>
  <c r="BK48" i="8"/>
  <c r="BL48" i="8" a="1"/>
  <c r="BL48" i="8" s="1"/>
  <c r="BM48" i="8" a="1"/>
  <c r="BM48" i="8" s="1"/>
  <c r="BN48" i="8" a="1"/>
  <c r="BN48" i="8" s="1"/>
  <c r="BO48" i="8" a="1"/>
  <c r="BO48" i="8" s="1"/>
  <c r="BP48" i="8" a="1"/>
  <c r="BP48" i="8"/>
  <c r="BQ48" i="8" a="1"/>
  <c r="BQ48" i="8"/>
  <c r="BR48" i="8" a="1"/>
  <c r="BR48" i="8" s="1"/>
  <c r="BS48" i="8" a="1"/>
  <c r="BS48" i="8"/>
  <c r="BT48" i="8" a="1"/>
  <c r="BT48" i="8" s="1"/>
  <c r="BU48" i="8" a="1"/>
  <c r="BU48" i="8"/>
  <c r="BV48" i="8" a="1"/>
  <c r="BV48" i="8"/>
  <c r="C49" i="8" a="1"/>
  <c r="C49" i="8"/>
  <c r="D49" i="8" a="1"/>
  <c r="D49" i="8" s="1"/>
  <c r="E49" i="8" a="1"/>
  <c r="E49" i="8"/>
  <c r="F49" i="8" a="1"/>
  <c r="F49" i="8"/>
  <c r="G49" i="8" a="1"/>
  <c r="G49" i="8" s="1"/>
  <c r="H49" i="8" a="1"/>
  <c r="H49" i="8" s="1"/>
  <c r="I49" i="8" a="1"/>
  <c r="I49" i="8"/>
  <c r="J49" i="8" a="1"/>
  <c r="J49" i="8" s="1"/>
  <c r="K49" i="8" a="1"/>
  <c r="K49" i="8"/>
  <c r="L49" i="8" a="1"/>
  <c r="L49" i="8"/>
  <c r="M49" i="8" a="1"/>
  <c r="M49" i="8"/>
  <c r="N49" i="8" a="1"/>
  <c r="N49" i="8"/>
  <c r="O49" i="8" a="1"/>
  <c r="O49" i="8" s="1"/>
  <c r="P49" i="8" a="1"/>
  <c r="P49" i="8" s="1"/>
  <c r="Q49" i="8" a="1"/>
  <c r="Q49" i="8"/>
  <c r="R49" i="8" a="1"/>
  <c r="R49" i="8"/>
  <c r="S49" i="8" a="1"/>
  <c r="S49" i="8"/>
  <c r="T49" i="8" a="1"/>
  <c r="T49" i="8" s="1"/>
  <c r="U49" i="8" a="1"/>
  <c r="U49" i="8" s="1"/>
  <c r="V49" i="8" a="1"/>
  <c r="V49" i="8" s="1"/>
  <c r="W49" i="8" a="1"/>
  <c r="W49" i="8"/>
  <c r="X49" i="8" a="1"/>
  <c r="X49" i="8"/>
  <c r="Y49" i="8" a="1"/>
  <c r="Y49" i="8"/>
  <c r="Z49" i="8" a="1"/>
  <c r="Z49" i="8"/>
  <c r="AA49" i="8" a="1"/>
  <c r="AA49" i="8"/>
  <c r="AB49" i="8" a="1"/>
  <c r="AB49" i="8" s="1"/>
  <c r="AC49" i="8" a="1"/>
  <c r="AC49" i="8" s="1"/>
  <c r="AD49" i="8" a="1"/>
  <c r="AD49" i="8"/>
  <c r="AE49" i="8" a="1"/>
  <c r="AE49" i="8"/>
  <c r="AF49" i="8" a="1"/>
  <c r="AF49" i="8"/>
  <c r="AG49" i="8" a="1"/>
  <c r="AG49" i="8" s="1"/>
  <c r="AH49" i="8" a="1"/>
  <c r="AH49" i="8" s="1"/>
  <c r="AI49" i="8" a="1"/>
  <c r="AI49" i="8"/>
  <c r="AJ49" i="8" a="1"/>
  <c r="AJ49" i="8" s="1"/>
  <c r="AK49" i="8" a="1"/>
  <c r="AK49" i="8" s="1"/>
  <c r="AL49" i="8" a="1"/>
  <c r="AL49" i="8" s="1"/>
  <c r="AM49" i="8" a="1"/>
  <c r="AM49" i="8"/>
  <c r="AN49" i="8" a="1"/>
  <c r="AN49" i="8" s="1"/>
  <c r="AO49" i="8" a="1"/>
  <c r="AO49" i="8"/>
  <c r="AP49" i="8" a="1"/>
  <c r="AP49" i="8"/>
  <c r="AQ49" i="8" a="1"/>
  <c r="AQ49" i="8"/>
  <c r="AR49" i="8" a="1"/>
  <c r="AR49" i="8"/>
  <c r="AS49" i="8" a="1"/>
  <c r="AS49" i="8"/>
  <c r="AT49" i="8" a="1"/>
  <c r="AT49" i="8" s="1"/>
  <c r="AU49" i="8" a="1"/>
  <c r="AU49" i="8"/>
  <c r="AV49" i="8" a="1"/>
  <c r="AV49" i="8"/>
  <c r="AW49" i="8" a="1"/>
  <c r="AW49" i="8" s="1"/>
  <c r="AX49" i="8" a="1"/>
  <c r="AX49" i="8" s="1"/>
  <c r="AY49" i="8" a="1"/>
  <c r="AY49" i="8"/>
  <c r="AZ49" i="8" a="1"/>
  <c r="AZ49" i="8" s="1"/>
  <c r="BA49" i="8" a="1"/>
  <c r="BA49" i="8" s="1"/>
  <c r="BB49" i="8" a="1"/>
  <c r="BB49" i="8"/>
  <c r="BC49" i="8" a="1"/>
  <c r="BC49" i="8"/>
  <c r="BD49" i="8" a="1"/>
  <c r="BD49" i="8" s="1"/>
  <c r="BE49" i="8" a="1"/>
  <c r="BE49" i="8" s="1"/>
  <c r="BF49" i="8" a="1"/>
  <c r="BF49" i="8" s="1"/>
  <c r="BG49" i="8" a="1"/>
  <c r="BG49" i="8"/>
  <c r="BH49" i="8" a="1"/>
  <c r="BH49" i="8"/>
  <c r="BI49" i="8" a="1"/>
  <c r="BI49" i="8"/>
  <c r="BJ49" i="8" a="1"/>
  <c r="BJ49" i="8"/>
  <c r="BK49" i="8" a="1"/>
  <c r="BK49" i="8"/>
  <c r="BL49" i="8" a="1"/>
  <c r="BL49" i="8" s="1"/>
  <c r="BM49" i="8" a="1"/>
  <c r="BM49" i="8" s="1"/>
  <c r="BN49" i="8" a="1"/>
  <c r="BN49" i="8" s="1"/>
  <c r="BO49" i="8" a="1"/>
  <c r="BO49" i="8"/>
  <c r="BP49" i="8" a="1"/>
  <c r="BP49" i="8"/>
  <c r="BQ49" i="8" a="1"/>
  <c r="BQ49" i="8"/>
  <c r="BR49" i="8" a="1"/>
  <c r="BR49" i="8" s="1"/>
  <c r="BS49" i="8" a="1"/>
  <c r="BS49" i="8" s="1"/>
  <c r="BT49" i="8" a="1"/>
  <c r="BT49" i="8" s="1"/>
  <c r="BU49" i="8" a="1"/>
  <c r="BU49" i="8"/>
  <c r="BV49" i="8" a="1"/>
  <c r="BV49" i="8"/>
  <c r="C50" i="8" a="1"/>
  <c r="C50" i="8"/>
  <c r="D50" i="8" a="1"/>
  <c r="D50" i="8" s="1"/>
  <c r="E50" i="8" a="1"/>
  <c r="E50" i="8"/>
  <c r="F50" i="8" a="1"/>
  <c r="F50" i="8" s="1"/>
  <c r="G50" i="8" a="1"/>
  <c r="G50" i="8" s="1"/>
  <c r="H50" i="8" a="1"/>
  <c r="H50" i="8" s="1"/>
  <c r="I50" i="8" a="1"/>
  <c r="I50" i="8"/>
  <c r="J50" i="8" a="1"/>
  <c r="J50" i="8" s="1"/>
  <c r="K50" i="8" a="1"/>
  <c r="K50" i="8"/>
  <c r="L50" i="8" a="1"/>
  <c r="L50" i="8"/>
  <c r="M50" i="8" a="1"/>
  <c r="M50" i="8" s="1"/>
  <c r="N50" i="8" a="1"/>
  <c r="N50" i="8"/>
  <c r="O50" i="8" a="1"/>
  <c r="O50" i="8"/>
  <c r="P50" i="8" a="1"/>
  <c r="P50" i="8" s="1"/>
  <c r="Q50" i="8" a="1"/>
  <c r="Q50" i="8"/>
  <c r="R50" i="8" a="1"/>
  <c r="R50" i="8" s="1"/>
  <c r="S50" i="8" a="1"/>
  <c r="S50" i="8"/>
  <c r="T50" i="8" a="1"/>
  <c r="T50" i="8" s="1"/>
  <c r="U50" i="8" a="1"/>
  <c r="U50" i="8" s="1"/>
  <c r="V50" i="8" a="1"/>
  <c r="V50" i="8" s="1"/>
  <c r="W50" i="8" a="1"/>
  <c r="W50" i="8"/>
  <c r="X50" i="8" a="1"/>
  <c r="X50" i="8"/>
  <c r="Y50" i="8" a="1"/>
  <c r="Y50" i="8" s="1"/>
  <c r="Z50" i="8" a="1"/>
  <c r="Z50" i="8"/>
  <c r="AA50" i="8" a="1"/>
  <c r="AA50" i="8"/>
  <c r="AB50" i="8" a="1"/>
  <c r="AB50" i="8" s="1"/>
  <c r="AC50" i="8" a="1"/>
  <c r="AC50" i="8"/>
  <c r="AD50" i="8" a="1"/>
  <c r="AD50" i="8"/>
  <c r="AE50" i="8" a="1"/>
  <c r="AE50" i="8"/>
  <c r="AF50" i="8" a="1"/>
  <c r="AF50" i="8"/>
  <c r="AG50" i="8" a="1"/>
  <c r="AG50" i="8" s="1"/>
  <c r="AH50" i="8" a="1"/>
  <c r="AH50" i="8" s="1"/>
  <c r="AI50" i="8" a="1"/>
  <c r="AI50" i="8" s="1"/>
  <c r="AJ50" i="8" a="1"/>
  <c r="AJ50" i="8"/>
  <c r="AK50" i="8" a="1"/>
  <c r="AK50" i="8"/>
  <c r="AL50" i="8" a="1"/>
  <c r="AL50" i="8"/>
  <c r="AM50" i="8" a="1"/>
  <c r="AM50" i="8"/>
  <c r="AN50" i="8" a="1"/>
  <c r="AN50" i="8" s="1"/>
  <c r="AO50" i="8" a="1"/>
  <c r="AO50" i="8" s="1"/>
  <c r="AP50" i="8" a="1"/>
  <c r="AP50" i="8" s="1"/>
  <c r="AQ50" i="8" a="1"/>
  <c r="AQ50" i="8" s="1"/>
  <c r="AR50" i="8" a="1"/>
  <c r="AR50" i="8"/>
  <c r="AS50" i="8" a="1"/>
  <c r="AS50" i="8" s="1"/>
  <c r="AT50" i="8" a="1"/>
  <c r="AT50" i="8" s="1"/>
  <c r="AU50" i="8" a="1"/>
  <c r="AU50" i="8"/>
  <c r="AV50" i="8" a="1"/>
  <c r="AV50" i="8" s="1"/>
  <c r="AW50" i="8" a="1"/>
  <c r="AW50" i="8" s="1"/>
  <c r="AX50" i="8" a="1"/>
  <c r="AX50" i="8" s="1"/>
  <c r="AY50" i="8" a="1"/>
  <c r="AY50" i="8"/>
  <c r="AZ50" i="8" a="1"/>
  <c r="AZ50" i="8" s="1"/>
  <c r="BA50" i="8" a="1"/>
  <c r="BA50" i="8" s="1"/>
  <c r="BB50" i="8" a="1"/>
  <c r="BB50" i="8"/>
  <c r="BC50" i="8" a="1"/>
  <c r="BC50" i="8" s="1"/>
  <c r="BD50" i="8" a="1"/>
  <c r="BD50" i="8" s="1"/>
  <c r="BE50" i="8" a="1"/>
  <c r="BE50" i="8" s="1"/>
  <c r="BF50" i="8" a="1"/>
  <c r="BF50" i="8" s="1"/>
  <c r="BG50" i="8" a="1"/>
  <c r="BG50" i="8" s="1"/>
  <c r="BH50" i="8" a="1"/>
  <c r="BH50" i="8"/>
  <c r="BI50" i="8" a="1"/>
  <c r="BI50" i="8"/>
  <c r="BJ50" i="8" a="1"/>
  <c r="BJ50" i="8" s="1"/>
  <c r="BK50" i="8" a="1"/>
  <c r="BK50" i="8" s="1"/>
  <c r="BL50" i="8" a="1"/>
  <c r="BL50" i="8" s="1"/>
  <c r="BM50" i="8" a="1"/>
  <c r="BM50" i="8"/>
  <c r="BN50" i="8" a="1"/>
  <c r="BN50" i="8" s="1"/>
  <c r="BO50" i="8" a="1"/>
  <c r="BO50" i="8"/>
  <c r="BP50" i="8" a="1"/>
  <c r="BP50" i="8"/>
  <c r="BQ50" i="8" a="1"/>
  <c r="BQ50" i="8" s="1"/>
  <c r="BR50" i="8" a="1"/>
  <c r="BR50" i="8" s="1"/>
  <c r="BS50" i="8" a="1"/>
  <c r="BS50" i="8"/>
  <c r="BT50" i="8" a="1"/>
  <c r="BT50" i="8"/>
  <c r="BU50" i="8" a="1"/>
  <c r="BU50" i="8"/>
  <c r="BV50" i="8" a="1"/>
  <c r="BV50" i="8"/>
  <c r="C51" i="8" a="1"/>
  <c r="C51" i="8"/>
  <c r="D51" i="8" a="1"/>
  <c r="D51" i="8" s="1"/>
  <c r="E51" i="8" a="1"/>
  <c r="E51" i="8" s="1"/>
  <c r="F51" i="8" a="1"/>
  <c r="F51" i="8" s="1"/>
  <c r="G51" i="8" a="1"/>
  <c r="G51" i="8" s="1"/>
  <c r="H51" i="8" a="1"/>
  <c r="H51" i="8"/>
  <c r="I51" i="8" a="1"/>
  <c r="I51" i="8"/>
  <c r="J51" i="8" a="1"/>
  <c r="J51" i="8" s="1"/>
  <c r="K51" i="8" a="1"/>
  <c r="K51" i="8" s="1"/>
  <c r="L51" i="8" a="1"/>
  <c r="L51" i="8" s="1"/>
  <c r="M51" i="8" a="1"/>
  <c r="M51" i="8" s="1"/>
  <c r="N51" i="8" a="1"/>
  <c r="N51" i="8"/>
  <c r="O51" i="8" a="1"/>
  <c r="O51" i="8"/>
  <c r="P51" i="8" a="1"/>
  <c r="P51" i="8" s="1"/>
  <c r="Q51" i="8" a="1"/>
  <c r="Q51" i="8"/>
  <c r="R51" i="8" a="1"/>
  <c r="R51" i="8" s="1"/>
  <c r="S51" i="8" a="1"/>
  <c r="S51" i="8"/>
  <c r="T51" i="8" a="1"/>
  <c r="T51" i="8" s="1"/>
  <c r="U51" i="8" a="1"/>
  <c r="U51" i="8" s="1"/>
  <c r="V51" i="8" a="1"/>
  <c r="V51" i="8" s="1"/>
  <c r="W51" i="8" a="1"/>
  <c r="W51" i="8"/>
  <c r="X51" i="8" a="1"/>
  <c r="X51" i="8"/>
  <c r="Y51" i="8" a="1"/>
  <c r="Y51" i="8" s="1"/>
  <c r="Z51" i="8" a="1"/>
  <c r="Z51" i="8" s="1"/>
  <c r="AA51" i="8" a="1"/>
  <c r="AA51" i="8"/>
  <c r="AB51" i="8" a="1"/>
  <c r="AB51" i="8" s="1"/>
  <c r="AC51" i="8" a="1"/>
  <c r="AC51" i="8"/>
  <c r="AD51" i="8" a="1"/>
  <c r="AD51" i="8"/>
  <c r="AE51" i="8" a="1"/>
  <c r="AE51" i="8"/>
  <c r="AF51" i="8" a="1"/>
  <c r="AF51" i="8" s="1"/>
  <c r="AG51" i="8" a="1"/>
  <c r="AG51" i="8" s="1"/>
  <c r="AH51" i="8" a="1"/>
  <c r="AH51" i="8" s="1"/>
  <c r="AI51" i="8" a="1"/>
  <c r="AI51" i="8" s="1"/>
  <c r="AJ51" i="8" a="1"/>
  <c r="AJ51" i="8"/>
  <c r="AK51" i="8" a="1"/>
  <c r="AK51" i="8"/>
  <c r="AL51" i="8" a="1"/>
  <c r="AL51" i="8"/>
  <c r="AM51" i="8" a="1"/>
  <c r="AM51" i="8" s="1"/>
  <c r="AN51" i="8" a="1"/>
  <c r="AN51" i="8" s="1"/>
  <c r="AO51" i="8" a="1"/>
  <c r="AO51" i="8"/>
  <c r="AP51" i="8" a="1"/>
  <c r="AP51" i="8"/>
  <c r="AQ51" i="8" a="1"/>
  <c r="AQ51" i="8"/>
  <c r="AR51" i="8" a="1"/>
  <c r="AR51" i="8"/>
  <c r="AS51" i="8" a="1"/>
  <c r="AS51" i="8"/>
  <c r="AT51" i="8" a="1"/>
  <c r="AT51" i="8" s="1"/>
  <c r="AU51" i="8" a="1"/>
  <c r="AU51" i="8"/>
  <c r="AV51" i="8" a="1"/>
  <c r="AV51" i="8" s="1"/>
  <c r="AW51" i="8" a="1"/>
  <c r="AW51" i="8"/>
  <c r="AX51" i="8" a="1"/>
  <c r="AX51" i="8"/>
  <c r="AY51" i="8" a="1"/>
  <c r="AY51" i="8"/>
  <c r="AZ51" i="8" a="1"/>
  <c r="AZ51" i="8" s="1"/>
  <c r="BA51" i="8" a="1"/>
  <c r="BA51" i="8" s="1"/>
  <c r="BB51" i="8" a="1"/>
  <c r="BB51" i="8" s="1"/>
  <c r="BC51" i="8" a="1"/>
  <c r="BC51" i="8" s="1"/>
  <c r="BD51" i="8" a="1"/>
  <c r="BD51" i="8" s="1"/>
  <c r="BE51" i="8" a="1"/>
  <c r="BE51" i="8"/>
  <c r="BF51" i="8" a="1"/>
  <c r="BF51" i="8"/>
  <c r="BG51" i="8" a="1"/>
  <c r="BG51" i="8" s="1"/>
  <c r="BH51" i="8" a="1"/>
  <c r="BH51" i="8"/>
  <c r="BI51" i="8" a="1"/>
  <c r="BI51" i="8" s="1"/>
  <c r="BJ51" i="8" a="1"/>
  <c r="BJ51" i="8"/>
  <c r="BK51" i="8" a="1"/>
  <c r="BK51" i="8"/>
  <c r="BL51" i="8" a="1"/>
  <c r="BL51" i="8"/>
  <c r="BM51" i="8" a="1"/>
  <c r="BM51" i="8" s="1"/>
  <c r="BN51" i="8" a="1"/>
  <c r="BN51" i="8"/>
  <c r="BO51" i="8" a="1"/>
  <c r="BO51" i="8" s="1"/>
  <c r="BP51" i="8" a="1"/>
  <c r="BP51" i="8" s="1"/>
  <c r="BQ51" i="8" a="1"/>
  <c r="BQ51" i="8"/>
  <c r="BR51" i="8" a="1"/>
  <c r="BR51" i="8"/>
  <c r="BS51" i="8" a="1"/>
  <c r="BS51" i="8" s="1"/>
  <c r="BT51" i="8" a="1"/>
  <c r="BT51" i="8"/>
  <c r="BU51" i="8" a="1"/>
  <c r="BU51" i="8"/>
  <c r="BV51" i="8" a="1"/>
  <c r="BV51" i="8" s="1"/>
  <c r="C52" i="8" a="1"/>
  <c r="C52" i="8"/>
  <c r="D52" i="8" a="1"/>
  <c r="D52" i="8" s="1"/>
  <c r="E52" i="8" a="1"/>
  <c r="E52" i="8" s="1"/>
  <c r="F52" i="8" a="1"/>
  <c r="F52" i="8"/>
  <c r="G52" i="8" a="1"/>
  <c r="G52" i="8"/>
  <c r="H52" i="8" a="1"/>
  <c r="H52" i="8"/>
  <c r="I52" i="8" a="1"/>
  <c r="I52" i="8" s="1"/>
  <c r="J52" i="8" a="1"/>
  <c r="J52" i="8" s="1"/>
  <c r="K52" i="8" a="1"/>
  <c r="K52" i="8" s="1"/>
  <c r="L52" i="8" a="1"/>
  <c r="L52" i="8"/>
  <c r="M52" i="8" a="1"/>
  <c r="M52" i="8"/>
  <c r="N52" i="8" a="1"/>
  <c r="N52" i="8"/>
  <c r="O52" i="8" a="1"/>
  <c r="O52" i="8"/>
  <c r="P52" i="8" a="1"/>
  <c r="P52" i="8"/>
  <c r="Q52" i="8" a="1"/>
  <c r="Q52" i="8" s="1"/>
  <c r="R52" i="8" a="1"/>
  <c r="R52" i="8" s="1"/>
  <c r="S52" i="8" a="1"/>
  <c r="S52" i="8"/>
  <c r="T52" i="8" a="1"/>
  <c r="T52" i="8"/>
  <c r="U52" i="8" a="1"/>
  <c r="U52" i="8"/>
  <c r="V52" i="8" a="1"/>
  <c r="V52" i="8" s="1"/>
  <c r="W52" i="8" a="1"/>
  <c r="W52" i="8" s="1"/>
  <c r="X52" i="8" a="1"/>
  <c r="X52" i="8" s="1"/>
  <c r="Y52" i="8" a="1"/>
  <c r="Y52" i="8" s="1"/>
  <c r="Z52" i="8" a="1"/>
  <c r="Z52" i="8"/>
  <c r="AA52" i="8" a="1"/>
  <c r="AA52" i="8"/>
  <c r="AB52" i="8" a="1"/>
  <c r="AB52" i="8"/>
  <c r="AC52" i="8" a="1"/>
  <c r="AC52" i="8" s="1"/>
  <c r="AD52" i="8" a="1"/>
  <c r="AD52" i="8" s="1"/>
  <c r="AE52" i="8" a="1"/>
  <c r="AE52" i="8"/>
  <c r="AF52" i="8" a="1"/>
  <c r="AF52" i="8"/>
  <c r="AG52" i="8" a="1"/>
  <c r="AG52" i="8"/>
  <c r="AH52" i="8" a="1"/>
  <c r="AH52" i="8"/>
  <c r="AI52" i="8" a="1"/>
  <c r="AI52" i="8" s="1"/>
  <c r="AJ52" i="8" a="1"/>
  <c r="AJ52" i="8"/>
  <c r="AK52" i="8" a="1"/>
  <c r="AK52" i="8" s="1"/>
  <c r="AL52" i="8" a="1"/>
  <c r="AL52" i="8" s="1"/>
  <c r="AM52" i="8" a="1"/>
  <c r="AM52" i="8"/>
  <c r="AN52" i="8" a="1"/>
  <c r="AN52" i="8"/>
  <c r="AO52" i="8" a="1"/>
  <c r="AO52" i="8" s="1"/>
  <c r="AP52" i="8" a="1"/>
  <c r="AP52" i="8" s="1"/>
  <c r="AQ52" i="8" a="1"/>
  <c r="AQ52" i="8" s="1"/>
  <c r="AR52" i="8" a="1"/>
  <c r="AR52" i="8" s="1"/>
  <c r="AS52" i="8" a="1"/>
  <c r="AS52" i="8" s="1"/>
  <c r="AT52" i="8" a="1"/>
  <c r="AT52" i="8"/>
  <c r="AU52" i="8" a="1"/>
  <c r="AU52" i="8" s="1"/>
  <c r="AV52" i="8" a="1"/>
  <c r="AV52" i="8"/>
  <c r="AW52" i="8" a="1"/>
  <c r="AW52" i="8"/>
  <c r="AX52" i="8" a="1"/>
  <c r="AX52" i="8" s="1"/>
  <c r="AY52" i="8" a="1"/>
  <c r="AY52" i="8"/>
  <c r="AZ52" i="8" a="1"/>
  <c r="AZ52" i="8"/>
  <c r="BA52" i="8" a="1"/>
  <c r="BA52" i="8" s="1"/>
  <c r="BB52" i="8" a="1"/>
  <c r="BB52" i="8"/>
  <c r="BC52" i="8" a="1"/>
  <c r="BC52" i="8" s="1"/>
  <c r="BD52" i="8" a="1"/>
  <c r="BD52" i="8"/>
  <c r="BE52" i="8" a="1"/>
  <c r="BE52" i="8" s="1"/>
  <c r="BF52" i="8" a="1"/>
  <c r="BF52" i="8"/>
  <c r="BG52" i="8" a="1"/>
  <c r="BG52" i="8" s="1"/>
  <c r="BH52" i="8" a="1"/>
  <c r="BH52" i="8"/>
  <c r="BI52" i="8" a="1"/>
  <c r="BI52" i="8"/>
  <c r="BJ52" i="8" a="1"/>
  <c r="BJ52" i="8"/>
  <c r="BK52" i="8" a="1"/>
  <c r="BK52" i="8" s="1"/>
  <c r="BL52" i="8" a="1"/>
  <c r="BL52" i="8" s="1"/>
  <c r="BM52" i="8" a="1"/>
  <c r="BM52" i="8" s="1"/>
  <c r="BN52" i="8" a="1"/>
  <c r="BN52" i="8"/>
  <c r="BO52" i="8" a="1"/>
  <c r="BO52" i="8"/>
  <c r="BP52" i="8" a="1"/>
  <c r="BP52" i="8" s="1"/>
  <c r="BQ52" i="8" a="1"/>
  <c r="BQ52" i="8"/>
  <c r="BR52" i="8" a="1"/>
  <c r="BR52" i="8" s="1"/>
  <c r="BS52" i="8" a="1"/>
  <c r="BS52" i="8" s="1"/>
  <c r="BT52" i="8" a="1"/>
  <c r="BT52" i="8"/>
  <c r="BU52" i="8" a="1"/>
  <c r="BU52" i="8"/>
  <c r="BV52" i="8" a="1"/>
  <c r="BV52" i="8"/>
  <c r="C53" i="8" a="1"/>
  <c r="C53" i="8"/>
  <c r="D53" i="8" a="1"/>
  <c r="D53" i="8"/>
  <c r="E53" i="8" a="1"/>
  <c r="E53" i="8" s="1"/>
  <c r="F53" i="8" a="1"/>
  <c r="F53" i="8" s="1"/>
  <c r="G53" i="8" a="1"/>
  <c r="G53" i="8" s="1"/>
  <c r="H53" i="8" a="1"/>
  <c r="H53" i="8"/>
  <c r="I53" i="8" a="1"/>
  <c r="I53" i="8" s="1"/>
  <c r="J53" i="8" a="1"/>
  <c r="J53" i="8"/>
  <c r="K53" i="8" a="1"/>
  <c r="K53" i="8" s="1"/>
  <c r="L53" i="8" a="1"/>
  <c r="L53" i="8" s="1"/>
  <c r="M53" i="8" a="1"/>
  <c r="M53" i="8" s="1"/>
  <c r="N53" i="8" a="1"/>
  <c r="N53" i="8" s="1"/>
  <c r="O53" i="8" a="1"/>
  <c r="O53" i="8"/>
  <c r="P53" i="8" a="1"/>
  <c r="P53" i="8"/>
  <c r="Q53" i="8" a="1"/>
  <c r="Q53" i="8" s="1"/>
  <c r="R53" i="8" a="1"/>
  <c r="R53" i="8"/>
  <c r="S53" i="8" a="1"/>
  <c r="S53" i="8" s="1"/>
  <c r="T53" i="8" a="1"/>
  <c r="T53" i="8"/>
  <c r="U53" i="8" a="1"/>
  <c r="U53" i="8"/>
  <c r="V53" i="8" a="1"/>
  <c r="V53" i="8" s="1"/>
  <c r="W53" i="8" a="1"/>
  <c r="W53" i="8" s="1"/>
  <c r="X53" i="8" a="1"/>
  <c r="X53" i="8"/>
  <c r="Y53" i="8" a="1"/>
  <c r="Y53" i="8"/>
  <c r="Z53" i="8" a="1"/>
  <c r="Z53" i="8" s="1"/>
  <c r="AA53" i="8" a="1"/>
  <c r="AA53" i="8"/>
  <c r="AB53" i="8" a="1"/>
  <c r="AB53" i="8"/>
  <c r="AC53" i="8" a="1"/>
  <c r="AC53" i="8" s="1"/>
  <c r="AD53" i="8" a="1"/>
  <c r="AD53" i="8"/>
  <c r="AE53" i="8" a="1"/>
  <c r="AE53" i="8"/>
  <c r="AF53" i="8" a="1"/>
  <c r="AF53" i="8" s="1"/>
  <c r="AG53" i="8" a="1"/>
  <c r="AG53" i="8" s="1"/>
  <c r="AH53" i="8" a="1"/>
  <c r="AH53" i="8" s="1"/>
  <c r="AI53" i="8" a="1"/>
  <c r="AI53" i="8" s="1"/>
  <c r="AJ53" i="8" a="1"/>
  <c r="AJ53" i="8"/>
  <c r="AK53" i="8" a="1"/>
  <c r="AK53" i="8"/>
  <c r="AL53" i="8" a="1"/>
  <c r="AL53" i="8"/>
  <c r="AM53" i="8" a="1"/>
  <c r="AM53" i="8" s="1"/>
  <c r="AN53" i="8" a="1"/>
  <c r="AN53" i="8"/>
  <c r="AO53" i="8" a="1"/>
  <c r="AO53" i="8" s="1"/>
  <c r="AP53" i="8" a="1"/>
  <c r="AP53" i="8" s="1"/>
  <c r="AQ53" i="8" a="1"/>
  <c r="AQ53" i="8"/>
  <c r="AR53" i="8" a="1"/>
  <c r="AR53" i="8"/>
  <c r="AS53" i="8" a="1"/>
  <c r="AS53" i="8"/>
  <c r="AT53" i="8" a="1"/>
  <c r="AT53" i="8" s="1"/>
  <c r="AU53" i="8" a="1"/>
  <c r="AU53" i="8" s="1"/>
  <c r="AV53" i="8" a="1"/>
  <c r="AV53" i="8" s="1"/>
  <c r="AW53" i="8" a="1"/>
  <c r="AW53" i="8"/>
  <c r="AX53" i="8" a="1"/>
  <c r="AX53" i="8"/>
  <c r="AY53" i="8" a="1"/>
  <c r="AY53" i="8"/>
  <c r="AZ53" i="8" a="1"/>
  <c r="AZ53" i="8" s="1"/>
  <c r="BA53" i="8" a="1"/>
  <c r="BA53" i="8" s="1"/>
  <c r="BB53" i="8" a="1"/>
  <c r="BB53" i="8"/>
  <c r="BC53" i="8" a="1"/>
  <c r="BC53" i="8"/>
  <c r="BD53" i="8" a="1"/>
  <c r="BD53" i="8"/>
  <c r="BE53" i="8" a="1"/>
  <c r="BE53" i="8"/>
  <c r="BF53" i="8" a="1"/>
  <c r="BF53" i="8"/>
  <c r="BG53" i="8" a="1"/>
  <c r="BG53" i="8" s="1"/>
  <c r="BH53" i="8" a="1"/>
  <c r="BH53" i="8" s="1"/>
  <c r="BI53" i="8" a="1"/>
  <c r="BI53" i="8" s="1"/>
  <c r="BJ53" i="8" a="1"/>
  <c r="BJ53" i="8"/>
  <c r="BK53" i="8" a="1"/>
  <c r="BK53" i="8"/>
  <c r="BL53" i="8" a="1"/>
  <c r="BL53" i="8"/>
  <c r="BM53" i="8" a="1"/>
  <c r="BM53" i="8" s="1"/>
  <c r="BN53" i="8" a="1"/>
  <c r="BN53" i="8" s="1"/>
  <c r="BO53" i="8" a="1"/>
  <c r="BO53" i="8"/>
  <c r="BP53" i="8" a="1"/>
  <c r="BP53" i="8"/>
  <c r="BQ53" i="8" a="1"/>
  <c r="BQ53" i="8"/>
  <c r="BR53" i="8" a="1"/>
  <c r="BR53" i="8"/>
  <c r="BS53" i="8" a="1"/>
  <c r="BS53" i="8" s="1"/>
  <c r="BT53" i="8" a="1"/>
  <c r="BT53" i="8" s="1"/>
  <c r="BU53" i="8" a="1"/>
  <c r="BU53" i="8" s="1"/>
  <c r="BV53" i="8" a="1"/>
  <c r="BV53" i="8" s="1"/>
  <c r="C54" i="8" a="1"/>
  <c r="C54" i="8"/>
  <c r="D54" i="8" a="1"/>
  <c r="D54" i="8"/>
  <c r="E54" i="8" a="1"/>
  <c r="E54" i="8" s="1"/>
  <c r="F54" i="8" a="1"/>
  <c r="F54" i="8"/>
  <c r="G54" i="8" a="1"/>
  <c r="G54" i="8" s="1"/>
  <c r="H54" i="8" a="1"/>
  <c r="H54" i="8"/>
  <c r="I54" i="8" a="1"/>
  <c r="I54" i="8"/>
  <c r="J54" i="8" a="1"/>
  <c r="J54" i="8"/>
  <c r="K54" i="8" a="1"/>
  <c r="K54" i="8" s="1"/>
  <c r="L54" i="8" a="1"/>
  <c r="L54" i="8"/>
  <c r="M54" i="8" a="1"/>
  <c r="M54" i="8" s="1"/>
  <c r="N54" i="8" a="1"/>
  <c r="N54" i="8" s="1"/>
  <c r="O54" i="8" a="1"/>
  <c r="O54" i="8" s="1"/>
  <c r="P54" i="8" a="1"/>
  <c r="P54" i="8"/>
  <c r="Q54" i="8" a="1"/>
  <c r="Q54" i="8" s="1"/>
  <c r="R54" i="8" a="1"/>
  <c r="R54" i="8"/>
  <c r="S54" i="8" a="1"/>
  <c r="S54" i="8"/>
  <c r="T54" i="8" a="1"/>
  <c r="T54" i="8" s="1"/>
  <c r="U54" i="8" a="1"/>
  <c r="U54" i="8"/>
  <c r="V54" i="8" a="1"/>
  <c r="V54" i="8"/>
  <c r="W54" i="8" a="1"/>
  <c r="W54" i="8" s="1"/>
  <c r="X54" i="8" a="1"/>
  <c r="X54" i="8"/>
  <c r="Y54" i="8" a="1"/>
  <c r="Y54" i="8"/>
  <c r="Z54" i="8" a="1"/>
  <c r="Z54" i="8" s="1"/>
  <c r="AA54" i="8" a="1"/>
  <c r="AA54" i="8" s="1"/>
  <c r="AB54" i="8" a="1"/>
  <c r="AB54" i="8" s="1"/>
  <c r="AC54" i="8" a="1"/>
  <c r="AC54" i="8" s="1"/>
  <c r="AD54" i="8" a="1"/>
  <c r="AD54" i="8"/>
  <c r="AE54" i="8" a="1"/>
  <c r="AE54" i="8"/>
  <c r="AF54" i="8" a="1"/>
  <c r="AF54" i="8"/>
  <c r="AG54" i="8" a="1"/>
  <c r="AG54" i="8" s="1"/>
  <c r="AH54" i="8" a="1"/>
  <c r="AH54" i="8"/>
  <c r="AI54" i="8" a="1"/>
  <c r="AI54" i="8" s="1"/>
  <c r="AJ54" i="8" a="1"/>
  <c r="AJ54" i="8"/>
  <c r="AK54" i="8" a="1"/>
  <c r="AK54" i="8"/>
  <c r="AL54" i="8" a="1"/>
  <c r="AL54" i="8"/>
  <c r="AM54" i="8" a="1"/>
  <c r="AM54" i="8" s="1"/>
  <c r="AN54" i="8" a="1"/>
  <c r="AN54" i="8" s="1"/>
  <c r="AO54" i="8" a="1"/>
  <c r="AO54" i="8" s="1"/>
  <c r="AP54" i="8" a="1"/>
  <c r="AP54" i="8"/>
  <c r="AQ54" i="8" a="1"/>
  <c r="AQ54" i="8"/>
  <c r="AR54" i="8" a="1"/>
  <c r="AR54" i="8"/>
  <c r="AS54" i="8" a="1"/>
  <c r="AS54" i="8"/>
  <c r="AT54" i="8" a="1"/>
  <c r="AT54" i="8" s="1"/>
  <c r="AU54" i="8" a="1"/>
  <c r="AU54" i="8" s="1"/>
  <c r="AV54" i="8" a="1"/>
  <c r="AV54" i="8" s="1"/>
  <c r="AW54" i="8" a="1"/>
  <c r="AW54" i="8"/>
  <c r="AX54" i="8" a="1"/>
  <c r="AX54" i="8"/>
  <c r="AY54" i="8" a="1"/>
  <c r="AY54" i="8"/>
  <c r="AZ54" i="8" a="1"/>
  <c r="AZ54" i="8" s="1"/>
  <c r="BA54" i="8" a="1"/>
  <c r="BA54" i="8" s="1"/>
  <c r="BB54" i="8" a="1"/>
  <c r="BB54" i="8"/>
  <c r="BC54" i="8" a="1"/>
  <c r="BC54" i="8"/>
  <c r="BD54" i="8" a="1"/>
  <c r="BD54" i="8"/>
  <c r="BE54" i="8" a="1"/>
  <c r="BE54" i="8"/>
  <c r="BF54" i="8" a="1"/>
  <c r="BF54" i="8"/>
  <c r="BG54" i="8" a="1"/>
  <c r="BG54" i="8" s="1"/>
  <c r="BH54" i="8" a="1"/>
  <c r="BH54" i="8" s="1"/>
  <c r="BI54" i="8" a="1"/>
  <c r="BI54" i="8" s="1"/>
  <c r="BJ54" i="8" a="1"/>
  <c r="BJ54" i="8"/>
  <c r="BK54" i="8" a="1"/>
  <c r="BK54" i="8"/>
  <c r="BL54" i="8" a="1"/>
  <c r="BL54" i="8"/>
  <c r="BM54" i="8" a="1"/>
  <c r="BM54" i="8" s="1"/>
  <c r="BN54" i="8" a="1"/>
  <c r="BN54" i="8" s="1"/>
  <c r="BO54" i="8" a="1"/>
  <c r="BO54" i="8"/>
  <c r="BP54" i="8" a="1"/>
  <c r="BP54" i="8"/>
  <c r="BQ54" i="8" a="1"/>
  <c r="BQ54" i="8"/>
  <c r="BR54" i="8" a="1"/>
  <c r="BR54" i="8"/>
  <c r="BS54" i="8" a="1"/>
  <c r="BS54" i="8" s="1"/>
  <c r="BT54" i="8" a="1"/>
  <c r="BT54" i="8" s="1"/>
  <c r="BU54" i="8" a="1"/>
  <c r="BU54" i="8" s="1"/>
  <c r="BV54" i="8" a="1"/>
  <c r="BV54" i="8" s="1"/>
  <c r="C55" i="8" a="1"/>
  <c r="C55" i="8"/>
  <c r="D55" i="8" a="1"/>
  <c r="D55" i="8"/>
  <c r="E55" i="8" a="1"/>
  <c r="E55" i="8" s="1"/>
  <c r="F55" i="8" a="1"/>
  <c r="F55" i="8"/>
  <c r="G55" i="8" a="1"/>
  <c r="G55" i="8" s="1"/>
  <c r="H55" i="8" a="1"/>
  <c r="H55" i="8"/>
  <c r="I55" i="8" a="1"/>
  <c r="I55" i="8"/>
  <c r="J55" i="8" a="1"/>
  <c r="J55" i="8"/>
  <c r="K55" i="8" a="1"/>
  <c r="K55" i="8" s="1"/>
  <c r="L55" i="8" a="1"/>
  <c r="L55" i="8"/>
  <c r="M55" i="8" a="1"/>
  <c r="M55" i="8" s="1"/>
  <c r="N55" i="8" a="1"/>
  <c r="N55" i="8" s="1"/>
  <c r="O55" i="8" a="1"/>
  <c r="O55" i="8" s="1"/>
  <c r="P55" i="8" a="1"/>
  <c r="P55" i="8"/>
  <c r="Q55" i="8" a="1"/>
  <c r="Q55" i="8" s="1"/>
  <c r="R55" i="8" a="1"/>
  <c r="R55" i="8"/>
  <c r="S55" i="8" a="1"/>
  <c r="S55" i="8"/>
  <c r="T55" i="8" a="1"/>
  <c r="T55" i="8" s="1"/>
  <c r="U55" i="8" a="1"/>
  <c r="U55" i="8"/>
  <c r="V55" i="8" a="1"/>
  <c r="V55" i="8"/>
  <c r="W55" i="8" a="1"/>
  <c r="W55" i="8" s="1"/>
  <c r="X55" i="8" a="1"/>
  <c r="X55" i="8"/>
  <c r="Y55" i="8" a="1"/>
  <c r="Y55" i="8"/>
  <c r="Z55" i="8" a="1"/>
  <c r="Z55" i="8" s="1"/>
  <c r="AA55" i="8" a="1"/>
  <c r="AA55" i="8" s="1"/>
  <c r="AB55" i="8" a="1"/>
  <c r="AB55" i="8" s="1"/>
  <c r="AC55" i="8" a="1"/>
  <c r="AC55" i="8" s="1"/>
  <c r="AD55" i="8" a="1"/>
  <c r="AD55" i="8"/>
  <c r="AE55" i="8" a="1"/>
  <c r="AE55" i="8"/>
  <c r="AF55" i="8" a="1"/>
  <c r="AF55" i="8"/>
  <c r="AG55" i="8" a="1"/>
  <c r="AG55" i="8" s="1"/>
  <c r="AH55" i="8" a="1"/>
  <c r="AH55" i="8"/>
  <c r="AI55" i="8" a="1"/>
  <c r="AI55" i="8" s="1"/>
  <c r="AJ55" i="8" a="1"/>
  <c r="AJ55" i="8"/>
  <c r="AK55" i="8" a="1"/>
  <c r="AK55" i="8"/>
  <c r="AL55" i="8" a="1"/>
  <c r="AL55" i="8"/>
  <c r="AM55" i="8" a="1"/>
  <c r="AM55" i="8" s="1"/>
  <c r="AN55" i="8" a="1"/>
  <c r="AN55" i="8" s="1"/>
  <c r="AO55" i="8" a="1"/>
  <c r="AO55" i="8" s="1"/>
  <c r="AP55" i="8" a="1"/>
  <c r="AP55" i="8"/>
  <c r="AQ55" i="8" a="1"/>
  <c r="AQ55" i="8"/>
  <c r="AR55" i="8" a="1"/>
  <c r="AR55" i="8"/>
  <c r="AS55" i="8" a="1"/>
  <c r="AS55" i="8"/>
  <c r="AT55" i="8" a="1"/>
  <c r="AT55" i="8" s="1"/>
  <c r="AU55" i="8" a="1"/>
  <c r="AU55" i="8" s="1"/>
  <c r="AV55" i="8" a="1"/>
  <c r="AV55" i="8" s="1"/>
  <c r="AW55" i="8" a="1"/>
  <c r="AW55" i="8"/>
  <c r="AX55" i="8" a="1"/>
  <c r="AX55" i="8"/>
  <c r="AY55" i="8" a="1"/>
  <c r="AY55" i="8"/>
  <c r="AZ55" i="8" a="1"/>
  <c r="AZ55" i="8" s="1"/>
  <c r="BA55" i="8" a="1"/>
  <c r="BA55" i="8" s="1"/>
  <c r="BB55" i="8" a="1"/>
  <c r="BB55" i="8"/>
  <c r="BC55" i="8" a="1"/>
  <c r="BC55" i="8"/>
  <c r="BD55" i="8" a="1"/>
  <c r="BD55" i="8"/>
  <c r="BE55" i="8" a="1"/>
  <c r="BE55" i="8"/>
  <c r="BF55" i="8" a="1"/>
  <c r="BF55" i="8"/>
  <c r="BG55" i="8" a="1"/>
  <c r="BG55" i="8" s="1"/>
  <c r="BH55" i="8" a="1"/>
  <c r="BH55" i="8" s="1"/>
  <c r="BI55" i="8" a="1"/>
  <c r="BI55" i="8" s="1"/>
  <c r="BJ55" i="8" a="1"/>
  <c r="BJ55" i="8"/>
  <c r="BK55" i="8" a="1"/>
  <c r="BK55" i="8"/>
  <c r="BL55" i="8" a="1"/>
  <c r="BL55" i="8"/>
  <c r="BM55" i="8" a="1"/>
  <c r="BM55" i="8" s="1"/>
  <c r="BN55" i="8" a="1"/>
  <c r="BN55" i="8" s="1"/>
  <c r="BO55" i="8" a="1"/>
  <c r="BO55" i="8"/>
  <c r="BP55" i="8" a="1"/>
  <c r="BP55" i="8"/>
  <c r="BQ55" i="8" a="1"/>
  <c r="BQ55" i="8"/>
  <c r="BR55" i="8" a="1"/>
  <c r="BR55" i="8"/>
  <c r="BS55" i="8" a="1"/>
  <c r="BS55" i="8" s="1"/>
  <c r="BT55" i="8" a="1"/>
  <c r="BT55" i="8" s="1"/>
  <c r="BU55" i="8" a="1"/>
  <c r="BU55" i="8" s="1"/>
  <c r="BV55" i="8" a="1"/>
  <c r="BV55" i="8" s="1"/>
  <c r="C56" i="8" a="1"/>
  <c r="C56" i="8"/>
  <c r="D56" i="8" a="1"/>
  <c r="D56" i="8"/>
  <c r="E56" i="8" a="1"/>
  <c r="E56" i="8" s="1"/>
  <c r="F56" i="8" a="1"/>
  <c r="F56" i="8"/>
  <c r="G56" i="8" a="1"/>
  <c r="G56" i="8" s="1"/>
  <c r="H56" i="8" a="1"/>
  <c r="H56" i="8"/>
  <c r="I56" i="8" a="1"/>
  <c r="I56" i="8"/>
  <c r="J56" i="8" a="1"/>
  <c r="J56" i="8"/>
  <c r="K56" i="8" a="1"/>
  <c r="K56" i="8" s="1"/>
  <c r="L56" i="8" a="1"/>
  <c r="L56" i="8"/>
  <c r="M56" i="8" a="1"/>
  <c r="M56" i="8" s="1"/>
  <c r="N56" i="8" a="1"/>
  <c r="N56" i="8" s="1"/>
  <c r="O56" i="8" a="1"/>
  <c r="O56" i="8" s="1"/>
  <c r="P56" i="8" a="1"/>
  <c r="P56" i="8"/>
  <c r="Q56" i="8" a="1"/>
  <c r="Q56" i="8" s="1"/>
  <c r="R56" i="8" a="1"/>
  <c r="R56" i="8"/>
  <c r="S56" i="8" a="1"/>
  <c r="S56" i="8"/>
  <c r="T56" i="8" a="1"/>
  <c r="T56" i="8" s="1"/>
  <c r="U56" i="8" a="1"/>
  <c r="U56" i="8"/>
  <c r="V56" i="8" a="1"/>
  <c r="V56" i="8"/>
  <c r="W56" i="8" a="1"/>
  <c r="W56" i="8" s="1"/>
  <c r="X56" i="8" a="1"/>
  <c r="X56" i="8"/>
  <c r="Y56" i="8" a="1"/>
  <c r="Y56" i="8"/>
  <c r="Z56" i="8" a="1"/>
  <c r="Z56" i="8" s="1"/>
  <c r="AA56" i="8" a="1"/>
  <c r="AA56" i="8" s="1"/>
  <c r="AB56" i="8" a="1"/>
  <c r="AB56" i="8" s="1"/>
  <c r="AC56" i="8" a="1"/>
  <c r="AC56" i="8" s="1"/>
  <c r="AD56" i="8" a="1"/>
  <c r="AD56" i="8"/>
  <c r="AE56" i="8" a="1"/>
  <c r="AE56" i="8"/>
  <c r="AF56" i="8" a="1"/>
  <c r="AF56" i="8"/>
  <c r="AG56" i="8" a="1"/>
  <c r="AG56" i="8" s="1"/>
  <c r="AH56" i="8" a="1"/>
  <c r="AH56" i="8"/>
  <c r="AI56" i="8" a="1"/>
  <c r="AI56" i="8" s="1"/>
  <c r="AJ56" i="8" a="1"/>
  <c r="AJ56" i="8"/>
  <c r="AK56" i="8" a="1"/>
  <c r="AK56" i="8"/>
  <c r="AL56" i="8" a="1"/>
  <c r="AL56" i="8"/>
  <c r="AM56" i="8" a="1"/>
  <c r="AM56" i="8" s="1"/>
  <c r="AN56" i="8" a="1"/>
  <c r="AN56" i="8" s="1"/>
  <c r="AO56" i="8" a="1"/>
  <c r="AO56" i="8" s="1"/>
  <c r="AP56" i="8" a="1"/>
  <c r="AP56" i="8"/>
  <c r="AQ56" i="8" a="1"/>
  <c r="AQ56" i="8"/>
  <c r="AR56" i="8" a="1"/>
  <c r="AR56" i="8"/>
  <c r="AS56" i="8" a="1"/>
  <c r="AS56" i="8"/>
  <c r="AT56" i="8" a="1"/>
  <c r="AT56" i="8" s="1"/>
  <c r="AU56" i="8" a="1"/>
  <c r="AU56" i="8" s="1"/>
  <c r="AV56" i="8" a="1"/>
  <c r="AV56" i="8" s="1"/>
  <c r="AW56" i="8" a="1"/>
  <c r="AW56" i="8"/>
  <c r="AX56" i="8" a="1"/>
  <c r="AX56" i="8"/>
  <c r="AY56" i="8" a="1"/>
  <c r="AY56" i="8"/>
  <c r="AZ56" i="8" a="1"/>
  <c r="AZ56" i="8" s="1"/>
  <c r="BA56" i="8" a="1"/>
  <c r="BA56" i="8" s="1"/>
  <c r="BB56" i="8" a="1"/>
  <c r="BB56" i="8"/>
  <c r="BC56" i="8" a="1"/>
  <c r="BC56" i="8"/>
  <c r="BD56" i="8" a="1"/>
  <c r="BD56" i="8"/>
  <c r="BE56" i="8" a="1"/>
  <c r="BE56" i="8"/>
  <c r="BF56" i="8" a="1"/>
  <c r="BF56" i="8"/>
  <c r="BG56" i="8" a="1"/>
  <c r="BG56" i="8" s="1"/>
  <c r="BH56" i="8" a="1"/>
  <c r="BH56" i="8" s="1"/>
  <c r="BI56" i="8" a="1"/>
  <c r="BI56" i="8" s="1"/>
  <c r="BJ56" i="8" a="1"/>
  <c r="BJ56" i="8"/>
  <c r="BK56" i="8" a="1"/>
  <c r="BK56" i="8"/>
  <c r="BL56" i="8" a="1"/>
  <c r="BL56" i="8"/>
  <c r="BM56" i="8" a="1"/>
  <c r="BM56" i="8" s="1"/>
  <c r="BN56" i="8" a="1"/>
  <c r="BN56" i="8" s="1"/>
  <c r="BO56" i="8" a="1"/>
  <c r="BO56" i="8"/>
  <c r="BP56" i="8" a="1"/>
  <c r="BP56" i="8"/>
  <c r="BQ56" i="8" a="1"/>
  <c r="BQ56" i="8"/>
  <c r="BR56" i="8" a="1"/>
  <c r="BR56" i="8"/>
  <c r="BS56" i="8" a="1"/>
  <c r="BS56" i="8" s="1"/>
  <c r="BT56" i="8" a="1"/>
  <c r="BT56" i="8" s="1"/>
  <c r="BU56" i="8" a="1"/>
  <c r="BU56" i="8" s="1"/>
  <c r="BV56" i="8" a="1"/>
  <c r="BV56" i="8" s="1"/>
  <c r="C57" i="8" a="1"/>
  <c r="C57" i="8"/>
  <c r="D57" i="8" a="1"/>
  <c r="D57" i="8"/>
  <c r="E57" i="8" a="1"/>
  <c r="E57" i="8" s="1"/>
  <c r="F57" i="8" a="1"/>
  <c r="F57" i="8"/>
  <c r="G57" i="8" a="1"/>
  <c r="G57" i="8" s="1"/>
  <c r="H57" i="8" a="1"/>
  <c r="H57" i="8"/>
  <c r="I57" i="8" a="1"/>
  <c r="I57" i="8"/>
  <c r="J57" i="8" a="1"/>
  <c r="J57" i="8"/>
  <c r="K57" i="8" a="1"/>
  <c r="K57" i="8" s="1"/>
  <c r="L57" i="8" a="1"/>
  <c r="L57" i="8"/>
  <c r="M57" i="8" a="1"/>
  <c r="M57" i="8" s="1"/>
  <c r="N57" i="8" a="1"/>
  <c r="N57" i="8" s="1"/>
  <c r="O57" i="8" a="1"/>
  <c r="O57" i="8" s="1"/>
  <c r="P57" i="8" a="1"/>
  <c r="P57" i="8"/>
  <c r="Q57" i="8" a="1"/>
  <c r="Q57" i="8" s="1"/>
  <c r="R57" i="8" a="1"/>
  <c r="R57" i="8"/>
  <c r="S57" i="8" a="1"/>
  <c r="S57" i="8"/>
  <c r="T57" i="8" a="1"/>
  <c r="T57" i="8" s="1"/>
  <c r="U57" i="8" a="1"/>
  <c r="U57" i="8"/>
  <c r="V57" i="8" a="1"/>
  <c r="V57" i="8"/>
  <c r="W57" i="8" a="1"/>
  <c r="W57" i="8" s="1"/>
  <c r="X57" i="8" a="1"/>
  <c r="X57" i="8"/>
  <c r="Y57" i="8" a="1"/>
  <c r="Y57" i="8"/>
  <c r="Z57" i="8" a="1"/>
  <c r="Z57" i="8" s="1"/>
  <c r="AA57" i="8" a="1"/>
  <c r="AA57" i="8" s="1"/>
  <c r="AB57" i="8" a="1"/>
  <c r="AB57" i="8" s="1"/>
  <c r="AC57" i="8" a="1"/>
  <c r="AC57" i="8" s="1"/>
  <c r="AD57" i="8" a="1"/>
  <c r="AD57" i="8"/>
  <c r="AE57" i="8" a="1"/>
  <c r="AE57" i="8"/>
  <c r="AF57" i="8" a="1"/>
  <c r="AF57" i="8"/>
  <c r="AG57" i="8" a="1"/>
  <c r="AG57" i="8" s="1"/>
  <c r="AH57" i="8" a="1"/>
  <c r="AH57" i="8"/>
  <c r="AI57" i="8" a="1"/>
  <c r="AI57" i="8" s="1"/>
  <c r="AJ57" i="8" a="1"/>
  <c r="AJ57" i="8"/>
  <c r="AK57" i="8" a="1"/>
  <c r="AK57" i="8"/>
  <c r="AL57" i="8" a="1"/>
  <c r="AL57" i="8"/>
  <c r="AM57" i="8" a="1"/>
  <c r="AM57" i="8" s="1"/>
  <c r="AN57" i="8" a="1"/>
  <c r="AN57" i="8" s="1"/>
  <c r="AO57" i="8" a="1"/>
  <c r="AO57" i="8" s="1"/>
  <c r="AP57" i="8" a="1"/>
  <c r="AP57" i="8"/>
  <c r="AQ57" i="8" a="1"/>
  <c r="AQ57" i="8"/>
  <c r="AR57" i="8" a="1"/>
  <c r="AR57" i="8"/>
  <c r="AS57" i="8" a="1"/>
  <c r="AS57" i="8"/>
  <c r="AT57" i="8" a="1"/>
  <c r="AT57" i="8" s="1"/>
  <c r="AU57" i="8" a="1"/>
  <c r="AU57" i="8" s="1"/>
  <c r="AV57" i="8" a="1"/>
  <c r="AV57" i="8" s="1"/>
  <c r="AW57" i="8" a="1"/>
  <c r="AW57" i="8"/>
  <c r="AX57" i="8" a="1"/>
  <c r="AX57" i="8"/>
  <c r="AY57" i="8" a="1"/>
  <c r="AY57" i="8"/>
  <c r="AZ57" i="8" a="1"/>
  <c r="AZ57" i="8" s="1"/>
  <c r="BA57" i="8" a="1"/>
  <c r="BA57" i="8" s="1"/>
  <c r="BB57" i="8" a="1"/>
  <c r="BB57" i="8"/>
  <c r="BC57" i="8" a="1"/>
  <c r="BC57" i="8"/>
  <c r="BD57" i="8" a="1"/>
  <c r="BD57" i="8"/>
  <c r="BE57" i="8" a="1"/>
  <c r="BE57" i="8"/>
  <c r="BF57" i="8" a="1"/>
  <c r="BF57" i="8"/>
  <c r="BG57" i="8" a="1"/>
  <c r="BG57" i="8" s="1"/>
  <c r="BH57" i="8" a="1"/>
  <c r="BH57" i="8" s="1"/>
  <c r="BI57" i="8" a="1"/>
  <c r="BI57" i="8" s="1"/>
  <c r="BJ57" i="8" a="1"/>
  <c r="BJ57" i="8"/>
  <c r="BK57" i="8" a="1"/>
  <c r="BK57" i="8"/>
  <c r="BL57" i="8" a="1"/>
  <c r="BL57" i="8"/>
  <c r="BM57" i="8" a="1"/>
  <c r="BM57" i="8" s="1"/>
  <c r="BN57" i="8" a="1"/>
  <c r="BN57" i="8" s="1"/>
  <c r="BO57" i="8" a="1"/>
  <c r="BO57" i="8"/>
  <c r="BP57" i="8" a="1"/>
  <c r="BP57" i="8"/>
  <c r="BQ57" i="8" a="1"/>
  <c r="BQ57" i="8"/>
  <c r="BR57" i="8" a="1"/>
  <c r="BR57" i="8"/>
  <c r="BS57" i="8" a="1"/>
  <c r="BS57" i="8" s="1"/>
  <c r="BT57" i="8" a="1"/>
  <c r="BT57" i="8" s="1"/>
  <c r="BU57" i="8" a="1"/>
  <c r="BU57" i="8" s="1"/>
  <c r="BV57" i="8" a="1"/>
  <c r="BV57" i="8" s="1"/>
  <c r="C58" i="8" a="1"/>
  <c r="C58" i="8"/>
  <c r="D58" i="8" a="1"/>
  <c r="D58" i="8"/>
  <c r="E58" i="8" a="1"/>
  <c r="E58" i="8" s="1"/>
  <c r="F58" i="8" a="1"/>
  <c r="F58" i="8"/>
  <c r="G58" i="8" a="1"/>
  <c r="G58" i="8" s="1"/>
  <c r="H58" i="8" a="1"/>
  <c r="H58" i="8"/>
  <c r="I58" i="8" a="1"/>
  <c r="I58" i="8"/>
  <c r="J58" i="8" a="1"/>
  <c r="J58" i="8"/>
  <c r="K58" i="8" a="1"/>
  <c r="K58" i="8" s="1"/>
  <c r="L58" i="8" a="1"/>
  <c r="L58" i="8"/>
  <c r="M58" i="8" a="1"/>
  <c r="M58" i="8" s="1"/>
  <c r="N58" i="8" a="1"/>
  <c r="N58" i="8" s="1"/>
  <c r="O58" i="8" a="1"/>
  <c r="O58" i="8" s="1"/>
  <c r="P58" i="8" a="1"/>
  <c r="P58" i="8"/>
  <c r="Q58" i="8" a="1"/>
  <c r="Q58" i="8" s="1"/>
  <c r="R58" i="8" a="1"/>
  <c r="R58" i="8"/>
  <c r="S58" i="8" a="1"/>
  <c r="S58" i="8"/>
  <c r="T58" i="8" a="1"/>
  <c r="T58" i="8" s="1"/>
  <c r="U58" i="8" a="1"/>
  <c r="U58" i="8"/>
  <c r="V58" i="8" a="1"/>
  <c r="V58" i="8"/>
  <c r="W58" i="8" a="1"/>
  <c r="W58" i="8" s="1"/>
  <c r="X58" i="8" a="1"/>
  <c r="X58" i="8"/>
  <c r="Y58" i="8" a="1"/>
  <c r="Y58" i="8"/>
  <c r="Z58" i="8" a="1"/>
  <c r="Z58" i="8" s="1"/>
  <c r="AA58" i="8" a="1"/>
  <c r="AA58" i="8" s="1"/>
  <c r="AB58" i="8" a="1"/>
  <c r="AB58" i="8" s="1"/>
  <c r="AC58" i="8" a="1"/>
  <c r="AC58" i="8" s="1"/>
  <c r="AD58" i="8" a="1"/>
  <c r="AD58" i="8"/>
  <c r="AE58" i="8" a="1"/>
  <c r="AE58" i="8"/>
  <c r="AF58" i="8" a="1"/>
  <c r="AF58" i="8"/>
  <c r="AG58" i="8" a="1"/>
  <c r="AG58" i="8" s="1"/>
  <c r="AH58" i="8" a="1"/>
  <c r="AH58" i="8"/>
  <c r="AI58" i="8" a="1"/>
  <c r="AI58" i="8" s="1"/>
  <c r="AJ58" i="8" a="1"/>
  <c r="AJ58" i="8"/>
  <c r="AK58" i="8" a="1"/>
  <c r="AK58" i="8"/>
  <c r="AL58" i="8" a="1"/>
  <c r="AL58" i="8"/>
  <c r="AM58" i="8" a="1"/>
  <c r="AM58" i="8" s="1"/>
  <c r="AN58" i="8" a="1"/>
  <c r="AN58" i="8" s="1"/>
  <c r="AO58" i="8" a="1"/>
  <c r="AO58" i="8" s="1"/>
  <c r="AP58" i="8" a="1"/>
  <c r="AP58" i="8"/>
  <c r="AQ58" i="8" a="1"/>
  <c r="AQ58" i="8"/>
  <c r="AR58" i="8" a="1"/>
  <c r="AR58" i="8"/>
  <c r="AS58" i="8" a="1"/>
  <c r="AS58" i="8"/>
  <c r="AT58" i="8" a="1"/>
  <c r="AT58" i="8" s="1"/>
  <c r="AU58" i="8" a="1"/>
  <c r="AU58" i="8" s="1"/>
  <c r="AV58" i="8" a="1"/>
  <c r="AV58" i="8" s="1"/>
  <c r="AW58" i="8" a="1"/>
  <c r="AW58" i="8"/>
  <c r="AX58" i="8" a="1"/>
  <c r="AX58" i="8"/>
  <c r="AY58" i="8" a="1"/>
  <c r="AY58" i="8"/>
  <c r="AZ58" i="8" a="1"/>
  <c r="AZ58" i="8" s="1"/>
  <c r="BA58" i="8" a="1"/>
  <c r="BA58" i="8" s="1"/>
  <c r="BB58" i="8" a="1"/>
  <c r="BB58" i="8"/>
  <c r="BC58" i="8" a="1"/>
  <c r="BC58" i="8"/>
  <c r="BD58" i="8" a="1"/>
  <c r="BD58" i="8"/>
  <c r="BE58" i="8" a="1"/>
  <c r="BE58" i="8"/>
  <c r="BF58" i="8" a="1"/>
  <c r="BF58" i="8"/>
  <c r="BG58" i="8" a="1"/>
  <c r="BG58" i="8" s="1"/>
  <c r="BH58" i="8" a="1"/>
  <c r="BH58" i="8" s="1"/>
  <c r="BI58" i="8" a="1"/>
  <c r="BI58" i="8" s="1"/>
  <c r="BJ58" i="8" a="1"/>
  <c r="BJ58" i="8"/>
  <c r="BK58" i="8" a="1"/>
  <c r="BK58" i="8"/>
  <c r="BL58" i="8" a="1"/>
  <c r="BL58" i="8"/>
  <c r="BM58" i="8" a="1"/>
  <c r="BM58" i="8" s="1"/>
  <c r="BN58" i="8" a="1"/>
  <c r="BN58" i="8" s="1"/>
  <c r="BO58" i="8" a="1"/>
  <c r="BO58" i="8"/>
  <c r="BP58" i="8" a="1"/>
  <c r="BP58" i="8"/>
  <c r="BQ58" i="8" a="1"/>
  <c r="BQ58" i="8"/>
  <c r="BR58" i="8" a="1"/>
  <c r="BR58" i="8"/>
  <c r="BS58" i="8" a="1"/>
  <c r="BS58" i="8" s="1"/>
  <c r="BT58" i="8" a="1"/>
  <c r="BT58" i="8" s="1"/>
  <c r="BU58" i="8" a="1"/>
  <c r="BU58" i="8" s="1"/>
  <c r="BV58" i="8" a="1"/>
  <c r="BV58" i="8" s="1"/>
  <c r="C59" i="8" a="1"/>
  <c r="C59" i="8"/>
  <c r="D59" i="8" a="1"/>
  <c r="D59" i="8"/>
  <c r="E59" i="8" a="1"/>
  <c r="E59" i="8" s="1"/>
  <c r="F59" i="8" a="1"/>
  <c r="F59" i="8"/>
  <c r="G59" i="8" a="1"/>
  <c r="G59" i="8" s="1"/>
  <c r="H59" i="8" a="1"/>
  <c r="H59" i="8"/>
  <c r="I59" i="8" a="1"/>
  <c r="I59" i="8"/>
  <c r="J59" i="8" a="1"/>
  <c r="J59" i="8"/>
  <c r="K59" i="8" a="1"/>
  <c r="K59" i="8" s="1"/>
  <c r="L59" i="8" a="1"/>
  <c r="L59" i="8"/>
  <c r="M59" i="8" a="1"/>
  <c r="M59" i="8" s="1"/>
  <c r="N59" i="8" a="1"/>
  <c r="N59" i="8" s="1"/>
  <c r="O59" i="8" a="1"/>
  <c r="O59" i="8" s="1"/>
  <c r="P59" i="8" a="1"/>
  <c r="P59" i="8"/>
  <c r="Q59" i="8" a="1"/>
  <c r="Q59" i="8" s="1"/>
  <c r="R59" i="8" a="1"/>
  <c r="R59" i="8"/>
  <c r="S59" i="8" a="1"/>
  <c r="S59" i="8"/>
  <c r="T59" i="8" a="1"/>
  <c r="T59" i="8" s="1"/>
  <c r="U59" i="8" a="1"/>
  <c r="U59" i="8"/>
  <c r="V59" i="8" a="1"/>
  <c r="V59" i="8"/>
  <c r="W59" i="8" a="1"/>
  <c r="W59" i="8" s="1"/>
  <c r="X59" i="8" a="1"/>
  <c r="X59" i="8"/>
  <c r="Y59" i="8" a="1"/>
  <c r="Y59" i="8"/>
  <c r="Z59" i="8" a="1"/>
  <c r="Z59" i="8" s="1"/>
  <c r="AA59" i="8" a="1"/>
  <c r="AA59" i="8" s="1"/>
  <c r="AB59" i="8" a="1"/>
  <c r="AB59" i="8" s="1"/>
  <c r="AC59" i="8" a="1"/>
  <c r="AC59" i="8" s="1"/>
  <c r="AD59" i="8" a="1"/>
  <c r="AD59" i="8"/>
  <c r="AE59" i="8" a="1"/>
  <c r="AE59" i="8"/>
  <c r="AF59" i="8" a="1"/>
  <c r="AF59" i="8"/>
  <c r="AG59" i="8" a="1"/>
  <c r="AG59" i="8" s="1"/>
  <c r="AH59" i="8" a="1"/>
  <c r="AH59" i="8"/>
  <c r="AI59" i="8" a="1"/>
  <c r="AI59" i="8" s="1"/>
  <c r="AJ59" i="8" a="1"/>
  <c r="AJ59" i="8"/>
  <c r="AK59" i="8" a="1"/>
  <c r="AK59" i="8"/>
  <c r="AL59" i="8" a="1"/>
  <c r="AL59" i="8"/>
  <c r="AM59" i="8" a="1"/>
  <c r="AM59" i="8" s="1"/>
  <c r="AN59" i="8" a="1"/>
  <c r="AN59" i="8" s="1"/>
  <c r="AO59" i="8" a="1"/>
  <c r="AO59" i="8" s="1"/>
  <c r="AP59" i="8" a="1"/>
  <c r="AP59" i="8"/>
  <c r="AQ59" i="8" a="1"/>
  <c r="AQ59" i="8"/>
  <c r="AR59" i="8" a="1"/>
  <c r="AR59" i="8"/>
  <c r="AS59" i="8" a="1"/>
  <c r="AS59" i="8"/>
  <c r="AT59" i="8" a="1"/>
  <c r="AT59" i="8" s="1"/>
  <c r="AU59" i="8" a="1"/>
  <c r="AU59" i="8" s="1"/>
  <c r="AV59" i="8" a="1"/>
  <c r="AV59" i="8" s="1"/>
  <c r="AW59" i="8" a="1"/>
  <c r="AW59" i="8"/>
  <c r="AX59" i="8" a="1"/>
  <c r="AX59" i="8"/>
  <c r="AY59" i="8" a="1"/>
  <c r="AY59" i="8"/>
  <c r="AZ59" i="8" a="1"/>
  <c r="AZ59" i="8" s="1"/>
  <c r="BA59" i="8" a="1"/>
  <c r="BA59" i="8" s="1"/>
  <c r="BB59" i="8" a="1"/>
  <c r="BB59" i="8"/>
  <c r="BC59" i="8" a="1"/>
  <c r="BC59" i="8"/>
  <c r="BD59" i="8" a="1"/>
  <c r="BD59" i="8"/>
  <c r="BE59" i="8" a="1"/>
  <c r="BE59" i="8"/>
  <c r="BF59" i="8" a="1"/>
  <c r="BF59" i="8"/>
  <c r="BG59" i="8" a="1"/>
  <c r="BG59" i="8" s="1"/>
  <c r="BH59" i="8" a="1"/>
  <c r="BH59" i="8" s="1"/>
  <c r="BI59" i="8" a="1"/>
  <c r="BI59" i="8" s="1"/>
  <c r="BJ59" i="8" a="1"/>
  <c r="BJ59" i="8"/>
  <c r="BK59" i="8" a="1"/>
  <c r="BK59" i="8"/>
  <c r="BL59" i="8" a="1"/>
  <c r="BL59" i="8"/>
  <c r="BM59" i="8" a="1"/>
  <c r="BM59" i="8" s="1"/>
  <c r="BN59" i="8" a="1"/>
  <c r="BN59" i="8" s="1"/>
  <c r="BO59" i="8" a="1"/>
  <c r="BO59" i="8"/>
  <c r="BP59" i="8" a="1"/>
  <c r="BP59" i="8"/>
  <c r="BQ59" i="8" a="1"/>
  <c r="BQ59" i="8"/>
  <c r="BR59" i="8" a="1"/>
  <c r="BR59" i="8"/>
  <c r="BS59" i="8" a="1"/>
  <c r="BS59" i="8" s="1"/>
  <c r="BT59" i="8" a="1"/>
  <c r="BT59" i="8" s="1"/>
  <c r="BU59" i="8" a="1"/>
  <c r="BU59" i="8" s="1"/>
  <c r="BV59" i="8" a="1"/>
  <c r="BV59" i="8" s="1"/>
  <c r="C60" i="8" a="1"/>
  <c r="C60" i="8"/>
  <c r="D60" i="8" a="1"/>
  <c r="D60" i="8"/>
  <c r="E60" i="8" a="1"/>
  <c r="E60" i="8" s="1"/>
  <c r="F60" i="8" a="1"/>
  <c r="F60" i="8"/>
  <c r="G60" i="8" a="1"/>
  <c r="G60" i="8" s="1"/>
  <c r="H60" i="8" a="1"/>
  <c r="H60" i="8"/>
  <c r="I60" i="8" a="1"/>
  <c r="I60" i="8"/>
  <c r="J60" i="8" a="1"/>
  <c r="J60" i="8"/>
  <c r="K60" i="8" a="1"/>
  <c r="K60" i="8" s="1"/>
  <c r="L60" i="8" a="1"/>
  <c r="L60" i="8"/>
  <c r="M60" i="8" a="1"/>
  <c r="M60" i="8" s="1"/>
  <c r="N60" i="8" a="1"/>
  <c r="N60" i="8" s="1"/>
  <c r="O60" i="8" a="1"/>
  <c r="O60" i="8" s="1"/>
  <c r="P60" i="8" a="1"/>
  <c r="P60" i="8"/>
  <c r="Q60" i="8" a="1"/>
  <c r="Q60" i="8" s="1"/>
  <c r="R60" i="8" a="1"/>
  <c r="R60" i="8"/>
  <c r="S60" i="8" a="1"/>
  <c r="S60" i="8"/>
  <c r="T60" i="8" a="1"/>
  <c r="T60" i="8" s="1"/>
  <c r="U60" i="8" a="1"/>
  <c r="U60" i="8"/>
  <c r="V60" i="8" a="1"/>
  <c r="V60" i="8"/>
  <c r="W60" i="8" a="1"/>
  <c r="W60" i="8" s="1"/>
  <c r="X60" i="8" a="1"/>
  <c r="X60" i="8"/>
  <c r="Y60" i="8" a="1"/>
  <c r="Y60" i="8"/>
  <c r="Z60" i="8" a="1"/>
  <c r="Z60" i="8" s="1"/>
  <c r="AA60" i="8" a="1"/>
  <c r="AA60" i="8" s="1"/>
  <c r="AB60" i="8" a="1"/>
  <c r="AB60" i="8" s="1"/>
  <c r="AC60" i="8" a="1"/>
  <c r="AC60" i="8" s="1"/>
  <c r="AD60" i="8" a="1"/>
  <c r="AD60" i="8"/>
  <c r="AE60" i="8" a="1"/>
  <c r="AE60" i="8"/>
  <c r="AF60" i="8" a="1"/>
  <c r="AF60" i="8"/>
  <c r="AG60" i="8" a="1"/>
  <c r="AG60" i="8" s="1"/>
  <c r="AH60" i="8" a="1"/>
  <c r="AH60" i="8"/>
  <c r="AI60" i="8" a="1"/>
  <c r="AI60" i="8" s="1"/>
  <c r="AJ60" i="8" a="1"/>
  <c r="AJ60" i="8"/>
  <c r="AK60" i="8" a="1"/>
  <c r="AK60" i="8"/>
  <c r="AL60" i="8" a="1"/>
  <c r="AL60" i="8"/>
  <c r="AM60" i="8" a="1"/>
  <c r="AM60" i="8" s="1"/>
  <c r="AN60" i="8" a="1"/>
  <c r="AN60" i="8" s="1"/>
  <c r="AO60" i="8" a="1"/>
  <c r="AO60" i="8" s="1"/>
  <c r="AP60" i="8" a="1"/>
  <c r="AP60" i="8"/>
  <c r="AQ60" i="8" a="1"/>
  <c r="AQ60" i="8"/>
  <c r="AR60" i="8" a="1"/>
  <c r="AR60" i="8"/>
  <c r="AS60" i="8" a="1"/>
  <c r="AS60" i="8"/>
  <c r="AT60" i="8" a="1"/>
  <c r="AT60" i="8" s="1"/>
  <c r="AU60" i="8" a="1"/>
  <c r="AU60" i="8" s="1"/>
  <c r="AV60" i="8" a="1"/>
  <c r="AV60" i="8" s="1"/>
  <c r="AW60" i="8" a="1"/>
  <c r="AW60" i="8"/>
  <c r="AX60" i="8" a="1"/>
  <c r="AX60" i="8"/>
  <c r="AY60" i="8" a="1"/>
  <c r="AY60" i="8"/>
  <c r="AZ60" i="8" a="1"/>
  <c r="AZ60" i="8" s="1"/>
  <c r="BA60" i="8" a="1"/>
  <c r="BA60" i="8" s="1"/>
  <c r="BB60" i="8" a="1"/>
  <c r="BB60" i="8"/>
  <c r="BC60" i="8" a="1"/>
  <c r="BC60" i="8"/>
  <c r="BD60" i="8" a="1"/>
  <c r="BD60" i="8"/>
  <c r="BE60" i="8" a="1"/>
  <c r="BE60" i="8"/>
  <c r="BF60" i="8" a="1"/>
  <c r="BF60" i="8"/>
  <c r="BG60" i="8" a="1"/>
  <c r="BG60" i="8" s="1"/>
  <c r="BH60" i="8" a="1"/>
  <c r="BH60" i="8" s="1"/>
  <c r="BI60" i="8" a="1"/>
  <c r="BI60" i="8" s="1"/>
  <c r="BJ60" i="8" a="1"/>
  <c r="BJ60" i="8"/>
  <c r="BK60" i="8" a="1"/>
  <c r="BK60" i="8"/>
  <c r="BL60" i="8" a="1"/>
  <c r="BL60" i="8"/>
  <c r="BM60" i="8" a="1"/>
  <c r="BM60" i="8" s="1"/>
  <c r="BN60" i="8" a="1"/>
  <c r="BN60" i="8" s="1"/>
  <c r="BO60" i="8" a="1"/>
  <c r="BO60" i="8"/>
  <c r="BP60" i="8" a="1"/>
  <c r="BP60" i="8"/>
  <c r="BQ60" i="8" a="1"/>
  <c r="BQ60" i="8"/>
  <c r="BR60" i="8" a="1"/>
  <c r="BR60" i="8"/>
  <c r="BS60" i="8" a="1"/>
  <c r="BS60" i="8" s="1"/>
  <c r="BT60" i="8" a="1"/>
  <c r="BT60" i="8" s="1"/>
  <c r="BU60" i="8" a="1"/>
  <c r="BU60" i="8" s="1"/>
  <c r="BV60" i="8" a="1"/>
  <c r="BV60" i="8" s="1"/>
  <c r="C61" i="8" a="1"/>
  <c r="C61" i="8"/>
  <c r="D61" i="8" a="1"/>
  <c r="D61" i="8"/>
  <c r="E61" i="8" a="1"/>
  <c r="E61" i="8" s="1"/>
  <c r="F61" i="8" a="1"/>
  <c r="F61" i="8"/>
  <c r="G61" i="8" a="1"/>
  <c r="G61" i="8" s="1"/>
  <c r="H61" i="8" a="1"/>
  <c r="H61" i="8"/>
  <c r="I61" i="8" a="1"/>
  <c r="I61" i="8"/>
  <c r="J61" i="8" a="1"/>
  <c r="J61" i="8"/>
  <c r="K61" i="8" a="1"/>
  <c r="K61" i="8" s="1"/>
  <c r="L61" i="8" a="1"/>
  <c r="L61" i="8"/>
  <c r="M61" i="8" a="1"/>
  <c r="M61" i="8" s="1"/>
  <c r="N61" i="8" a="1"/>
  <c r="N61" i="8" s="1"/>
  <c r="O61" i="8" a="1"/>
  <c r="O61" i="8" s="1"/>
  <c r="P61" i="8" a="1"/>
  <c r="P61" i="8"/>
  <c r="Q61" i="8" a="1"/>
  <c r="Q61" i="8" s="1"/>
  <c r="R61" i="8" a="1"/>
  <c r="R61" i="8"/>
  <c r="S61" i="8" a="1"/>
  <c r="S61" i="8"/>
  <c r="T61" i="8" a="1"/>
  <c r="T61" i="8" s="1"/>
  <c r="U61" i="8" a="1"/>
  <c r="U61" i="8"/>
  <c r="V61" i="8" a="1"/>
  <c r="V61" i="8"/>
  <c r="W61" i="8" a="1"/>
  <c r="W61" i="8" s="1"/>
  <c r="X61" i="8" a="1"/>
  <c r="X61" i="8"/>
  <c r="Y61" i="8" a="1"/>
  <c r="Y61" i="8"/>
  <c r="Z61" i="8" a="1"/>
  <c r="Z61" i="8" s="1"/>
  <c r="AA61" i="8" a="1"/>
  <c r="AA61" i="8" s="1"/>
  <c r="AB61" i="8" a="1"/>
  <c r="AB61" i="8" s="1"/>
  <c r="AC61" i="8" a="1"/>
  <c r="AC61" i="8" s="1"/>
  <c r="AD61" i="8" a="1"/>
  <c r="AD61" i="8"/>
  <c r="AE61" i="8" a="1"/>
  <c r="AE61" i="8"/>
  <c r="AF61" i="8" a="1"/>
  <c r="AF61" i="8"/>
  <c r="AG61" i="8" a="1"/>
  <c r="AG61" i="8" s="1"/>
  <c r="AH61" i="8" a="1"/>
  <c r="AH61" i="8"/>
  <c r="AI61" i="8" a="1"/>
  <c r="AI61" i="8" s="1"/>
  <c r="AJ61" i="8" a="1"/>
  <c r="AJ61" i="8"/>
  <c r="AK61" i="8" a="1"/>
  <c r="AK61" i="8"/>
  <c r="AL61" i="8" a="1"/>
  <c r="AL61" i="8"/>
  <c r="AM61" i="8" a="1"/>
  <c r="AM61" i="8" s="1"/>
  <c r="AN61" i="8" a="1"/>
  <c r="AN61" i="8" s="1"/>
  <c r="AO61" i="8" a="1"/>
  <c r="AO61" i="8" s="1"/>
  <c r="AP61" i="8" a="1"/>
  <c r="AP61" i="8"/>
  <c r="AQ61" i="8" a="1"/>
  <c r="AQ61" i="8"/>
  <c r="AR61" i="8" a="1"/>
  <c r="AR61" i="8"/>
  <c r="AS61" i="8" a="1"/>
  <c r="AS61" i="8"/>
  <c r="AT61" i="8" a="1"/>
  <c r="AT61" i="8" s="1"/>
  <c r="AU61" i="8" a="1"/>
  <c r="AU61" i="8" s="1"/>
  <c r="AV61" i="8" a="1"/>
  <c r="AV61" i="8" s="1"/>
  <c r="AW61" i="8" a="1"/>
  <c r="AW61" i="8"/>
  <c r="AX61" i="8" a="1"/>
  <c r="AX61" i="8"/>
  <c r="AY61" i="8" a="1"/>
  <c r="AY61" i="8"/>
  <c r="AZ61" i="8" a="1"/>
  <c r="AZ61" i="8" s="1"/>
  <c r="BA61" i="8" a="1"/>
  <c r="BA61" i="8" s="1"/>
  <c r="BB61" i="8" a="1"/>
  <c r="BB61" i="8"/>
  <c r="BC61" i="8" a="1"/>
  <c r="BC61" i="8"/>
  <c r="BD61" i="8" a="1"/>
  <c r="BD61" i="8"/>
  <c r="BE61" i="8" a="1"/>
  <c r="BE61" i="8"/>
  <c r="BF61" i="8" a="1"/>
  <c r="BF61" i="8"/>
  <c r="BG61" i="8" a="1"/>
  <c r="BG61" i="8" s="1"/>
  <c r="BH61" i="8" a="1"/>
  <c r="BH61" i="8" s="1"/>
  <c r="BI61" i="8" a="1"/>
  <c r="BI61" i="8" s="1"/>
  <c r="BJ61" i="8" a="1"/>
  <c r="BJ61" i="8"/>
  <c r="BK61" i="8" a="1"/>
  <c r="BK61" i="8"/>
  <c r="BL61" i="8" a="1"/>
  <c r="BL61" i="8"/>
  <c r="BM61" i="8" a="1"/>
  <c r="BM61" i="8" s="1"/>
  <c r="BN61" i="8" a="1"/>
  <c r="BN61" i="8" s="1"/>
  <c r="BO61" i="8" a="1"/>
  <c r="BO61" i="8"/>
  <c r="BP61" i="8" a="1"/>
  <c r="BP61" i="8"/>
  <c r="BQ61" i="8" a="1"/>
  <c r="BQ61" i="8"/>
  <c r="BR61" i="8" a="1"/>
  <c r="BR61" i="8"/>
  <c r="BS61" i="8" a="1"/>
  <c r="BS61" i="8" s="1"/>
  <c r="BT61" i="8" a="1"/>
  <c r="BT61" i="8" s="1"/>
  <c r="BU61" i="8" a="1"/>
  <c r="BU61" i="8" s="1"/>
  <c r="BV61" i="8" a="1"/>
  <c r="BV61" i="8" s="1"/>
  <c r="C62" i="8" a="1"/>
  <c r="C62" i="8"/>
  <c r="D62" i="8" a="1"/>
  <c r="D62" i="8"/>
  <c r="E62" i="8" a="1"/>
  <c r="E62" i="8" s="1"/>
  <c r="F62" i="8" a="1"/>
  <c r="F62" i="8"/>
  <c r="G62" i="8" a="1"/>
  <c r="G62" i="8" s="1"/>
  <c r="H62" i="8" a="1"/>
  <c r="H62" i="8"/>
  <c r="I62" i="8" a="1"/>
  <c r="I62" i="8"/>
  <c r="J62" i="8" a="1"/>
  <c r="J62" i="8"/>
  <c r="K62" i="8" a="1"/>
  <c r="K62" i="8" s="1"/>
  <c r="L62" i="8" a="1"/>
  <c r="L62" i="8"/>
  <c r="M62" i="8" a="1"/>
  <c r="M62" i="8" s="1"/>
  <c r="N62" i="8" a="1"/>
  <c r="N62" i="8" s="1"/>
  <c r="O62" i="8" a="1"/>
  <c r="O62" i="8" s="1"/>
  <c r="P62" i="8" a="1"/>
  <c r="P62" i="8"/>
  <c r="Q62" i="8" a="1"/>
  <c r="Q62" i="8" s="1"/>
  <c r="R62" i="8" a="1"/>
  <c r="R62" i="8"/>
  <c r="S62" i="8" a="1"/>
  <c r="S62" i="8"/>
  <c r="T62" i="8" a="1"/>
  <c r="T62" i="8" s="1"/>
  <c r="U62" i="8" a="1"/>
  <c r="U62" i="8"/>
  <c r="V62" i="8" a="1"/>
  <c r="V62" i="8"/>
  <c r="W62" i="8" a="1"/>
  <c r="W62" i="8" s="1"/>
  <c r="X62" i="8" a="1"/>
  <c r="X62" i="8"/>
  <c r="Y62" i="8" a="1"/>
  <c r="Y62" i="8"/>
  <c r="Z62" i="8" a="1"/>
  <c r="Z62" i="8" s="1"/>
  <c r="AA62" i="8" a="1"/>
  <c r="AA62" i="8" s="1"/>
  <c r="AB62" i="8" a="1"/>
  <c r="AB62" i="8" s="1"/>
  <c r="AC62" i="8" a="1"/>
  <c r="AC62" i="8" s="1"/>
  <c r="AD62" i="8" a="1"/>
  <c r="AD62" i="8"/>
  <c r="AE62" i="8" a="1"/>
  <c r="AE62" i="8"/>
  <c r="AF62" i="8" a="1"/>
  <c r="AF62" i="8"/>
  <c r="AG62" i="8" a="1"/>
  <c r="AG62" i="8" s="1"/>
  <c r="AH62" i="8" a="1"/>
  <c r="AH62" i="8"/>
  <c r="AI62" i="8" a="1"/>
  <c r="AI62" i="8" s="1"/>
  <c r="AJ62" i="8" a="1"/>
  <c r="AJ62" i="8"/>
  <c r="AK62" i="8" a="1"/>
  <c r="AK62" i="8"/>
  <c r="AL62" i="8" a="1"/>
  <c r="AL62" i="8"/>
  <c r="AM62" i="8" a="1"/>
  <c r="AM62" i="8" s="1"/>
  <c r="AN62" i="8" a="1"/>
  <c r="AN62" i="8" s="1"/>
  <c r="AO62" i="8" a="1"/>
  <c r="AO62" i="8" s="1"/>
  <c r="AP62" i="8" a="1"/>
  <c r="AP62" i="8"/>
  <c r="AQ62" i="8" a="1"/>
  <c r="AQ62" i="8"/>
  <c r="AR62" i="8" a="1"/>
  <c r="AR62" i="8"/>
  <c r="AS62" i="8" a="1"/>
  <c r="AS62" i="8"/>
  <c r="AT62" i="8" a="1"/>
  <c r="AT62" i="8" s="1"/>
  <c r="AU62" i="8" a="1"/>
  <c r="AU62" i="8" s="1"/>
  <c r="AV62" i="8" a="1"/>
  <c r="AV62" i="8" s="1"/>
  <c r="AW62" i="8" a="1"/>
  <c r="AW62" i="8"/>
  <c r="AX62" i="8" a="1"/>
  <c r="AX62" i="8"/>
  <c r="AY62" i="8" a="1"/>
  <c r="AY62" i="8"/>
  <c r="AZ62" i="8" a="1"/>
  <c r="AZ62" i="8" s="1"/>
  <c r="BA62" i="8" a="1"/>
  <c r="BA62" i="8" s="1"/>
  <c r="BB62" i="8" a="1"/>
  <c r="BB62" i="8"/>
  <c r="BC62" i="8" a="1"/>
  <c r="BC62" i="8"/>
  <c r="BD62" i="8" a="1"/>
  <c r="BD62" i="8"/>
  <c r="BE62" i="8" a="1"/>
  <c r="BE62" i="8"/>
  <c r="BF62" i="8" a="1"/>
  <c r="BF62" i="8"/>
  <c r="BG62" i="8" a="1"/>
  <c r="BG62" i="8" s="1"/>
  <c r="BH62" i="8" a="1"/>
  <c r="BH62" i="8" s="1"/>
  <c r="BI62" i="8" a="1"/>
  <c r="BI62" i="8" s="1"/>
  <c r="BJ62" i="8" a="1"/>
  <c r="BJ62" i="8"/>
  <c r="BK62" i="8" a="1"/>
  <c r="BK62" i="8"/>
  <c r="BL62" i="8" a="1"/>
  <c r="BL62" i="8"/>
  <c r="BM62" i="8" a="1"/>
  <c r="BM62" i="8" s="1"/>
  <c r="BN62" i="8" a="1"/>
  <c r="BN62" i="8" s="1"/>
  <c r="BO62" i="8" a="1"/>
  <c r="BO62" i="8"/>
  <c r="BP62" i="8" a="1"/>
  <c r="BP62" i="8"/>
  <c r="BQ62" i="8" a="1"/>
  <c r="BQ62" i="8"/>
  <c r="BR62" i="8" a="1"/>
  <c r="BR62" i="8"/>
  <c r="BS62" i="8" a="1"/>
  <c r="BS62" i="8" s="1"/>
  <c r="BT62" i="8" a="1"/>
  <c r="BT62" i="8" s="1"/>
  <c r="BU62" i="8" a="1"/>
  <c r="BU62" i="8" s="1"/>
  <c r="BV62" i="8" a="1"/>
  <c r="BV62" i="8" s="1"/>
  <c r="C63" i="8" a="1"/>
  <c r="C63" i="8"/>
  <c r="D63" i="8" a="1"/>
  <c r="D63" i="8"/>
  <c r="E63" i="8" a="1"/>
  <c r="E63" i="8" s="1"/>
  <c r="F63" i="8" a="1"/>
  <c r="F63" i="8"/>
  <c r="G63" i="8" a="1"/>
  <c r="G63" i="8" s="1"/>
  <c r="H63" i="8" a="1"/>
  <c r="H63" i="8"/>
  <c r="I63" i="8" a="1"/>
  <c r="I63" i="8"/>
  <c r="J63" i="8" a="1"/>
  <c r="J63" i="8"/>
  <c r="K63" i="8" a="1"/>
  <c r="K63" i="8" s="1"/>
  <c r="L63" i="8" a="1"/>
  <c r="L63" i="8"/>
  <c r="M63" i="8" a="1"/>
  <c r="M63" i="8" s="1"/>
  <c r="N63" i="8" a="1"/>
  <c r="N63" i="8" s="1"/>
  <c r="O63" i="8" a="1"/>
  <c r="O63" i="8" s="1"/>
  <c r="P63" i="8" a="1"/>
  <c r="P63" i="8"/>
  <c r="Q63" i="8" a="1"/>
  <c r="Q63" i="8" s="1"/>
  <c r="R63" i="8" a="1"/>
  <c r="R63" i="8"/>
  <c r="S63" i="8" a="1"/>
  <c r="S63" i="8"/>
  <c r="T63" i="8" a="1"/>
  <c r="T63" i="8" s="1"/>
  <c r="U63" i="8" a="1"/>
  <c r="U63" i="8"/>
  <c r="V63" i="8" a="1"/>
  <c r="V63" i="8"/>
  <c r="W63" i="8" a="1"/>
  <c r="W63" i="8" s="1"/>
  <c r="X63" i="8" a="1"/>
  <c r="X63" i="8"/>
  <c r="Y63" i="8" a="1"/>
  <c r="Y63" i="8"/>
  <c r="Z63" i="8" a="1"/>
  <c r="Z63" i="8" s="1"/>
  <c r="AA63" i="8" a="1"/>
  <c r="AA63" i="8" s="1"/>
  <c r="AB63" i="8" a="1"/>
  <c r="AB63" i="8" s="1"/>
  <c r="AC63" i="8" a="1"/>
  <c r="AC63" i="8" s="1"/>
  <c r="AD63" i="8" a="1"/>
  <c r="AD63" i="8"/>
  <c r="AE63" i="8" a="1"/>
  <c r="AE63" i="8"/>
  <c r="AF63" i="8" a="1"/>
  <c r="AF63" i="8"/>
  <c r="AG63" i="8" a="1"/>
  <c r="AG63" i="8" s="1"/>
  <c r="AH63" i="8" a="1"/>
  <c r="AH63" i="8"/>
  <c r="AI63" i="8" a="1"/>
  <c r="AI63" i="8" s="1"/>
  <c r="AJ63" i="8" a="1"/>
  <c r="AJ63" i="8"/>
  <c r="AK63" i="8" a="1"/>
  <c r="AK63" i="8"/>
  <c r="AL63" i="8" a="1"/>
  <c r="AL63" i="8"/>
  <c r="AM63" i="8" a="1"/>
  <c r="AM63" i="8" s="1"/>
  <c r="AN63" i="8" a="1"/>
  <c r="AN63" i="8" s="1"/>
  <c r="AO63" i="8" a="1"/>
  <c r="AO63" i="8" s="1"/>
  <c r="AP63" i="8" a="1"/>
  <c r="AP63" i="8"/>
  <c r="AQ63" i="8" a="1"/>
  <c r="AQ63" i="8"/>
  <c r="AR63" i="8" a="1"/>
  <c r="AR63" i="8"/>
  <c r="AS63" i="8" a="1"/>
  <c r="AS63" i="8"/>
  <c r="AT63" i="8" a="1"/>
  <c r="AT63" i="8" s="1"/>
  <c r="AU63" i="8" a="1"/>
  <c r="AU63" i="8" s="1"/>
  <c r="AV63" i="8" a="1"/>
  <c r="AV63" i="8" s="1"/>
  <c r="AW63" i="8" a="1"/>
  <c r="AW63" i="8"/>
  <c r="AX63" i="8" a="1"/>
  <c r="AX63" i="8"/>
  <c r="AY63" i="8" a="1"/>
  <c r="AY63" i="8"/>
  <c r="AZ63" i="8" a="1"/>
  <c r="AZ63" i="8" s="1"/>
  <c r="BA63" i="8" a="1"/>
  <c r="BA63" i="8" s="1"/>
  <c r="BB63" i="8" a="1"/>
  <c r="BB63" i="8"/>
  <c r="BC63" i="8" a="1"/>
  <c r="BC63" i="8"/>
  <c r="BD63" i="8" a="1"/>
  <c r="BD63" i="8"/>
  <c r="BE63" i="8" a="1"/>
  <c r="BE63" i="8"/>
  <c r="BF63" i="8" a="1"/>
  <c r="BF63" i="8"/>
  <c r="BG63" i="8" a="1"/>
  <c r="BG63" i="8" s="1"/>
  <c r="BH63" i="8" a="1"/>
  <c r="BH63" i="8" s="1"/>
  <c r="BI63" i="8" a="1"/>
  <c r="BI63" i="8" s="1"/>
  <c r="BJ63" i="8" a="1"/>
  <c r="BJ63" i="8"/>
  <c r="BK63" i="8" a="1"/>
  <c r="BK63" i="8"/>
  <c r="BL63" i="8" a="1"/>
  <c r="BL63" i="8"/>
  <c r="BM63" i="8" a="1"/>
  <c r="BM63" i="8" s="1"/>
  <c r="BN63" i="8" a="1"/>
  <c r="BN63" i="8" s="1"/>
  <c r="BO63" i="8" a="1"/>
  <c r="BO63" i="8"/>
  <c r="BP63" i="8" a="1"/>
  <c r="BP63" i="8"/>
  <c r="BQ63" i="8" a="1"/>
  <c r="BQ63" i="8"/>
  <c r="BR63" i="8" a="1"/>
  <c r="BR63" i="8"/>
  <c r="BS63" i="8" a="1"/>
  <c r="BS63" i="8" s="1"/>
  <c r="BT63" i="8" a="1"/>
  <c r="BT63" i="8" s="1"/>
  <c r="BU63" i="8" a="1"/>
  <c r="BU63" i="8" s="1"/>
  <c r="BV63" i="8" a="1"/>
  <c r="BV63" i="8" s="1"/>
  <c r="C64" i="8" a="1"/>
  <c r="C64" i="8"/>
  <c r="D64" i="8" a="1"/>
  <c r="D64" i="8"/>
  <c r="E64" i="8" a="1"/>
  <c r="E64" i="8" s="1"/>
  <c r="F64" i="8" a="1"/>
  <c r="F64" i="8"/>
  <c r="G64" i="8" a="1"/>
  <c r="G64" i="8" s="1"/>
  <c r="H64" i="8" a="1"/>
  <c r="H64" i="8"/>
  <c r="I64" i="8" a="1"/>
  <c r="I64" i="8"/>
  <c r="J64" i="8" a="1"/>
  <c r="J64" i="8"/>
  <c r="K64" i="8" a="1"/>
  <c r="K64" i="8" s="1"/>
  <c r="L64" i="8" a="1"/>
  <c r="L64" i="8"/>
  <c r="M64" i="8" a="1"/>
  <c r="M64" i="8" s="1"/>
  <c r="N64" i="8" a="1"/>
  <c r="N64" i="8" s="1"/>
  <c r="O64" i="8" a="1"/>
  <c r="O64" i="8" s="1"/>
  <c r="P64" i="8" a="1"/>
  <c r="P64" i="8"/>
  <c r="Q64" i="8" a="1"/>
  <c r="Q64" i="8" s="1"/>
  <c r="R64" i="8" a="1"/>
  <c r="R64" i="8"/>
  <c r="S64" i="8" a="1"/>
  <c r="S64" i="8"/>
  <c r="T64" i="8" a="1"/>
  <c r="T64" i="8" s="1"/>
  <c r="U64" i="8" a="1"/>
  <c r="U64" i="8"/>
  <c r="V64" i="8" a="1"/>
  <c r="V64" i="8"/>
  <c r="W64" i="8" a="1"/>
  <c r="W64" i="8" s="1"/>
  <c r="X64" i="8" a="1"/>
  <c r="X64" i="8"/>
  <c r="Y64" i="8" a="1"/>
  <c r="Y64" i="8"/>
  <c r="Z64" i="8" a="1"/>
  <c r="Z64" i="8" s="1"/>
  <c r="AA64" i="8" a="1"/>
  <c r="AA64" i="8" s="1"/>
  <c r="AB64" i="8" a="1"/>
  <c r="AB64" i="8" s="1"/>
  <c r="AC64" i="8" a="1"/>
  <c r="AC64" i="8" s="1"/>
  <c r="AD64" i="8" a="1"/>
  <c r="AD64" i="8"/>
  <c r="AE64" i="8" a="1"/>
  <c r="AE64" i="8"/>
  <c r="AF64" i="8" a="1"/>
  <c r="AF64" i="8"/>
  <c r="AG64" i="8" a="1"/>
  <c r="AG64" i="8" s="1"/>
  <c r="AH64" i="8" a="1"/>
  <c r="AH64" i="8"/>
  <c r="AI64" i="8" a="1"/>
  <c r="AI64" i="8" s="1"/>
  <c r="AJ64" i="8" a="1"/>
  <c r="AJ64" i="8"/>
  <c r="AK64" i="8" a="1"/>
  <c r="AK64" i="8"/>
  <c r="AL64" i="8" a="1"/>
  <c r="AL64" i="8"/>
  <c r="AM64" i="8" a="1"/>
  <c r="AM64" i="8" s="1"/>
  <c r="AN64" i="8" a="1"/>
  <c r="AN64" i="8" s="1"/>
  <c r="AO64" i="8" a="1"/>
  <c r="AO64" i="8" s="1"/>
  <c r="AP64" i="8" a="1"/>
  <c r="AP64" i="8"/>
  <c r="AQ64" i="8" a="1"/>
  <c r="AQ64" i="8"/>
  <c r="AR64" i="8" a="1"/>
  <c r="AR64" i="8"/>
  <c r="AS64" i="8" a="1"/>
  <c r="AS64" i="8"/>
  <c r="AT64" i="8" a="1"/>
  <c r="AT64" i="8" s="1"/>
  <c r="AU64" i="8" a="1"/>
  <c r="AU64" i="8" s="1"/>
  <c r="AV64" i="8" a="1"/>
  <c r="AV64" i="8" s="1"/>
  <c r="AW64" i="8" a="1"/>
  <c r="AW64" i="8"/>
  <c r="AX64" i="8" a="1"/>
  <c r="AX64" i="8"/>
  <c r="AY64" i="8" a="1"/>
  <c r="AY64" i="8"/>
  <c r="AZ64" i="8" a="1"/>
  <c r="AZ64" i="8" s="1"/>
  <c r="BA64" i="8" a="1"/>
  <c r="BA64" i="8" s="1"/>
  <c r="BB64" i="8" a="1"/>
  <c r="BB64" i="8"/>
  <c r="BC64" i="8" a="1"/>
  <c r="BC64" i="8"/>
  <c r="BD64" i="8" a="1"/>
  <c r="BD64" i="8"/>
  <c r="BE64" i="8" a="1"/>
  <c r="BE64" i="8"/>
  <c r="BF64" i="8" a="1"/>
  <c r="BF64" i="8"/>
  <c r="BG64" i="8" a="1"/>
  <c r="BG64" i="8" s="1"/>
  <c r="BH64" i="8" a="1"/>
  <c r="BH64" i="8" s="1"/>
  <c r="BI64" i="8" a="1"/>
  <c r="BI64" i="8" s="1"/>
  <c r="BJ64" i="8" a="1"/>
  <c r="BJ64" i="8"/>
  <c r="BK64" i="8" a="1"/>
  <c r="BK64" i="8"/>
  <c r="BL64" i="8" a="1"/>
  <c r="BL64" i="8"/>
  <c r="BM64" i="8" a="1"/>
  <c r="BM64" i="8" s="1"/>
  <c r="BN64" i="8" a="1"/>
  <c r="BN64" i="8" s="1"/>
  <c r="BO64" i="8" a="1"/>
  <c r="BO64" i="8"/>
  <c r="BP64" i="8" a="1"/>
  <c r="BP64" i="8"/>
  <c r="BQ64" i="8" a="1"/>
  <c r="BQ64" i="8"/>
  <c r="BR64" i="8" a="1"/>
  <c r="BR64" i="8"/>
  <c r="BS64" i="8" a="1"/>
  <c r="BS64" i="8" s="1"/>
  <c r="BT64" i="8" a="1"/>
  <c r="BT64" i="8" s="1"/>
  <c r="BU64" i="8" a="1"/>
  <c r="BU64" i="8" s="1"/>
  <c r="BV64" i="8" a="1"/>
  <c r="BV64" i="8" s="1"/>
  <c r="C65" i="8" a="1"/>
  <c r="C65" i="8"/>
  <c r="D65" i="8" a="1"/>
  <c r="D65" i="8"/>
  <c r="E65" i="8" a="1"/>
  <c r="E65" i="8" s="1"/>
  <c r="F65" i="8" a="1"/>
  <c r="F65" i="8"/>
  <c r="G65" i="8" a="1"/>
  <c r="G65" i="8" s="1"/>
  <c r="H65" i="8" a="1"/>
  <c r="H65" i="8"/>
  <c r="I65" i="8" a="1"/>
  <c r="I65" i="8"/>
  <c r="J65" i="8" a="1"/>
  <c r="J65" i="8"/>
  <c r="K65" i="8" a="1"/>
  <c r="K65" i="8" s="1"/>
  <c r="L65" i="8" a="1"/>
  <c r="L65" i="8"/>
  <c r="M65" i="8" a="1"/>
  <c r="M65" i="8" s="1"/>
  <c r="N65" i="8" a="1"/>
  <c r="N65" i="8" s="1"/>
  <c r="O65" i="8" a="1"/>
  <c r="O65" i="8" s="1"/>
  <c r="P65" i="8" a="1"/>
  <c r="P65" i="8"/>
  <c r="Q65" i="8" a="1"/>
  <c r="Q65" i="8" s="1"/>
  <c r="R65" i="8" a="1"/>
  <c r="R65" i="8"/>
  <c r="S65" i="8" a="1"/>
  <c r="S65" i="8"/>
  <c r="T65" i="8" a="1"/>
  <c r="T65" i="8" s="1"/>
  <c r="U65" i="8" a="1"/>
  <c r="U65" i="8"/>
  <c r="V65" i="8" a="1"/>
  <c r="V65" i="8"/>
  <c r="W65" i="8" a="1"/>
  <c r="W65" i="8" s="1"/>
  <c r="X65" i="8" a="1"/>
  <c r="X65" i="8"/>
  <c r="Y65" i="8" a="1"/>
  <c r="Y65" i="8"/>
  <c r="Z65" i="8" a="1"/>
  <c r="Z65" i="8" s="1"/>
  <c r="AA65" i="8" a="1"/>
  <c r="AA65" i="8" s="1"/>
  <c r="AB65" i="8" a="1"/>
  <c r="AB65" i="8" s="1"/>
  <c r="AC65" i="8" a="1"/>
  <c r="AC65" i="8" s="1"/>
  <c r="AD65" i="8" a="1"/>
  <c r="AD65" i="8"/>
  <c r="AE65" i="8" a="1"/>
  <c r="AE65" i="8"/>
  <c r="AF65" i="8" a="1"/>
  <c r="AF65" i="8"/>
  <c r="AG65" i="8" a="1"/>
  <c r="AG65" i="8" s="1"/>
  <c r="AH65" i="8" a="1"/>
  <c r="AH65" i="8"/>
  <c r="AI65" i="8" a="1"/>
  <c r="AI65" i="8" s="1"/>
  <c r="AJ65" i="8" a="1"/>
  <c r="AJ65" i="8"/>
  <c r="AK65" i="8" a="1"/>
  <c r="AK65" i="8"/>
  <c r="AL65" i="8" a="1"/>
  <c r="AL65" i="8"/>
  <c r="AM65" i="8" a="1"/>
  <c r="AM65" i="8" s="1"/>
  <c r="AN65" i="8" a="1"/>
  <c r="AN65" i="8" s="1"/>
  <c r="AO65" i="8" a="1"/>
  <c r="AO65" i="8" s="1"/>
  <c r="AP65" i="8" a="1"/>
  <c r="AP65" i="8"/>
  <c r="AQ65" i="8" a="1"/>
  <c r="AQ65" i="8"/>
  <c r="AR65" i="8" a="1"/>
  <c r="AR65" i="8"/>
  <c r="AS65" i="8" a="1"/>
  <c r="AS65" i="8"/>
  <c r="AT65" i="8" a="1"/>
  <c r="AT65" i="8" s="1"/>
  <c r="AU65" i="8" a="1"/>
  <c r="AU65" i="8" s="1"/>
  <c r="AV65" i="8" a="1"/>
  <c r="AV65" i="8" s="1"/>
  <c r="AW65" i="8" a="1"/>
  <c r="AW65" i="8"/>
  <c r="AX65" i="8" a="1"/>
  <c r="AX65" i="8"/>
  <c r="AY65" i="8" a="1"/>
  <c r="AY65" i="8"/>
  <c r="AZ65" i="8" a="1"/>
  <c r="AZ65" i="8" s="1"/>
  <c r="BA65" i="8" a="1"/>
  <c r="BA65" i="8" s="1"/>
  <c r="BB65" i="8" a="1"/>
  <c r="BB65" i="8"/>
  <c r="BC65" i="8" a="1"/>
  <c r="BC65" i="8"/>
  <c r="BD65" i="8" a="1"/>
  <c r="BD65" i="8"/>
  <c r="BE65" i="8" a="1"/>
  <c r="BE65" i="8"/>
  <c r="BF65" i="8" a="1"/>
  <c r="BF65" i="8"/>
  <c r="BG65" i="8" a="1"/>
  <c r="BG65" i="8" s="1"/>
  <c r="BH65" i="8" a="1"/>
  <c r="BH65" i="8" s="1"/>
  <c r="BI65" i="8" a="1"/>
  <c r="BI65" i="8" s="1"/>
  <c r="BJ65" i="8" a="1"/>
  <c r="BJ65" i="8"/>
  <c r="BK65" i="8" a="1"/>
  <c r="BK65" i="8"/>
  <c r="BL65" i="8" a="1"/>
  <c r="BL65" i="8"/>
  <c r="BM65" i="8" a="1"/>
  <c r="BM65" i="8" s="1"/>
  <c r="BN65" i="8" a="1"/>
  <c r="BN65" i="8" s="1"/>
  <c r="BO65" i="8" a="1"/>
  <c r="BO65" i="8"/>
  <c r="BP65" i="8" a="1"/>
  <c r="BP65" i="8"/>
  <c r="BQ65" i="8" a="1"/>
  <c r="BQ65" i="8"/>
  <c r="BR65" i="8" a="1"/>
  <c r="BR65" i="8"/>
  <c r="BS65" i="8" a="1"/>
  <c r="BS65" i="8" s="1"/>
  <c r="BT65" i="8" a="1"/>
  <c r="BT65" i="8" s="1"/>
  <c r="BU65" i="8" a="1"/>
  <c r="BU65" i="8" s="1"/>
  <c r="BV65" i="8" a="1"/>
  <c r="BV65" i="8" s="1"/>
  <c r="C66" i="8" a="1"/>
  <c r="C66" i="8"/>
  <c r="D66" i="8" a="1"/>
  <c r="D66" i="8"/>
  <c r="E66" i="8" a="1"/>
  <c r="E66" i="8" s="1"/>
  <c r="F66" i="8" a="1"/>
  <c r="F66" i="8"/>
  <c r="G66" i="8" a="1"/>
  <c r="G66" i="8" s="1"/>
  <c r="H66" i="8" a="1"/>
  <c r="H66" i="8"/>
  <c r="I66" i="8" a="1"/>
  <c r="I66" i="8"/>
  <c r="J66" i="8" a="1"/>
  <c r="J66" i="8"/>
  <c r="K66" i="8" a="1"/>
  <c r="K66" i="8" s="1"/>
  <c r="L66" i="8" a="1"/>
  <c r="L66" i="8"/>
  <c r="M66" i="8" a="1"/>
  <c r="M66" i="8" s="1"/>
  <c r="N66" i="8" a="1"/>
  <c r="N66" i="8" s="1"/>
  <c r="O66" i="8" a="1"/>
  <c r="O66" i="8" s="1"/>
  <c r="P66" i="8" a="1"/>
  <c r="P66" i="8"/>
  <c r="Q66" i="8" a="1"/>
  <c r="Q66" i="8" s="1"/>
  <c r="R66" i="8" a="1"/>
  <c r="R66" i="8"/>
  <c r="S66" i="8" a="1"/>
  <c r="S66" i="8"/>
  <c r="T66" i="8" a="1"/>
  <c r="T66" i="8" s="1"/>
  <c r="U66" i="8" a="1"/>
  <c r="U66" i="8"/>
  <c r="V66" i="8" a="1"/>
  <c r="V66" i="8"/>
  <c r="W66" i="8" a="1"/>
  <c r="W66" i="8" s="1"/>
  <c r="X66" i="8" a="1"/>
  <c r="X66" i="8"/>
  <c r="Y66" i="8" a="1"/>
  <c r="Y66" i="8"/>
  <c r="Z66" i="8" a="1"/>
  <c r="Z66" i="8" s="1"/>
  <c r="AA66" i="8" a="1"/>
  <c r="AA66" i="8" s="1"/>
  <c r="AB66" i="8" a="1"/>
  <c r="AB66" i="8" s="1"/>
  <c r="AC66" i="8" a="1"/>
  <c r="AC66" i="8" s="1"/>
  <c r="AD66" i="8" a="1"/>
  <c r="AD66" i="8"/>
  <c r="AE66" i="8" a="1"/>
  <c r="AE66" i="8"/>
  <c r="AF66" i="8" a="1"/>
  <c r="AF66" i="8"/>
  <c r="AG66" i="8" a="1"/>
  <c r="AG66" i="8" s="1"/>
  <c r="AH66" i="8" a="1"/>
  <c r="AH66" i="8"/>
  <c r="AI66" i="8" a="1"/>
  <c r="AI66" i="8" s="1"/>
  <c r="AJ66" i="8" a="1"/>
  <c r="AJ66" i="8"/>
  <c r="AK66" i="8" a="1"/>
  <c r="AK66" i="8"/>
  <c r="AL66" i="8" a="1"/>
  <c r="AL66" i="8"/>
  <c r="AM66" i="8" a="1"/>
  <c r="AM66" i="8" s="1"/>
  <c r="AN66" i="8" a="1"/>
  <c r="AN66" i="8" s="1"/>
  <c r="AO66" i="8" a="1"/>
  <c r="AO66" i="8" s="1"/>
  <c r="AP66" i="8" a="1"/>
  <c r="AP66" i="8"/>
  <c r="AQ66" i="8" a="1"/>
  <c r="AQ66" i="8"/>
  <c r="AR66" i="8" a="1"/>
  <c r="AR66" i="8"/>
  <c r="AS66" i="8" a="1"/>
  <c r="AS66" i="8"/>
  <c r="AT66" i="8" a="1"/>
  <c r="AT66" i="8" s="1"/>
  <c r="AU66" i="8" a="1"/>
  <c r="AU66" i="8" s="1"/>
  <c r="AV66" i="8" a="1"/>
  <c r="AV66" i="8" s="1"/>
  <c r="AW66" i="8" a="1"/>
  <c r="AW66" i="8"/>
  <c r="AX66" i="8" a="1"/>
  <c r="AX66" i="8"/>
  <c r="AY66" i="8" a="1"/>
  <c r="AY66" i="8"/>
  <c r="AZ66" i="8" a="1"/>
  <c r="AZ66" i="8" s="1"/>
  <c r="BA66" i="8" a="1"/>
  <c r="BA66" i="8" s="1"/>
  <c r="BB66" i="8" a="1"/>
  <c r="BB66" i="8"/>
  <c r="BC66" i="8" a="1"/>
  <c r="BC66" i="8"/>
  <c r="BD66" i="8" a="1"/>
  <c r="BD66" i="8"/>
  <c r="BE66" i="8" a="1"/>
  <c r="BE66" i="8"/>
  <c r="BF66" i="8" a="1"/>
  <c r="BF66" i="8"/>
  <c r="BG66" i="8" a="1"/>
  <c r="BG66" i="8" s="1"/>
  <c r="BH66" i="8" a="1"/>
  <c r="BH66" i="8" s="1"/>
  <c r="BI66" i="8" a="1"/>
  <c r="BI66" i="8" s="1"/>
  <c r="BJ66" i="8" a="1"/>
  <c r="BJ66" i="8"/>
  <c r="BK66" i="8" a="1"/>
  <c r="BK66" i="8"/>
  <c r="BL66" i="8" a="1"/>
  <c r="BL66" i="8"/>
  <c r="BM66" i="8" a="1"/>
  <c r="BM66" i="8" s="1"/>
  <c r="BN66" i="8" a="1"/>
  <c r="BN66" i="8" s="1"/>
  <c r="BO66" i="8" a="1"/>
  <c r="BO66" i="8"/>
  <c r="BP66" i="8" a="1"/>
  <c r="BP66" i="8"/>
  <c r="BQ66" i="8" a="1"/>
  <c r="BQ66" i="8"/>
  <c r="BR66" i="8" a="1"/>
  <c r="BR66" i="8"/>
  <c r="BS66" i="8" a="1"/>
  <c r="BS66" i="8" s="1"/>
  <c r="BT66" i="8" a="1"/>
  <c r="BT66" i="8" s="1"/>
  <c r="BU66" i="8" a="1"/>
  <c r="BU66" i="8" s="1"/>
  <c r="BV66" i="8" a="1"/>
  <c r="BV66" i="8" s="1"/>
  <c r="C67" i="8" a="1"/>
  <c r="C67" i="8"/>
  <c r="D67" i="8" a="1"/>
  <c r="D67" i="8"/>
  <c r="E67" i="8" a="1"/>
  <c r="E67" i="8" s="1"/>
  <c r="F67" i="8" a="1"/>
  <c r="F67" i="8"/>
  <c r="G67" i="8" a="1"/>
  <c r="G67" i="8" s="1"/>
  <c r="H67" i="8" a="1"/>
  <c r="H67" i="8"/>
  <c r="I67" i="8" a="1"/>
  <c r="I67" i="8"/>
  <c r="J67" i="8" a="1"/>
  <c r="J67" i="8"/>
  <c r="K67" i="8" a="1"/>
  <c r="K67" i="8" s="1"/>
  <c r="L67" i="8" a="1"/>
  <c r="L67" i="8"/>
  <c r="M67" i="8" a="1"/>
  <c r="M67" i="8" s="1"/>
  <c r="N67" i="8" a="1"/>
  <c r="N67" i="8" s="1"/>
  <c r="O67" i="8" a="1"/>
  <c r="O67" i="8" s="1"/>
  <c r="P67" i="8" a="1"/>
  <c r="P67" i="8"/>
  <c r="Q67" i="8" a="1"/>
  <c r="Q67" i="8" s="1"/>
  <c r="R67" i="8" a="1"/>
  <c r="R67" i="8"/>
  <c r="S67" i="8" a="1"/>
  <c r="S67" i="8"/>
  <c r="T67" i="8" a="1"/>
  <c r="T67" i="8" s="1"/>
  <c r="U67" i="8" a="1"/>
  <c r="U67" i="8"/>
  <c r="V67" i="8" a="1"/>
  <c r="V67" i="8"/>
  <c r="W67" i="8" a="1"/>
  <c r="W67" i="8" s="1"/>
  <c r="X67" i="8" a="1"/>
  <c r="X67" i="8"/>
  <c r="Y67" i="8" a="1"/>
  <c r="Y67" i="8"/>
  <c r="Z67" i="8" a="1"/>
  <c r="Z67" i="8" s="1"/>
  <c r="AA67" i="8" a="1"/>
  <c r="AA67" i="8" s="1"/>
  <c r="AB67" i="8" a="1"/>
  <c r="AB67" i="8" s="1"/>
  <c r="AC67" i="8" a="1"/>
  <c r="AC67" i="8" s="1"/>
  <c r="AD67" i="8" a="1"/>
  <c r="AD67" i="8"/>
  <c r="AE67" i="8" a="1"/>
  <c r="AE67" i="8"/>
  <c r="AF67" i="8" a="1"/>
  <c r="AF67" i="8"/>
  <c r="AG67" i="8" a="1"/>
  <c r="AG67" i="8" s="1"/>
  <c r="AH67" i="8" a="1"/>
  <c r="AH67" i="8"/>
  <c r="AI67" i="8" a="1"/>
  <c r="AI67" i="8" s="1"/>
  <c r="AJ67" i="8" a="1"/>
  <c r="AJ67" i="8"/>
  <c r="AK67" i="8" a="1"/>
  <c r="AK67" i="8"/>
  <c r="AL67" i="8" a="1"/>
  <c r="AL67" i="8"/>
  <c r="AM67" i="8" a="1"/>
  <c r="AM67" i="8" s="1"/>
  <c r="AN67" i="8" a="1"/>
  <c r="AN67" i="8" s="1"/>
  <c r="AO67" i="8" a="1"/>
  <c r="AO67" i="8" s="1"/>
  <c r="AP67" i="8" a="1"/>
  <c r="AP67" i="8"/>
  <c r="AQ67" i="8" a="1"/>
  <c r="AQ67" i="8"/>
  <c r="AR67" i="8" a="1"/>
  <c r="AR67" i="8"/>
  <c r="AS67" i="8" a="1"/>
  <c r="AS67" i="8"/>
  <c r="AT67" i="8" a="1"/>
  <c r="AT67" i="8" s="1"/>
  <c r="AU67" i="8" a="1"/>
  <c r="AU67" i="8" s="1"/>
  <c r="AV67" i="8" a="1"/>
  <c r="AV67" i="8" s="1"/>
  <c r="AW67" i="8" a="1"/>
  <c r="AW67" i="8"/>
  <c r="AX67" i="8" a="1"/>
  <c r="AX67" i="8"/>
  <c r="AY67" i="8" a="1"/>
  <c r="AY67" i="8"/>
  <c r="AZ67" i="8" a="1"/>
  <c r="AZ67" i="8" s="1"/>
  <c r="BA67" i="8" a="1"/>
  <c r="BA67" i="8" s="1"/>
  <c r="BB67" i="8" a="1"/>
  <c r="BB67" i="8"/>
  <c r="BC67" i="8" a="1"/>
  <c r="BC67" i="8"/>
  <c r="BD67" i="8" a="1"/>
  <c r="BD67" i="8"/>
  <c r="BE67" i="8" a="1"/>
  <c r="BE67" i="8"/>
  <c r="BF67" i="8" a="1"/>
  <c r="BF67" i="8"/>
  <c r="BG67" i="8" a="1"/>
  <c r="BG67" i="8" s="1"/>
  <c r="BH67" i="8" a="1"/>
  <c r="BH67" i="8" s="1"/>
  <c r="BI67" i="8" a="1"/>
  <c r="BI67" i="8" s="1"/>
  <c r="BJ67" i="8" a="1"/>
  <c r="BJ67" i="8"/>
  <c r="BK67" i="8" a="1"/>
  <c r="BK67" i="8"/>
  <c r="BL67" i="8" a="1"/>
  <c r="BL67" i="8"/>
  <c r="BM67" i="8" a="1"/>
  <c r="BM67" i="8" s="1"/>
  <c r="BN67" i="8" a="1"/>
  <c r="BN67" i="8" s="1"/>
  <c r="BO67" i="8" a="1"/>
  <c r="BO67" i="8"/>
  <c r="BP67" i="8" a="1"/>
  <c r="BP67" i="8"/>
  <c r="BQ67" i="8" a="1"/>
  <c r="BQ67" i="8"/>
  <c r="BR67" i="8" a="1"/>
  <c r="BR67" i="8"/>
  <c r="BS67" i="8" a="1"/>
  <c r="BS67" i="8" s="1"/>
  <c r="BT67" i="8" a="1"/>
  <c r="BT67" i="8" s="1"/>
  <c r="BU67" i="8" a="1"/>
  <c r="BU67" i="8" s="1"/>
  <c r="BV67" i="8" a="1"/>
  <c r="BV67" i="8" s="1"/>
  <c r="C68" i="8" a="1"/>
  <c r="C68" i="8"/>
  <c r="D68" i="8" a="1"/>
  <c r="D68" i="8"/>
  <c r="E68" i="8" a="1"/>
  <c r="E68" i="8" s="1"/>
  <c r="F68" i="8" a="1"/>
  <c r="F68" i="8"/>
  <c r="G68" i="8" a="1"/>
  <c r="G68" i="8" s="1"/>
  <c r="H68" i="8" a="1"/>
  <c r="H68" i="8"/>
  <c r="I68" i="8" a="1"/>
  <c r="I68" i="8"/>
  <c r="J68" i="8" a="1"/>
  <c r="J68" i="8"/>
  <c r="K68" i="8" a="1"/>
  <c r="K68" i="8" s="1"/>
  <c r="L68" i="8" a="1"/>
  <c r="L68" i="8"/>
  <c r="M68" i="8" a="1"/>
  <c r="M68" i="8" s="1"/>
  <c r="N68" i="8" a="1"/>
  <c r="N68" i="8" s="1"/>
  <c r="O68" i="8" a="1"/>
  <c r="O68" i="8" s="1"/>
  <c r="P68" i="8" a="1"/>
  <c r="P68" i="8"/>
  <c r="Q68" i="8" a="1"/>
  <c r="Q68" i="8" s="1"/>
  <c r="R68" i="8" a="1"/>
  <c r="R68" i="8"/>
  <c r="S68" i="8" a="1"/>
  <c r="S68" i="8"/>
  <c r="T68" i="8" a="1"/>
  <c r="T68" i="8" s="1"/>
  <c r="U68" i="8" a="1"/>
  <c r="U68" i="8"/>
  <c r="V68" i="8" a="1"/>
  <c r="V68" i="8"/>
  <c r="W68" i="8" a="1"/>
  <c r="W68" i="8" s="1"/>
  <c r="X68" i="8" a="1"/>
  <c r="X68" i="8"/>
  <c r="Y68" i="8" a="1"/>
  <c r="Y68" i="8"/>
  <c r="Z68" i="8" a="1"/>
  <c r="Z68" i="8" s="1"/>
  <c r="AA68" i="8" a="1"/>
  <c r="AA68" i="8" s="1"/>
  <c r="AB68" i="8" a="1"/>
  <c r="AB68" i="8" s="1"/>
  <c r="AC68" i="8" a="1"/>
  <c r="AC68" i="8" s="1"/>
  <c r="AD68" i="8" a="1"/>
  <c r="AD68" i="8"/>
  <c r="AE68" i="8" a="1"/>
  <c r="AE68" i="8"/>
  <c r="AF68" i="8" a="1"/>
  <c r="AF68" i="8"/>
  <c r="AG68" i="8" a="1"/>
  <c r="AG68" i="8" s="1"/>
  <c r="AH68" i="8" a="1"/>
  <c r="AH68" i="8"/>
  <c r="AI68" i="8" a="1"/>
  <c r="AI68" i="8" s="1"/>
  <c r="AJ68" i="8" a="1"/>
  <c r="AJ68" i="8"/>
  <c r="AK68" i="8" a="1"/>
  <c r="AK68" i="8"/>
  <c r="AL68" i="8" a="1"/>
  <c r="AL68" i="8"/>
  <c r="AM68" i="8" a="1"/>
  <c r="AM68" i="8"/>
  <c r="AN68" i="8" a="1"/>
  <c r="AN68" i="8" s="1"/>
  <c r="AO68" i="8" a="1"/>
  <c r="AO68" i="8" s="1"/>
  <c r="AP68" i="8" a="1"/>
  <c r="AP68" i="8"/>
  <c r="AQ68" i="8" a="1"/>
  <c r="AQ68" i="8"/>
  <c r="AR68" i="8" a="1"/>
  <c r="AR68" i="8"/>
  <c r="AS68" i="8" a="1"/>
  <c r="AS68" i="8"/>
  <c r="AT68" i="8" a="1"/>
  <c r="AT68" i="8" s="1"/>
  <c r="AU68" i="8" a="1"/>
  <c r="AU68" i="8" s="1"/>
  <c r="AV68" i="8" a="1"/>
  <c r="AV68" i="8" s="1"/>
  <c r="AW68" i="8" a="1"/>
  <c r="AW68" i="8"/>
  <c r="AX68" i="8" a="1"/>
  <c r="AX68" i="8"/>
  <c r="AY68" i="8" a="1"/>
  <c r="AY68" i="8"/>
  <c r="AZ68" i="8" a="1"/>
  <c r="AZ68" i="8"/>
  <c r="BA68" i="8" a="1"/>
  <c r="BA68" i="8" s="1"/>
  <c r="BB68" i="8" a="1"/>
  <c r="BB68" i="8"/>
  <c r="BC68" i="8" a="1"/>
  <c r="BC68" i="8"/>
  <c r="BD68" i="8" a="1"/>
  <c r="BD68" i="8"/>
  <c r="BE68" i="8" a="1"/>
  <c r="BE68" i="8"/>
  <c r="BF68" i="8" a="1"/>
  <c r="BF68" i="8"/>
  <c r="BG68" i="8" a="1"/>
  <c r="BG68" i="8" s="1"/>
  <c r="BH68" i="8" a="1"/>
  <c r="BH68" i="8" s="1"/>
  <c r="BI68" i="8" a="1"/>
  <c r="BI68" i="8" s="1"/>
  <c r="BJ68" i="8" a="1"/>
  <c r="BJ68" i="8"/>
  <c r="BK68" i="8" a="1"/>
  <c r="BK68" i="8"/>
  <c r="BL68" i="8" a="1"/>
  <c r="BL68" i="8"/>
  <c r="BM68" i="8" a="1"/>
  <c r="BM68" i="8" s="1"/>
  <c r="BN68" i="8" a="1"/>
  <c r="BN68" i="8" s="1"/>
  <c r="BO68" i="8" a="1"/>
  <c r="BO68" i="8"/>
  <c r="BP68" i="8" a="1"/>
  <c r="BP68" i="8"/>
  <c r="BQ68" i="8" a="1"/>
  <c r="BQ68" i="8"/>
  <c r="BR68" i="8" a="1"/>
  <c r="BR68" i="8"/>
  <c r="BS68" i="8" a="1"/>
  <c r="BS68" i="8" s="1"/>
  <c r="BT68" i="8" a="1"/>
  <c r="BT68" i="8"/>
  <c r="BU68" i="8" a="1"/>
  <c r="BU68" i="8" s="1"/>
  <c r="BV68" i="8" a="1"/>
  <c r="BV68" i="8" s="1"/>
  <c r="C69" i="8" a="1"/>
  <c r="C69" i="8"/>
  <c r="D69" i="8" a="1"/>
  <c r="D69" i="8"/>
  <c r="E69" i="8" a="1"/>
  <c r="E69" i="8" s="1"/>
  <c r="F69" i="8" a="1"/>
  <c r="F69" i="8"/>
  <c r="G69" i="8" a="1"/>
  <c r="G69" i="8" s="1"/>
  <c r="H69" i="8" a="1"/>
  <c r="H69" i="8"/>
  <c r="I69" i="8" a="1"/>
  <c r="I69" i="8"/>
  <c r="J69" i="8" a="1"/>
  <c r="J69" i="8"/>
  <c r="K69" i="8" a="1"/>
  <c r="K69" i="8" s="1"/>
  <c r="L69" i="8" a="1"/>
  <c r="L69" i="8"/>
  <c r="M69" i="8" a="1"/>
  <c r="M69" i="8"/>
  <c r="N69" i="8" a="1"/>
  <c r="N69" i="8" s="1"/>
  <c r="O69" i="8" a="1"/>
  <c r="O69" i="8" s="1"/>
  <c r="P69" i="8" a="1"/>
  <c r="P69" i="8"/>
  <c r="Q69" i="8" a="1"/>
  <c r="Q69" i="8" s="1"/>
  <c r="R69" i="8" a="1"/>
  <c r="R69" i="8"/>
  <c r="S69" i="8" a="1"/>
  <c r="S69" i="8"/>
  <c r="T69" i="8" a="1"/>
  <c r="T69" i="8" s="1"/>
  <c r="U69" i="8" a="1"/>
  <c r="U69" i="8"/>
  <c r="V69" i="8" a="1"/>
  <c r="V69" i="8"/>
  <c r="W69" i="8" a="1"/>
  <c r="W69" i="8" s="1"/>
  <c r="X69" i="8" a="1"/>
  <c r="X69" i="8"/>
  <c r="Y69" i="8" a="1"/>
  <c r="Y69" i="8"/>
  <c r="Z69" i="8" a="1"/>
  <c r="Z69" i="8"/>
  <c r="AA69" i="8" a="1"/>
  <c r="AA69" i="8" s="1"/>
  <c r="AB69" i="8" a="1"/>
  <c r="AB69" i="8" s="1"/>
  <c r="AC69" i="8" a="1"/>
  <c r="AC69" i="8" s="1"/>
  <c r="AD69" i="8" a="1"/>
  <c r="AD69" i="8"/>
  <c r="AE69" i="8" a="1"/>
  <c r="AE69" i="8"/>
  <c r="AF69" i="8" a="1"/>
  <c r="AF69" i="8"/>
  <c r="AG69" i="8" a="1"/>
  <c r="AG69" i="8" s="1"/>
  <c r="AH69" i="8" a="1"/>
  <c r="AH69" i="8"/>
  <c r="AI69" i="8" a="1"/>
  <c r="AI69" i="8" s="1"/>
  <c r="AJ69" i="8" a="1"/>
  <c r="AJ69" i="8"/>
  <c r="AK69" i="8" a="1"/>
  <c r="AK69" i="8"/>
  <c r="AL69" i="8" a="1"/>
  <c r="AL69" i="8"/>
  <c r="AM69" i="8" a="1"/>
  <c r="AM69" i="8"/>
  <c r="AN69" i="8" a="1"/>
  <c r="AN69" i="8" s="1"/>
  <c r="AO69" i="8" a="1"/>
  <c r="AO69" i="8" s="1"/>
  <c r="AP69" i="8" a="1"/>
  <c r="AP69" i="8"/>
  <c r="AQ69" i="8" a="1"/>
  <c r="AQ69" i="8"/>
  <c r="AR69" i="8" a="1"/>
  <c r="AR69" i="8"/>
  <c r="AS69" i="8" a="1"/>
  <c r="AS69" i="8"/>
  <c r="AT69" i="8" a="1"/>
  <c r="AT69" i="8" s="1"/>
  <c r="AU69" i="8" a="1"/>
  <c r="AU69" i="8" s="1"/>
  <c r="AV69" i="8" a="1"/>
  <c r="AV69" i="8" s="1"/>
  <c r="AW69" i="8" a="1"/>
  <c r="AW69" i="8"/>
  <c r="AX69" i="8" a="1"/>
  <c r="AX69" i="8"/>
  <c r="AY69" i="8" a="1"/>
  <c r="AY69" i="8"/>
  <c r="AZ69" i="8" a="1"/>
  <c r="AZ69" i="8"/>
  <c r="BA69" i="8" a="1"/>
  <c r="BA69" i="8" s="1"/>
  <c r="BB69" i="8" a="1"/>
  <c r="BB69" i="8"/>
  <c r="BC69" i="8" a="1"/>
  <c r="BC69" i="8"/>
  <c r="BD69" i="8" a="1"/>
  <c r="BD69" i="8"/>
  <c r="BE69" i="8" a="1"/>
  <c r="BE69" i="8"/>
  <c r="BF69" i="8" a="1"/>
  <c r="BF69" i="8"/>
  <c r="BG69" i="8" a="1"/>
  <c r="BG69" i="8" s="1"/>
  <c r="BH69" i="8" a="1"/>
  <c r="BH69" i="8" s="1"/>
  <c r="BI69" i="8" a="1"/>
  <c r="BI69" i="8" s="1"/>
  <c r="BJ69" i="8" a="1"/>
  <c r="BJ69" i="8"/>
  <c r="BK69" i="8" a="1"/>
  <c r="BK69" i="8"/>
  <c r="BL69" i="8" a="1"/>
  <c r="BL69" i="8"/>
  <c r="BM69" i="8" a="1"/>
  <c r="BM69" i="8" s="1"/>
  <c r="BN69" i="8" a="1"/>
  <c r="BN69" i="8" s="1"/>
  <c r="BO69" i="8" a="1"/>
  <c r="BO69" i="8"/>
  <c r="BP69" i="8" a="1"/>
  <c r="BP69" i="8"/>
  <c r="BQ69" i="8" a="1"/>
  <c r="BQ69" i="8"/>
  <c r="BR69" i="8" a="1"/>
  <c r="BR69" i="8"/>
  <c r="BS69" i="8" a="1"/>
  <c r="BS69" i="8" s="1"/>
  <c r="BT69" i="8" a="1"/>
  <c r="BT69" i="8"/>
  <c r="BU69" i="8" a="1"/>
  <c r="BU69" i="8" s="1"/>
  <c r="BV69" i="8" a="1"/>
  <c r="BV69" i="8" s="1"/>
  <c r="C70" i="8" a="1"/>
  <c r="C70" i="8"/>
  <c r="D70" i="8" a="1"/>
  <c r="D70" i="8"/>
  <c r="E70" i="8" a="1"/>
  <c r="E70" i="8" s="1"/>
  <c r="F70" i="8" a="1"/>
  <c r="F70" i="8"/>
  <c r="G70" i="8" a="1"/>
  <c r="G70" i="8" s="1"/>
  <c r="H70" i="8" a="1"/>
  <c r="H70" i="8"/>
  <c r="I70" i="8" a="1"/>
  <c r="I70" i="8"/>
  <c r="J70" i="8" a="1"/>
  <c r="J70" i="8"/>
  <c r="K70" i="8" a="1"/>
  <c r="K70" i="8" s="1"/>
  <c r="L70" i="8" a="1"/>
  <c r="L70" i="8"/>
  <c r="M70" i="8" a="1"/>
  <c r="M70" i="8"/>
  <c r="N70" i="8" a="1"/>
  <c r="N70" i="8" s="1"/>
  <c r="O70" i="8" a="1"/>
  <c r="O70" i="8" s="1"/>
  <c r="P70" i="8" a="1"/>
  <c r="P70" i="8"/>
  <c r="Q70" i="8" a="1"/>
  <c r="Q70" i="8" s="1"/>
  <c r="R70" i="8" a="1"/>
  <c r="R70" i="8"/>
  <c r="S70" i="8" a="1"/>
  <c r="S70" i="8"/>
  <c r="T70" i="8" a="1"/>
  <c r="T70" i="8" s="1"/>
  <c r="U70" i="8" a="1"/>
  <c r="U70" i="8"/>
  <c r="V70" i="8" a="1"/>
  <c r="V70" i="8"/>
  <c r="W70" i="8" a="1"/>
  <c r="W70" i="8" s="1"/>
  <c r="X70" i="8" a="1"/>
  <c r="X70" i="8"/>
  <c r="Y70" i="8" a="1"/>
  <c r="Y70" i="8"/>
  <c r="Z70" i="8" a="1"/>
  <c r="Z70" i="8"/>
  <c r="AA70" i="8" a="1"/>
  <c r="AA70" i="8" s="1"/>
  <c r="AB70" i="8" a="1"/>
  <c r="AB70" i="8" s="1"/>
  <c r="AC70" i="8" a="1"/>
  <c r="AC70" i="8" s="1"/>
  <c r="AD70" i="8" a="1"/>
  <c r="AD70" i="8"/>
  <c r="AE70" i="8" a="1"/>
  <c r="AE70" i="8"/>
  <c r="AF70" i="8" a="1"/>
  <c r="AF70" i="8"/>
  <c r="AG70" i="8" a="1"/>
  <c r="AG70" i="8" s="1"/>
  <c r="AH70" i="8" a="1"/>
  <c r="AH70" i="8"/>
  <c r="AI70" i="8" a="1"/>
  <c r="AI70" i="8" s="1"/>
  <c r="AJ70" i="8" a="1"/>
  <c r="AJ70" i="8"/>
  <c r="AK70" i="8" a="1"/>
  <c r="AK70" i="8"/>
  <c r="AL70" i="8" a="1"/>
  <c r="AL70" i="8"/>
  <c r="AM70" i="8" a="1"/>
  <c r="AM70" i="8"/>
  <c r="AN70" i="8" a="1"/>
  <c r="AN70" i="8" s="1"/>
  <c r="AO70" i="8" a="1"/>
  <c r="AO70" i="8" s="1"/>
  <c r="AP70" i="8" a="1"/>
  <c r="AP70" i="8"/>
  <c r="AQ70" i="8" a="1"/>
  <c r="AQ70" i="8"/>
  <c r="AR70" i="8" a="1"/>
  <c r="AR70" i="8"/>
  <c r="AS70" i="8" a="1"/>
  <c r="AS70" i="8"/>
  <c r="AT70" i="8" a="1"/>
  <c r="AT70" i="8" s="1"/>
  <c r="AU70" i="8" a="1"/>
  <c r="AU70" i="8" s="1"/>
  <c r="AV70" i="8" a="1"/>
  <c r="AV70" i="8" s="1"/>
  <c r="AW70" i="8" a="1"/>
  <c r="AW70" i="8"/>
  <c r="AX70" i="8" a="1"/>
  <c r="AX70" i="8"/>
  <c r="AY70" i="8" a="1"/>
  <c r="AY70" i="8"/>
  <c r="AZ70" i="8" a="1"/>
  <c r="AZ70" i="8"/>
  <c r="BA70" i="8" a="1"/>
  <c r="BA70" i="8" s="1"/>
  <c r="BB70" i="8" a="1"/>
  <c r="BB70" i="8"/>
  <c r="BC70" i="8" a="1"/>
  <c r="BC70" i="8"/>
  <c r="BD70" i="8" a="1"/>
  <c r="BD70" i="8"/>
  <c r="BE70" i="8" a="1"/>
  <c r="BE70" i="8"/>
  <c r="BF70" i="8" a="1"/>
  <c r="BF70" i="8"/>
  <c r="BG70" i="8" a="1"/>
  <c r="BG70" i="8" s="1"/>
  <c r="BH70" i="8" a="1"/>
  <c r="BH70" i="8" s="1"/>
  <c r="BI70" i="8" a="1"/>
  <c r="BI70" i="8" s="1"/>
  <c r="BJ70" i="8" a="1"/>
  <c r="BJ70" i="8"/>
  <c r="BK70" i="8" a="1"/>
  <c r="BK70" i="8"/>
  <c r="BL70" i="8" a="1"/>
  <c r="BL70" i="8"/>
  <c r="BM70" i="8" a="1"/>
  <c r="BM70" i="8" s="1"/>
  <c r="BN70" i="8" a="1"/>
  <c r="BN70" i="8" s="1"/>
  <c r="BO70" i="8" a="1"/>
  <c r="BO70" i="8"/>
  <c r="BP70" i="8" a="1"/>
  <c r="BP70" i="8"/>
  <c r="BQ70" i="8" a="1"/>
  <c r="BQ70" i="8"/>
  <c r="BR70" i="8" a="1"/>
  <c r="BR70" i="8"/>
  <c r="BS70" i="8" a="1"/>
  <c r="BS70" i="8" s="1"/>
  <c r="BT70" i="8" a="1"/>
  <c r="BT70" i="8"/>
  <c r="BU70" i="8" a="1"/>
  <c r="BU70" i="8" s="1"/>
  <c r="BV70" i="8" a="1"/>
  <c r="BV70" i="8" s="1"/>
  <c r="C71" i="8" a="1"/>
  <c r="C71" i="8"/>
  <c r="D71" i="8" a="1"/>
  <c r="D71" i="8"/>
  <c r="E71" i="8" a="1"/>
  <c r="E71" i="8" s="1"/>
  <c r="F71" i="8" a="1"/>
  <c r="F71" i="8"/>
  <c r="G71" i="8" a="1"/>
  <c r="G71" i="8" s="1"/>
  <c r="H71" i="8" a="1"/>
  <c r="H71" i="8"/>
  <c r="I71" i="8" a="1"/>
  <c r="I71" i="8"/>
  <c r="J71" i="8" a="1"/>
  <c r="J71" i="8"/>
  <c r="K71" i="8" a="1"/>
  <c r="K71" i="8" s="1"/>
  <c r="L71" i="8" a="1"/>
  <c r="L71" i="8"/>
  <c r="M71" i="8" a="1"/>
  <c r="M71" i="8"/>
  <c r="N71" i="8" a="1"/>
  <c r="N71" i="8" s="1"/>
  <c r="O71" i="8" a="1"/>
  <c r="O71" i="8" s="1"/>
  <c r="P71" i="8" a="1"/>
  <c r="P71" i="8"/>
  <c r="Q71" i="8" a="1"/>
  <c r="Q71" i="8" s="1"/>
  <c r="R71" i="8" a="1"/>
  <c r="R71" i="8"/>
  <c r="S71" i="8" a="1"/>
  <c r="S71" i="8"/>
  <c r="T71" i="8" a="1"/>
  <c r="T71" i="8" s="1"/>
  <c r="U71" i="8" a="1"/>
  <c r="U71" i="8"/>
  <c r="V71" i="8" a="1"/>
  <c r="V71" i="8"/>
  <c r="W71" i="8" a="1"/>
  <c r="W71" i="8" s="1"/>
  <c r="X71" i="8" a="1"/>
  <c r="X71" i="8"/>
  <c r="Y71" i="8" a="1"/>
  <c r="Y71" i="8"/>
  <c r="Z71" i="8" a="1"/>
  <c r="Z71" i="8"/>
  <c r="AA71" i="8" a="1"/>
  <c r="AA71" i="8" s="1"/>
  <c r="AB71" i="8" a="1"/>
  <c r="AB71" i="8" s="1"/>
  <c r="AC71" i="8" a="1"/>
  <c r="AC71" i="8" s="1"/>
  <c r="AD71" i="8" a="1"/>
  <c r="AD71" i="8"/>
  <c r="AE71" i="8" a="1"/>
  <c r="AE71" i="8"/>
  <c r="AF71" i="8" a="1"/>
  <c r="AF71" i="8"/>
  <c r="AG71" i="8" a="1"/>
  <c r="AG71" i="8" s="1"/>
  <c r="AH71" i="8" a="1"/>
  <c r="AH71" i="8"/>
  <c r="AI71" i="8" a="1"/>
  <c r="AI71" i="8" s="1"/>
  <c r="AJ71" i="8" a="1"/>
  <c r="AJ71" i="8"/>
  <c r="AK71" i="8" a="1"/>
  <c r="AK71" i="8"/>
  <c r="AL71" i="8" a="1"/>
  <c r="AL71" i="8"/>
  <c r="AM71" i="8" a="1"/>
  <c r="AM71" i="8"/>
  <c r="AN71" i="8" a="1"/>
  <c r="AN71" i="8" s="1"/>
  <c r="AO71" i="8" a="1"/>
  <c r="AO71" i="8" s="1"/>
  <c r="AP71" i="8" a="1"/>
  <c r="AP71" i="8"/>
  <c r="AQ71" i="8" a="1"/>
  <c r="AQ71" i="8"/>
  <c r="AR71" i="8" a="1"/>
  <c r="AR71" i="8"/>
  <c r="AS71" i="8" a="1"/>
  <c r="AS71" i="8"/>
  <c r="AT71" i="8" a="1"/>
  <c r="AT71" i="8" s="1"/>
  <c r="AU71" i="8" a="1"/>
  <c r="AU71" i="8" s="1"/>
  <c r="AV71" i="8" a="1"/>
  <c r="AV71" i="8" s="1"/>
  <c r="AW71" i="8" a="1"/>
  <c r="AW71" i="8"/>
  <c r="AX71" i="8" a="1"/>
  <c r="AX71" i="8"/>
  <c r="AY71" i="8" a="1"/>
  <c r="AY71" i="8"/>
  <c r="AZ71" i="8" a="1"/>
  <c r="AZ71" i="8"/>
  <c r="BA71" i="8" a="1"/>
  <c r="BA71" i="8" s="1"/>
  <c r="BB71" i="8" a="1"/>
  <c r="BB71" i="8"/>
  <c r="BC71" i="8" a="1"/>
  <c r="BC71" i="8"/>
  <c r="BD71" i="8" a="1"/>
  <c r="BD71" i="8"/>
  <c r="BE71" i="8" a="1"/>
  <c r="BE71" i="8"/>
  <c r="BF71" i="8" a="1"/>
  <c r="BF71" i="8"/>
  <c r="BG71" i="8" a="1"/>
  <c r="BG71" i="8" s="1"/>
  <c r="BH71" i="8" a="1"/>
  <c r="BH71" i="8" s="1"/>
  <c r="BI71" i="8" a="1"/>
  <c r="BI71" i="8" s="1"/>
  <c r="BJ71" i="8" a="1"/>
  <c r="BJ71" i="8"/>
  <c r="BK71" i="8" a="1"/>
  <c r="BK71" i="8"/>
  <c r="BL71" i="8" a="1"/>
  <c r="BL71" i="8"/>
  <c r="BM71" i="8" a="1"/>
  <c r="BM71" i="8" s="1"/>
  <c r="BN71" i="8" a="1"/>
  <c r="BN71" i="8" s="1"/>
  <c r="BO71" i="8" a="1"/>
  <c r="BO71" i="8"/>
  <c r="BP71" i="8" a="1"/>
  <c r="BP71" i="8"/>
  <c r="BQ71" i="8" a="1"/>
  <c r="BQ71" i="8"/>
  <c r="BR71" i="8" a="1"/>
  <c r="BR71" i="8"/>
  <c r="BS71" i="8" a="1"/>
  <c r="BS71" i="8" s="1"/>
  <c r="BT71" i="8" a="1"/>
  <c r="BT71" i="8"/>
  <c r="BU71" i="8" a="1"/>
  <c r="BU71" i="8" s="1"/>
  <c r="BV71" i="8" a="1"/>
  <c r="BV71" i="8" s="1"/>
  <c r="C72" i="8" a="1"/>
  <c r="C72" i="8"/>
  <c r="D72" i="8" a="1"/>
  <c r="D72" i="8"/>
  <c r="E72" i="8" a="1"/>
  <c r="E72" i="8" s="1"/>
  <c r="F72" i="8" a="1"/>
  <c r="F72" i="8"/>
  <c r="G72" i="8" a="1"/>
  <c r="G72" i="8" s="1"/>
  <c r="H72" i="8" a="1"/>
  <c r="H72" i="8"/>
  <c r="I72" i="8" a="1"/>
  <c r="I72" i="8"/>
  <c r="J72" i="8" a="1"/>
  <c r="J72" i="8"/>
  <c r="K72" i="8" a="1"/>
  <c r="K72" i="8" s="1"/>
  <c r="L72" i="8" a="1"/>
  <c r="L72" i="8"/>
  <c r="M72" i="8" a="1"/>
  <c r="M72" i="8"/>
  <c r="N72" i="8" a="1"/>
  <c r="N72" i="8" s="1"/>
  <c r="O72" i="8" a="1"/>
  <c r="O72" i="8" s="1"/>
  <c r="P72" i="8" a="1"/>
  <c r="P72" i="8"/>
  <c r="Q72" i="8" a="1"/>
  <c r="Q72" i="8" s="1"/>
  <c r="R72" i="8" a="1"/>
  <c r="R72" i="8"/>
  <c r="S72" i="8" a="1"/>
  <c r="S72" i="8"/>
  <c r="T72" i="8" a="1"/>
  <c r="T72" i="8" s="1"/>
  <c r="U72" i="8" a="1"/>
  <c r="U72" i="8"/>
  <c r="V72" i="8" a="1"/>
  <c r="V72" i="8"/>
  <c r="W72" i="8" a="1"/>
  <c r="W72" i="8" s="1"/>
  <c r="X72" i="8" a="1"/>
  <c r="X72" i="8"/>
  <c r="Y72" i="8" a="1"/>
  <c r="Y72" i="8"/>
  <c r="Z72" i="8" a="1"/>
  <c r="Z72" i="8"/>
  <c r="AA72" i="8" a="1"/>
  <c r="AA72" i="8" s="1"/>
  <c r="AB72" i="8" a="1"/>
  <c r="AB72" i="8" s="1"/>
  <c r="AC72" i="8" a="1"/>
  <c r="AC72" i="8" s="1"/>
  <c r="AD72" i="8" a="1"/>
  <c r="AD72" i="8"/>
  <c r="AE72" i="8" a="1"/>
  <c r="AE72" i="8"/>
  <c r="AF72" i="8" a="1"/>
  <c r="AF72" i="8"/>
  <c r="AG72" i="8" a="1"/>
  <c r="AG72" i="8" s="1"/>
  <c r="AH72" i="8" a="1"/>
  <c r="AH72" i="8"/>
  <c r="AI72" i="8" a="1"/>
  <c r="AI72" i="8" s="1"/>
  <c r="AJ72" i="8" a="1"/>
  <c r="AJ72" i="8"/>
  <c r="AK72" i="8" a="1"/>
  <c r="AK72" i="8"/>
  <c r="AL72" i="8" a="1"/>
  <c r="AL72" i="8"/>
  <c r="AM72" i="8" a="1"/>
  <c r="AM72" i="8"/>
  <c r="AN72" i="8" a="1"/>
  <c r="AN72" i="8" s="1"/>
  <c r="AO72" i="8" a="1"/>
  <c r="AO72" i="8" s="1"/>
  <c r="AP72" i="8" a="1"/>
  <c r="AP72" i="8"/>
  <c r="AQ72" i="8" a="1"/>
  <c r="AQ72" i="8"/>
  <c r="AR72" i="8" a="1"/>
  <c r="AR72" i="8"/>
  <c r="AS72" i="8" a="1"/>
  <c r="AS72" i="8"/>
  <c r="AT72" i="8" a="1"/>
  <c r="AT72" i="8" s="1"/>
  <c r="AU72" i="8" a="1"/>
  <c r="AU72" i="8" s="1"/>
  <c r="AV72" i="8" a="1"/>
  <c r="AV72" i="8" s="1"/>
  <c r="AW72" i="8" a="1"/>
  <c r="AW72" i="8"/>
  <c r="AX72" i="8" a="1"/>
  <c r="AX72" i="8"/>
  <c r="AY72" i="8" a="1"/>
  <c r="AY72" i="8"/>
  <c r="AZ72" i="8" a="1"/>
  <c r="AZ72" i="8"/>
  <c r="BA72" i="8" a="1"/>
  <c r="BA72" i="8" s="1"/>
  <c r="BB72" i="8" a="1"/>
  <c r="BB72" i="8"/>
  <c r="BC72" i="8" a="1"/>
  <c r="BC72" i="8"/>
  <c r="BD72" i="8" a="1"/>
  <c r="BD72" i="8"/>
  <c r="BE72" i="8" a="1"/>
  <c r="BE72" i="8"/>
  <c r="BF72" i="8" a="1"/>
  <c r="BF72" i="8"/>
  <c r="BG72" i="8" a="1"/>
  <c r="BG72" i="8" s="1"/>
  <c r="BH72" i="8" a="1"/>
  <c r="BH72" i="8" s="1"/>
  <c r="BI72" i="8" a="1"/>
  <c r="BI72" i="8" s="1"/>
  <c r="BJ72" i="8" a="1"/>
  <c r="BJ72" i="8"/>
  <c r="BK72" i="8" a="1"/>
  <c r="BK72" i="8"/>
  <c r="BL72" i="8" a="1"/>
  <c r="BL72" i="8"/>
  <c r="BM72" i="8" a="1"/>
  <c r="BM72" i="8" s="1"/>
  <c r="BN72" i="8" a="1"/>
  <c r="BN72" i="8" s="1"/>
  <c r="BO72" i="8" a="1"/>
  <c r="BO72" i="8"/>
  <c r="BP72" i="8" a="1"/>
  <c r="BP72" i="8"/>
  <c r="BQ72" i="8" a="1"/>
  <c r="BQ72" i="8"/>
  <c r="BR72" i="8" a="1"/>
  <c r="BR72" i="8"/>
  <c r="BS72" i="8" a="1"/>
  <c r="BS72" i="8" s="1"/>
  <c r="BT72" i="8" a="1"/>
  <c r="BT72" i="8"/>
  <c r="BU72" i="8" a="1"/>
  <c r="BU72" i="8" s="1"/>
  <c r="BV72" i="8" a="1"/>
  <c r="BV72" i="8" s="1"/>
  <c r="C73" i="8" a="1"/>
  <c r="C73" i="8"/>
  <c r="D73" i="8" a="1"/>
  <c r="D73" i="8"/>
  <c r="E73" i="8" a="1"/>
  <c r="E73" i="8" s="1"/>
  <c r="F73" i="8" a="1"/>
  <c r="F73" i="8"/>
  <c r="G73" i="8" a="1"/>
  <c r="G73" i="8" s="1"/>
  <c r="H73" i="8" a="1"/>
  <c r="H73" i="8" s="1"/>
  <c r="I73" i="8" a="1"/>
  <c r="I73" i="8"/>
  <c r="J73" i="8" a="1"/>
  <c r="J73" i="8"/>
  <c r="K73" i="8" a="1"/>
  <c r="K73" i="8" s="1"/>
  <c r="L73" i="8" a="1"/>
  <c r="L73" i="8"/>
  <c r="M73" i="8" a="1"/>
  <c r="M73" i="8"/>
  <c r="N73" i="8" a="1"/>
  <c r="N73" i="8"/>
  <c r="O73" i="8" a="1"/>
  <c r="O73" i="8" s="1"/>
  <c r="P73" i="8" a="1"/>
  <c r="P73" i="8"/>
  <c r="Q73" i="8" a="1"/>
  <c r="Q73" i="8" s="1"/>
  <c r="R73" i="8" a="1"/>
  <c r="R73" i="8"/>
  <c r="S73" i="8" a="1"/>
  <c r="S73" i="8"/>
  <c r="T73" i="8" a="1"/>
  <c r="T73" i="8" s="1"/>
  <c r="U73" i="8" a="1"/>
  <c r="U73" i="8" s="1"/>
  <c r="V73" i="8" a="1"/>
  <c r="V73" i="8"/>
  <c r="W73" i="8" a="1"/>
  <c r="W73" i="8" s="1"/>
  <c r="X73" i="8" a="1"/>
  <c r="X73" i="8"/>
  <c r="Y73" i="8" a="1"/>
  <c r="Y73" i="8"/>
  <c r="Z73" i="8" a="1"/>
  <c r="Z73" i="8"/>
  <c r="AA73" i="8" a="1"/>
  <c r="AA73" i="8"/>
  <c r="AB73" i="8" a="1"/>
  <c r="AB73" i="8" s="1"/>
  <c r="AC73" i="8" a="1"/>
  <c r="AC73" i="8" s="1"/>
  <c r="AD73" i="8" a="1"/>
  <c r="AD73" i="8"/>
  <c r="AE73" i="8" a="1"/>
  <c r="AE73" i="8"/>
  <c r="AF73" i="8" a="1"/>
  <c r="AF73" i="8"/>
  <c r="AG73" i="8" a="1"/>
  <c r="AG73" i="8" s="1"/>
  <c r="AH73" i="8" a="1"/>
  <c r="AH73" i="8" s="1"/>
  <c r="AI73" i="8" a="1"/>
  <c r="AI73" i="8"/>
  <c r="AJ73" i="8" a="1"/>
  <c r="AJ73" i="8"/>
  <c r="AK73" i="8" a="1"/>
  <c r="AK73" i="8"/>
  <c r="AL73" i="8" a="1"/>
  <c r="AL73" i="8"/>
  <c r="AM73" i="8" a="1"/>
  <c r="AM73" i="8" s="1"/>
  <c r="AN73" i="8" a="1"/>
  <c r="AN73" i="8" s="1"/>
  <c r="AO73" i="8" a="1"/>
  <c r="AO73" i="8"/>
  <c r="AP73" i="8" a="1"/>
  <c r="AP73" i="8"/>
  <c r="AQ73" i="8" a="1"/>
  <c r="AQ73" i="8"/>
  <c r="AR73" i="8" a="1"/>
  <c r="AR73" i="8"/>
  <c r="AS73" i="8" a="1"/>
  <c r="AS73" i="8" s="1"/>
  <c r="AT73" i="8" a="1"/>
  <c r="AT73" i="8" s="1"/>
  <c r="AU73" i="8" a="1"/>
  <c r="AU73" i="8"/>
  <c r="AV73" i="8" a="1"/>
  <c r="AV73" i="8"/>
  <c r="AW73" i="8" a="1"/>
  <c r="AW73" i="8"/>
  <c r="AX73" i="8" a="1"/>
  <c r="AX73" i="8"/>
  <c r="AY73" i="8" a="1"/>
  <c r="AY73" i="8" s="1"/>
  <c r="AZ73" i="8" a="1"/>
  <c r="AZ73" i="8" s="1"/>
  <c r="BA73" i="8" a="1"/>
  <c r="BA73" i="8"/>
  <c r="BB73" i="8" a="1"/>
  <c r="BB73" i="8"/>
  <c r="BC73" i="8" a="1"/>
  <c r="BC73" i="8"/>
  <c r="BD73" i="8" a="1"/>
  <c r="BD73" i="8"/>
  <c r="BE73" i="8" a="1"/>
  <c r="BE73" i="8" s="1"/>
  <c r="BF73" i="8" a="1"/>
  <c r="BF73" i="8" s="1"/>
  <c r="BG73" i="8" a="1"/>
  <c r="BG73" i="8"/>
  <c r="BH73" i="8" a="1"/>
  <c r="BH73" i="8"/>
  <c r="BI73" i="8" a="1"/>
  <c r="BI73" i="8"/>
  <c r="BJ73" i="8" a="1"/>
  <c r="BJ73" i="8"/>
  <c r="BK73" i="8" a="1"/>
  <c r="BK73" i="8" s="1"/>
  <c r="BL73" i="8" a="1"/>
  <c r="BL73" i="8" s="1"/>
  <c r="BM73" i="8" a="1"/>
  <c r="BM73" i="8"/>
  <c r="BN73" i="8" a="1"/>
  <c r="BN73" i="8"/>
  <c r="BO73" i="8" a="1"/>
  <c r="BO73" i="8"/>
  <c r="BP73" i="8" a="1"/>
  <c r="BP73" i="8"/>
  <c r="BQ73" i="8" a="1"/>
  <c r="BQ73" i="8" s="1"/>
  <c r="BR73" i="8" a="1"/>
  <c r="BR73" i="8" s="1"/>
  <c r="BS73" i="8" a="1"/>
  <c r="BS73" i="8"/>
  <c r="BT73" i="8" a="1"/>
  <c r="BT73" i="8"/>
  <c r="BU73" i="8" a="1"/>
  <c r="BU73" i="8"/>
  <c r="BV73" i="8" a="1"/>
  <c r="BV73" i="8"/>
  <c r="C74" i="8" a="1"/>
  <c r="C74" i="8" s="1"/>
  <c r="D74" i="8" a="1"/>
  <c r="D74" i="8" s="1"/>
  <c r="E74" i="8" a="1"/>
  <c r="E74" i="8"/>
  <c r="F74" i="8" a="1"/>
  <c r="F74" i="8"/>
  <c r="G74" i="8" a="1"/>
  <c r="G74" i="8"/>
  <c r="H74" i="8" a="1"/>
  <c r="H74" i="8"/>
  <c r="I74" i="8" a="1"/>
  <c r="I74" i="8" s="1"/>
  <c r="J74" i="8" a="1"/>
  <c r="J74" i="8" s="1"/>
  <c r="K74" i="8" a="1"/>
  <c r="K74" i="8"/>
  <c r="L74" i="8" a="1"/>
  <c r="L74" i="8"/>
  <c r="M74" i="8" a="1"/>
  <c r="M74" i="8"/>
  <c r="N74" i="8" a="1"/>
  <c r="N74" i="8"/>
  <c r="O74" i="8" a="1"/>
  <c r="O74" i="8" s="1"/>
  <c r="P74" i="8" a="1"/>
  <c r="P74" i="8" s="1"/>
  <c r="Q74" i="8" a="1"/>
  <c r="Q74" i="8"/>
  <c r="R74" i="8" a="1"/>
  <c r="R74" i="8"/>
  <c r="S74" i="8" a="1"/>
  <c r="S74" i="8"/>
  <c r="T74" i="8" a="1"/>
  <c r="T74" i="8"/>
  <c r="U74" i="8" a="1"/>
  <c r="U74" i="8" s="1"/>
  <c r="V74" i="8" a="1"/>
  <c r="V74" i="8" s="1"/>
  <c r="W74" i="8" a="1"/>
  <c r="W74" i="8"/>
  <c r="X74" i="8" a="1"/>
  <c r="X74" i="8"/>
  <c r="Y74" i="8" a="1"/>
  <c r="Y74" i="8"/>
  <c r="Z74" i="8" a="1"/>
  <c r="Z74" i="8"/>
  <c r="AA74" i="8" a="1"/>
  <c r="AA74" i="8" s="1"/>
  <c r="AB74" i="8" a="1"/>
  <c r="AB74" i="8" s="1"/>
  <c r="AC74" i="8" a="1"/>
  <c r="AC74" i="8"/>
  <c r="AD74" i="8" a="1"/>
  <c r="AD74" i="8"/>
  <c r="AE74" i="8" a="1"/>
  <c r="AE74" i="8"/>
  <c r="AF74" i="8" a="1"/>
  <c r="AF74" i="8"/>
  <c r="AG74" i="8" a="1"/>
  <c r="AG74" i="8" s="1"/>
  <c r="AH74" i="8" a="1"/>
  <c r="AH74" i="8" s="1"/>
  <c r="AI74" i="8" a="1"/>
  <c r="AI74" i="8"/>
  <c r="AJ74" i="8" a="1"/>
  <c r="AJ74" i="8"/>
  <c r="AK74" i="8" a="1"/>
  <c r="AK74" i="8"/>
  <c r="AL74" i="8" a="1"/>
  <c r="AL74" i="8"/>
  <c r="AM74" i="8" a="1"/>
  <c r="AM74" i="8" s="1"/>
  <c r="AN74" i="8" a="1"/>
  <c r="AN74" i="8" s="1"/>
  <c r="AO74" i="8" a="1"/>
  <c r="AO74" i="8"/>
  <c r="AP74" i="8" a="1"/>
  <c r="AP74" i="8"/>
  <c r="AQ74" i="8" a="1"/>
  <c r="AQ74" i="8"/>
  <c r="AR74" i="8" a="1"/>
  <c r="AR74" i="8"/>
  <c r="AS74" i="8" a="1"/>
  <c r="AS74" i="8" s="1"/>
  <c r="AT74" i="8" a="1"/>
  <c r="AT74" i="8" s="1"/>
  <c r="AU74" i="8" a="1"/>
  <c r="AU74" i="8"/>
  <c r="AV74" i="8" a="1"/>
  <c r="AV74" i="8"/>
  <c r="AW74" i="8" a="1"/>
  <c r="AW74" i="8"/>
  <c r="AX74" i="8" a="1"/>
  <c r="AX74" i="8"/>
  <c r="AY74" i="8" a="1"/>
  <c r="AY74" i="8" s="1"/>
  <c r="AZ74" i="8" a="1"/>
  <c r="AZ74" i="8" s="1"/>
  <c r="BA74" i="8" a="1"/>
  <c r="BA74" i="8"/>
  <c r="BB74" i="8" a="1"/>
  <c r="BB74" i="8"/>
  <c r="BC74" i="8" a="1"/>
  <c r="BC74" i="8"/>
  <c r="BD74" i="8" a="1"/>
  <c r="BD74" i="8"/>
  <c r="BE74" i="8" a="1"/>
  <c r="BE74" i="8" s="1"/>
  <c r="BF74" i="8" a="1"/>
  <c r="BF74" i="8" s="1"/>
  <c r="BG74" i="8" a="1"/>
  <c r="BG74" i="8"/>
  <c r="BH74" i="8" a="1"/>
  <c r="BH74" i="8"/>
  <c r="BI74" i="8" a="1"/>
  <c r="BI74" i="8"/>
  <c r="BJ74" i="8" a="1"/>
  <c r="BJ74" i="8"/>
  <c r="BK74" i="8" a="1"/>
  <c r="BK74" i="8" s="1"/>
  <c r="BL74" i="8" a="1"/>
  <c r="BL74" i="8" s="1"/>
  <c r="BM74" i="8" a="1"/>
  <c r="BM74" i="8"/>
  <c r="BN74" i="8" a="1"/>
  <c r="BN74" i="8"/>
  <c r="BO74" i="8" a="1"/>
  <c r="BO74" i="8"/>
  <c r="BP74" i="8" a="1"/>
  <c r="BP74" i="8"/>
  <c r="BQ74" i="8" a="1"/>
  <c r="BQ74" i="8" s="1"/>
  <c r="BR74" i="8" a="1"/>
  <c r="BR74" i="8" s="1"/>
  <c r="BS74" i="8" a="1"/>
  <c r="BS74" i="8"/>
  <c r="BT74" i="8" a="1"/>
  <c r="BT74" i="8"/>
  <c r="BU74" i="8" a="1"/>
  <c r="BU74" i="8"/>
  <c r="BV74" i="8" a="1"/>
  <c r="BV74" i="8"/>
  <c r="C75" i="8" a="1"/>
  <c r="C75" i="8" s="1"/>
  <c r="D75" i="8" a="1"/>
  <c r="D75" i="8" s="1"/>
  <c r="E75" i="8" a="1"/>
  <c r="E75" i="8"/>
  <c r="F75" i="8" a="1"/>
  <c r="F75" i="8"/>
  <c r="G75" i="8" a="1"/>
  <c r="G75" i="8"/>
  <c r="H75" i="8" a="1"/>
  <c r="H75" i="8"/>
  <c r="I75" i="8" a="1"/>
  <c r="I75" i="8" s="1"/>
  <c r="J75" i="8" a="1"/>
  <c r="J75" i="8" s="1"/>
  <c r="K75" i="8" a="1"/>
  <c r="K75" i="8"/>
  <c r="L75" i="8" a="1"/>
  <c r="L75" i="8"/>
  <c r="M75" i="8" a="1"/>
  <c r="M75" i="8"/>
  <c r="N75" i="8" a="1"/>
  <c r="N75" i="8"/>
  <c r="O75" i="8" a="1"/>
  <c r="O75" i="8" s="1"/>
  <c r="P75" i="8" a="1"/>
  <c r="P75" i="8" s="1"/>
  <c r="Q75" i="8" a="1"/>
  <c r="Q75" i="8"/>
  <c r="R75" i="8" a="1"/>
  <c r="R75" i="8"/>
  <c r="S75" i="8" a="1"/>
  <c r="S75" i="8"/>
  <c r="T75" i="8" a="1"/>
  <c r="T75" i="8"/>
  <c r="U75" i="8" a="1"/>
  <c r="U75" i="8" s="1"/>
  <c r="V75" i="8" a="1"/>
  <c r="V75" i="8" s="1"/>
  <c r="W75" i="8" a="1"/>
  <c r="W75" i="8"/>
  <c r="X75" i="8" a="1"/>
  <c r="X75" i="8"/>
  <c r="Y75" i="8" a="1"/>
  <c r="Y75" i="8"/>
  <c r="Z75" i="8" a="1"/>
  <c r="Z75" i="8"/>
  <c r="AA75" i="8" a="1"/>
  <c r="AA75" i="8" s="1"/>
  <c r="AB75" i="8" a="1"/>
  <c r="AB75" i="8" s="1"/>
  <c r="AC75" i="8" a="1"/>
  <c r="AC75" i="8"/>
  <c r="AD75" i="8" a="1"/>
  <c r="AD75" i="8"/>
  <c r="AE75" i="8" a="1"/>
  <c r="AE75" i="8"/>
  <c r="AF75" i="8" a="1"/>
  <c r="AF75" i="8"/>
  <c r="AG75" i="8" a="1"/>
  <c r="AG75" i="8" s="1"/>
  <c r="AH75" i="8" a="1"/>
  <c r="AH75" i="8" s="1"/>
  <c r="AI75" i="8" a="1"/>
  <c r="AI75" i="8"/>
  <c r="AJ75" i="8" a="1"/>
  <c r="AJ75" i="8"/>
  <c r="AK75" i="8" a="1"/>
  <c r="AK75" i="8"/>
  <c r="AL75" i="8" a="1"/>
  <c r="AL75" i="8"/>
  <c r="AM75" i="8" a="1"/>
  <c r="AM75" i="8" s="1"/>
  <c r="AN75" i="8" a="1"/>
  <c r="AN75" i="8" s="1"/>
  <c r="AO75" i="8" a="1"/>
  <c r="AO75" i="8"/>
  <c r="AP75" i="8" a="1"/>
  <c r="AP75" i="8"/>
  <c r="AQ75" i="8" a="1"/>
  <c r="AQ75" i="8"/>
  <c r="AR75" i="8" a="1"/>
  <c r="AR75" i="8"/>
  <c r="AS75" i="8" a="1"/>
  <c r="AS75" i="8" s="1"/>
  <c r="AT75" i="8" a="1"/>
  <c r="AT75" i="8" s="1"/>
  <c r="AU75" i="8" a="1"/>
  <c r="AU75" i="8"/>
  <c r="AV75" i="8" a="1"/>
  <c r="AV75" i="8"/>
  <c r="AW75" i="8" a="1"/>
  <c r="AW75" i="8"/>
  <c r="AX75" i="8" a="1"/>
  <c r="AX75" i="8"/>
  <c r="AY75" i="8" a="1"/>
  <c r="AY75" i="8" s="1"/>
  <c r="AZ75" i="8" a="1"/>
  <c r="AZ75" i="8" s="1"/>
  <c r="BA75" i="8" a="1"/>
  <c r="BA75" i="8"/>
  <c r="BB75" i="8" a="1"/>
  <c r="BB75" i="8"/>
  <c r="BC75" i="8" a="1"/>
  <c r="BC75" i="8"/>
  <c r="BD75" i="8" a="1"/>
  <c r="BD75" i="8"/>
  <c r="BE75" i="8" a="1"/>
  <c r="BE75" i="8" s="1"/>
  <c r="BF75" i="8" a="1"/>
  <c r="BF75" i="8" s="1"/>
  <c r="BG75" i="8" a="1"/>
  <c r="BG75" i="8"/>
  <c r="BH75" i="8" a="1"/>
  <c r="BH75" i="8"/>
  <c r="BI75" i="8" a="1"/>
  <c r="BI75" i="8"/>
  <c r="BJ75" i="8" a="1"/>
  <c r="BJ75" i="8"/>
  <c r="BK75" i="8" a="1"/>
  <c r="BK75" i="8" s="1"/>
  <c r="BL75" i="8" a="1"/>
  <c r="BL75" i="8" s="1"/>
  <c r="BM75" i="8" a="1"/>
  <c r="BM75" i="8"/>
  <c r="BN75" i="8" a="1"/>
  <c r="BN75" i="8"/>
  <c r="BO75" i="8" a="1"/>
  <c r="BO75" i="8"/>
  <c r="BP75" i="8" a="1"/>
  <c r="BP75" i="8"/>
  <c r="BQ75" i="8" a="1"/>
  <c r="BQ75" i="8" s="1"/>
  <c r="BR75" i="8" a="1"/>
  <c r="BR75" i="8" s="1"/>
  <c r="BS75" i="8" a="1"/>
  <c r="BS75" i="8"/>
  <c r="BT75" i="8" a="1"/>
  <c r="BT75" i="8"/>
  <c r="BU75" i="8" a="1"/>
  <c r="BU75" i="8"/>
  <c r="BV75" i="8" a="1"/>
  <c r="BV75" i="8"/>
  <c r="B4" i="8" a="1"/>
  <c r="B4" i="8" s="1"/>
  <c r="B5" i="8" a="1"/>
  <c r="B5" i="8"/>
  <c r="B6" i="8" a="1"/>
  <c r="B6" i="8"/>
  <c r="B7" i="8" a="1"/>
  <c r="B7" i="8"/>
  <c r="B8" i="8" a="1"/>
  <c r="B8" i="8"/>
  <c r="B9" i="8" a="1"/>
  <c r="B9" i="8"/>
  <c r="B10" i="8" a="1"/>
  <c r="B10" i="8" s="1"/>
  <c r="B11" i="8" a="1"/>
  <c r="B11" i="8"/>
  <c r="B12" i="8" a="1"/>
  <c r="B12" i="8"/>
  <c r="B13" i="8" a="1"/>
  <c r="B13" i="8"/>
  <c r="B14" i="8" a="1"/>
  <c r="B14" i="8"/>
  <c r="B15" i="8" a="1"/>
  <c r="B15" i="8"/>
  <c r="B16" i="8" a="1"/>
  <c r="B16" i="8" s="1"/>
  <c r="B17" i="8" a="1"/>
  <c r="B17" i="8"/>
  <c r="B18" i="8" a="1"/>
  <c r="B18" i="8"/>
  <c r="B19" i="8" a="1"/>
  <c r="B19" i="8"/>
  <c r="B20" i="8" a="1"/>
  <c r="B20" i="8"/>
  <c r="B21" i="8" a="1"/>
  <c r="B21" i="8"/>
  <c r="B22" i="8" a="1"/>
  <c r="B22" i="8" s="1"/>
  <c r="B23" i="8" a="1"/>
  <c r="B23" i="8"/>
  <c r="B24" i="8" a="1"/>
  <c r="B24" i="8"/>
  <c r="B25" i="8" a="1"/>
  <c r="B25" i="8"/>
  <c r="B26" i="8" a="1"/>
  <c r="B26" i="8"/>
  <c r="B27" i="8" a="1"/>
  <c r="B27" i="8"/>
  <c r="B28" i="8" a="1"/>
  <c r="B28" i="8" s="1"/>
  <c r="B29" i="8" a="1"/>
  <c r="B29" i="8"/>
  <c r="B30" i="8" a="1"/>
  <c r="B30" i="8"/>
  <c r="B31" i="8" a="1"/>
  <c r="B31" i="8"/>
  <c r="B32" i="8" a="1"/>
  <c r="B32" i="8"/>
  <c r="B33" i="8" a="1"/>
  <c r="B33" i="8"/>
  <c r="B34" i="8" a="1"/>
  <c r="B34" i="8" s="1"/>
  <c r="B35" i="8" a="1"/>
  <c r="B35" i="8"/>
  <c r="B36" i="8" a="1"/>
  <c r="B36" i="8"/>
  <c r="B37" i="8" a="1"/>
  <c r="B37" i="8"/>
  <c r="B38" i="8" a="1"/>
  <c r="B38" i="8"/>
  <c r="B39" i="8" a="1"/>
  <c r="B39" i="8"/>
  <c r="B40" i="8" a="1"/>
  <c r="B40" i="8" s="1"/>
  <c r="B41" i="8" a="1"/>
  <c r="B41" i="8"/>
  <c r="B42" i="8" a="1"/>
  <c r="B42" i="8"/>
  <c r="B43" i="8" a="1"/>
  <c r="B43" i="8"/>
  <c r="B44" i="8" a="1"/>
  <c r="B44" i="8"/>
  <c r="B45" i="8" a="1"/>
  <c r="B45" i="8"/>
  <c r="B46" i="8" a="1"/>
  <c r="B46" i="8" s="1"/>
  <c r="B47" i="8" a="1"/>
  <c r="B47" i="8"/>
  <c r="B48" i="8" a="1"/>
  <c r="B48" i="8"/>
  <c r="B49" i="8" a="1"/>
  <c r="B49" i="8"/>
  <c r="B50" i="8" a="1"/>
  <c r="B50" i="8"/>
  <c r="B51" i="8" a="1"/>
  <c r="B51" i="8"/>
  <c r="B52" i="8" a="1"/>
  <c r="B52" i="8" s="1"/>
  <c r="B53" i="8" a="1"/>
  <c r="B53" i="8"/>
  <c r="B54" i="8" a="1"/>
  <c r="B54" i="8"/>
  <c r="B55" i="8" a="1"/>
  <c r="B55" i="8"/>
  <c r="B56" i="8" a="1"/>
  <c r="B56" i="8"/>
  <c r="B57" i="8" a="1"/>
  <c r="B57" i="8"/>
  <c r="B58" i="8" a="1"/>
  <c r="B58" i="8" s="1"/>
  <c r="B59" i="8" a="1"/>
  <c r="B59" i="8"/>
  <c r="B60" i="8" a="1"/>
  <c r="B60" i="8"/>
  <c r="B61" i="8" a="1"/>
  <c r="B61" i="8"/>
  <c r="B62" i="8" a="1"/>
  <c r="B62" i="8"/>
  <c r="B63" i="8" a="1"/>
  <c r="B63" i="8"/>
  <c r="B64" i="8" a="1"/>
  <c r="B64" i="8" s="1"/>
  <c r="B65" i="8" a="1"/>
  <c r="B65" i="8"/>
  <c r="B66" i="8" a="1"/>
  <c r="B66" i="8"/>
  <c r="B67" i="8" a="1"/>
  <c r="B67" i="8"/>
  <c r="B68" i="8" a="1"/>
  <c r="B68" i="8"/>
  <c r="B69" i="8" a="1"/>
  <c r="B69" i="8"/>
  <c r="B70" i="8" a="1"/>
  <c r="B70" i="8" s="1"/>
  <c r="B71" i="8" a="1"/>
  <c r="B71" i="8"/>
  <c r="B72" i="8" a="1"/>
  <c r="B72" i="8"/>
  <c r="B73" i="8" a="1"/>
  <c r="B73" i="8"/>
  <c r="B74" i="8" a="1"/>
  <c r="B74" i="8"/>
  <c r="B75" i="8" a="1"/>
  <c r="B75" i="8"/>
  <c r="B3" i="8" a="1"/>
  <c r="B3" i="8" s="1"/>
  <c r="J3" i="5"/>
  <c r="B101" i="3" a="1"/>
  <c r="B101" i="3" s="1"/>
  <c r="AN5" i="3" a="1"/>
  <c r="AN5" i="3" s="1"/>
  <c r="X5" i="3" a="1"/>
  <c r="X5" i="3" s="1"/>
  <c r="K3" i="5"/>
  <c r="A80" i="7" a="1"/>
  <c r="A80" i="7" s="1"/>
  <c r="B2" i="8" a="1"/>
  <c r="B2" i="8" s="1"/>
  <c r="A3" i="8" a="1"/>
  <c r="A3" i="8" s="1"/>
  <c r="O76" i="7" a="1"/>
  <c r="O76" i="7" s="1"/>
  <c r="R76" i="7" a="1"/>
  <c r="R76" i="7" s="1"/>
  <c r="T76" i="7" a="1"/>
  <c r="T76" i="7" s="1"/>
  <c r="U76" i="7" a="1"/>
  <c r="U76" i="7" s="1"/>
  <c r="V76" i="7" a="1"/>
  <c r="V76" i="7" s="1"/>
  <c r="X76" i="7" a="1"/>
  <c r="X76" i="7" s="1"/>
  <c r="Y76" i="7" a="1"/>
  <c r="Y76" i="7" s="1"/>
  <c r="A4" i="7" a="1"/>
  <c r="P59" i="7" s="1" a="1"/>
  <c r="P59" i="7" s="1"/>
  <c r="BB4" i="7"/>
  <c r="BA4" i="7"/>
  <c r="AZ4" i="7"/>
  <c r="AY4" i="7"/>
  <c r="AX4" i="7"/>
  <c r="AD4" i="7"/>
  <c r="AW4" i="7"/>
  <c r="AV4" i="7"/>
  <c r="AU4" i="7"/>
  <c r="AT4" i="7"/>
  <c r="AR4" i="7"/>
  <c r="AQ4" i="7"/>
  <c r="AP4" i="7"/>
  <c r="AO4" i="7"/>
  <c r="AM4" i="7"/>
  <c r="AL4" i="7"/>
  <c r="AK4" i="7"/>
  <c r="AJ4" i="7"/>
  <c r="AI4" i="7"/>
  <c r="AN4" i="7"/>
  <c r="AS4" i="7"/>
  <c r="AH4" i="7"/>
  <c r="AG4" i="7"/>
  <c r="AF4" i="7"/>
  <c r="AE4" i="7"/>
  <c r="J2" i="5" a="1"/>
  <c r="I3" i="5" a="1"/>
  <c r="I3" i="5" s="1"/>
  <c r="A3" i="5" a="1"/>
  <c r="C44" i="5" s="1"/>
  <c r="A25" i="3" a="1"/>
  <c r="A25" i="3" s="1"/>
  <c r="A101" i="3" a="1"/>
  <c r="A101" i="3" s="1"/>
  <c r="B100" i="3" a="1"/>
  <c r="Z24" i="3" a="1"/>
  <c r="Z24" i="3" s="1"/>
  <c r="W5" i="3" a="1"/>
  <c r="AG24" i="3" s="1" a="1"/>
  <c r="AG24" i="3" s="1"/>
  <c r="AI64" i="3" a="1"/>
  <c r="AI64" i="3" s="1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5" i="3"/>
  <c r="E4" i="5" l="1"/>
  <c r="M76" i="7" a="1"/>
  <c r="M76" i="7" s="1"/>
  <c r="L76" i="7" a="1"/>
  <c r="L76" i="7" s="1"/>
  <c r="K76" i="7" a="1"/>
  <c r="K76" i="7" s="1"/>
  <c r="J76" i="7" a="1"/>
  <c r="J76" i="7" s="1"/>
  <c r="Z76" i="7" a="1"/>
  <c r="Z76" i="7" s="1"/>
  <c r="E76" i="7" a="1"/>
  <c r="E76" i="7" s="1"/>
  <c r="C76" i="7" a="1"/>
  <c r="C76" i="7" s="1"/>
  <c r="Y75" i="7" a="1"/>
  <c r="Y75" i="7" s="1"/>
  <c r="U75" i="7" a="1"/>
  <c r="U75" i="7" s="1"/>
  <c r="J75" i="7" a="1"/>
  <c r="J75" i="7" s="1"/>
  <c r="Y24" i="3" a="1"/>
  <c r="Y24" i="3" s="1"/>
  <c r="F73" i="5"/>
  <c r="E67" i="5"/>
  <c r="F60" i="5"/>
  <c r="F53" i="5"/>
  <c r="E47" i="5"/>
  <c r="F40" i="5"/>
  <c r="E34" i="5"/>
  <c r="F27" i="5"/>
  <c r="E21" i="5"/>
  <c r="F14" i="5"/>
  <c r="E8" i="5"/>
  <c r="H76" i="7" a="1"/>
  <c r="H76" i="7" s="1"/>
  <c r="X75" i="7" a="1"/>
  <c r="X75" i="7" s="1"/>
  <c r="Q75" i="7" a="1"/>
  <c r="Q75" i="7" s="1"/>
  <c r="H75" i="7" a="1"/>
  <c r="H75" i="7" s="1"/>
  <c r="P74" i="7" a="1"/>
  <c r="P74" i="7" s="1"/>
  <c r="H74" i="7" a="1"/>
  <c r="H74" i="7" s="1"/>
  <c r="O73" i="7" a="1"/>
  <c r="O73" i="7" s="1"/>
  <c r="H73" i="7" a="1"/>
  <c r="H73" i="7" s="1"/>
  <c r="N72" i="7" a="1"/>
  <c r="N72" i="7" s="1"/>
  <c r="G72" i="7" a="1"/>
  <c r="G72" i="7" s="1"/>
  <c r="M71" i="7" a="1"/>
  <c r="M71" i="7" s="1"/>
  <c r="Z70" i="7" a="1"/>
  <c r="Z70" i="7" s="1"/>
  <c r="N70" i="7" a="1"/>
  <c r="N70" i="7" s="1"/>
  <c r="B70" i="7" a="1"/>
  <c r="B70" i="7" s="1"/>
  <c r="O69" i="7" a="1"/>
  <c r="O69" i="7" s="1"/>
  <c r="C69" i="7" a="1"/>
  <c r="C69" i="7" s="1"/>
  <c r="P68" i="7" a="1"/>
  <c r="P68" i="7" s="1"/>
  <c r="D68" i="7" a="1"/>
  <c r="D68" i="7" s="1"/>
  <c r="Q67" i="7" a="1"/>
  <c r="Q67" i="7" s="1"/>
  <c r="E67" i="7" a="1"/>
  <c r="E67" i="7" s="1"/>
  <c r="R66" i="7" a="1"/>
  <c r="R66" i="7" s="1"/>
  <c r="F66" i="7" a="1"/>
  <c r="F66" i="7" s="1"/>
  <c r="R65" i="7" a="1"/>
  <c r="R65" i="7" s="1"/>
  <c r="D65" i="7" a="1"/>
  <c r="D65" i="7" s="1"/>
  <c r="P64" i="7" a="1"/>
  <c r="P64" i="7" s="1"/>
  <c r="Z63" i="7" a="1"/>
  <c r="Z63" i="7" s="1"/>
  <c r="J63" i="7" a="1"/>
  <c r="J63" i="7" s="1"/>
  <c r="C62" i="7" a="1"/>
  <c r="C62" i="7" s="1"/>
  <c r="Q76" i="7" a="1"/>
  <c r="Q76" i="7" s="1"/>
  <c r="W75" i="7" a="1"/>
  <c r="W75" i="7" s="1"/>
  <c r="P75" i="7" a="1"/>
  <c r="P75" i="7" s="1"/>
  <c r="W74" i="7" a="1"/>
  <c r="W74" i="7" s="1"/>
  <c r="O74" i="7" a="1"/>
  <c r="O74" i="7" s="1"/>
  <c r="W73" i="7" a="1"/>
  <c r="W73" i="7" s="1"/>
  <c r="N73" i="7" a="1"/>
  <c r="N73" i="7" s="1"/>
  <c r="G73" i="7" a="1"/>
  <c r="G73" i="7" s="1"/>
  <c r="W72" i="7" a="1"/>
  <c r="W72" i="7" s="1"/>
  <c r="F72" i="7" a="1"/>
  <c r="F72" i="7" s="1"/>
  <c r="W71" i="7" a="1"/>
  <c r="W71" i="7" s="1"/>
  <c r="L71" i="7" a="1"/>
  <c r="L71" i="7" s="1"/>
  <c r="Y70" i="7" a="1"/>
  <c r="Y70" i="7" s="1"/>
  <c r="M70" i="7" a="1"/>
  <c r="M70" i="7" s="1"/>
  <c r="Z69" i="7" a="1"/>
  <c r="Z69" i="7" s="1"/>
  <c r="N69" i="7" a="1"/>
  <c r="N69" i="7" s="1"/>
  <c r="B69" i="7" a="1"/>
  <c r="B69" i="7" s="1"/>
  <c r="O68" i="7" a="1"/>
  <c r="O68" i="7" s="1"/>
  <c r="C68" i="7" a="1"/>
  <c r="C68" i="7" s="1"/>
  <c r="P67" i="7" a="1"/>
  <c r="P67" i="7" s="1"/>
  <c r="D67" i="7" a="1"/>
  <c r="D67" i="7" s="1"/>
  <c r="Q66" i="7" a="1"/>
  <c r="Q66" i="7" s="1"/>
  <c r="E66" i="7" a="1"/>
  <c r="E66" i="7" s="1"/>
  <c r="P65" i="7" a="1"/>
  <c r="P65" i="7" s="1"/>
  <c r="C65" i="7" a="1"/>
  <c r="C65" i="7" s="1"/>
  <c r="O64" i="7" a="1"/>
  <c r="O64" i="7" s="1"/>
  <c r="Y63" i="7" a="1"/>
  <c r="Y63" i="7" s="1"/>
  <c r="I63" i="7" a="1"/>
  <c r="I63" i="7" s="1"/>
  <c r="B62" i="7" a="1"/>
  <c r="B62" i="7" s="1"/>
  <c r="F70" i="5"/>
  <c r="E64" i="5"/>
  <c r="F57" i="5"/>
  <c r="E51" i="5"/>
  <c r="F44" i="5"/>
  <c r="E38" i="5"/>
  <c r="F31" i="5"/>
  <c r="E25" i="5"/>
  <c r="F18" i="5"/>
  <c r="F11" i="5"/>
  <c r="E5" i="5"/>
  <c r="X24" i="3" a="1"/>
  <c r="X24" i="3" s="1"/>
  <c r="E73" i="5"/>
  <c r="F66" i="5"/>
  <c r="F59" i="5"/>
  <c r="E53" i="5"/>
  <c r="F46" i="5"/>
  <c r="E40" i="5"/>
  <c r="F33" i="5"/>
  <c r="E27" i="5"/>
  <c r="F20" i="5"/>
  <c r="E14" i="5"/>
  <c r="F7" i="5"/>
  <c r="F72" i="5"/>
  <c r="F65" i="5"/>
  <c r="E59" i="5"/>
  <c r="F52" i="5"/>
  <c r="E46" i="5"/>
  <c r="F39" i="5"/>
  <c r="E33" i="5"/>
  <c r="F26" i="5"/>
  <c r="E20" i="5"/>
  <c r="F13" i="5"/>
  <c r="E7" i="5"/>
  <c r="W76" i="7" a="1"/>
  <c r="W76" i="7" s="1"/>
  <c r="P76" i="7" a="1"/>
  <c r="P76" i="7" s="1"/>
  <c r="G76" i="7" a="1"/>
  <c r="G76" i="7" s="1"/>
  <c r="O75" i="7" a="1"/>
  <c r="O75" i="7" s="1"/>
  <c r="G75" i="7" a="1"/>
  <c r="G75" i="7" s="1"/>
  <c r="N74" i="7" a="1"/>
  <c r="N74" i="7" s="1"/>
  <c r="G74" i="7" a="1"/>
  <c r="G74" i="7" s="1"/>
  <c r="M73" i="7" a="1"/>
  <c r="M73" i="7" s="1"/>
  <c r="F73" i="7" a="1"/>
  <c r="F73" i="7" s="1"/>
  <c r="M72" i="7" a="1"/>
  <c r="M72" i="7" s="1"/>
  <c r="E72" i="7" a="1"/>
  <c r="E72" i="7" s="1"/>
  <c r="K71" i="7" a="1"/>
  <c r="K71" i="7" s="1"/>
  <c r="X70" i="7" a="1"/>
  <c r="X70" i="7" s="1"/>
  <c r="L70" i="7" a="1"/>
  <c r="L70" i="7" s="1"/>
  <c r="Y69" i="7" a="1"/>
  <c r="Y69" i="7" s="1"/>
  <c r="M69" i="7" a="1"/>
  <c r="M69" i="7" s="1"/>
  <c r="Z68" i="7" a="1"/>
  <c r="Z68" i="7" s="1"/>
  <c r="N68" i="7" a="1"/>
  <c r="N68" i="7" s="1"/>
  <c r="B68" i="7" a="1"/>
  <c r="B68" i="7" s="1"/>
  <c r="O67" i="7" a="1"/>
  <c r="O67" i="7" s="1"/>
  <c r="C67" i="7" a="1"/>
  <c r="C67" i="7" s="1"/>
  <c r="P66" i="7" a="1"/>
  <c r="P66" i="7" s="1"/>
  <c r="C66" i="7" a="1"/>
  <c r="C66" i="7" s="1"/>
  <c r="O65" i="7" a="1"/>
  <c r="O65" i="7" s="1"/>
  <c r="B65" i="7" a="1"/>
  <c r="B65" i="7" s="1"/>
  <c r="N64" i="7" a="1"/>
  <c r="N64" i="7" s="1"/>
  <c r="X63" i="7" a="1"/>
  <c r="X63" i="7" s="1"/>
  <c r="B63" i="7" a="1"/>
  <c r="B63" i="7" s="1"/>
  <c r="Z61" i="7" a="1"/>
  <c r="Z61" i="7" s="1"/>
  <c r="V75" i="7" a="1"/>
  <c r="V75" i="7" s="1"/>
  <c r="N75" i="7" a="1"/>
  <c r="N75" i="7" s="1"/>
  <c r="V74" i="7" a="1"/>
  <c r="V74" i="7" s="1"/>
  <c r="M74" i="7" a="1"/>
  <c r="M74" i="7" s="1"/>
  <c r="F74" i="7" a="1"/>
  <c r="F74" i="7" s="1"/>
  <c r="V73" i="7" a="1"/>
  <c r="V73" i="7" s="1"/>
  <c r="E73" i="7" a="1"/>
  <c r="E73" i="7" s="1"/>
  <c r="V72" i="7" a="1"/>
  <c r="V72" i="7" s="1"/>
  <c r="D72" i="7" a="1"/>
  <c r="D72" i="7" s="1"/>
  <c r="V71" i="7" a="1"/>
  <c r="V71" i="7" s="1"/>
  <c r="J71" i="7" a="1"/>
  <c r="J71" i="7" s="1"/>
  <c r="W70" i="7" a="1"/>
  <c r="W70" i="7" s="1"/>
  <c r="K70" i="7" a="1"/>
  <c r="K70" i="7" s="1"/>
  <c r="X69" i="7" a="1"/>
  <c r="X69" i="7" s="1"/>
  <c r="L69" i="7" a="1"/>
  <c r="L69" i="7" s="1"/>
  <c r="Y68" i="7" a="1"/>
  <c r="Y68" i="7" s="1"/>
  <c r="M68" i="7" a="1"/>
  <c r="M68" i="7" s="1"/>
  <c r="Z67" i="7" a="1"/>
  <c r="Z67" i="7" s="1"/>
  <c r="N67" i="7" a="1"/>
  <c r="N67" i="7" s="1"/>
  <c r="B67" i="7" a="1"/>
  <c r="B67" i="7" s="1"/>
  <c r="O66" i="7" a="1"/>
  <c r="O66" i="7" s="1"/>
  <c r="B66" i="7" a="1"/>
  <c r="B66" i="7" s="1"/>
  <c r="N65" i="7" a="1"/>
  <c r="N65" i="7" s="1"/>
  <c r="Z64" i="7" a="1"/>
  <c r="Z64" i="7" s="1"/>
  <c r="M64" i="7" a="1"/>
  <c r="M64" i="7" s="1"/>
  <c r="W63" i="7" a="1"/>
  <c r="W63" i="7" s="1"/>
  <c r="Z62" i="7" a="1"/>
  <c r="Z62" i="7" s="1"/>
  <c r="X61" i="7" a="1"/>
  <c r="X61" i="7" s="1"/>
  <c r="E74" i="5"/>
  <c r="F67" i="5"/>
  <c r="E61" i="5"/>
  <c r="F54" i="5"/>
  <c r="F47" i="5"/>
  <c r="E41" i="5"/>
  <c r="F34" i="5"/>
  <c r="E28" i="5"/>
  <c r="F21" i="5"/>
  <c r="E15" i="5"/>
  <c r="F8" i="5"/>
  <c r="F71" i="5"/>
  <c r="E65" i="5"/>
  <c r="F58" i="5"/>
  <c r="E52" i="5"/>
  <c r="F45" i="5"/>
  <c r="E39" i="5"/>
  <c r="F32" i="5"/>
  <c r="E26" i="5"/>
  <c r="F19" i="5"/>
  <c r="E13" i="5"/>
  <c r="F6" i="5"/>
  <c r="E71" i="5"/>
  <c r="F64" i="5"/>
  <c r="E58" i="5"/>
  <c r="F51" i="5"/>
  <c r="E45" i="5"/>
  <c r="F38" i="5"/>
  <c r="E32" i="5"/>
  <c r="F25" i="5"/>
  <c r="E19" i="5"/>
  <c r="F12" i="5"/>
  <c r="F5" i="5"/>
  <c r="N76" i="7" a="1"/>
  <c r="N76" i="7" s="1"/>
  <c r="F76" i="7" a="1"/>
  <c r="F76" i="7" s="1"/>
  <c r="M75" i="7" a="1"/>
  <c r="M75" i="7" s="1"/>
  <c r="F75" i="7" a="1"/>
  <c r="F75" i="7" s="1"/>
  <c r="L74" i="7" a="1"/>
  <c r="L74" i="7" s="1"/>
  <c r="E74" i="7" a="1"/>
  <c r="E74" i="7" s="1"/>
  <c r="L73" i="7" a="1"/>
  <c r="L73" i="7" s="1"/>
  <c r="D73" i="7" a="1"/>
  <c r="D73" i="7" s="1"/>
  <c r="L72" i="7" a="1"/>
  <c r="L72" i="7" s="1"/>
  <c r="C72" i="7" a="1"/>
  <c r="C72" i="7" s="1"/>
  <c r="U71" i="7" a="1"/>
  <c r="U71" i="7" s="1"/>
  <c r="I71" i="7" a="1"/>
  <c r="I71" i="7" s="1"/>
  <c r="V70" i="7" a="1"/>
  <c r="V70" i="7" s="1"/>
  <c r="J70" i="7" a="1"/>
  <c r="J70" i="7" s="1"/>
  <c r="W69" i="7" a="1"/>
  <c r="W69" i="7" s="1"/>
  <c r="K69" i="7" a="1"/>
  <c r="K69" i="7" s="1"/>
  <c r="X68" i="7" a="1"/>
  <c r="X68" i="7" s="1"/>
  <c r="L68" i="7" a="1"/>
  <c r="L68" i="7" s="1"/>
  <c r="Y67" i="7" a="1"/>
  <c r="Y67" i="7" s="1"/>
  <c r="M67" i="7" a="1"/>
  <c r="M67" i="7" s="1"/>
  <c r="Z66" i="7" a="1"/>
  <c r="Z66" i="7" s="1"/>
  <c r="N66" i="7" a="1"/>
  <c r="N66" i="7" s="1"/>
  <c r="Z65" i="7" a="1"/>
  <c r="Z65" i="7" s="1"/>
  <c r="M65" i="7" a="1"/>
  <c r="M65" i="7" s="1"/>
  <c r="Y64" i="7" a="1"/>
  <c r="Y64" i="7" s="1"/>
  <c r="L64" i="7" a="1"/>
  <c r="L64" i="7" s="1"/>
  <c r="V63" i="7" a="1"/>
  <c r="V63" i="7" s="1"/>
  <c r="Y62" i="7" a="1"/>
  <c r="Y62" i="7" s="1"/>
  <c r="O61" i="7" a="1"/>
  <c r="O61" i="7" s="1"/>
  <c r="L75" i="7" a="1"/>
  <c r="L75" i="7" s="1"/>
  <c r="E75" i="7" a="1"/>
  <c r="E75" i="7" s="1"/>
  <c r="U74" i="7" a="1"/>
  <c r="U74" i="7" s="1"/>
  <c r="D74" i="7" a="1"/>
  <c r="D74" i="7" s="1"/>
  <c r="U73" i="7" a="1"/>
  <c r="U73" i="7" s="1"/>
  <c r="C73" i="7" a="1"/>
  <c r="C73" i="7" s="1"/>
  <c r="U72" i="7" a="1"/>
  <c r="U72" i="7" s="1"/>
  <c r="B72" i="7" a="1"/>
  <c r="B72" i="7" s="1"/>
  <c r="T71" i="7" a="1"/>
  <c r="T71" i="7" s="1"/>
  <c r="H71" i="7" a="1"/>
  <c r="H71" i="7" s="1"/>
  <c r="U70" i="7" a="1"/>
  <c r="U70" i="7" s="1"/>
  <c r="I70" i="7" a="1"/>
  <c r="I70" i="7" s="1"/>
  <c r="V69" i="7" a="1"/>
  <c r="V69" i="7" s="1"/>
  <c r="J69" i="7" a="1"/>
  <c r="J69" i="7" s="1"/>
  <c r="W68" i="7" a="1"/>
  <c r="W68" i="7" s="1"/>
  <c r="K68" i="7" a="1"/>
  <c r="K68" i="7" s="1"/>
  <c r="X67" i="7" a="1"/>
  <c r="X67" i="7" s="1"/>
  <c r="L67" i="7" a="1"/>
  <c r="L67" i="7" s="1"/>
  <c r="Y66" i="7" a="1"/>
  <c r="Y66" i="7" s="1"/>
  <c r="M66" i="7" a="1"/>
  <c r="M66" i="7" s="1"/>
  <c r="Y65" i="7" a="1"/>
  <c r="Y65" i="7" s="1"/>
  <c r="L65" i="7" a="1"/>
  <c r="L65" i="7" s="1"/>
  <c r="X64" i="7" a="1"/>
  <c r="X64" i="7" s="1"/>
  <c r="K64" i="7" a="1"/>
  <c r="K64" i="7" s="1"/>
  <c r="U63" i="7" a="1"/>
  <c r="U63" i="7" s="1"/>
  <c r="X62" i="7" a="1"/>
  <c r="X62" i="7" s="1"/>
  <c r="N61" i="7" a="1"/>
  <c r="N61" i="7" s="1"/>
  <c r="K75" i="7" a="1"/>
  <c r="K75" i="7" s="1"/>
  <c r="D75" i="7" a="1"/>
  <c r="D75" i="7" s="1"/>
  <c r="K74" i="7" a="1"/>
  <c r="K74" i="7" s="1"/>
  <c r="C74" i="7" a="1"/>
  <c r="C74" i="7" s="1"/>
  <c r="K73" i="7" a="1"/>
  <c r="K73" i="7" s="1"/>
  <c r="B73" i="7" a="1"/>
  <c r="B73" i="7" s="1"/>
  <c r="T72" i="7" a="1"/>
  <c r="T72" i="7" s="1"/>
  <c r="K72" i="7" a="1"/>
  <c r="K72" i="7" s="1"/>
  <c r="S71" i="7" a="1"/>
  <c r="S71" i="7" s="1"/>
  <c r="G71" i="7" a="1"/>
  <c r="G71" i="7" s="1"/>
  <c r="T70" i="7" a="1"/>
  <c r="T70" i="7" s="1"/>
  <c r="H70" i="7" a="1"/>
  <c r="H70" i="7" s="1"/>
  <c r="U69" i="7" a="1"/>
  <c r="U69" i="7" s="1"/>
  <c r="I69" i="7" a="1"/>
  <c r="I69" i="7" s="1"/>
  <c r="V68" i="7" a="1"/>
  <c r="V68" i="7" s="1"/>
  <c r="J68" i="7" a="1"/>
  <c r="J68" i="7" s="1"/>
  <c r="W67" i="7" a="1"/>
  <c r="W67" i="7" s="1"/>
  <c r="K67" i="7" a="1"/>
  <c r="K67" i="7" s="1"/>
  <c r="X66" i="7" a="1"/>
  <c r="X66" i="7" s="1"/>
  <c r="L66" i="7" a="1"/>
  <c r="L66" i="7" s="1"/>
  <c r="X65" i="7" a="1"/>
  <c r="X65" i="7" s="1"/>
  <c r="K65" i="7" a="1"/>
  <c r="K65" i="7" s="1"/>
  <c r="W64" i="7" a="1"/>
  <c r="W64" i="7" s="1"/>
  <c r="J64" i="7" a="1"/>
  <c r="J64" i="7" s="1"/>
  <c r="P63" i="7" a="1"/>
  <c r="P63" i="7" s="1"/>
  <c r="W62" i="7" a="1"/>
  <c r="W62" i="7" s="1"/>
  <c r="B61" i="7" a="1"/>
  <c r="B61" i="7" s="1"/>
  <c r="E70" i="5"/>
  <c r="F63" i="5"/>
  <c r="E57" i="5"/>
  <c r="F50" i="5"/>
  <c r="E44" i="5"/>
  <c r="F37" i="5"/>
  <c r="E31" i="5"/>
  <c r="F24" i="5"/>
  <c r="F17" i="5"/>
  <c r="E11" i="5"/>
  <c r="F4" i="5"/>
  <c r="AM24" i="3" a="1"/>
  <c r="AM24" i="3" s="1"/>
  <c r="F69" i="5"/>
  <c r="E63" i="5"/>
  <c r="F56" i="5"/>
  <c r="E50" i="5"/>
  <c r="F43" i="5"/>
  <c r="E37" i="5"/>
  <c r="F30" i="5"/>
  <c r="F23" i="5"/>
  <c r="E17" i="5"/>
  <c r="F10" i="5"/>
  <c r="D76" i="7" a="1"/>
  <c r="D76" i="7" s="1"/>
  <c r="T75" i="7" a="1"/>
  <c r="T75" i="7" s="1"/>
  <c r="C75" i="7" a="1"/>
  <c r="C75" i="7" s="1"/>
  <c r="T74" i="7" a="1"/>
  <c r="T74" i="7" s="1"/>
  <c r="B74" i="7" a="1"/>
  <c r="B74" i="7" s="1"/>
  <c r="T73" i="7" a="1"/>
  <c r="T73" i="7" s="1"/>
  <c r="Z72" i="7" a="1"/>
  <c r="Z72" i="7" s="1"/>
  <c r="S72" i="7" a="1"/>
  <c r="S72" i="7" s="1"/>
  <c r="Z71" i="7" a="1"/>
  <c r="Z71" i="7" s="1"/>
  <c r="R71" i="7" a="1"/>
  <c r="R71" i="7" s="1"/>
  <c r="F71" i="7" a="1"/>
  <c r="F71" i="7" s="1"/>
  <c r="S70" i="7" a="1"/>
  <c r="S70" i="7" s="1"/>
  <c r="G70" i="7" a="1"/>
  <c r="G70" i="7" s="1"/>
  <c r="T69" i="7" a="1"/>
  <c r="T69" i="7" s="1"/>
  <c r="H69" i="7" a="1"/>
  <c r="H69" i="7" s="1"/>
  <c r="U68" i="7" a="1"/>
  <c r="U68" i="7" s="1"/>
  <c r="I68" i="7" a="1"/>
  <c r="I68" i="7" s="1"/>
  <c r="V67" i="7" a="1"/>
  <c r="V67" i="7" s="1"/>
  <c r="J67" i="7" a="1"/>
  <c r="J67" i="7" s="1"/>
  <c r="W66" i="7" a="1"/>
  <c r="W66" i="7" s="1"/>
  <c r="K66" i="7" a="1"/>
  <c r="K66" i="7" s="1"/>
  <c r="W65" i="7" a="1"/>
  <c r="W65" i="7" s="1"/>
  <c r="J65" i="7" a="1"/>
  <c r="J65" i="7" s="1"/>
  <c r="V64" i="7" a="1"/>
  <c r="V64" i="7" s="1"/>
  <c r="I64" i="7" a="1"/>
  <c r="I64" i="7" s="1"/>
  <c r="O63" i="7" a="1"/>
  <c r="O63" i="7" s="1"/>
  <c r="O62" i="7" a="1"/>
  <c r="O62" i="7" s="1"/>
  <c r="O60" i="7" a="1"/>
  <c r="O60" i="7" s="1"/>
  <c r="AJ24" i="3" a="1"/>
  <c r="AJ24" i="3" s="1"/>
  <c r="F75" i="5"/>
  <c r="E69" i="5"/>
  <c r="F62" i="5"/>
  <c r="E56" i="5"/>
  <c r="F49" i="5"/>
  <c r="E43" i="5"/>
  <c r="F36" i="5"/>
  <c r="F29" i="5"/>
  <c r="E23" i="5"/>
  <c r="F16" i="5"/>
  <c r="E10" i="5"/>
  <c r="B75" i="7" a="1"/>
  <c r="B75" i="7" s="1"/>
  <c r="J74" i="7" a="1"/>
  <c r="J74" i="7" s="1"/>
  <c r="Z73" i="7" a="1"/>
  <c r="Z73" i="7" s="1"/>
  <c r="S73" i="7" a="1"/>
  <c r="S73" i="7" s="1"/>
  <c r="J73" i="7" a="1"/>
  <c r="J73" i="7" s="1"/>
  <c r="R72" i="7" a="1"/>
  <c r="R72" i="7" s="1"/>
  <c r="J72" i="7" a="1"/>
  <c r="J72" i="7" s="1"/>
  <c r="Q71" i="7" a="1"/>
  <c r="Q71" i="7" s="1"/>
  <c r="E71" i="7" a="1"/>
  <c r="E71" i="7" s="1"/>
  <c r="R70" i="7" a="1"/>
  <c r="R70" i="7" s="1"/>
  <c r="F70" i="7" a="1"/>
  <c r="F70" i="7" s="1"/>
  <c r="S69" i="7" a="1"/>
  <c r="S69" i="7" s="1"/>
  <c r="G69" i="7" a="1"/>
  <c r="G69" i="7" s="1"/>
  <c r="T68" i="7" a="1"/>
  <c r="T68" i="7" s="1"/>
  <c r="H68" i="7" a="1"/>
  <c r="H68" i="7" s="1"/>
  <c r="U67" i="7" a="1"/>
  <c r="U67" i="7" s="1"/>
  <c r="I67" i="7" a="1"/>
  <c r="I67" i="7" s="1"/>
  <c r="V66" i="7" a="1"/>
  <c r="V66" i="7" s="1"/>
  <c r="J66" i="7" a="1"/>
  <c r="J66" i="7" s="1"/>
  <c r="V65" i="7" a="1"/>
  <c r="V65" i="7" s="1"/>
  <c r="I65" i="7" a="1"/>
  <c r="I65" i="7" s="1"/>
  <c r="U64" i="7" a="1"/>
  <c r="U64" i="7" s="1"/>
  <c r="H64" i="7" a="1"/>
  <c r="H64" i="7" s="1"/>
  <c r="N63" i="7" a="1"/>
  <c r="N63" i="7" s="1"/>
  <c r="N62" i="7" a="1"/>
  <c r="N62" i="7" s="1"/>
  <c r="C60" i="7" a="1"/>
  <c r="C60" i="7" s="1"/>
  <c r="AH24" i="3" a="1"/>
  <c r="AH24" i="3" s="1"/>
  <c r="E75" i="5"/>
  <c r="F68" i="5"/>
  <c r="E62" i="5"/>
  <c r="F55" i="5"/>
  <c r="E49" i="5"/>
  <c r="F42" i="5"/>
  <c r="F35" i="5"/>
  <c r="E29" i="5"/>
  <c r="F22" i="5"/>
  <c r="E16" i="5"/>
  <c r="F9" i="5"/>
  <c r="S76" i="7" a="1"/>
  <c r="S76" i="7" s="1"/>
  <c r="B76" i="7" a="1"/>
  <c r="B76" i="7" s="1"/>
  <c r="S75" i="7" a="1"/>
  <c r="S75" i="7" s="1"/>
  <c r="Z74" i="7" a="1"/>
  <c r="Z74" i="7" s="1"/>
  <c r="S74" i="7" a="1"/>
  <c r="S74" i="7" s="1"/>
  <c r="Y73" i="7" a="1"/>
  <c r="Y73" i="7" s="1"/>
  <c r="R73" i="7" a="1"/>
  <c r="R73" i="7" s="1"/>
  <c r="Y72" i="7" a="1"/>
  <c r="Y72" i="7" s="1"/>
  <c r="Q72" i="7" a="1"/>
  <c r="Q72" i="7" s="1"/>
  <c r="Y71" i="7" a="1"/>
  <c r="Y71" i="7" s="1"/>
  <c r="P71" i="7" a="1"/>
  <c r="P71" i="7" s="1"/>
  <c r="D71" i="7" a="1"/>
  <c r="D71" i="7" s="1"/>
  <c r="Q70" i="7" a="1"/>
  <c r="Q70" i="7" s="1"/>
  <c r="E70" i="7" a="1"/>
  <c r="E70" i="7" s="1"/>
  <c r="R69" i="7" a="1"/>
  <c r="R69" i="7" s="1"/>
  <c r="F69" i="7" a="1"/>
  <c r="F69" i="7" s="1"/>
  <c r="S68" i="7" a="1"/>
  <c r="S68" i="7" s="1"/>
  <c r="G68" i="7" a="1"/>
  <c r="G68" i="7" s="1"/>
  <c r="T67" i="7" a="1"/>
  <c r="T67" i="7" s="1"/>
  <c r="H67" i="7" a="1"/>
  <c r="H67" i="7" s="1"/>
  <c r="U66" i="7" a="1"/>
  <c r="U66" i="7" s="1"/>
  <c r="I66" i="7" a="1"/>
  <c r="I66" i="7" s="1"/>
  <c r="U65" i="7" a="1"/>
  <c r="U65" i="7" s="1"/>
  <c r="H65" i="7" a="1"/>
  <c r="H65" i="7" s="1"/>
  <c r="T64" i="7" a="1"/>
  <c r="T64" i="7" s="1"/>
  <c r="D64" i="7" a="1"/>
  <c r="D64" i="7" s="1"/>
  <c r="M63" i="7" a="1"/>
  <c r="M63" i="7" s="1"/>
  <c r="M62" i="7" a="1"/>
  <c r="M62" i="7" s="1"/>
  <c r="A4" i="7"/>
  <c r="V90" i="7" a="1"/>
  <c r="V90" i="7" s="1"/>
  <c r="V102" i="7" a="1"/>
  <c r="V102" i="7" s="1"/>
  <c r="V114" i="7" a="1"/>
  <c r="V114" i="7" s="1"/>
  <c r="V126" i="7" a="1"/>
  <c r="V126" i="7" s="1"/>
  <c r="V138" i="7" a="1"/>
  <c r="V138" i="7" s="1"/>
  <c r="V150" i="7" a="1"/>
  <c r="V150" i="7" s="1"/>
  <c r="Q90" i="7" a="1"/>
  <c r="Q90" i="7" s="1"/>
  <c r="Q102" i="7" a="1"/>
  <c r="Q102" i="7" s="1"/>
  <c r="Q114" i="7" a="1"/>
  <c r="Q114" i="7" s="1"/>
  <c r="Q126" i="7" a="1"/>
  <c r="Q126" i="7" s="1"/>
  <c r="Q138" i="7" a="1"/>
  <c r="Q138" i="7" s="1"/>
  <c r="Q150" i="7" a="1"/>
  <c r="Q150" i="7" s="1"/>
  <c r="L90" i="7" a="1"/>
  <c r="L90" i="7" s="1"/>
  <c r="L102" i="7" a="1"/>
  <c r="L102" i="7" s="1"/>
  <c r="L114" i="7" a="1"/>
  <c r="L114" i="7" s="1"/>
  <c r="L126" i="7" a="1"/>
  <c r="L126" i="7" s="1"/>
  <c r="L138" i="7" a="1"/>
  <c r="L138" i="7" s="1"/>
  <c r="L150" i="7" a="1"/>
  <c r="L150" i="7" s="1"/>
  <c r="G90" i="7" a="1"/>
  <c r="G90" i="7" s="1"/>
  <c r="G102" i="7" a="1"/>
  <c r="G102" i="7" s="1"/>
  <c r="G114" i="7" a="1"/>
  <c r="G114" i="7" s="1"/>
  <c r="G126" i="7" a="1"/>
  <c r="G126" i="7" s="1"/>
  <c r="G138" i="7" a="1"/>
  <c r="G138" i="7" s="1"/>
  <c r="G150" i="7" a="1"/>
  <c r="G150" i="7" s="1"/>
  <c r="B90" i="7" a="1"/>
  <c r="B90" i="7" s="1"/>
  <c r="B102" i="7" a="1"/>
  <c r="B102" i="7" s="1"/>
  <c r="B114" i="7" a="1"/>
  <c r="B114" i="7" s="1"/>
  <c r="B126" i="7" a="1"/>
  <c r="B126" i="7" s="1"/>
  <c r="V91" i="7" a="1"/>
  <c r="V91" i="7" s="1"/>
  <c r="V103" i="7" a="1"/>
  <c r="V103" i="7" s="1"/>
  <c r="V115" i="7" a="1"/>
  <c r="V115" i="7" s="1"/>
  <c r="V127" i="7" a="1"/>
  <c r="V127" i="7" s="1"/>
  <c r="V139" i="7" a="1"/>
  <c r="V139" i="7" s="1"/>
  <c r="V151" i="7" a="1"/>
  <c r="V151" i="7" s="1"/>
  <c r="Q91" i="7" a="1"/>
  <c r="Q91" i="7" s="1"/>
  <c r="Q103" i="7" a="1"/>
  <c r="Q103" i="7" s="1"/>
  <c r="Q115" i="7" a="1"/>
  <c r="Q115" i="7" s="1"/>
  <c r="Q127" i="7" a="1"/>
  <c r="Q127" i="7" s="1"/>
  <c r="Q139" i="7" a="1"/>
  <c r="Q139" i="7" s="1"/>
  <c r="Q151" i="7" a="1"/>
  <c r="Q151" i="7" s="1"/>
  <c r="L91" i="7" a="1"/>
  <c r="L91" i="7" s="1"/>
  <c r="L103" i="7" a="1"/>
  <c r="L103" i="7" s="1"/>
  <c r="L115" i="7" a="1"/>
  <c r="L115" i="7" s="1"/>
  <c r="L127" i="7" a="1"/>
  <c r="L127" i="7" s="1"/>
  <c r="L139" i="7" a="1"/>
  <c r="L139" i="7" s="1"/>
  <c r="L151" i="7" a="1"/>
  <c r="L151" i="7" s="1"/>
  <c r="G91" i="7" a="1"/>
  <c r="G91" i="7" s="1"/>
  <c r="G103" i="7" a="1"/>
  <c r="G103" i="7" s="1"/>
  <c r="G115" i="7" a="1"/>
  <c r="G115" i="7" s="1"/>
  <c r="G127" i="7" a="1"/>
  <c r="G127" i="7" s="1"/>
  <c r="G139" i="7" a="1"/>
  <c r="G139" i="7" s="1"/>
  <c r="G151" i="7" a="1"/>
  <c r="G151" i="7" s="1"/>
  <c r="B91" i="7" a="1"/>
  <c r="B91" i="7" s="1"/>
  <c r="B103" i="7" a="1"/>
  <c r="B103" i="7" s="1"/>
  <c r="B115" i="7" a="1"/>
  <c r="B115" i="7" s="1"/>
  <c r="B127" i="7" a="1"/>
  <c r="B127" i="7" s="1"/>
  <c r="V92" i="7" a="1"/>
  <c r="V92" i="7" s="1"/>
  <c r="V104" i="7" a="1"/>
  <c r="V104" i="7" s="1"/>
  <c r="V116" i="7" a="1"/>
  <c r="V116" i="7" s="1"/>
  <c r="V128" i="7" a="1"/>
  <c r="V128" i="7" s="1"/>
  <c r="V140" i="7" a="1"/>
  <c r="V140" i="7" s="1"/>
  <c r="V152" i="7" a="1"/>
  <c r="V152" i="7" s="1"/>
  <c r="Q92" i="7" a="1"/>
  <c r="Q92" i="7" s="1"/>
  <c r="Q104" i="7" a="1"/>
  <c r="Q104" i="7" s="1"/>
  <c r="Q116" i="7" a="1"/>
  <c r="Q116" i="7" s="1"/>
  <c r="Q128" i="7" a="1"/>
  <c r="Q128" i="7" s="1"/>
  <c r="Q140" i="7" a="1"/>
  <c r="Q140" i="7" s="1"/>
  <c r="Q152" i="7" a="1"/>
  <c r="Q152" i="7" s="1"/>
  <c r="L92" i="7" a="1"/>
  <c r="L92" i="7" s="1"/>
  <c r="L104" i="7" a="1"/>
  <c r="L104" i="7" s="1"/>
  <c r="L116" i="7" a="1"/>
  <c r="L116" i="7" s="1"/>
  <c r="L128" i="7" a="1"/>
  <c r="L128" i="7" s="1"/>
  <c r="L140" i="7" a="1"/>
  <c r="L140" i="7" s="1"/>
  <c r="L152" i="7" a="1"/>
  <c r="L152" i="7" s="1"/>
  <c r="G92" i="7" a="1"/>
  <c r="G92" i="7" s="1"/>
  <c r="G104" i="7" a="1"/>
  <c r="G104" i="7" s="1"/>
  <c r="G116" i="7" a="1"/>
  <c r="G116" i="7" s="1"/>
  <c r="G128" i="7" a="1"/>
  <c r="G128" i="7" s="1"/>
  <c r="G140" i="7" a="1"/>
  <c r="G140" i="7" s="1"/>
  <c r="G152" i="7" a="1"/>
  <c r="G152" i="7" s="1"/>
  <c r="B92" i="7" a="1"/>
  <c r="B92" i="7" s="1"/>
  <c r="B104" i="7" a="1"/>
  <c r="B104" i="7" s="1"/>
  <c r="B116" i="7" a="1"/>
  <c r="B116" i="7" s="1"/>
  <c r="B128" i="7" a="1"/>
  <c r="B128" i="7" s="1"/>
  <c r="B140" i="7" a="1"/>
  <c r="B140" i="7" s="1"/>
  <c r="B152" i="7" a="1"/>
  <c r="B152" i="7" s="1"/>
  <c r="V81" i="7" a="1"/>
  <c r="V81" i="7" s="1"/>
  <c r="V93" i="7" a="1"/>
  <c r="V93" i="7" s="1"/>
  <c r="V105" i="7" a="1"/>
  <c r="V105" i="7" s="1"/>
  <c r="V117" i="7" a="1"/>
  <c r="V117" i="7" s="1"/>
  <c r="V129" i="7" a="1"/>
  <c r="V129" i="7" s="1"/>
  <c r="V141" i="7" a="1"/>
  <c r="V141" i="7" s="1"/>
  <c r="Q81" i="7" a="1"/>
  <c r="Q81" i="7" s="1"/>
  <c r="Q93" i="7" a="1"/>
  <c r="Q93" i="7" s="1"/>
  <c r="Q105" i="7" a="1"/>
  <c r="Q105" i="7" s="1"/>
  <c r="Q117" i="7" a="1"/>
  <c r="Q117" i="7" s="1"/>
  <c r="Q129" i="7" a="1"/>
  <c r="Q129" i="7" s="1"/>
  <c r="Q141" i="7" a="1"/>
  <c r="Q141" i="7" s="1"/>
  <c r="L81" i="7" a="1"/>
  <c r="L81" i="7" s="1"/>
  <c r="L93" i="7" a="1"/>
  <c r="L93" i="7" s="1"/>
  <c r="L105" i="7" a="1"/>
  <c r="L105" i="7" s="1"/>
  <c r="L117" i="7" a="1"/>
  <c r="L117" i="7" s="1"/>
  <c r="L129" i="7" a="1"/>
  <c r="L129" i="7" s="1"/>
  <c r="L141" i="7" a="1"/>
  <c r="L141" i="7" s="1"/>
  <c r="G81" i="7" a="1"/>
  <c r="G81" i="7" s="1"/>
  <c r="G93" i="7" a="1"/>
  <c r="G93" i="7" s="1"/>
  <c r="G105" i="7" a="1"/>
  <c r="G105" i="7" s="1"/>
  <c r="G117" i="7" a="1"/>
  <c r="G117" i="7" s="1"/>
  <c r="G129" i="7" a="1"/>
  <c r="G129" i="7" s="1"/>
  <c r="G141" i="7" a="1"/>
  <c r="G141" i="7" s="1"/>
  <c r="B81" i="7" a="1"/>
  <c r="B81" i="7" s="1"/>
  <c r="B93" i="7" a="1"/>
  <c r="B93" i="7" s="1"/>
  <c r="B105" i="7" a="1"/>
  <c r="B105" i="7" s="1"/>
  <c r="B117" i="7" a="1"/>
  <c r="B117" i="7" s="1"/>
  <c r="B129" i="7" a="1"/>
  <c r="B129" i="7" s="1"/>
  <c r="B141" i="7" a="1"/>
  <c r="B141" i="7" s="1"/>
  <c r="G5" i="7" a="1"/>
  <c r="G5" i="7" s="1"/>
  <c r="P5" i="7" a="1"/>
  <c r="P5" i="7" s="1"/>
  <c r="J6" i="7" a="1"/>
  <c r="J6" i="7" s="1"/>
  <c r="F7" i="7" a="1"/>
  <c r="F7" i="7" s="1"/>
  <c r="O7" i="7" a="1"/>
  <c r="O7" i="7" s="1"/>
  <c r="X7" i="7" a="1"/>
  <c r="X7" i="7" s="1"/>
  <c r="I8" i="7" a="1"/>
  <c r="I8" i="7" s="1"/>
  <c r="S8" i="7" a="1"/>
  <c r="S8" i="7" s="1"/>
  <c r="B9" i="7" a="1"/>
  <c r="B9" i="7" s="1"/>
  <c r="J9" i="7" a="1"/>
  <c r="J9" i="7" s="1"/>
  <c r="C10" i="7" a="1"/>
  <c r="C10" i="7" s="1"/>
  <c r="T10" i="7" a="1"/>
  <c r="T10" i="7" s="1"/>
  <c r="D11" i="7" a="1"/>
  <c r="D11" i="7" s="1"/>
  <c r="L11" i="7" a="1"/>
  <c r="L11" i="7" s="1"/>
  <c r="U11" i="7" a="1"/>
  <c r="U11" i="7" s="1"/>
  <c r="E12" i="7" a="1"/>
  <c r="E12" i="7" s="1"/>
  <c r="N12" i="7" a="1"/>
  <c r="N12" i="7" s="1"/>
  <c r="V82" i="7" a="1"/>
  <c r="V82" i="7" s="1"/>
  <c r="V94" i="7" a="1"/>
  <c r="V94" i="7" s="1"/>
  <c r="V106" i="7" a="1"/>
  <c r="V106" i="7" s="1"/>
  <c r="V118" i="7" a="1"/>
  <c r="V118" i="7" s="1"/>
  <c r="V130" i="7" a="1"/>
  <c r="V130" i="7" s="1"/>
  <c r="V142" i="7" a="1"/>
  <c r="V142" i="7" s="1"/>
  <c r="Q82" i="7" a="1"/>
  <c r="Q82" i="7" s="1"/>
  <c r="Q94" i="7" a="1"/>
  <c r="Q94" i="7" s="1"/>
  <c r="Q106" i="7" a="1"/>
  <c r="Q106" i="7" s="1"/>
  <c r="Q118" i="7" a="1"/>
  <c r="Q118" i="7" s="1"/>
  <c r="Q130" i="7" a="1"/>
  <c r="Q130" i="7" s="1"/>
  <c r="Q142" i="7" a="1"/>
  <c r="Q142" i="7" s="1"/>
  <c r="L82" i="7" a="1"/>
  <c r="L82" i="7" s="1"/>
  <c r="L94" i="7" a="1"/>
  <c r="L94" i="7" s="1"/>
  <c r="L106" i="7" a="1"/>
  <c r="L106" i="7" s="1"/>
  <c r="L118" i="7" a="1"/>
  <c r="L118" i="7" s="1"/>
  <c r="L130" i="7" a="1"/>
  <c r="L130" i="7" s="1"/>
  <c r="L142" i="7" a="1"/>
  <c r="L142" i="7" s="1"/>
  <c r="G82" i="7" a="1"/>
  <c r="G82" i="7" s="1"/>
  <c r="G94" i="7" a="1"/>
  <c r="G94" i="7" s="1"/>
  <c r="G106" i="7" a="1"/>
  <c r="G106" i="7" s="1"/>
  <c r="G118" i="7" a="1"/>
  <c r="G118" i="7" s="1"/>
  <c r="G130" i="7" a="1"/>
  <c r="G130" i="7" s="1"/>
  <c r="G142" i="7" a="1"/>
  <c r="G142" i="7" s="1"/>
  <c r="B82" i="7" a="1"/>
  <c r="B82" i="7" s="1"/>
  <c r="B94" i="7" a="1"/>
  <c r="B94" i="7" s="1"/>
  <c r="B106" i="7" a="1"/>
  <c r="B106" i="7" s="1"/>
  <c r="B118" i="7" a="1"/>
  <c r="B118" i="7" s="1"/>
  <c r="B130" i="7" a="1"/>
  <c r="B130" i="7" s="1"/>
  <c r="B142" i="7" a="1"/>
  <c r="B142" i="7" s="1"/>
  <c r="V83" i="7" a="1"/>
  <c r="V83" i="7" s="1"/>
  <c r="V95" i="7" a="1"/>
  <c r="V95" i="7" s="1"/>
  <c r="V107" i="7" a="1"/>
  <c r="V107" i="7" s="1"/>
  <c r="V119" i="7" a="1"/>
  <c r="V119" i="7" s="1"/>
  <c r="V131" i="7" a="1"/>
  <c r="V131" i="7" s="1"/>
  <c r="V143" i="7" a="1"/>
  <c r="V143" i="7" s="1"/>
  <c r="Q83" i="7" a="1"/>
  <c r="Q83" i="7" s="1"/>
  <c r="Q95" i="7" a="1"/>
  <c r="Q95" i="7" s="1"/>
  <c r="Q107" i="7" a="1"/>
  <c r="Q107" i="7" s="1"/>
  <c r="Q119" i="7" a="1"/>
  <c r="Q119" i="7" s="1"/>
  <c r="Q131" i="7" a="1"/>
  <c r="Q131" i="7" s="1"/>
  <c r="Q143" i="7" a="1"/>
  <c r="Q143" i="7" s="1"/>
  <c r="L83" i="7" a="1"/>
  <c r="L83" i="7" s="1"/>
  <c r="L95" i="7" a="1"/>
  <c r="L95" i="7" s="1"/>
  <c r="L107" i="7" a="1"/>
  <c r="L107" i="7" s="1"/>
  <c r="L119" i="7" a="1"/>
  <c r="L119" i="7" s="1"/>
  <c r="L131" i="7" a="1"/>
  <c r="L131" i="7" s="1"/>
  <c r="L143" i="7" a="1"/>
  <c r="L143" i="7" s="1"/>
  <c r="G83" i="7" a="1"/>
  <c r="G83" i="7" s="1"/>
  <c r="G95" i="7" a="1"/>
  <c r="G95" i="7" s="1"/>
  <c r="G107" i="7" a="1"/>
  <c r="G107" i="7" s="1"/>
  <c r="G119" i="7" a="1"/>
  <c r="G119" i="7" s="1"/>
  <c r="G131" i="7" a="1"/>
  <c r="G131" i="7" s="1"/>
  <c r="G143" i="7" a="1"/>
  <c r="G143" i="7" s="1"/>
  <c r="B83" i="7" a="1"/>
  <c r="B83" i="7" s="1"/>
  <c r="B95" i="7" a="1"/>
  <c r="B95" i="7" s="1"/>
  <c r="B107" i="7" a="1"/>
  <c r="B107" i="7" s="1"/>
  <c r="B119" i="7" a="1"/>
  <c r="B119" i="7" s="1"/>
  <c r="B131" i="7" a="1"/>
  <c r="B131" i="7" s="1"/>
  <c r="B143" i="7" a="1"/>
  <c r="B143" i="7" s="1"/>
  <c r="I5" i="7" a="1"/>
  <c r="I5" i="7" s="1"/>
  <c r="Q5" i="7" a="1"/>
  <c r="Q5" i="7" s="1"/>
  <c r="B6" i="7" a="1"/>
  <c r="B6" i="7" s="1"/>
  <c r="L6" i="7" a="1"/>
  <c r="L6" i="7" s="1"/>
  <c r="Q7" i="7" a="1"/>
  <c r="Q7" i="7" s="1"/>
  <c r="Z7" i="7" a="1"/>
  <c r="Z7" i="7" s="1"/>
  <c r="J8" i="7" a="1"/>
  <c r="J8" i="7" s="1"/>
  <c r="T8" i="7" a="1"/>
  <c r="T8" i="7" s="1"/>
  <c r="C9" i="7" a="1"/>
  <c r="C9" i="7" s="1"/>
  <c r="L9" i="7" a="1"/>
  <c r="L9" i="7" s="1"/>
  <c r="T9" i="7" a="1"/>
  <c r="T9" i="7" s="1"/>
  <c r="L10" i="7" a="1"/>
  <c r="L10" i="7" s="1"/>
  <c r="V10" i="7" a="1"/>
  <c r="V10" i="7" s="1"/>
  <c r="N11" i="7" a="1"/>
  <c r="N11" i="7" s="1"/>
  <c r="W11" i="7" a="1"/>
  <c r="W11" i="7" s="1"/>
  <c r="O12" i="7" a="1"/>
  <c r="O12" i="7" s="1"/>
  <c r="Y12" i="7" a="1"/>
  <c r="Y12" i="7" s="1"/>
  <c r="H13" i="7" a="1"/>
  <c r="H13" i="7" s="1"/>
  <c r="R13" i="7" a="1"/>
  <c r="R13" i="7" s="1"/>
  <c r="B14" i="7" a="1"/>
  <c r="B14" i="7" s="1"/>
  <c r="J14" i="7" a="1"/>
  <c r="J14" i="7" s="1"/>
  <c r="S14" i="7" a="1"/>
  <c r="S14" i="7" s="1"/>
  <c r="C15" i="7" a="1"/>
  <c r="C15" i="7" s="1"/>
  <c r="N16" i="7" a="1"/>
  <c r="N16" i="7" s="1"/>
  <c r="W16" i="7" a="1"/>
  <c r="W16" i="7" s="1"/>
  <c r="N17" i="7" a="1"/>
  <c r="N17" i="7" s="1"/>
  <c r="G18" i="7" a="1"/>
  <c r="G18" i="7" s="1"/>
  <c r="Q18" i="7" a="1"/>
  <c r="Q18" i="7" s="1"/>
  <c r="Z18" i="7" a="1"/>
  <c r="Z18" i="7" s="1"/>
  <c r="J19" i="7" a="1"/>
  <c r="J19" i="7" s="1"/>
  <c r="T19" i="7" a="1"/>
  <c r="T19" i="7" s="1"/>
  <c r="K20" i="7" a="1"/>
  <c r="K20" i="7" s="1"/>
  <c r="D21" i="7" a="1"/>
  <c r="D21" i="7" s="1"/>
  <c r="N21" i="7" a="1"/>
  <c r="N21" i="7" s="1"/>
  <c r="V21" i="7" a="1"/>
  <c r="V21" i="7" s="1"/>
  <c r="V84" i="7" a="1"/>
  <c r="V84" i="7" s="1"/>
  <c r="V96" i="7" a="1"/>
  <c r="V96" i="7" s="1"/>
  <c r="V108" i="7" a="1"/>
  <c r="V108" i="7" s="1"/>
  <c r="V120" i="7" a="1"/>
  <c r="V120" i="7" s="1"/>
  <c r="V132" i="7" a="1"/>
  <c r="V132" i="7" s="1"/>
  <c r="V144" i="7" a="1"/>
  <c r="V144" i="7" s="1"/>
  <c r="Q84" i="7" a="1"/>
  <c r="Q84" i="7" s="1"/>
  <c r="Q96" i="7" a="1"/>
  <c r="Q96" i="7" s="1"/>
  <c r="Q108" i="7" a="1"/>
  <c r="Q108" i="7" s="1"/>
  <c r="Q120" i="7" a="1"/>
  <c r="Q120" i="7" s="1"/>
  <c r="Q132" i="7" a="1"/>
  <c r="Q132" i="7" s="1"/>
  <c r="Q144" i="7" a="1"/>
  <c r="Q144" i="7" s="1"/>
  <c r="L84" i="7" a="1"/>
  <c r="L84" i="7" s="1"/>
  <c r="L96" i="7" a="1"/>
  <c r="L96" i="7" s="1"/>
  <c r="L108" i="7" a="1"/>
  <c r="L108" i="7" s="1"/>
  <c r="L120" i="7" a="1"/>
  <c r="L120" i="7" s="1"/>
  <c r="L132" i="7" a="1"/>
  <c r="L132" i="7" s="1"/>
  <c r="L144" i="7" a="1"/>
  <c r="L144" i="7" s="1"/>
  <c r="G84" i="7" a="1"/>
  <c r="G84" i="7" s="1"/>
  <c r="G96" i="7" a="1"/>
  <c r="G96" i="7" s="1"/>
  <c r="G108" i="7" a="1"/>
  <c r="G108" i="7" s="1"/>
  <c r="G120" i="7" a="1"/>
  <c r="G120" i="7" s="1"/>
  <c r="G132" i="7" a="1"/>
  <c r="G132" i="7" s="1"/>
  <c r="G144" i="7" a="1"/>
  <c r="G144" i="7" s="1"/>
  <c r="B84" i="7" a="1"/>
  <c r="B84" i="7" s="1"/>
  <c r="B96" i="7" a="1"/>
  <c r="B96" i="7" s="1"/>
  <c r="B108" i="7" a="1"/>
  <c r="B108" i="7" s="1"/>
  <c r="B120" i="7" a="1"/>
  <c r="B120" i="7" s="1"/>
  <c r="B132" i="7" a="1"/>
  <c r="B132" i="7" s="1"/>
  <c r="B144" i="7" a="1"/>
  <c r="B144" i="7" s="1"/>
  <c r="J5" i="7" a="1"/>
  <c r="J5" i="7" s="1"/>
  <c r="R5" i="7" a="1"/>
  <c r="R5" i="7" s="1"/>
  <c r="C6" i="7" a="1"/>
  <c r="C6" i="7" s="1"/>
  <c r="V85" i="7" a="1"/>
  <c r="V85" i="7" s="1"/>
  <c r="V97" i="7" a="1"/>
  <c r="V97" i="7" s="1"/>
  <c r="V109" i="7" a="1"/>
  <c r="V109" i="7" s="1"/>
  <c r="V121" i="7" a="1"/>
  <c r="V121" i="7" s="1"/>
  <c r="V133" i="7" a="1"/>
  <c r="V133" i="7" s="1"/>
  <c r="V145" i="7" a="1"/>
  <c r="V145" i="7" s="1"/>
  <c r="Q85" i="7" a="1"/>
  <c r="Q85" i="7" s="1"/>
  <c r="Q97" i="7" a="1"/>
  <c r="Q97" i="7" s="1"/>
  <c r="Q109" i="7" a="1"/>
  <c r="Q109" i="7" s="1"/>
  <c r="Q121" i="7" a="1"/>
  <c r="Q121" i="7" s="1"/>
  <c r="Q133" i="7" a="1"/>
  <c r="Q133" i="7" s="1"/>
  <c r="Q145" i="7" a="1"/>
  <c r="Q145" i="7" s="1"/>
  <c r="L85" i="7" a="1"/>
  <c r="L85" i="7" s="1"/>
  <c r="L97" i="7" a="1"/>
  <c r="L97" i="7" s="1"/>
  <c r="L109" i="7" a="1"/>
  <c r="L109" i="7" s="1"/>
  <c r="L121" i="7" a="1"/>
  <c r="L121" i="7" s="1"/>
  <c r="L133" i="7" a="1"/>
  <c r="L133" i="7" s="1"/>
  <c r="L145" i="7" a="1"/>
  <c r="L145" i="7" s="1"/>
  <c r="G85" i="7" a="1"/>
  <c r="G85" i="7" s="1"/>
  <c r="G97" i="7" a="1"/>
  <c r="G97" i="7" s="1"/>
  <c r="G109" i="7" a="1"/>
  <c r="G109" i="7" s="1"/>
  <c r="G121" i="7" a="1"/>
  <c r="G121" i="7" s="1"/>
  <c r="G133" i="7" a="1"/>
  <c r="G133" i="7" s="1"/>
  <c r="G145" i="7" a="1"/>
  <c r="G145" i="7" s="1"/>
  <c r="B85" i="7" a="1"/>
  <c r="B85" i="7" s="1"/>
  <c r="B97" i="7" a="1"/>
  <c r="B97" i="7" s="1"/>
  <c r="B109" i="7" a="1"/>
  <c r="B109" i="7" s="1"/>
  <c r="B121" i="7" a="1"/>
  <c r="B121" i="7" s="1"/>
  <c r="V86" i="7" a="1"/>
  <c r="V86" i="7" s="1"/>
  <c r="V98" i="7" a="1"/>
  <c r="V98" i="7" s="1"/>
  <c r="V110" i="7" a="1"/>
  <c r="V110" i="7" s="1"/>
  <c r="V122" i="7" a="1"/>
  <c r="V122" i="7" s="1"/>
  <c r="V134" i="7" a="1"/>
  <c r="V134" i="7" s="1"/>
  <c r="V146" i="7" a="1"/>
  <c r="V146" i="7" s="1"/>
  <c r="Q86" i="7" a="1"/>
  <c r="Q86" i="7" s="1"/>
  <c r="Q98" i="7" a="1"/>
  <c r="Q98" i="7" s="1"/>
  <c r="Q110" i="7" a="1"/>
  <c r="Q110" i="7" s="1"/>
  <c r="Q122" i="7" a="1"/>
  <c r="Q122" i="7" s="1"/>
  <c r="Q134" i="7" a="1"/>
  <c r="Q134" i="7" s="1"/>
  <c r="Q146" i="7" a="1"/>
  <c r="Q146" i="7" s="1"/>
  <c r="L86" i="7" a="1"/>
  <c r="L86" i="7" s="1"/>
  <c r="L98" i="7" a="1"/>
  <c r="L98" i="7" s="1"/>
  <c r="L110" i="7" a="1"/>
  <c r="L110" i="7" s="1"/>
  <c r="L122" i="7" a="1"/>
  <c r="L122" i="7" s="1"/>
  <c r="L134" i="7" a="1"/>
  <c r="L134" i="7" s="1"/>
  <c r="L146" i="7" a="1"/>
  <c r="L146" i="7" s="1"/>
  <c r="G86" i="7" a="1"/>
  <c r="G86" i="7" s="1"/>
  <c r="G98" i="7" a="1"/>
  <c r="G98" i="7" s="1"/>
  <c r="G110" i="7" a="1"/>
  <c r="G110" i="7" s="1"/>
  <c r="G122" i="7" a="1"/>
  <c r="G122" i="7" s="1"/>
  <c r="G134" i="7" a="1"/>
  <c r="G134" i="7" s="1"/>
  <c r="G146" i="7" a="1"/>
  <c r="G146" i="7" s="1"/>
  <c r="B86" i="7" a="1"/>
  <c r="B86" i="7" s="1"/>
  <c r="B98" i="7" a="1"/>
  <c r="B98" i="7" s="1"/>
  <c r="B110" i="7" a="1"/>
  <c r="B110" i="7" s="1"/>
  <c r="B122" i="7" a="1"/>
  <c r="B122" i="7" s="1"/>
  <c r="B134" i="7" a="1"/>
  <c r="B134" i="7" s="1"/>
  <c r="V87" i="7" a="1"/>
  <c r="V87" i="7" s="1"/>
  <c r="V99" i="7" a="1"/>
  <c r="V99" i="7" s="1"/>
  <c r="V111" i="7" a="1"/>
  <c r="V111" i="7" s="1"/>
  <c r="V123" i="7" a="1"/>
  <c r="V123" i="7" s="1"/>
  <c r="V135" i="7" a="1"/>
  <c r="V135" i="7" s="1"/>
  <c r="V147" i="7" a="1"/>
  <c r="V147" i="7" s="1"/>
  <c r="Q87" i="7" a="1"/>
  <c r="Q87" i="7" s="1"/>
  <c r="Q99" i="7" a="1"/>
  <c r="Q99" i="7" s="1"/>
  <c r="Q111" i="7" a="1"/>
  <c r="Q111" i="7" s="1"/>
  <c r="Q123" i="7" a="1"/>
  <c r="Q123" i="7" s="1"/>
  <c r="Q135" i="7" a="1"/>
  <c r="Q135" i="7" s="1"/>
  <c r="Q147" i="7" a="1"/>
  <c r="Q147" i="7" s="1"/>
  <c r="L87" i="7" a="1"/>
  <c r="L87" i="7" s="1"/>
  <c r="L99" i="7" a="1"/>
  <c r="L99" i="7" s="1"/>
  <c r="L111" i="7" a="1"/>
  <c r="L111" i="7" s="1"/>
  <c r="L123" i="7" a="1"/>
  <c r="L123" i="7" s="1"/>
  <c r="L135" i="7" a="1"/>
  <c r="L135" i="7" s="1"/>
  <c r="L147" i="7" a="1"/>
  <c r="L147" i="7" s="1"/>
  <c r="G87" i="7" a="1"/>
  <c r="G87" i="7" s="1"/>
  <c r="G99" i="7" a="1"/>
  <c r="G99" i="7" s="1"/>
  <c r="G111" i="7" a="1"/>
  <c r="G111" i="7" s="1"/>
  <c r="G123" i="7" a="1"/>
  <c r="G123" i="7" s="1"/>
  <c r="G135" i="7" a="1"/>
  <c r="G135" i="7" s="1"/>
  <c r="G147" i="7" a="1"/>
  <c r="G147" i="7" s="1"/>
  <c r="B87" i="7" a="1"/>
  <c r="B87" i="7" s="1"/>
  <c r="B99" i="7" a="1"/>
  <c r="B99" i="7" s="1"/>
  <c r="B111" i="7" a="1"/>
  <c r="B111" i="7" s="1"/>
  <c r="B123" i="7" a="1"/>
  <c r="B123" i="7" s="1"/>
  <c r="V88" i="7" a="1"/>
  <c r="V88" i="7" s="1"/>
  <c r="V100" i="7" a="1"/>
  <c r="V100" i="7" s="1"/>
  <c r="V112" i="7" a="1"/>
  <c r="V112" i="7" s="1"/>
  <c r="V124" i="7" a="1"/>
  <c r="V124" i="7" s="1"/>
  <c r="V136" i="7" a="1"/>
  <c r="V136" i="7" s="1"/>
  <c r="V148" i="7" a="1"/>
  <c r="V148" i="7" s="1"/>
  <c r="Q88" i="7" a="1"/>
  <c r="Q88" i="7" s="1"/>
  <c r="Q100" i="7" a="1"/>
  <c r="Q100" i="7" s="1"/>
  <c r="Q112" i="7" a="1"/>
  <c r="Q112" i="7" s="1"/>
  <c r="Q124" i="7" a="1"/>
  <c r="Q124" i="7" s="1"/>
  <c r="Q136" i="7" a="1"/>
  <c r="Q136" i="7" s="1"/>
  <c r="Q148" i="7" a="1"/>
  <c r="Q148" i="7" s="1"/>
  <c r="L88" i="7" a="1"/>
  <c r="L88" i="7" s="1"/>
  <c r="L100" i="7" a="1"/>
  <c r="L100" i="7" s="1"/>
  <c r="L112" i="7" a="1"/>
  <c r="L112" i="7" s="1"/>
  <c r="L124" i="7" a="1"/>
  <c r="L124" i="7" s="1"/>
  <c r="L136" i="7" a="1"/>
  <c r="L136" i="7" s="1"/>
  <c r="L148" i="7" a="1"/>
  <c r="L148" i="7" s="1"/>
  <c r="G88" i="7" a="1"/>
  <c r="G88" i="7" s="1"/>
  <c r="G100" i="7" a="1"/>
  <c r="G100" i="7" s="1"/>
  <c r="G112" i="7" a="1"/>
  <c r="G112" i="7" s="1"/>
  <c r="G124" i="7" a="1"/>
  <c r="G124" i="7" s="1"/>
  <c r="G136" i="7" a="1"/>
  <c r="G136" i="7" s="1"/>
  <c r="G148" i="7" a="1"/>
  <c r="G148" i="7" s="1"/>
  <c r="B88" i="7" a="1"/>
  <c r="B88" i="7" s="1"/>
  <c r="B100" i="7" a="1"/>
  <c r="B100" i="7" s="1"/>
  <c r="B112" i="7" a="1"/>
  <c r="B112" i="7" s="1"/>
  <c r="B124" i="7" a="1"/>
  <c r="B124" i="7" s="1"/>
  <c r="V89" i="7" a="1"/>
  <c r="V89" i="7" s="1"/>
  <c r="V101" i="7" a="1"/>
  <c r="V101" i="7" s="1"/>
  <c r="V113" i="7" a="1"/>
  <c r="V113" i="7" s="1"/>
  <c r="V125" i="7" a="1"/>
  <c r="V125" i="7" s="1"/>
  <c r="V137" i="7" a="1"/>
  <c r="V137" i="7" s="1"/>
  <c r="V149" i="7" a="1"/>
  <c r="V149" i="7" s="1"/>
  <c r="Q89" i="7" a="1"/>
  <c r="Q89" i="7" s="1"/>
  <c r="Q101" i="7" a="1"/>
  <c r="Q101" i="7" s="1"/>
  <c r="Q113" i="7" a="1"/>
  <c r="Q113" i="7" s="1"/>
  <c r="Q125" i="7" a="1"/>
  <c r="Q125" i="7" s="1"/>
  <c r="Q137" i="7" a="1"/>
  <c r="Q137" i="7" s="1"/>
  <c r="Q149" i="7" a="1"/>
  <c r="Q149" i="7" s="1"/>
  <c r="L89" i="7" a="1"/>
  <c r="L89" i="7" s="1"/>
  <c r="L101" i="7" a="1"/>
  <c r="L101" i="7" s="1"/>
  <c r="L113" i="7" a="1"/>
  <c r="L113" i="7" s="1"/>
  <c r="L125" i="7" a="1"/>
  <c r="L125" i="7" s="1"/>
  <c r="L137" i="7" a="1"/>
  <c r="L137" i="7" s="1"/>
  <c r="L149" i="7" a="1"/>
  <c r="L149" i="7" s="1"/>
  <c r="G89" i="7" a="1"/>
  <c r="G89" i="7" s="1"/>
  <c r="G101" i="7" a="1"/>
  <c r="G101" i="7" s="1"/>
  <c r="G113" i="7" a="1"/>
  <c r="G113" i="7" s="1"/>
  <c r="G125" i="7" a="1"/>
  <c r="G125" i="7" s="1"/>
  <c r="G137" i="7" a="1"/>
  <c r="G137" i="7" s="1"/>
  <c r="G149" i="7" a="1"/>
  <c r="G149" i="7" s="1"/>
  <c r="B89" i="7" a="1"/>
  <c r="B89" i="7" s="1"/>
  <c r="B101" i="7" a="1"/>
  <c r="B101" i="7" s="1"/>
  <c r="B113" i="7" a="1"/>
  <c r="B113" i="7" s="1"/>
  <c r="B125" i="7" a="1"/>
  <c r="B125" i="7" s="1"/>
  <c r="B137" i="7" a="1"/>
  <c r="B137" i="7" s="1"/>
  <c r="B150" i="7" a="1"/>
  <c r="B150" i="7" s="1"/>
  <c r="K5" i="7" a="1"/>
  <c r="K5" i="7" s="1"/>
  <c r="V5" i="7" a="1"/>
  <c r="V5" i="7" s="1"/>
  <c r="U6" i="7" a="1"/>
  <c r="U6" i="7" s="1"/>
  <c r="Q8" i="7" a="1"/>
  <c r="Q8" i="7" s="1"/>
  <c r="N9" i="7" a="1"/>
  <c r="N9" i="7" s="1"/>
  <c r="W9" i="7" a="1"/>
  <c r="W9" i="7" s="1"/>
  <c r="H10" i="7" a="1"/>
  <c r="H10" i="7" s="1"/>
  <c r="E11" i="7" a="1"/>
  <c r="E11" i="7" s="1"/>
  <c r="P11" i="7" a="1"/>
  <c r="P11" i="7" s="1"/>
  <c r="Y11" i="7" a="1"/>
  <c r="Y11" i="7" s="1"/>
  <c r="V12" i="7" a="1"/>
  <c r="V12" i="7" s="1"/>
  <c r="F13" i="7" a="1"/>
  <c r="F13" i="7" s="1"/>
  <c r="P13" i="7" a="1"/>
  <c r="P13" i="7" s="1"/>
  <c r="Z13" i="7" a="1"/>
  <c r="Z13" i="7" s="1"/>
  <c r="K14" i="7" a="1"/>
  <c r="K14" i="7" s="1"/>
  <c r="E15" i="7" a="1"/>
  <c r="E15" i="7" s="1"/>
  <c r="J16" i="7" a="1"/>
  <c r="J16" i="7" s="1"/>
  <c r="S16" i="7" a="1"/>
  <c r="S16" i="7" s="1"/>
  <c r="C17" i="7" a="1"/>
  <c r="C17" i="7" s="1"/>
  <c r="V17" i="7" a="1"/>
  <c r="V17" i="7" s="1"/>
  <c r="R18" i="7" a="1"/>
  <c r="R18" i="7" s="1"/>
  <c r="B19" i="7" a="1"/>
  <c r="B19" i="7" s="1"/>
  <c r="M19" i="7" a="1"/>
  <c r="M19" i="7" s="1"/>
  <c r="G20" i="7" a="1"/>
  <c r="G20" i="7" s="1"/>
  <c r="Z20" i="7" a="1"/>
  <c r="Z20" i="7" s="1"/>
  <c r="J21" i="7" a="1"/>
  <c r="J21" i="7" s="1"/>
  <c r="T21" i="7" a="1"/>
  <c r="T21" i="7" s="1"/>
  <c r="N22" i="7" a="1"/>
  <c r="N22" i="7" s="1"/>
  <c r="V22" i="7" a="1"/>
  <c r="V22" i="7" s="1"/>
  <c r="F23" i="7" a="1"/>
  <c r="F23" i="7" s="1"/>
  <c r="O23" i="7" a="1"/>
  <c r="O23" i="7" s="1"/>
  <c r="Y23" i="7" a="1"/>
  <c r="Y23" i="7" s="1"/>
  <c r="H24" i="7" a="1"/>
  <c r="H24" i="7" s="1"/>
  <c r="S24" i="7" a="1"/>
  <c r="S24" i="7" s="1"/>
  <c r="C25" i="7" a="1"/>
  <c r="C25" i="7" s="1"/>
  <c r="S25" i="7" a="1"/>
  <c r="S25" i="7" s="1"/>
  <c r="B26" i="7" a="1"/>
  <c r="B26" i="7" s="1"/>
  <c r="K26" i="7" a="1"/>
  <c r="K26" i="7" s="1"/>
  <c r="S26" i="7" a="1"/>
  <c r="S26" i="7" s="1"/>
  <c r="L27" i="7" a="1"/>
  <c r="L27" i="7" s="1"/>
  <c r="S27" i="7" a="1"/>
  <c r="S27" i="7" s="1"/>
  <c r="K28" i="7" a="1"/>
  <c r="K28" i="7" s="1"/>
  <c r="T28" i="7" a="1"/>
  <c r="T28" i="7" s="1"/>
  <c r="L29" i="7" a="1"/>
  <c r="L29" i="7" s="1"/>
  <c r="U29" i="7" a="1"/>
  <c r="U29" i="7" s="1"/>
  <c r="C30" i="7" a="1"/>
  <c r="C30" i="7" s="1"/>
  <c r="U30" i="7" a="1"/>
  <c r="U30" i="7" s="1"/>
  <c r="D31" i="7" a="1"/>
  <c r="D31" i="7" s="1"/>
  <c r="M31" i="7" a="1"/>
  <c r="M31" i="7" s="1"/>
  <c r="U31" i="7" a="1"/>
  <c r="U31" i="7" s="1"/>
  <c r="E32" i="7" a="1"/>
  <c r="E32" i="7" s="1"/>
  <c r="G33" i="7" a="1"/>
  <c r="G33" i="7" s="1"/>
  <c r="O33" i="7" a="1"/>
  <c r="O33" i="7" s="1"/>
  <c r="X33" i="7" a="1"/>
  <c r="X33" i="7" s="1"/>
  <c r="H34" i="7" a="1"/>
  <c r="H34" i="7" s="1"/>
  <c r="X34" i="7" a="1"/>
  <c r="X34" i="7" s="1"/>
  <c r="X35" i="7" a="1"/>
  <c r="X35" i="7" s="1"/>
  <c r="B151" i="7" a="1"/>
  <c r="B151" i="7" s="1"/>
  <c r="W5" i="7" a="1"/>
  <c r="W5" i="7" s="1"/>
  <c r="I6" i="7" a="1"/>
  <c r="I6" i="7" s="1"/>
  <c r="V6" i="7" a="1"/>
  <c r="V6" i="7" s="1"/>
  <c r="I7" i="7" a="1"/>
  <c r="I7" i="7" s="1"/>
  <c r="U7" i="7" a="1"/>
  <c r="U7" i="7" s="1"/>
  <c r="G8" i="7" a="1"/>
  <c r="G8" i="7" s="1"/>
  <c r="R8" i="7" a="1"/>
  <c r="R8" i="7" s="1"/>
  <c r="D9" i="7" a="1"/>
  <c r="D9" i="7" s="1"/>
  <c r="X9" i="7" a="1"/>
  <c r="X9" i="7" s="1"/>
  <c r="S10" i="7" a="1"/>
  <c r="S10" i="7" s="1"/>
  <c r="F11" i="7" a="1"/>
  <c r="F11" i="7" s="1"/>
  <c r="Z11" i="7" a="1"/>
  <c r="Z11" i="7" s="1"/>
  <c r="L12" i="7" a="1"/>
  <c r="L12" i="7" s="1"/>
  <c r="W12" i="7" a="1"/>
  <c r="W12" i="7" s="1"/>
  <c r="G13" i="7" a="1"/>
  <c r="G13" i="7" s="1"/>
  <c r="Q13" i="7" a="1"/>
  <c r="Q13" i="7" s="1"/>
  <c r="L14" i="7" a="1"/>
  <c r="L14" i="7" s="1"/>
  <c r="U14" i="7" a="1"/>
  <c r="U14" i="7" s="1"/>
  <c r="F15" i="7" a="1"/>
  <c r="F15" i="7" s="1"/>
  <c r="O15" i="7" a="1"/>
  <c r="O15" i="7" s="1"/>
  <c r="Y15" i="7" a="1"/>
  <c r="Y15" i="7" s="1"/>
  <c r="K16" i="7" a="1"/>
  <c r="K16" i="7" s="1"/>
  <c r="T16" i="7" a="1"/>
  <c r="T16" i="7" s="1"/>
  <c r="D17" i="7" a="1"/>
  <c r="D17" i="7" s="1"/>
  <c r="M17" i="7" a="1"/>
  <c r="M17" i="7" s="1"/>
  <c r="W17" i="7" a="1"/>
  <c r="W17" i="7" s="1"/>
  <c r="H18" i="7" a="1"/>
  <c r="H18" i="7" s="1"/>
  <c r="S18" i="7" a="1"/>
  <c r="S18" i="7" s="1"/>
  <c r="C19" i="7" a="1"/>
  <c r="C19" i="7" s="1"/>
  <c r="N19" i="7" a="1"/>
  <c r="N19" i="7" s="1"/>
  <c r="W19" i="7" a="1"/>
  <c r="W19" i="7" s="1"/>
  <c r="P20" i="7" a="1"/>
  <c r="P20" i="7" s="1"/>
  <c r="B21" i="7" a="1"/>
  <c r="B21" i="7" s="1"/>
  <c r="K21" i="7" a="1"/>
  <c r="K21" i="7" s="1"/>
  <c r="U21" i="7" a="1"/>
  <c r="U21" i="7" s="1"/>
  <c r="F22" i="7" a="1"/>
  <c r="F22" i="7" s="1"/>
  <c r="W22" i="7" a="1"/>
  <c r="W22" i="7" s="1"/>
  <c r="I24" i="7" a="1"/>
  <c r="I24" i="7" s="1"/>
  <c r="T24" i="7" a="1"/>
  <c r="T24" i="7" s="1"/>
  <c r="K25" i="7" a="1"/>
  <c r="K25" i="7" s="1"/>
  <c r="C26" i="7" a="1"/>
  <c r="C26" i="7" s="1"/>
  <c r="C27" i="7" a="1"/>
  <c r="C27" i="7" s="1"/>
  <c r="T27" i="7" a="1"/>
  <c r="T27" i="7" s="1"/>
  <c r="D28" i="7" a="1"/>
  <c r="D28" i="7" s="1"/>
  <c r="L28" i="7" a="1"/>
  <c r="L28" i="7" s="1"/>
  <c r="D29" i="7" a="1"/>
  <c r="D29" i="7" s="1"/>
  <c r="D30" i="7" a="1"/>
  <c r="D30" i="7" s="1"/>
  <c r="M30" i="7" a="1"/>
  <c r="M30" i="7" s="1"/>
  <c r="V30" i="7" a="1"/>
  <c r="V30" i="7" s="1"/>
  <c r="V31" i="7" a="1"/>
  <c r="V31" i="7" s="1"/>
  <c r="N32" i="7" a="1"/>
  <c r="N32" i="7" s="1"/>
  <c r="W32" i="7" a="1"/>
  <c r="W32" i="7" s="1"/>
  <c r="H33" i="7" a="1"/>
  <c r="H33" i="7" s="1"/>
  <c r="P33" i="7" a="1"/>
  <c r="P33" i="7" s="1"/>
  <c r="I34" i="7" a="1"/>
  <c r="I34" i="7" s="1"/>
  <c r="P34" i="7" a="1"/>
  <c r="P34" i="7" s="1"/>
  <c r="Y34" i="7" a="1"/>
  <c r="Y34" i="7" s="1"/>
  <c r="H35" i="7" a="1"/>
  <c r="H35" i="7" s="1"/>
  <c r="Q35" i="7" a="1"/>
  <c r="Q35" i="7" s="1"/>
  <c r="Y35" i="7" a="1"/>
  <c r="Y35" i="7" s="1"/>
  <c r="B133" i="7" a="1"/>
  <c r="B133" i="7" s="1"/>
  <c r="L5" i="7" a="1"/>
  <c r="L5" i="7" s="1"/>
  <c r="X5" i="7" a="1"/>
  <c r="X5" i="7" s="1"/>
  <c r="K6" i="7" a="1"/>
  <c r="K6" i="7" s="1"/>
  <c r="W6" i="7" a="1"/>
  <c r="W6" i="7" s="1"/>
  <c r="H8" i="7" a="1"/>
  <c r="H8" i="7" s="1"/>
  <c r="E9" i="7" a="1"/>
  <c r="E9" i="7" s="1"/>
  <c r="O9" i="7" a="1"/>
  <c r="O9" i="7" s="1"/>
  <c r="Y9" i="7" a="1"/>
  <c r="Y9" i="7" s="1"/>
  <c r="I10" i="7" a="1"/>
  <c r="I10" i="7" s="1"/>
  <c r="U10" i="7" a="1"/>
  <c r="U10" i="7" s="1"/>
  <c r="Q11" i="7" a="1"/>
  <c r="Q11" i="7" s="1"/>
  <c r="B12" i="7" a="1"/>
  <c r="B12" i="7" s="1"/>
  <c r="X12" i="7" a="1"/>
  <c r="X12" i="7" s="1"/>
  <c r="S13" i="7" a="1"/>
  <c r="S13" i="7" s="1"/>
  <c r="C14" i="7" a="1"/>
  <c r="C14" i="7" s="1"/>
  <c r="M14" i="7" a="1"/>
  <c r="M14" i="7" s="1"/>
  <c r="G15" i="7" a="1"/>
  <c r="G15" i="7" s="1"/>
  <c r="P15" i="7" a="1"/>
  <c r="P15" i="7" s="1"/>
  <c r="Z15" i="7" a="1"/>
  <c r="Z15" i="7" s="1"/>
  <c r="U16" i="7" a="1"/>
  <c r="U16" i="7" s="1"/>
  <c r="X17" i="7" a="1"/>
  <c r="X17" i="7" s="1"/>
  <c r="T18" i="7" a="1"/>
  <c r="T18" i="7" s="1"/>
  <c r="D19" i="7" a="1"/>
  <c r="D19" i="7" s="1"/>
  <c r="H20" i="7" a="1"/>
  <c r="H20" i="7" s="1"/>
  <c r="Q20" i="7" a="1"/>
  <c r="Q20" i="7" s="1"/>
  <c r="L21" i="7" a="1"/>
  <c r="L21" i="7" s="1"/>
  <c r="G22" i="7" a="1"/>
  <c r="G22" i="7" s="1"/>
  <c r="O22" i="7" a="1"/>
  <c r="O22" i="7" s="1"/>
  <c r="G23" i="7" a="1"/>
  <c r="G23" i="7" s="1"/>
  <c r="P23" i="7" a="1"/>
  <c r="P23" i="7" s="1"/>
  <c r="Z23" i="7" a="1"/>
  <c r="Z23" i="7" s="1"/>
  <c r="J24" i="7" a="1"/>
  <c r="J24" i="7" s="1"/>
  <c r="D25" i="7" a="1"/>
  <c r="D25" i="7" s="1"/>
  <c r="T25" i="7" a="1"/>
  <c r="T25" i="7" s="1"/>
  <c r="L26" i="7" a="1"/>
  <c r="L26" i="7" s="1"/>
  <c r="T26" i="7" a="1"/>
  <c r="T26" i="7" s="1"/>
  <c r="M27" i="7" a="1"/>
  <c r="M27" i="7" s="1"/>
  <c r="M28" i="7" a="1"/>
  <c r="M28" i="7" s="1"/>
  <c r="U28" i="7" a="1"/>
  <c r="U28" i="7" s="1"/>
  <c r="M29" i="7" a="1"/>
  <c r="M29" i="7" s="1"/>
  <c r="V29" i="7" a="1"/>
  <c r="V29" i="7" s="1"/>
  <c r="E30" i="7" a="1"/>
  <c r="E30" i="7" s="1"/>
  <c r="W30" i="7" a="1"/>
  <c r="W30" i="7" s="1"/>
  <c r="B135" i="7" a="1"/>
  <c r="B135" i="7" s="1"/>
  <c r="X6" i="7" a="1"/>
  <c r="X6" i="7" s="1"/>
  <c r="J7" i="7" a="1"/>
  <c r="J7" i="7" s="1"/>
  <c r="V7" i="7" a="1"/>
  <c r="V7" i="7" s="1"/>
  <c r="U8" i="7" a="1"/>
  <c r="U8" i="7" s="1"/>
  <c r="Z9" i="7" a="1"/>
  <c r="Z9" i="7" s="1"/>
  <c r="J10" i="7" a="1"/>
  <c r="J10" i="7" s="1"/>
  <c r="G11" i="7" a="1"/>
  <c r="G11" i="7" s="1"/>
  <c r="R11" i="7" a="1"/>
  <c r="R11" i="7" s="1"/>
  <c r="C12" i="7" a="1"/>
  <c r="C12" i="7" s="1"/>
  <c r="M12" i="7" a="1"/>
  <c r="M12" i="7" s="1"/>
  <c r="I13" i="7" a="1"/>
  <c r="I13" i="7" s="1"/>
  <c r="V14" i="7" a="1"/>
  <c r="V14" i="7" s="1"/>
  <c r="H15" i="7" a="1"/>
  <c r="H15" i="7" s="1"/>
  <c r="Q15" i="7" a="1"/>
  <c r="Q15" i="7" s="1"/>
  <c r="B16" i="7" a="1"/>
  <c r="B16" i="7" s="1"/>
  <c r="L16" i="7" a="1"/>
  <c r="L16" i="7" s="1"/>
  <c r="V16" i="7" a="1"/>
  <c r="V16" i="7" s="1"/>
  <c r="E17" i="7" a="1"/>
  <c r="E17" i="7" s="1"/>
  <c r="B136" i="7" a="1"/>
  <c r="B136" i="7" s="1"/>
  <c r="B5" i="7" a="1"/>
  <c r="B5" i="7" s="1"/>
  <c r="M5" i="7" a="1"/>
  <c r="M5" i="7" s="1"/>
  <c r="Y5" i="7" a="1"/>
  <c r="Y5" i="7" s="1"/>
  <c r="M6" i="7" a="1"/>
  <c r="M6" i="7" s="1"/>
  <c r="Y6" i="7" a="1"/>
  <c r="Y6" i="7" s="1"/>
  <c r="K7" i="7" a="1"/>
  <c r="K7" i="7" s="1"/>
  <c r="F9" i="7" a="1"/>
  <c r="F9" i="7" s="1"/>
  <c r="P9" i="7" a="1"/>
  <c r="P9" i="7" s="1"/>
  <c r="B10" i="7" a="1"/>
  <c r="B10" i="7" s="1"/>
  <c r="K10" i="7" a="1"/>
  <c r="K10" i="7" s="1"/>
  <c r="W10" i="7" a="1"/>
  <c r="W10" i="7" s="1"/>
  <c r="H11" i="7" a="1"/>
  <c r="H11" i="7" s="1"/>
  <c r="D12" i="7" a="1"/>
  <c r="D12" i="7" s="1"/>
  <c r="Z12" i="7" a="1"/>
  <c r="Z12" i="7" s="1"/>
  <c r="J13" i="7" a="1"/>
  <c r="J13" i="7" s="1"/>
  <c r="T13" i="7" a="1"/>
  <c r="T13" i="7" s="1"/>
  <c r="D14" i="7" a="1"/>
  <c r="D14" i="7" s="1"/>
  <c r="N14" i="7" a="1"/>
  <c r="N14" i="7" s="1"/>
  <c r="W14" i="7" a="1"/>
  <c r="W14" i="7" s="1"/>
  <c r="R15" i="7" a="1"/>
  <c r="R15" i="7" s="1"/>
  <c r="F17" i="7" a="1"/>
  <c r="F17" i="7" s="1"/>
  <c r="P17" i="7" a="1"/>
  <c r="P17" i="7" s="1"/>
  <c r="J18" i="7" a="1"/>
  <c r="J18" i="7" s="1"/>
  <c r="U18" i="7" a="1"/>
  <c r="U18" i="7" s="1"/>
  <c r="F19" i="7" a="1"/>
  <c r="F19" i="7" s="1"/>
  <c r="P19" i="7" a="1"/>
  <c r="P19" i="7" s="1"/>
  <c r="Y19" i="7" a="1"/>
  <c r="Y19" i="7" s="1"/>
  <c r="S20" i="7" a="1"/>
  <c r="S20" i="7" s="1"/>
  <c r="O21" i="7" a="1"/>
  <c r="O21" i="7" s="1"/>
  <c r="I22" i="7" a="1"/>
  <c r="I22" i="7" s="1"/>
  <c r="H23" i="7" a="1"/>
  <c r="H23" i="7" s="1"/>
  <c r="R23" i="7" a="1"/>
  <c r="R23" i="7" s="1"/>
  <c r="L24" i="7" a="1"/>
  <c r="L24" i="7" s="1"/>
  <c r="V24" i="7" a="1"/>
  <c r="V24" i="7" s="1"/>
  <c r="E25" i="7" a="1"/>
  <c r="E25" i="7" s="1"/>
  <c r="M25" i="7" a="1"/>
  <c r="M25" i="7" s="1"/>
  <c r="U25" i="7" a="1"/>
  <c r="U25" i="7" s="1"/>
  <c r="E26" i="7" a="1"/>
  <c r="E26" i="7" s="1"/>
  <c r="M26" i="7" a="1"/>
  <c r="M26" i="7" s="1"/>
  <c r="V26" i="7" a="1"/>
  <c r="V26" i="7" s="1"/>
  <c r="V27" i="7" a="1"/>
  <c r="V27" i="7" s="1"/>
  <c r="O28" i="7" a="1"/>
  <c r="O28" i="7" s="1"/>
  <c r="V28" i="7" a="1"/>
  <c r="V28" i="7" s="1"/>
  <c r="F29" i="7" a="1"/>
  <c r="F29" i="7" s="1"/>
  <c r="N29" i="7" a="1"/>
  <c r="N29" i="7" s="1"/>
  <c r="W29" i="7" a="1"/>
  <c r="W29" i="7" s="1"/>
  <c r="G30" i="7" a="1"/>
  <c r="G30" i="7" s="1"/>
  <c r="F31" i="7" a="1"/>
  <c r="F31" i="7" s="1"/>
  <c r="O31" i="7" a="1"/>
  <c r="O31" i="7" s="1"/>
  <c r="X31" i="7" a="1"/>
  <c r="X31" i="7" s="1"/>
  <c r="H32" i="7" a="1"/>
  <c r="H32" i="7" s="1"/>
  <c r="Q32" i="7" a="1"/>
  <c r="Q32" i="7" s="1"/>
  <c r="Y32" i="7" a="1"/>
  <c r="Y32" i="7" s="1"/>
  <c r="S33" i="7" a="1"/>
  <c r="S33" i="7" s="1"/>
  <c r="S34" i="7" a="1"/>
  <c r="S34" i="7" s="1"/>
  <c r="B138" i="7" a="1"/>
  <c r="B138" i="7" s="1"/>
  <c r="C5" i="7" a="1"/>
  <c r="C5" i="7" s="1"/>
  <c r="Z5" i="7" a="1"/>
  <c r="Z5" i="7" s="1"/>
  <c r="N6" i="7" a="1"/>
  <c r="N6" i="7" s="1"/>
  <c r="Z6" i="7" a="1"/>
  <c r="Z6" i="7" s="1"/>
  <c r="L7" i="7" a="1"/>
  <c r="L7" i="7" s="1"/>
  <c r="W7" i="7" a="1"/>
  <c r="W7" i="7" s="1"/>
  <c r="V8" i="7" a="1"/>
  <c r="V8" i="7" s="1"/>
  <c r="G9" i="7" a="1"/>
  <c r="G9" i="7" s="1"/>
  <c r="Q9" i="7" a="1"/>
  <c r="Q9" i="7" s="1"/>
  <c r="M10" i="7" a="1"/>
  <c r="M10" i="7" s="1"/>
  <c r="I11" i="7" a="1"/>
  <c r="I11" i="7" s="1"/>
  <c r="S11" i="7" a="1"/>
  <c r="S11" i="7" s="1"/>
  <c r="P12" i="7" a="1"/>
  <c r="P12" i="7" s="1"/>
  <c r="K13" i="7" a="1"/>
  <c r="K13" i="7" s="1"/>
  <c r="E14" i="7" a="1"/>
  <c r="E14" i="7" s="1"/>
  <c r="O14" i="7" a="1"/>
  <c r="O14" i="7" s="1"/>
  <c r="X14" i="7" a="1"/>
  <c r="X14" i="7" s="1"/>
  <c r="I15" i="7" a="1"/>
  <c r="I15" i="7" s="1"/>
  <c r="S15" i="7" a="1"/>
  <c r="S15" i="7" s="1"/>
  <c r="C16" i="7" a="1"/>
  <c r="C16" i="7" s="1"/>
  <c r="M16" i="7" a="1"/>
  <c r="M16" i="7" s="1"/>
  <c r="X16" i="7" a="1"/>
  <c r="X16" i="7" s="1"/>
  <c r="G17" i="7" a="1"/>
  <c r="G17" i="7" s="1"/>
  <c r="Q17" i="7" a="1"/>
  <c r="Q17" i="7" s="1"/>
  <c r="Z17" i="7" a="1"/>
  <c r="Z17" i="7" s="1"/>
  <c r="K18" i="7" a="1"/>
  <c r="K18" i="7" s="1"/>
  <c r="G19" i="7" a="1"/>
  <c r="G19" i="7" s="1"/>
  <c r="Q19" i="7" a="1"/>
  <c r="Q19" i="7" s="1"/>
  <c r="Z19" i="7" a="1"/>
  <c r="Z19" i="7" s="1"/>
  <c r="J20" i="7" a="1"/>
  <c r="J20" i="7" s="1"/>
  <c r="T20" i="7" a="1"/>
  <c r="T20" i="7" s="1"/>
  <c r="E21" i="7" a="1"/>
  <c r="E21" i="7" s="1"/>
  <c r="X21" i="7" a="1"/>
  <c r="X21" i="7" s="1"/>
  <c r="J22" i="7" a="1"/>
  <c r="J22" i="7" s="1"/>
  <c r="Q22" i="7" a="1"/>
  <c r="Q22" i="7" s="1"/>
  <c r="Y22" i="7" a="1"/>
  <c r="Y22" i="7" s="1"/>
  <c r="I23" i="7" a="1"/>
  <c r="I23" i="7" s="1"/>
  <c r="S23" i="7" a="1"/>
  <c r="S23" i="7" s="1"/>
  <c r="C24" i="7" a="1"/>
  <c r="C24" i="7" s="1"/>
  <c r="M24" i="7" a="1"/>
  <c r="M24" i="7" s="1"/>
  <c r="F25" i="7" a="1"/>
  <c r="F25" i="7" s="1"/>
  <c r="N25" i="7" a="1"/>
  <c r="N25" i="7" s="1"/>
  <c r="V25" i="7" a="1"/>
  <c r="V25" i="7" s="1"/>
  <c r="F26" i="7" a="1"/>
  <c r="F26" i="7" s="1"/>
  <c r="N26" i="7" a="1"/>
  <c r="N26" i="7" s="1"/>
  <c r="W26" i="7" a="1"/>
  <c r="W26" i="7" s="1"/>
  <c r="E27" i="7" a="1"/>
  <c r="E27" i="7" s="1"/>
  <c r="O27" i="7" a="1"/>
  <c r="O27" i="7" s="1"/>
  <c r="W27" i="7" a="1"/>
  <c r="W27" i="7" s="1"/>
  <c r="F28" i="7" a="1"/>
  <c r="F28" i="7" s="1"/>
  <c r="W28" i="7" a="1"/>
  <c r="W28" i="7" s="1"/>
  <c r="G29" i="7" a="1"/>
  <c r="G29" i="7" s="1"/>
  <c r="O29" i="7" a="1"/>
  <c r="O29" i="7" s="1"/>
  <c r="X29" i="7" a="1"/>
  <c r="X29" i="7" s="1"/>
  <c r="H30" i="7" a="1"/>
  <c r="H30" i="7" s="1"/>
  <c r="B139" i="7" a="1"/>
  <c r="B139" i="7" s="1"/>
  <c r="N5" i="7" a="1"/>
  <c r="N5" i="7" s="1"/>
  <c r="D6" i="7" a="1"/>
  <c r="D6" i="7" s="1"/>
  <c r="O6" i="7" a="1"/>
  <c r="O6" i="7" s="1"/>
  <c r="B7" i="7" a="1"/>
  <c r="B7" i="7" s="1"/>
  <c r="M7" i="7" a="1"/>
  <c r="M7" i="7" s="1"/>
  <c r="Y7" i="7" a="1"/>
  <c r="Y7" i="7" s="1"/>
  <c r="K8" i="7" a="1"/>
  <c r="K8" i="7" s="1"/>
  <c r="D10" i="7" a="1"/>
  <c r="D10" i="7" s="1"/>
  <c r="N10" i="7" a="1"/>
  <c r="N10" i="7" s="1"/>
  <c r="X10" i="7" a="1"/>
  <c r="X10" i="7" s="1"/>
  <c r="J11" i="7" a="1"/>
  <c r="J11" i="7" s="1"/>
  <c r="F12" i="7" a="1"/>
  <c r="F12" i="7" s="1"/>
  <c r="Q12" i="7" a="1"/>
  <c r="Q12" i="7" s="1"/>
  <c r="B13" i="7" a="1"/>
  <c r="B13" i="7" s="1"/>
  <c r="L13" i="7" a="1"/>
  <c r="L13" i="7" s="1"/>
  <c r="U13" i="7" a="1"/>
  <c r="U13" i="7" s="1"/>
  <c r="F14" i="7" a="1"/>
  <c r="F14" i="7" s="1"/>
  <c r="Y14" i="7" a="1"/>
  <c r="Y14" i="7" s="1"/>
  <c r="T15" i="7" a="1"/>
  <c r="T15" i="7" s="1"/>
  <c r="D16" i="7" a="1"/>
  <c r="D16" i="7" s="1"/>
  <c r="O16" i="7" a="1"/>
  <c r="O16" i="7" s="1"/>
  <c r="H17" i="7" a="1"/>
  <c r="H17" i="7" s="1"/>
  <c r="B18" i="7" a="1"/>
  <c r="B18" i="7" s="1"/>
  <c r="V18" i="7" a="1"/>
  <c r="V18" i="7" s="1"/>
  <c r="H19" i="7" a="1"/>
  <c r="H19" i="7" s="1"/>
  <c r="R19" i="7" a="1"/>
  <c r="R19" i="7" s="1"/>
  <c r="U20" i="7" a="1"/>
  <c r="U20" i="7" s="1"/>
  <c r="P21" i="7" a="1"/>
  <c r="P21" i="7" s="1"/>
  <c r="Y21" i="7" a="1"/>
  <c r="Y21" i="7" s="1"/>
  <c r="R22" i="7" a="1"/>
  <c r="R22" i="7" s="1"/>
  <c r="Z22" i="7" a="1"/>
  <c r="Z22" i="7" s="1"/>
  <c r="J23" i="7" a="1"/>
  <c r="J23" i="7" s="1"/>
  <c r="T23" i="7" a="1"/>
  <c r="T23" i="7" s="1"/>
  <c r="N24" i="7" a="1"/>
  <c r="N24" i="7" s="1"/>
  <c r="W24" i="7" a="1"/>
  <c r="W24" i="7" s="1"/>
  <c r="G25" i="7" a="1"/>
  <c r="G25" i="7" s="1"/>
  <c r="W25" i="7" a="1"/>
  <c r="W25" i="7" s="1"/>
  <c r="O26" i="7" a="1"/>
  <c r="O26" i="7" s="1"/>
  <c r="X26" i="7" a="1"/>
  <c r="X26" i="7" s="1"/>
  <c r="F27" i="7" a="1"/>
  <c r="F27" i="7" s="1"/>
  <c r="X27" i="7" a="1"/>
  <c r="X27" i="7" s="1"/>
  <c r="G28" i="7" a="1"/>
  <c r="G28" i="7" s="1"/>
  <c r="P28" i="7" a="1"/>
  <c r="P28" i="7" s="1"/>
  <c r="X28" i="7" a="1"/>
  <c r="X28" i="7" s="1"/>
  <c r="H29" i="7" a="1"/>
  <c r="H29" i="7" s="1"/>
  <c r="P29" i="7" a="1"/>
  <c r="P29" i="7" s="1"/>
  <c r="I30" i="7" a="1"/>
  <c r="I30" i="7" s="1"/>
  <c r="P30" i="7" a="1"/>
  <c r="P30" i="7" s="1"/>
  <c r="H31" i="7" a="1"/>
  <c r="H31" i="7" s="1"/>
  <c r="Q31" i="7" a="1"/>
  <c r="Q31" i="7" s="1"/>
  <c r="B145" i="7" a="1"/>
  <c r="B145" i="7" s="1"/>
  <c r="D5" i="7" a="1"/>
  <c r="D5" i="7" s="1"/>
  <c r="O5" i="7" a="1"/>
  <c r="O5" i="7" s="1"/>
  <c r="P6" i="7" a="1"/>
  <c r="P6" i="7" s="1"/>
  <c r="C7" i="7" a="1"/>
  <c r="C7" i="7" s="1"/>
  <c r="N7" i="7" a="1"/>
  <c r="N7" i="7" s="1"/>
  <c r="B8" i="7" a="1"/>
  <c r="B8" i="7" s="1"/>
  <c r="L8" i="7" a="1"/>
  <c r="L8" i="7" s="1"/>
  <c r="W8" i="7" a="1"/>
  <c r="W8" i="7" s="1"/>
  <c r="H9" i="7" a="1"/>
  <c r="H9" i="7" s="1"/>
  <c r="R9" i="7" a="1"/>
  <c r="R9" i="7" s="1"/>
  <c r="E10" i="7" a="1"/>
  <c r="E10" i="7" s="1"/>
  <c r="O10" i="7" a="1"/>
  <c r="O10" i="7" s="1"/>
  <c r="Y10" i="7" a="1"/>
  <c r="Y10" i="7" s="1"/>
  <c r="T11" i="7" a="1"/>
  <c r="T11" i="7" s="1"/>
  <c r="G12" i="7" a="1"/>
  <c r="G12" i="7" s="1"/>
  <c r="M13" i="7" a="1"/>
  <c r="M13" i="7" s="1"/>
  <c r="V13" i="7" a="1"/>
  <c r="V13" i="7" s="1"/>
  <c r="G14" i="7" a="1"/>
  <c r="G14" i="7" s="1"/>
  <c r="P14" i="7" a="1"/>
  <c r="P14" i="7" s="1"/>
  <c r="Z14" i="7" a="1"/>
  <c r="Z14" i="7" s="1"/>
  <c r="J15" i="7" a="1"/>
  <c r="J15" i="7" s="1"/>
  <c r="U15" i="7" a="1"/>
  <c r="U15" i="7" s="1"/>
  <c r="E16" i="7" a="1"/>
  <c r="E16" i="7" s="1"/>
  <c r="P16" i="7" a="1"/>
  <c r="P16" i="7" s="1"/>
  <c r="Y16" i="7" a="1"/>
  <c r="Y16" i="7" s="1"/>
  <c r="I17" i="7" a="1"/>
  <c r="I17" i="7" s="1"/>
  <c r="R17" i="7" a="1"/>
  <c r="R17" i="7" s="1"/>
  <c r="C18" i="7" a="1"/>
  <c r="C18" i="7" s="1"/>
  <c r="L18" i="7" a="1"/>
  <c r="L18" i="7" s="1"/>
  <c r="W18" i="7" a="1"/>
  <c r="W18" i="7" s="1"/>
  <c r="S19" i="7" a="1"/>
  <c r="S19" i="7" s="1"/>
  <c r="B20" i="7" a="1"/>
  <c r="B20" i="7" s="1"/>
  <c r="L20" i="7" a="1"/>
  <c r="L20" i="7" s="1"/>
  <c r="V20" i="7" a="1"/>
  <c r="V20" i="7" s="1"/>
  <c r="F21" i="7" a="1"/>
  <c r="F21" i="7" s="1"/>
  <c r="Q21" i="7" a="1"/>
  <c r="Q21" i="7" s="1"/>
  <c r="Z21" i="7" a="1"/>
  <c r="Z21" i="7" s="1"/>
  <c r="K22" i="7" a="1"/>
  <c r="K22" i="7" s="1"/>
  <c r="B23" i="7" a="1"/>
  <c r="B23" i="7" s="1"/>
  <c r="K23" i="7" a="1"/>
  <c r="K23" i="7" s="1"/>
  <c r="U23" i="7" a="1"/>
  <c r="U23" i="7" s="1"/>
  <c r="D24" i="7" a="1"/>
  <c r="D24" i="7" s="1"/>
  <c r="O24" i="7" a="1"/>
  <c r="O24" i="7" s="1"/>
  <c r="X24" i="7" a="1"/>
  <c r="X24" i="7" s="1"/>
  <c r="O25" i="7" a="1"/>
  <c r="O25" i="7" s="1"/>
  <c r="G26" i="7" a="1"/>
  <c r="G26" i="7" s="1"/>
  <c r="G27" i="7" a="1"/>
  <c r="G27" i="7" s="1"/>
  <c r="P27" i="7" a="1"/>
  <c r="P27" i="7" s="1"/>
  <c r="Y27" i="7" a="1"/>
  <c r="Y27" i="7" s="1"/>
  <c r="Y28" i="7" a="1"/>
  <c r="Y28" i="7" s="1"/>
  <c r="Y29" i="7" a="1"/>
  <c r="Y29" i="7" s="1"/>
  <c r="Q30" i="7" a="1"/>
  <c r="Q30" i="7" s="1"/>
  <c r="Z30" i="7" a="1"/>
  <c r="Z30" i="7" s="1"/>
  <c r="I31" i="7" a="1"/>
  <c r="I31" i="7" s="1"/>
  <c r="Z31" i="7" a="1"/>
  <c r="Z31" i="7" s="1"/>
  <c r="J32" i="7" a="1"/>
  <c r="J32" i="7" s="1"/>
  <c r="S32" i="7" a="1"/>
  <c r="S32" i="7" s="1"/>
  <c r="C33" i="7" a="1"/>
  <c r="C33" i="7" s="1"/>
  <c r="K33" i="7" a="1"/>
  <c r="K33" i="7" s="1"/>
  <c r="B146" i="7" a="1"/>
  <c r="B146" i="7" s="1"/>
  <c r="E6" i="7" a="1"/>
  <c r="E6" i="7" s="1"/>
  <c r="Q6" i="7" a="1"/>
  <c r="Q6" i="7" s="1"/>
  <c r="D7" i="7" a="1"/>
  <c r="D7" i="7" s="1"/>
  <c r="P7" i="7" a="1"/>
  <c r="P7" i="7" s="1"/>
  <c r="C8" i="7" a="1"/>
  <c r="C8" i="7" s="1"/>
  <c r="M8" i="7" a="1"/>
  <c r="M8" i="7" s="1"/>
  <c r="X8" i="7" a="1"/>
  <c r="X8" i="7" s="1"/>
  <c r="I9" i="7" a="1"/>
  <c r="I9" i="7" s="1"/>
  <c r="S9" i="7" a="1"/>
  <c r="S9" i="7" s="1"/>
  <c r="P10" i="7" a="1"/>
  <c r="P10" i="7" s="1"/>
  <c r="Z10" i="7" a="1"/>
  <c r="Z10" i="7" s="1"/>
  <c r="K11" i="7" a="1"/>
  <c r="K11" i="7" s="1"/>
  <c r="V11" i="7" a="1"/>
  <c r="V11" i="7" s="1"/>
  <c r="H12" i="7" a="1"/>
  <c r="H12" i="7" s="1"/>
  <c r="R12" i="7" a="1"/>
  <c r="R12" i="7" s="1"/>
  <c r="C13" i="7" a="1"/>
  <c r="C13" i="7" s="1"/>
  <c r="N13" i="7" a="1"/>
  <c r="N13" i="7" s="1"/>
  <c r="W13" i="7" a="1"/>
  <c r="W13" i="7" s="1"/>
  <c r="K15" i="7" a="1"/>
  <c r="K15" i="7" s="1"/>
  <c r="V15" i="7" a="1"/>
  <c r="V15" i="7" s="1"/>
  <c r="F16" i="7" a="1"/>
  <c r="F16" i="7" s="1"/>
  <c r="J17" i="7" a="1"/>
  <c r="J17" i="7" s="1"/>
  <c r="D18" i="7" a="1"/>
  <c r="D18" i="7" s="1"/>
  <c r="M18" i="7" a="1"/>
  <c r="M18" i="7" s="1"/>
  <c r="X18" i="7" a="1"/>
  <c r="X18" i="7" s="1"/>
  <c r="I19" i="7" a="1"/>
  <c r="I19" i="7" s="1"/>
  <c r="C20" i="7" a="1"/>
  <c r="C20" i="7" s="1"/>
  <c r="M20" i="7" a="1"/>
  <c r="M20" i="7" s="1"/>
  <c r="G21" i="7" a="1"/>
  <c r="G21" i="7" s="1"/>
  <c r="B22" i="7" a="1"/>
  <c r="B22" i="7" s="1"/>
  <c r="S22" i="7" a="1"/>
  <c r="S22" i="7" s="1"/>
  <c r="C23" i="7" a="1"/>
  <c r="C23" i="7" s="1"/>
  <c r="L23" i="7" a="1"/>
  <c r="L23" i="7" s="1"/>
  <c r="V23" i="7" a="1"/>
  <c r="V23" i="7" s="1"/>
  <c r="Y24" i="7" a="1"/>
  <c r="Y24" i="7" s="1"/>
  <c r="H25" i="7" a="1"/>
  <c r="H25" i="7" s="1"/>
  <c r="P25" i="7" a="1"/>
  <c r="P25" i="7" s="1"/>
  <c r="X25" i="7" a="1"/>
  <c r="X25" i="7" s="1"/>
  <c r="P26" i="7" a="1"/>
  <c r="P26" i="7" s="1"/>
  <c r="Y26" i="7" a="1"/>
  <c r="Y26" i="7" s="1"/>
  <c r="H27" i="7" a="1"/>
  <c r="H27" i="7" s="1"/>
  <c r="Z27" i="7" a="1"/>
  <c r="Z27" i="7" s="1"/>
  <c r="H28" i="7" a="1"/>
  <c r="H28" i="7" s="1"/>
  <c r="Q28" i="7" a="1"/>
  <c r="Q28" i="7" s="1"/>
  <c r="I29" i="7" a="1"/>
  <c r="I29" i="7" s="1"/>
  <c r="Q29" i="7" a="1"/>
  <c r="Q29" i="7" s="1"/>
  <c r="J30" i="7" a="1"/>
  <c r="J30" i="7" s="1"/>
  <c r="J31" i="7" a="1"/>
  <c r="J31" i="7" s="1"/>
  <c r="R31" i="7" a="1"/>
  <c r="R31" i="7" s="1"/>
  <c r="T32" i="7" a="1"/>
  <c r="T32" i="7" s="1"/>
  <c r="D33" i="7" a="1"/>
  <c r="D33" i="7" s="1"/>
  <c r="V33" i="7" a="1"/>
  <c r="V33" i="7" s="1"/>
  <c r="D34" i="7" a="1"/>
  <c r="D34" i="7" s="1"/>
  <c r="M34" i="7" a="1"/>
  <c r="M34" i="7" s="1"/>
  <c r="V34" i="7" a="1"/>
  <c r="V34" i="7" s="1"/>
  <c r="B147" i="7" a="1"/>
  <c r="B147" i="7" s="1"/>
  <c r="E5" i="7" a="1"/>
  <c r="E5" i="7" s="1"/>
  <c r="S5" i="7" a="1"/>
  <c r="S5" i="7" s="1"/>
  <c r="F6" i="7" a="1"/>
  <c r="F6" i="7" s="1"/>
  <c r="R6" i="7" a="1"/>
  <c r="R6" i="7" s="1"/>
  <c r="E7" i="7" a="1"/>
  <c r="E7" i="7" s="1"/>
  <c r="R7" i="7" a="1"/>
  <c r="R7" i="7" s="1"/>
  <c r="D8" i="7" a="1"/>
  <c r="D8" i="7" s="1"/>
  <c r="N8" i="7" a="1"/>
  <c r="N8" i="7" s="1"/>
  <c r="Y8" i="7" a="1"/>
  <c r="Y8" i="7" s="1"/>
  <c r="F10" i="7" a="1"/>
  <c r="F10" i="7" s="1"/>
  <c r="Q10" i="7" a="1"/>
  <c r="Q10" i="7" s="1"/>
  <c r="B11" i="7" a="1"/>
  <c r="B11" i="7" s="1"/>
  <c r="I12" i="7" a="1"/>
  <c r="I12" i="7" s="1"/>
  <c r="S12" i="7" a="1"/>
  <c r="S12" i="7" s="1"/>
  <c r="D13" i="7" a="1"/>
  <c r="D13" i="7" s="1"/>
  <c r="X13" i="7" a="1"/>
  <c r="X13" i="7" s="1"/>
  <c r="H14" i="7" a="1"/>
  <c r="H14" i="7" s="1"/>
  <c r="Q14" i="7" a="1"/>
  <c r="Q14" i="7" s="1"/>
  <c r="B15" i="7" a="1"/>
  <c r="B15" i="7" s="1"/>
  <c r="L15" i="7" a="1"/>
  <c r="L15" i="7" s="1"/>
  <c r="W15" i="7" a="1"/>
  <c r="W15" i="7" s="1"/>
  <c r="G16" i="7" a="1"/>
  <c r="G16" i="7" s="1"/>
  <c r="Q16" i="7" a="1"/>
  <c r="Q16" i="7" s="1"/>
  <c r="Z16" i="7" a="1"/>
  <c r="Z16" i="7" s="1"/>
  <c r="S17" i="7" a="1"/>
  <c r="S17" i="7" s="1"/>
  <c r="E18" i="7" a="1"/>
  <c r="E18" i="7" s="1"/>
  <c r="N18" i="7" a="1"/>
  <c r="N18" i="7" s="1"/>
  <c r="U19" i="7" a="1"/>
  <c r="U19" i="7" s="1"/>
  <c r="D20" i="7" a="1"/>
  <c r="D20" i="7" s="1"/>
  <c r="N20" i="7" a="1"/>
  <c r="N20" i="7" s="1"/>
  <c r="W20" i="7" a="1"/>
  <c r="W20" i="7" s="1"/>
  <c r="H21" i="7" a="1"/>
  <c r="H21" i="7" s="1"/>
  <c r="R21" i="7" a="1"/>
  <c r="R21" i="7" s="1"/>
  <c r="C22" i="7" a="1"/>
  <c r="C22" i="7" s="1"/>
  <c r="L22" i="7" a="1"/>
  <c r="L22" i="7" s="1"/>
  <c r="D23" i="7" a="1"/>
  <c r="D23" i="7" s="1"/>
  <c r="W23" i="7" a="1"/>
  <c r="W23" i="7" s="1"/>
  <c r="E24" i="7" a="1"/>
  <c r="E24" i="7" s="1"/>
  <c r="P24" i="7" a="1"/>
  <c r="P24" i="7" s="1"/>
  <c r="Z24" i="7" a="1"/>
  <c r="Z24" i="7" s="1"/>
  <c r="Q25" i="7" a="1"/>
  <c r="Q25" i="7" s="1"/>
  <c r="H26" i="7" a="1"/>
  <c r="H26" i="7" s="1"/>
  <c r="I27" i="7" a="1"/>
  <c r="I27" i="7" s="1"/>
  <c r="Q27" i="7" a="1"/>
  <c r="Q27" i="7" s="1"/>
  <c r="B28" i="7" a="1"/>
  <c r="B28" i="7" s="1"/>
  <c r="Z28" i="7" a="1"/>
  <c r="Z28" i="7" s="1"/>
  <c r="R29" i="7" a="1"/>
  <c r="R29" i="7" s="1"/>
  <c r="Z29" i="7" a="1"/>
  <c r="Z29" i="7" s="1"/>
  <c r="K30" i="7" a="1"/>
  <c r="K30" i="7" s="1"/>
  <c r="R30" i="7" a="1"/>
  <c r="R30" i="7" s="1"/>
  <c r="B31" i="7" a="1"/>
  <c r="B31" i="7" s="1"/>
  <c r="K31" i="7" a="1"/>
  <c r="K31" i="7" s="1"/>
  <c r="B32" i="7" a="1"/>
  <c r="B32" i="7" s="1"/>
  <c r="K32" i="7" a="1"/>
  <c r="K32" i="7" s="1"/>
  <c r="U32" i="7" a="1"/>
  <c r="U32" i="7" s="1"/>
  <c r="E33" i="7" a="1"/>
  <c r="E33" i="7" s="1"/>
  <c r="L33" i="7" a="1"/>
  <c r="L33" i="7" s="1"/>
  <c r="E34" i="7" a="1"/>
  <c r="E34" i="7" s="1"/>
  <c r="N34" i="7" a="1"/>
  <c r="N34" i="7" s="1"/>
  <c r="B148" i="7" a="1"/>
  <c r="B148" i="7" s="1"/>
  <c r="F5" i="7" a="1"/>
  <c r="F5" i="7" s="1"/>
  <c r="T5" i="7" a="1"/>
  <c r="T5" i="7" s="1"/>
  <c r="G6" i="7" a="1"/>
  <c r="G6" i="7" s="1"/>
  <c r="S6" i="7" a="1"/>
  <c r="S6" i="7" s="1"/>
  <c r="G7" i="7" a="1"/>
  <c r="G7" i="7" s="1"/>
  <c r="S7" i="7" a="1"/>
  <c r="S7" i="7" s="1"/>
  <c r="E8" i="7" a="1"/>
  <c r="E8" i="7" s="1"/>
  <c r="O8" i="7" a="1"/>
  <c r="O8" i="7" s="1"/>
  <c r="Z8" i="7" a="1"/>
  <c r="Z8" i="7" s="1"/>
  <c r="K9" i="7" a="1"/>
  <c r="K9" i="7" s="1"/>
  <c r="U9" i="7" a="1"/>
  <c r="U9" i="7" s="1"/>
  <c r="C11" i="7" a="1"/>
  <c r="C11" i="7" s="1"/>
  <c r="M11" i="7" a="1"/>
  <c r="M11" i="7" s="1"/>
  <c r="X11" i="7" a="1"/>
  <c r="X11" i="7" s="1"/>
  <c r="J12" i="7" a="1"/>
  <c r="J12" i="7" s="1"/>
  <c r="T12" i="7" a="1"/>
  <c r="T12" i="7" s="1"/>
  <c r="E13" i="7" a="1"/>
  <c r="E13" i="7" s="1"/>
  <c r="O13" i="7" a="1"/>
  <c r="O13" i="7" s="1"/>
  <c r="Y13" i="7" a="1"/>
  <c r="Y13" i="7" s="1"/>
  <c r="R14" i="7" a="1"/>
  <c r="R14" i="7" s="1"/>
  <c r="M15" i="7" a="1"/>
  <c r="M15" i="7" s="1"/>
  <c r="H16" i="7" a="1"/>
  <c r="H16" i="7" s="1"/>
  <c r="K17" i="7" a="1"/>
  <c r="K17" i="7" s="1"/>
  <c r="T17" i="7" a="1"/>
  <c r="T17" i="7" s="1"/>
  <c r="O18" i="7" a="1"/>
  <c r="O18" i="7" s="1"/>
  <c r="Y18" i="7" a="1"/>
  <c r="Y18" i="7" s="1"/>
  <c r="K19" i="7" a="1"/>
  <c r="K19" i="7" s="1"/>
  <c r="E20" i="7" a="1"/>
  <c r="E20" i="7" s="1"/>
  <c r="X20" i="7" a="1"/>
  <c r="X20" i="7" s="1"/>
  <c r="D22" i="7" a="1"/>
  <c r="D22" i="7" s="1"/>
  <c r="M22" i="7" a="1"/>
  <c r="M22" i="7" s="1"/>
  <c r="T22" i="7" a="1"/>
  <c r="T22" i="7" s="1"/>
  <c r="M23" i="7" a="1"/>
  <c r="M23" i="7" s="1"/>
  <c r="X23" i="7" a="1"/>
  <c r="X23" i="7" s="1"/>
  <c r="F24" i="7" a="1"/>
  <c r="F24" i="7" s="1"/>
  <c r="Q24" i="7" a="1"/>
  <c r="Q24" i="7" s="1"/>
  <c r="B25" i="7" a="1"/>
  <c r="B25" i="7" s="1"/>
  <c r="I25" i="7" a="1"/>
  <c r="I25" i="7" s="1"/>
  <c r="R25" i="7" a="1"/>
  <c r="R25" i="7" s="1"/>
  <c r="Y25" i="7" a="1"/>
  <c r="Y25" i="7" s="1"/>
  <c r="I26" i="7" a="1"/>
  <c r="I26" i="7" s="1"/>
  <c r="Q26" i="7" a="1"/>
  <c r="Q26" i="7" s="1"/>
  <c r="Z26" i="7" a="1"/>
  <c r="Z26" i="7" s="1"/>
  <c r="J27" i="7" a="1"/>
  <c r="J27" i="7" s="1"/>
  <c r="I28" i="7" a="1"/>
  <c r="I28" i="7" s="1"/>
  <c r="R28" i="7" a="1"/>
  <c r="R28" i="7" s="1"/>
  <c r="B29" i="7" a="1"/>
  <c r="B29" i="7" s="1"/>
  <c r="J29" i="7" a="1"/>
  <c r="J29" i="7" s="1"/>
  <c r="S29" i="7" a="1"/>
  <c r="S29" i="7" s="1"/>
  <c r="S30" i="7" a="1"/>
  <c r="S30" i="7" s="1"/>
  <c r="L31" i="7" a="1"/>
  <c r="L31" i="7" s="1"/>
  <c r="S31" i="7" a="1"/>
  <c r="S31" i="7" s="1"/>
  <c r="C32" i="7" a="1"/>
  <c r="C32" i="7" s="1"/>
  <c r="L32" i="7" a="1"/>
  <c r="L32" i="7" s="1"/>
  <c r="F33" i="7" a="1"/>
  <c r="F33" i="7" s="1"/>
  <c r="M33" i="7" a="1"/>
  <c r="M33" i="7" s="1"/>
  <c r="W33" i="7" a="1"/>
  <c r="W33" i="7" s="1"/>
  <c r="F34" i="7" a="1"/>
  <c r="F34" i="7" s="1"/>
  <c r="B149" i="7" a="1"/>
  <c r="B149" i="7" s="1"/>
  <c r="H5" i="7" a="1"/>
  <c r="H5" i="7" s="1"/>
  <c r="U5" i="7" a="1"/>
  <c r="U5" i="7" s="1"/>
  <c r="H6" i="7" a="1"/>
  <c r="H6" i="7" s="1"/>
  <c r="T6" i="7" a="1"/>
  <c r="T6" i="7" s="1"/>
  <c r="H7" i="7" a="1"/>
  <c r="H7" i="7" s="1"/>
  <c r="T7" i="7" a="1"/>
  <c r="T7" i="7" s="1"/>
  <c r="F8" i="7" a="1"/>
  <c r="F8" i="7" s="1"/>
  <c r="P8" i="7" a="1"/>
  <c r="P8" i="7" s="1"/>
  <c r="M9" i="7" a="1"/>
  <c r="M9" i="7" s="1"/>
  <c r="V9" i="7" a="1"/>
  <c r="V9" i="7" s="1"/>
  <c r="G10" i="7" a="1"/>
  <c r="G10" i="7" s="1"/>
  <c r="R10" i="7" a="1"/>
  <c r="R10" i="7" s="1"/>
  <c r="O11" i="7" a="1"/>
  <c r="O11" i="7" s="1"/>
  <c r="K12" i="7" a="1"/>
  <c r="K12" i="7" s="1"/>
  <c r="U12" i="7" a="1"/>
  <c r="U12" i="7" s="1"/>
  <c r="I14" i="7" a="1"/>
  <c r="I14" i="7" s="1"/>
  <c r="T14" i="7" a="1"/>
  <c r="T14" i="7" s="1"/>
  <c r="D15" i="7" a="1"/>
  <c r="D15" i="7" s="1"/>
  <c r="N15" i="7" a="1"/>
  <c r="N15" i="7" s="1"/>
  <c r="X15" i="7" a="1"/>
  <c r="X15" i="7" s="1"/>
  <c r="I16" i="7" a="1"/>
  <c r="I16" i="7" s="1"/>
  <c r="R16" i="7" a="1"/>
  <c r="R16" i="7" s="1"/>
  <c r="B17" i="7" a="1"/>
  <c r="B17" i="7" s="1"/>
  <c r="L17" i="7" a="1"/>
  <c r="L17" i="7" s="1"/>
  <c r="U17" i="7" a="1"/>
  <c r="U17" i="7" s="1"/>
  <c r="F18" i="7" a="1"/>
  <c r="F18" i="7" s="1"/>
  <c r="P18" i="7" a="1"/>
  <c r="P18" i="7" s="1"/>
  <c r="L19" i="7" a="1"/>
  <c r="L19" i="7" s="1"/>
  <c r="V19" i="7" a="1"/>
  <c r="V19" i="7" s="1"/>
  <c r="F20" i="7" a="1"/>
  <c r="F20" i="7" s="1"/>
  <c r="O20" i="7" a="1"/>
  <c r="O20" i="7" s="1"/>
  <c r="Y20" i="7" a="1"/>
  <c r="Y20" i="7" s="1"/>
  <c r="I21" i="7" a="1"/>
  <c r="I21" i="7" s="1"/>
  <c r="S21" i="7" a="1"/>
  <c r="S21" i="7" s="1"/>
  <c r="E22" i="7" a="1"/>
  <c r="E22" i="7" s="1"/>
  <c r="U22" i="7" a="1"/>
  <c r="U22" i="7" s="1"/>
  <c r="E23" i="7" a="1"/>
  <c r="E23" i="7" s="1"/>
  <c r="N23" i="7" a="1"/>
  <c r="N23" i="7" s="1"/>
  <c r="G24" i="7" a="1"/>
  <c r="G24" i="7" s="1"/>
  <c r="R24" i="7" a="1"/>
  <c r="R24" i="7" s="1"/>
  <c r="J25" i="7" a="1"/>
  <c r="J25" i="7" s="1"/>
  <c r="Z25" i="7" a="1"/>
  <c r="Z25" i="7" s="1"/>
  <c r="J26" i="7" a="1"/>
  <c r="J26" i="7" s="1"/>
  <c r="R26" i="7" a="1"/>
  <c r="R26" i="7" s="1"/>
  <c r="B27" i="7" a="1"/>
  <c r="B27" i="7" s="1"/>
  <c r="K27" i="7" a="1"/>
  <c r="K27" i="7" s="1"/>
  <c r="R27" i="7" a="1"/>
  <c r="R27" i="7" s="1"/>
  <c r="C28" i="7" a="1"/>
  <c r="C28" i="7" s="1"/>
  <c r="J28" i="7" a="1"/>
  <c r="J28" i="7" s="1"/>
  <c r="S28" i="7" a="1"/>
  <c r="S28" i="7" s="1"/>
  <c r="C29" i="7" a="1"/>
  <c r="C29" i="7" s="1"/>
  <c r="K29" i="7" a="1"/>
  <c r="K29" i="7" s="1"/>
  <c r="T29" i="7" a="1"/>
  <c r="T29" i="7" s="1"/>
  <c r="B30" i="7" a="1"/>
  <c r="B30" i="7" s="1"/>
  <c r="L30" i="7" a="1"/>
  <c r="L30" i="7" s="1"/>
  <c r="T30" i="7" a="1"/>
  <c r="T30" i="7" s="1"/>
  <c r="C31" i="7" a="1"/>
  <c r="C31" i="7" s="1"/>
  <c r="T31" i="7" a="1"/>
  <c r="T31" i="7" s="1"/>
  <c r="D32" i="7" a="1"/>
  <c r="D32" i="7" s="1"/>
  <c r="M32" i="7" a="1"/>
  <c r="M32" i="7" s="1"/>
  <c r="M21" i="7" a="1"/>
  <c r="M21" i="7" s="1"/>
  <c r="V32" i="7" a="1"/>
  <c r="V32" i="7" s="1"/>
  <c r="R33" i="7" a="1"/>
  <c r="R33" i="7" s="1"/>
  <c r="J34" i="7" a="1"/>
  <c r="J34" i="7" s="1"/>
  <c r="W34" i="7" a="1"/>
  <c r="W34" i="7" s="1"/>
  <c r="I35" i="7" a="1"/>
  <c r="I35" i="7" s="1"/>
  <c r="S35" i="7" a="1"/>
  <c r="S35" i="7" s="1"/>
  <c r="M36" i="7" a="1"/>
  <c r="M36" i="7" s="1"/>
  <c r="W36" i="7" a="1"/>
  <c r="W36" i="7" s="1"/>
  <c r="F37" i="7" a="1"/>
  <c r="F37" i="7" s="1"/>
  <c r="O37" i="7" a="1"/>
  <c r="O37" i="7" s="1"/>
  <c r="X37" i="7" a="1"/>
  <c r="X37" i="7" s="1"/>
  <c r="H38" i="7" a="1"/>
  <c r="H38" i="7" s="1"/>
  <c r="Q38" i="7" a="1"/>
  <c r="Q38" i="7" s="1"/>
  <c r="Z38" i="7" a="1"/>
  <c r="Z38" i="7" s="1"/>
  <c r="J39" i="7" a="1"/>
  <c r="J39" i="7" s="1"/>
  <c r="S39" i="7" a="1"/>
  <c r="S39" i="7" s="1"/>
  <c r="D41" i="7" a="1"/>
  <c r="D41" i="7" s="1"/>
  <c r="V41" i="7" a="1"/>
  <c r="V41" i="7" s="1"/>
  <c r="F42" i="7" a="1"/>
  <c r="F42" i="7" s="1"/>
  <c r="O42" i="7" a="1"/>
  <c r="O42" i="7" s="1"/>
  <c r="X42" i="7" a="1"/>
  <c r="X42" i="7" s="1"/>
  <c r="H43" i="7" a="1"/>
  <c r="H43" i="7" s="1"/>
  <c r="Q43" i="7" a="1"/>
  <c r="Q43" i="7" s="1"/>
  <c r="I44" i="7" a="1"/>
  <c r="I44" i="7" s="1"/>
  <c r="B45" i="7" a="1"/>
  <c r="B45" i="7" s="1"/>
  <c r="K45" i="7" a="1"/>
  <c r="K45" i="7" s="1"/>
  <c r="U46" i="7" a="1"/>
  <c r="U46" i="7" s="1"/>
  <c r="E47" i="7" a="1"/>
  <c r="E47" i="7" s="1"/>
  <c r="O47" i="7" a="1"/>
  <c r="O47" i="7" s="1"/>
  <c r="X47" i="7" a="1"/>
  <c r="X47" i="7" s="1"/>
  <c r="H48" i="7" a="1"/>
  <c r="H48" i="7" s="1"/>
  <c r="Q48" i="7" a="1"/>
  <c r="Q48" i="7" s="1"/>
  <c r="Z48" i="7" a="1"/>
  <c r="Z48" i="7" s="1"/>
  <c r="J49" i="7" a="1"/>
  <c r="J49" i="7" s="1"/>
  <c r="S49" i="7" a="1"/>
  <c r="S49" i="7" s="1"/>
  <c r="C50" i="7" a="1"/>
  <c r="C50" i="7" s="1"/>
  <c r="U50" i="7" a="1"/>
  <c r="U50" i="7" s="1"/>
  <c r="W51" i="7" a="1"/>
  <c r="W51" i="7" s="1"/>
  <c r="G52" i="7" a="1"/>
  <c r="G52" i="7" s="1"/>
  <c r="S52" i="7" a="1"/>
  <c r="S52" i="7" s="1"/>
  <c r="F53" i="7" a="1"/>
  <c r="F53" i="7" s="1"/>
  <c r="R53" i="7" a="1"/>
  <c r="R53" i="7" s="1"/>
  <c r="E54" i="7" a="1"/>
  <c r="E54" i="7" s="1"/>
  <c r="Q54" i="7" a="1"/>
  <c r="Q54" i="7" s="1"/>
  <c r="D55" i="7" a="1"/>
  <c r="D55" i="7" s="1"/>
  <c r="P55" i="7" a="1"/>
  <c r="P55" i="7" s="1"/>
  <c r="C56" i="7" a="1"/>
  <c r="C56" i="7" s="1"/>
  <c r="O56" i="7" a="1"/>
  <c r="O56" i="7" s="1"/>
  <c r="B57" i="7" a="1"/>
  <c r="B57" i="7" s="1"/>
  <c r="N57" i="7" a="1"/>
  <c r="N57" i="7" s="1"/>
  <c r="Z57" i="7" a="1"/>
  <c r="Z57" i="7" s="1"/>
  <c r="M58" i="7" a="1"/>
  <c r="M58" i="7" s="1"/>
  <c r="Y58" i="7" a="1"/>
  <c r="Y58" i="7" s="1"/>
  <c r="L59" i="7" a="1"/>
  <c r="L59" i="7" s="1"/>
  <c r="X59" i="7" a="1"/>
  <c r="X59" i="7" s="1"/>
  <c r="K60" i="7" a="1"/>
  <c r="K60" i="7" s="1"/>
  <c r="W60" i="7" a="1"/>
  <c r="W60" i="7" s="1"/>
  <c r="J61" i="7" a="1"/>
  <c r="J61" i="7" s="1"/>
  <c r="V61" i="7" a="1"/>
  <c r="V61" i="7" s="1"/>
  <c r="I62" i="7" a="1"/>
  <c r="I62" i="7" s="1"/>
  <c r="U62" i="7" a="1"/>
  <c r="U62" i="7" s="1"/>
  <c r="H63" i="7" a="1"/>
  <c r="H63" i="7" s="1"/>
  <c r="T63" i="7" a="1"/>
  <c r="T63" i="7" s="1"/>
  <c r="G64" i="7" a="1"/>
  <c r="G64" i="7" s="1"/>
  <c r="W21" i="7" a="1"/>
  <c r="W21" i="7" s="1"/>
  <c r="D26" i="7" a="1"/>
  <c r="D26" i="7" s="1"/>
  <c r="F30" i="7" a="1"/>
  <c r="F30" i="7" s="1"/>
  <c r="W31" i="7" a="1"/>
  <c r="W31" i="7" s="1"/>
  <c r="T33" i="7" a="1"/>
  <c r="T33" i="7" s="1"/>
  <c r="K34" i="7" a="1"/>
  <c r="K34" i="7" s="1"/>
  <c r="J35" i="7" a="1"/>
  <c r="J35" i="7" s="1"/>
  <c r="D36" i="7" a="1"/>
  <c r="D36" i="7" s="1"/>
  <c r="G37" i="7" a="1"/>
  <c r="G37" i="7" s="1"/>
  <c r="P37" i="7" a="1"/>
  <c r="P37" i="7" s="1"/>
  <c r="Y37" i="7" a="1"/>
  <c r="Y37" i="7" s="1"/>
  <c r="I38" i="7" a="1"/>
  <c r="I38" i="7" s="1"/>
  <c r="R38" i="7" a="1"/>
  <c r="R38" i="7" s="1"/>
  <c r="T39" i="7" a="1"/>
  <c r="T39" i="7" s="1"/>
  <c r="C40" i="7" a="1"/>
  <c r="C40" i="7" s="1"/>
  <c r="L40" i="7" a="1"/>
  <c r="L40" i="7" s="1"/>
  <c r="U40" i="7" a="1"/>
  <c r="U40" i="7" s="1"/>
  <c r="E41" i="7" a="1"/>
  <c r="E41" i="7" s="1"/>
  <c r="N41" i="7" a="1"/>
  <c r="N41" i="7" s="1"/>
  <c r="W41" i="7" a="1"/>
  <c r="W41" i="7" s="1"/>
  <c r="G42" i="7" a="1"/>
  <c r="G42" i="7" s="1"/>
  <c r="P42" i="7" a="1"/>
  <c r="P42" i="7" s="1"/>
  <c r="Z43" i="7" a="1"/>
  <c r="Z43" i="7" s="1"/>
  <c r="J44" i="7" a="1"/>
  <c r="J44" i="7" s="1"/>
  <c r="S44" i="7" a="1"/>
  <c r="S44" i="7" s="1"/>
  <c r="C45" i="7" a="1"/>
  <c r="C45" i="7" s="1"/>
  <c r="T45" i="7" a="1"/>
  <c r="T45" i="7" s="1"/>
  <c r="D46" i="7" a="1"/>
  <c r="D46" i="7" s="1"/>
  <c r="M46" i="7" a="1"/>
  <c r="M46" i="7" s="1"/>
  <c r="V46" i="7" a="1"/>
  <c r="V46" i="7" s="1"/>
  <c r="F47" i="7" a="1"/>
  <c r="F47" i="7" s="1"/>
  <c r="Y47" i="7" a="1"/>
  <c r="Y47" i="7" s="1"/>
  <c r="R48" i="7" a="1"/>
  <c r="R48" i="7" s="1"/>
  <c r="B49" i="7" a="1"/>
  <c r="B49" i="7" s="1"/>
  <c r="K49" i="7" a="1"/>
  <c r="K49" i="7" s="1"/>
  <c r="T49" i="7" a="1"/>
  <c r="T49" i="7" s="1"/>
  <c r="D50" i="7" a="1"/>
  <c r="D50" i="7" s="1"/>
  <c r="M50" i="7" a="1"/>
  <c r="M50" i="7" s="1"/>
  <c r="V50" i="7" a="1"/>
  <c r="V50" i="7" s="1"/>
  <c r="E51" i="7" a="1"/>
  <c r="E51" i="7" s="1"/>
  <c r="N51" i="7" a="1"/>
  <c r="N51" i="7" s="1"/>
  <c r="X51" i="7" a="1"/>
  <c r="X51" i="7" s="1"/>
  <c r="H52" i="7" a="1"/>
  <c r="H52" i="7" s="1"/>
  <c r="T52" i="7" a="1"/>
  <c r="T52" i="7" s="1"/>
  <c r="G53" i="7" a="1"/>
  <c r="G53" i="7" s="1"/>
  <c r="S53" i="7" a="1"/>
  <c r="S53" i="7" s="1"/>
  <c r="F54" i="7" a="1"/>
  <c r="F54" i="7" s="1"/>
  <c r="R54" i="7" a="1"/>
  <c r="R54" i="7" s="1"/>
  <c r="E55" i="7" a="1"/>
  <c r="E55" i="7" s="1"/>
  <c r="Q55" i="7" a="1"/>
  <c r="Q55" i="7" s="1"/>
  <c r="D56" i="7" a="1"/>
  <c r="D56" i="7" s="1"/>
  <c r="P56" i="7" a="1"/>
  <c r="P56" i="7" s="1"/>
  <c r="C57" i="7" a="1"/>
  <c r="C57" i="7" s="1"/>
  <c r="O57" i="7" a="1"/>
  <c r="O57" i="7" s="1"/>
  <c r="B58" i="7" a="1"/>
  <c r="B58" i="7" s="1"/>
  <c r="N58" i="7" a="1"/>
  <c r="N58" i="7" s="1"/>
  <c r="Z58" i="7" a="1"/>
  <c r="Z58" i="7" s="1"/>
  <c r="M59" i="7" a="1"/>
  <c r="M59" i="7" s="1"/>
  <c r="Y59" i="7" a="1"/>
  <c r="Y59" i="7" s="1"/>
  <c r="L60" i="7" a="1"/>
  <c r="L60" i="7" s="1"/>
  <c r="X60" i="7" a="1"/>
  <c r="X60" i="7" s="1"/>
  <c r="K61" i="7" a="1"/>
  <c r="K61" i="7" s="1"/>
  <c r="W61" i="7" a="1"/>
  <c r="W61" i="7" s="1"/>
  <c r="J62" i="7" a="1"/>
  <c r="J62" i="7" s="1"/>
  <c r="V62" i="7" a="1"/>
  <c r="V62" i="7" s="1"/>
  <c r="O17" i="7" a="1"/>
  <c r="O17" i="7" s="1"/>
  <c r="H22" i="7" a="1"/>
  <c r="H22" i="7" s="1"/>
  <c r="N30" i="7" a="1"/>
  <c r="N30" i="7" s="1"/>
  <c r="Y31" i="7" a="1"/>
  <c r="Y31" i="7" s="1"/>
  <c r="X32" i="7" a="1"/>
  <c r="X32" i="7" s="1"/>
  <c r="U33" i="7" a="1"/>
  <c r="U33" i="7" s="1"/>
  <c r="Z34" i="7" a="1"/>
  <c r="Z34" i="7" s="1"/>
  <c r="T35" i="7" a="1"/>
  <c r="T35" i="7" s="1"/>
  <c r="E36" i="7" a="1"/>
  <c r="E36" i="7" s="1"/>
  <c r="N36" i="7" a="1"/>
  <c r="N36" i="7" s="1"/>
  <c r="X36" i="7" a="1"/>
  <c r="X36" i="7" s="1"/>
  <c r="H37" i="7" a="1"/>
  <c r="H37" i="7" s="1"/>
  <c r="Q37" i="7" a="1"/>
  <c r="Q37" i="7" s="1"/>
  <c r="J38" i="7" a="1"/>
  <c r="J38" i="7" s="1"/>
  <c r="S38" i="7" a="1"/>
  <c r="S38" i="7" s="1"/>
  <c r="B39" i="7" a="1"/>
  <c r="B39" i="7" s="1"/>
  <c r="K39" i="7" a="1"/>
  <c r="K39" i="7" s="1"/>
  <c r="U39" i="7" a="1"/>
  <c r="U39" i="7" s="1"/>
  <c r="D40" i="7" a="1"/>
  <c r="D40" i="7" s="1"/>
  <c r="M40" i="7" a="1"/>
  <c r="M40" i="7" s="1"/>
  <c r="V40" i="7" a="1"/>
  <c r="V40" i="7" s="1"/>
  <c r="F41" i="7" a="1"/>
  <c r="F41" i="7" s="1"/>
  <c r="O41" i="7" a="1"/>
  <c r="O41" i="7" s="1"/>
  <c r="Q42" i="7" a="1"/>
  <c r="Q42" i="7" s="1"/>
  <c r="Y42" i="7" a="1"/>
  <c r="Y42" i="7" s="1"/>
  <c r="I43" i="7" a="1"/>
  <c r="I43" i="7" s="1"/>
  <c r="R43" i="7" a="1"/>
  <c r="R43" i="7" s="1"/>
  <c r="B44" i="7" a="1"/>
  <c r="B44" i="7" s="1"/>
  <c r="T44" i="7" a="1"/>
  <c r="T44" i="7" s="1"/>
  <c r="D45" i="7" a="1"/>
  <c r="D45" i="7" s="1"/>
  <c r="L45" i="7" a="1"/>
  <c r="L45" i="7" s="1"/>
  <c r="U45" i="7" a="1"/>
  <c r="U45" i="7" s="1"/>
  <c r="E46" i="7" a="1"/>
  <c r="E46" i="7" s="1"/>
  <c r="N46" i="7" a="1"/>
  <c r="N46" i="7" s="1"/>
  <c r="W46" i="7" a="1"/>
  <c r="W46" i="7" s="1"/>
  <c r="G47" i="7" a="1"/>
  <c r="G47" i="7" s="1"/>
  <c r="P47" i="7" a="1"/>
  <c r="P47" i="7" s="1"/>
  <c r="Z47" i="7" a="1"/>
  <c r="Z47" i="7" s="1"/>
  <c r="I48" i="7" a="1"/>
  <c r="I48" i="7" s="1"/>
  <c r="S48" i="7" a="1"/>
  <c r="S48" i="7" s="1"/>
  <c r="U49" i="7" a="1"/>
  <c r="U49" i="7" s="1"/>
  <c r="N50" i="7" a="1"/>
  <c r="N50" i="7" s="1"/>
  <c r="W50" i="7" a="1"/>
  <c r="W50" i="7" s="1"/>
  <c r="F51" i="7" a="1"/>
  <c r="F51" i="7" s="1"/>
  <c r="O51" i="7" a="1"/>
  <c r="O51" i="7" s="1"/>
  <c r="I52" i="7" a="1"/>
  <c r="I52" i="7" s="1"/>
  <c r="U52" i="7" a="1"/>
  <c r="U52" i="7" s="1"/>
  <c r="H53" i="7" a="1"/>
  <c r="H53" i="7" s="1"/>
  <c r="T53" i="7" a="1"/>
  <c r="T53" i="7" s="1"/>
  <c r="G54" i="7" a="1"/>
  <c r="G54" i="7" s="1"/>
  <c r="S54" i="7" a="1"/>
  <c r="S54" i="7" s="1"/>
  <c r="F55" i="7" a="1"/>
  <c r="F55" i="7" s="1"/>
  <c r="R55" i="7" a="1"/>
  <c r="R55" i="7" s="1"/>
  <c r="E56" i="7" a="1"/>
  <c r="E56" i="7" s="1"/>
  <c r="Q56" i="7" a="1"/>
  <c r="Q56" i="7" s="1"/>
  <c r="D57" i="7" a="1"/>
  <c r="D57" i="7" s="1"/>
  <c r="P57" i="7" a="1"/>
  <c r="P57" i="7" s="1"/>
  <c r="C58" i="7" a="1"/>
  <c r="C58" i="7" s="1"/>
  <c r="O58" i="7" a="1"/>
  <c r="O58" i="7" s="1"/>
  <c r="B59" i="7" a="1"/>
  <c r="B59" i="7" s="1"/>
  <c r="N59" i="7" a="1"/>
  <c r="N59" i="7" s="1"/>
  <c r="Z59" i="7" a="1"/>
  <c r="Z59" i="7" s="1"/>
  <c r="M60" i="7" a="1"/>
  <c r="M60" i="7" s="1"/>
  <c r="Y60" i="7" a="1"/>
  <c r="Y60" i="7" s="1"/>
  <c r="L61" i="7" a="1"/>
  <c r="L61" i="7" s="1"/>
  <c r="Y17" i="7" a="1"/>
  <c r="Y17" i="7" s="1"/>
  <c r="P22" i="7" a="1"/>
  <c r="P22" i="7" s="1"/>
  <c r="U26" i="7" a="1"/>
  <c r="U26" i="7" s="1"/>
  <c r="O30" i="7" a="1"/>
  <c r="O30" i="7" s="1"/>
  <c r="Z32" i="7" a="1"/>
  <c r="Z32" i="7" s="1"/>
  <c r="L34" i="7" a="1"/>
  <c r="L34" i="7" s="1"/>
  <c r="B35" i="7" a="1"/>
  <c r="B35" i="7" s="1"/>
  <c r="K35" i="7" a="1"/>
  <c r="K35" i="7" s="1"/>
  <c r="Y36" i="7" a="1"/>
  <c r="Y36" i="7" s="1"/>
  <c r="R37" i="7" a="1"/>
  <c r="R37" i="7" s="1"/>
  <c r="Z37" i="7" a="1"/>
  <c r="Z37" i="7" s="1"/>
  <c r="K38" i="7" a="1"/>
  <c r="K38" i="7" s="1"/>
  <c r="C39" i="7" a="1"/>
  <c r="C39" i="7" s="1"/>
  <c r="L39" i="7" a="1"/>
  <c r="L39" i="7" s="1"/>
  <c r="E40" i="7" a="1"/>
  <c r="E40" i="7" s="1"/>
  <c r="N40" i="7" a="1"/>
  <c r="N40" i="7" s="1"/>
  <c r="G41" i="7" a="1"/>
  <c r="G41" i="7" s="1"/>
  <c r="P41" i="7" a="1"/>
  <c r="P41" i="7" s="1"/>
  <c r="X41" i="7" a="1"/>
  <c r="X41" i="7" s="1"/>
  <c r="H42" i="7" a="1"/>
  <c r="H42" i="7" s="1"/>
  <c r="R42" i="7" a="1"/>
  <c r="R42" i="7" s="1"/>
  <c r="Z42" i="7" a="1"/>
  <c r="Z42" i="7" s="1"/>
  <c r="J43" i="7" a="1"/>
  <c r="J43" i="7" s="1"/>
  <c r="S43" i="7" a="1"/>
  <c r="S43" i="7" s="1"/>
  <c r="K44" i="7" a="1"/>
  <c r="K44" i="7" s="1"/>
  <c r="M45" i="7" a="1"/>
  <c r="M45" i="7" s="1"/>
  <c r="V45" i="7" a="1"/>
  <c r="V45" i="7" s="1"/>
  <c r="X46" i="7" a="1"/>
  <c r="X46" i="7" s="1"/>
  <c r="Q47" i="7" a="1"/>
  <c r="Q47" i="7" s="1"/>
  <c r="J48" i="7" a="1"/>
  <c r="J48" i="7" s="1"/>
  <c r="T48" i="7" a="1"/>
  <c r="T48" i="7" s="1"/>
  <c r="C49" i="7" a="1"/>
  <c r="C49" i="7" s="1"/>
  <c r="L49" i="7" a="1"/>
  <c r="L49" i="7" s="1"/>
  <c r="E50" i="7" a="1"/>
  <c r="E50" i="7" s="1"/>
  <c r="G51" i="7" a="1"/>
  <c r="G51" i="7" s="1"/>
  <c r="P51" i="7" a="1"/>
  <c r="P51" i="7" s="1"/>
  <c r="Y51" i="7" a="1"/>
  <c r="Y51" i="7" s="1"/>
  <c r="J52" i="7" a="1"/>
  <c r="J52" i="7" s="1"/>
  <c r="V52" i="7" a="1"/>
  <c r="V52" i="7" s="1"/>
  <c r="I53" i="7" a="1"/>
  <c r="I53" i="7" s="1"/>
  <c r="U53" i="7" a="1"/>
  <c r="U53" i="7" s="1"/>
  <c r="H54" i="7" a="1"/>
  <c r="H54" i="7" s="1"/>
  <c r="T54" i="7" a="1"/>
  <c r="T54" i="7" s="1"/>
  <c r="G55" i="7" a="1"/>
  <c r="G55" i="7" s="1"/>
  <c r="S55" i="7" a="1"/>
  <c r="S55" i="7" s="1"/>
  <c r="F56" i="7" a="1"/>
  <c r="F56" i="7" s="1"/>
  <c r="R56" i="7" a="1"/>
  <c r="R56" i="7" s="1"/>
  <c r="E57" i="7" a="1"/>
  <c r="E57" i="7" s="1"/>
  <c r="Q57" i="7" a="1"/>
  <c r="Q57" i="7" s="1"/>
  <c r="D58" i="7" a="1"/>
  <c r="D58" i="7" s="1"/>
  <c r="P58" i="7" a="1"/>
  <c r="P58" i="7" s="1"/>
  <c r="C59" i="7" a="1"/>
  <c r="C59" i="7" s="1"/>
  <c r="O59" i="7" a="1"/>
  <c r="O59" i="7" s="1"/>
  <c r="B60" i="7" a="1"/>
  <c r="B60" i="7" s="1"/>
  <c r="N60" i="7" a="1"/>
  <c r="N60" i="7" s="1"/>
  <c r="Z60" i="7" a="1"/>
  <c r="Z60" i="7" s="1"/>
  <c r="M61" i="7" a="1"/>
  <c r="M61" i="7" s="1"/>
  <c r="Y61" i="7" a="1"/>
  <c r="Y61" i="7" s="1"/>
  <c r="I18" i="7" a="1"/>
  <c r="I18" i="7" s="1"/>
  <c r="X22" i="7" a="1"/>
  <c r="X22" i="7" s="1"/>
  <c r="D27" i="7" a="1"/>
  <c r="D27" i="7" s="1"/>
  <c r="X30" i="7" a="1"/>
  <c r="X30" i="7" s="1"/>
  <c r="F32" i="7" a="1"/>
  <c r="F32" i="7" s="1"/>
  <c r="B33" i="7" a="1"/>
  <c r="B33" i="7" s="1"/>
  <c r="L35" i="7" a="1"/>
  <c r="L35" i="7" s="1"/>
  <c r="U35" i="7" a="1"/>
  <c r="U35" i="7" s="1"/>
  <c r="F36" i="7" a="1"/>
  <c r="F36" i="7" s="1"/>
  <c r="O36" i="7" a="1"/>
  <c r="O36" i="7" s="1"/>
  <c r="Z36" i="7" a="1"/>
  <c r="Z36" i="7" s="1"/>
  <c r="I37" i="7" a="1"/>
  <c r="I37" i="7" s="1"/>
  <c r="B38" i="7" a="1"/>
  <c r="B38" i="7" s="1"/>
  <c r="T38" i="7" a="1"/>
  <c r="T38" i="7" s="1"/>
  <c r="D39" i="7" a="1"/>
  <c r="D39" i="7" s="1"/>
  <c r="V39" i="7" a="1"/>
  <c r="V39" i="7" s="1"/>
  <c r="O40" i="7" a="1"/>
  <c r="O40" i="7" s="1"/>
  <c r="W40" i="7" a="1"/>
  <c r="W40" i="7" s="1"/>
  <c r="H41" i="7" a="1"/>
  <c r="H41" i="7" s="1"/>
  <c r="Y41" i="7" a="1"/>
  <c r="Y41" i="7" s="1"/>
  <c r="I42" i="7" a="1"/>
  <c r="I42" i="7" s="1"/>
  <c r="B43" i="7" a="1"/>
  <c r="B43" i="7" s="1"/>
  <c r="K43" i="7" a="1"/>
  <c r="K43" i="7" s="1"/>
  <c r="C44" i="7" a="1"/>
  <c r="C44" i="7" s="1"/>
  <c r="L44" i="7" a="1"/>
  <c r="L44" i="7" s="1"/>
  <c r="U44" i="7" a="1"/>
  <c r="U44" i="7" s="1"/>
  <c r="E45" i="7" a="1"/>
  <c r="E45" i="7" s="1"/>
  <c r="N45" i="7" a="1"/>
  <c r="N45" i="7" s="1"/>
  <c r="W45" i="7" a="1"/>
  <c r="W45" i="7" s="1"/>
  <c r="F46" i="7" a="1"/>
  <c r="F46" i="7" s="1"/>
  <c r="O46" i="7" a="1"/>
  <c r="O46" i="7" s="1"/>
  <c r="H47" i="7" a="1"/>
  <c r="H47" i="7" s="1"/>
  <c r="R47" i="7" a="1"/>
  <c r="R47" i="7" s="1"/>
  <c r="B48" i="7" a="1"/>
  <c r="B48" i="7" s="1"/>
  <c r="K48" i="7" a="1"/>
  <c r="K48" i="7" s="1"/>
  <c r="D49" i="7" a="1"/>
  <c r="D49" i="7" s="1"/>
  <c r="M49" i="7" a="1"/>
  <c r="M49" i="7" s="1"/>
  <c r="V49" i="7" a="1"/>
  <c r="V49" i="7" s="1"/>
  <c r="F50" i="7" a="1"/>
  <c r="F50" i="7" s="1"/>
  <c r="O50" i="7" a="1"/>
  <c r="O50" i="7" s="1"/>
  <c r="X50" i="7" a="1"/>
  <c r="X50" i="7" s="1"/>
  <c r="H51" i="7" a="1"/>
  <c r="H51" i="7" s="1"/>
  <c r="Q51" i="7" a="1"/>
  <c r="Q51" i="7" s="1"/>
  <c r="Z51" i="7" a="1"/>
  <c r="Z51" i="7" s="1"/>
  <c r="K52" i="7" a="1"/>
  <c r="K52" i="7" s="1"/>
  <c r="W52" i="7" a="1"/>
  <c r="W52" i="7" s="1"/>
  <c r="J53" i="7" a="1"/>
  <c r="J53" i="7" s="1"/>
  <c r="V53" i="7" a="1"/>
  <c r="V53" i="7" s="1"/>
  <c r="I54" i="7" a="1"/>
  <c r="I54" i="7" s="1"/>
  <c r="U54" i="7" a="1"/>
  <c r="U54" i="7" s="1"/>
  <c r="H55" i="7" a="1"/>
  <c r="H55" i="7" s="1"/>
  <c r="T55" i="7" a="1"/>
  <c r="T55" i="7" s="1"/>
  <c r="G56" i="7" a="1"/>
  <c r="G56" i="7" s="1"/>
  <c r="S56" i="7" a="1"/>
  <c r="S56" i="7" s="1"/>
  <c r="F57" i="7" a="1"/>
  <c r="F57" i="7" s="1"/>
  <c r="R57" i="7" a="1"/>
  <c r="R57" i="7" s="1"/>
  <c r="E58" i="7" a="1"/>
  <c r="E58" i="7" s="1"/>
  <c r="Q58" i="7" a="1"/>
  <c r="Q58" i="7" s="1"/>
  <c r="D59" i="7" a="1"/>
  <c r="D59" i="7" s="1"/>
  <c r="N27" i="7" a="1"/>
  <c r="N27" i="7" s="1"/>
  <c r="Y30" i="7" a="1"/>
  <c r="Y30" i="7" s="1"/>
  <c r="G32" i="7" a="1"/>
  <c r="G32" i="7" s="1"/>
  <c r="Y33" i="7" a="1"/>
  <c r="Y33" i="7" s="1"/>
  <c r="O34" i="7" a="1"/>
  <c r="O34" i="7" s="1"/>
  <c r="C35" i="7" a="1"/>
  <c r="C35" i="7" s="1"/>
  <c r="M35" i="7" a="1"/>
  <c r="M35" i="7" s="1"/>
  <c r="V35" i="7" a="1"/>
  <c r="V35" i="7" s="1"/>
  <c r="P36" i="7" a="1"/>
  <c r="P36" i="7" s="1"/>
  <c r="J37" i="7" a="1"/>
  <c r="J37" i="7" s="1"/>
  <c r="S37" i="7" a="1"/>
  <c r="S37" i="7" s="1"/>
  <c r="L38" i="7" a="1"/>
  <c r="L38" i="7" s="1"/>
  <c r="U38" i="7" a="1"/>
  <c r="U38" i="7" s="1"/>
  <c r="M39" i="7" a="1"/>
  <c r="M39" i="7" s="1"/>
  <c r="W39" i="7" a="1"/>
  <c r="W39" i="7" s="1"/>
  <c r="F40" i="7" a="1"/>
  <c r="F40" i="7" s="1"/>
  <c r="X40" i="7" a="1"/>
  <c r="X40" i="7" s="1"/>
  <c r="Q41" i="7" a="1"/>
  <c r="Q41" i="7" s="1"/>
  <c r="Z41" i="7" a="1"/>
  <c r="Z41" i="7" s="1"/>
  <c r="S42" i="7" a="1"/>
  <c r="S42" i="7" s="1"/>
  <c r="L43" i="7" a="1"/>
  <c r="L43" i="7" s="1"/>
  <c r="T43" i="7" a="1"/>
  <c r="T43" i="7" s="1"/>
  <c r="D44" i="7" a="1"/>
  <c r="D44" i="7" s="1"/>
  <c r="M44" i="7" a="1"/>
  <c r="M44" i="7" s="1"/>
  <c r="V44" i="7" a="1"/>
  <c r="V44" i="7" s="1"/>
  <c r="F45" i="7" a="1"/>
  <c r="F45" i="7" s="1"/>
  <c r="O45" i="7" a="1"/>
  <c r="O45" i="7" s="1"/>
  <c r="G46" i="7" a="1"/>
  <c r="G46" i="7" s="1"/>
  <c r="P46" i="7" a="1"/>
  <c r="P46" i="7" s="1"/>
  <c r="Y46" i="7" a="1"/>
  <c r="Y46" i="7" s="1"/>
  <c r="I47" i="7" a="1"/>
  <c r="I47" i="7" s="1"/>
  <c r="S47" i="7" a="1"/>
  <c r="S47" i="7" s="1"/>
  <c r="C48" i="7" a="1"/>
  <c r="C48" i="7" s="1"/>
  <c r="L48" i="7" a="1"/>
  <c r="L48" i="7" s="1"/>
  <c r="U48" i="7" a="1"/>
  <c r="U48" i="7" s="1"/>
  <c r="E49" i="7" a="1"/>
  <c r="E49" i="7" s="1"/>
  <c r="W49" i="7" a="1"/>
  <c r="W49" i="7" s="1"/>
  <c r="G50" i="7" a="1"/>
  <c r="G50" i="7" s="1"/>
  <c r="P50" i="7" a="1"/>
  <c r="P50" i="7" s="1"/>
  <c r="I51" i="7" a="1"/>
  <c r="I51" i="7" s="1"/>
  <c r="B52" i="7" a="1"/>
  <c r="B52" i="7" s="1"/>
  <c r="L52" i="7" a="1"/>
  <c r="L52" i="7" s="1"/>
  <c r="X52" i="7" a="1"/>
  <c r="X52" i="7" s="1"/>
  <c r="K53" i="7" a="1"/>
  <c r="K53" i="7" s="1"/>
  <c r="W53" i="7" a="1"/>
  <c r="W53" i="7" s="1"/>
  <c r="J54" i="7" a="1"/>
  <c r="J54" i="7" s="1"/>
  <c r="V54" i="7" a="1"/>
  <c r="V54" i="7" s="1"/>
  <c r="I55" i="7" a="1"/>
  <c r="I55" i="7" s="1"/>
  <c r="U55" i="7" a="1"/>
  <c r="U55" i="7" s="1"/>
  <c r="H56" i="7" a="1"/>
  <c r="H56" i="7" s="1"/>
  <c r="T56" i="7" a="1"/>
  <c r="T56" i="7" s="1"/>
  <c r="G57" i="7" a="1"/>
  <c r="G57" i="7" s="1"/>
  <c r="S57" i="7" a="1"/>
  <c r="S57" i="7" s="1"/>
  <c r="F58" i="7" a="1"/>
  <c r="F58" i="7" s="1"/>
  <c r="R58" i="7" a="1"/>
  <c r="R58" i="7" s="1"/>
  <c r="E59" i="7" a="1"/>
  <c r="E59" i="7" s="1"/>
  <c r="Q59" i="7" a="1"/>
  <c r="Q59" i="7" s="1"/>
  <c r="D60" i="7" a="1"/>
  <c r="D60" i="7" s="1"/>
  <c r="P60" i="7" a="1"/>
  <c r="P60" i="7" s="1"/>
  <c r="C61" i="7" a="1"/>
  <c r="C61" i="7" s="1"/>
  <c r="E19" i="7" a="1"/>
  <c r="E19" i="7" s="1"/>
  <c r="Q23" i="7" a="1"/>
  <c r="Q23" i="7" s="1"/>
  <c r="U27" i="7" a="1"/>
  <c r="U27" i="7" s="1"/>
  <c r="E31" i="7" a="1"/>
  <c r="E31" i="7" s="1"/>
  <c r="I32" i="7" a="1"/>
  <c r="I32" i="7" s="1"/>
  <c r="Z33" i="7" a="1"/>
  <c r="Z33" i="7" s="1"/>
  <c r="Q34" i="7" a="1"/>
  <c r="Q34" i="7" s="1"/>
  <c r="N35" i="7" a="1"/>
  <c r="N35" i="7" s="1"/>
  <c r="G36" i="7" a="1"/>
  <c r="G36" i="7" s="1"/>
  <c r="Q36" i="7" a="1"/>
  <c r="Q36" i="7" s="1"/>
  <c r="B37" i="7" a="1"/>
  <c r="B37" i="7" s="1"/>
  <c r="K37" i="7" a="1"/>
  <c r="K37" i="7" s="1"/>
  <c r="T37" i="7" a="1"/>
  <c r="T37" i="7" s="1"/>
  <c r="C38" i="7" a="1"/>
  <c r="C38" i="7" s="1"/>
  <c r="M38" i="7" a="1"/>
  <c r="M38" i="7" s="1"/>
  <c r="V38" i="7" a="1"/>
  <c r="V38" i="7" s="1"/>
  <c r="E39" i="7" a="1"/>
  <c r="E39" i="7" s="1"/>
  <c r="N39" i="7" a="1"/>
  <c r="N39" i="7" s="1"/>
  <c r="G40" i="7" a="1"/>
  <c r="G40" i="7" s="1"/>
  <c r="P40" i="7" a="1"/>
  <c r="P40" i="7" s="1"/>
  <c r="I41" i="7" a="1"/>
  <c r="I41" i="7" s="1"/>
  <c r="R41" i="7" a="1"/>
  <c r="R41" i="7" s="1"/>
  <c r="J42" i="7" a="1"/>
  <c r="J42" i="7" s="1"/>
  <c r="T42" i="7" a="1"/>
  <c r="T42" i="7" s="1"/>
  <c r="C43" i="7" a="1"/>
  <c r="C43" i="7" s="1"/>
  <c r="U43" i="7" a="1"/>
  <c r="U43" i="7" s="1"/>
  <c r="E44" i="7" a="1"/>
  <c r="E44" i="7" s="1"/>
  <c r="N44" i="7" a="1"/>
  <c r="N44" i="7" s="1"/>
  <c r="X45" i="7" a="1"/>
  <c r="X45" i="7" s="1"/>
  <c r="H46" i="7" a="1"/>
  <c r="H46" i="7" s="1"/>
  <c r="Z46" i="7" a="1"/>
  <c r="Z46" i="7" s="1"/>
  <c r="J47" i="7" a="1"/>
  <c r="J47" i="7" s="1"/>
  <c r="M48" i="7" a="1"/>
  <c r="M48" i="7" s="1"/>
  <c r="F49" i="7" a="1"/>
  <c r="F49" i="7" s="1"/>
  <c r="N49" i="7" a="1"/>
  <c r="N49" i="7" s="1"/>
  <c r="X49" i="7" a="1"/>
  <c r="X49" i="7" s="1"/>
  <c r="H50" i="7" a="1"/>
  <c r="H50" i="7" s="1"/>
  <c r="Y50" i="7" a="1"/>
  <c r="Y50" i="7" s="1"/>
  <c r="R51" i="7" a="1"/>
  <c r="R51" i="7" s="1"/>
  <c r="M52" i="7" a="1"/>
  <c r="M52" i="7" s="1"/>
  <c r="Y52" i="7" a="1"/>
  <c r="Y52" i="7" s="1"/>
  <c r="L53" i="7" a="1"/>
  <c r="L53" i="7" s="1"/>
  <c r="X53" i="7" a="1"/>
  <c r="X53" i="7" s="1"/>
  <c r="K54" i="7" a="1"/>
  <c r="K54" i="7" s="1"/>
  <c r="W54" i="7" a="1"/>
  <c r="W54" i="7" s="1"/>
  <c r="J55" i="7" a="1"/>
  <c r="J55" i="7" s="1"/>
  <c r="V55" i="7" a="1"/>
  <c r="V55" i="7" s="1"/>
  <c r="I56" i="7" a="1"/>
  <c r="I56" i="7" s="1"/>
  <c r="U56" i="7" a="1"/>
  <c r="U56" i="7" s="1"/>
  <c r="H57" i="7" a="1"/>
  <c r="H57" i="7" s="1"/>
  <c r="T57" i="7" a="1"/>
  <c r="T57" i="7" s="1"/>
  <c r="G58" i="7" a="1"/>
  <c r="G58" i="7" s="1"/>
  <c r="S58" i="7" a="1"/>
  <c r="S58" i="7" s="1"/>
  <c r="F59" i="7" a="1"/>
  <c r="F59" i="7" s="1"/>
  <c r="R59" i="7" a="1"/>
  <c r="R59" i="7" s="1"/>
  <c r="E60" i="7" a="1"/>
  <c r="E60" i="7" s="1"/>
  <c r="Q60" i="7" a="1"/>
  <c r="Q60" i="7" s="1"/>
  <c r="D61" i="7" a="1"/>
  <c r="D61" i="7" s="1"/>
  <c r="P61" i="7" a="1"/>
  <c r="P61" i="7" s="1"/>
  <c r="O19" i="7" a="1"/>
  <c r="O19" i="7" s="1"/>
  <c r="B24" i="7" a="1"/>
  <c r="B24" i="7" s="1"/>
  <c r="E28" i="7" a="1"/>
  <c r="E28" i="7" s="1"/>
  <c r="I33" i="7" a="1"/>
  <c r="I33" i="7" s="1"/>
  <c r="B34" i="7" a="1"/>
  <c r="B34" i="7" s="1"/>
  <c r="R34" i="7" a="1"/>
  <c r="R34" i="7" s="1"/>
  <c r="D35" i="7" a="1"/>
  <c r="D35" i="7" s="1"/>
  <c r="O35" i="7" a="1"/>
  <c r="O35" i="7" s="1"/>
  <c r="W35" i="7" a="1"/>
  <c r="W35" i="7" s="1"/>
  <c r="H36" i="7" a="1"/>
  <c r="H36" i="7" s="1"/>
  <c r="R36" i="7" a="1"/>
  <c r="R36" i="7" s="1"/>
  <c r="L37" i="7" a="1"/>
  <c r="L37" i="7" s="1"/>
  <c r="U37" i="7" a="1"/>
  <c r="U37" i="7" s="1"/>
  <c r="D38" i="7" a="1"/>
  <c r="D38" i="7" s="1"/>
  <c r="F39" i="7" a="1"/>
  <c r="F39" i="7" s="1"/>
  <c r="O39" i="7" a="1"/>
  <c r="O39" i="7" s="1"/>
  <c r="X39" i="7" a="1"/>
  <c r="X39" i="7" s="1"/>
  <c r="H40" i="7" a="1"/>
  <c r="H40" i="7" s="1"/>
  <c r="Q40" i="7" a="1"/>
  <c r="Q40" i="7" s="1"/>
  <c r="Y40" i="7" a="1"/>
  <c r="Y40" i="7" s="1"/>
  <c r="J41" i="7" a="1"/>
  <c r="J41" i="7" s="1"/>
  <c r="S41" i="7" a="1"/>
  <c r="S41" i="7" s="1"/>
  <c r="B42" i="7" a="1"/>
  <c r="B42" i="7" s="1"/>
  <c r="K42" i="7" a="1"/>
  <c r="K42" i="7" s="1"/>
  <c r="D43" i="7" a="1"/>
  <c r="D43" i="7" s="1"/>
  <c r="M43" i="7" a="1"/>
  <c r="M43" i="7" s="1"/>
  <c r="O44" i="7" a="1"/>
  <c r="O44" i="7" s="1"/>
  <c r="W44" i="7" a="1"/>
  <c r="W44" i="7" s="1"/>
  <c r="G45" i="7" a="1"/>
  <c r="G45" i="7" s="1"/>
  <c r="P45" i="7" a="1"/>
  <c r="P45" i="7" s="1"/>
  <c r="I46" i="7" a="1"/>
  <c r="I46" i="7" s="1"/>
  <c r="Q46" i="7" a="1"/>
  <c r="Q46" i="7" s="1"/>
  <c r="B47" i="7" a="1"/>
  <c r="B47" i="7" s="1"/>
  <c r="K47" i="7" a="1"/>
  <c r="K47" i="7" s="1"/>
  <c r="T47" i="7" a="1"/>
  <c r="T47" i="7" s="1"/>
  <c r="D48" i="7" a="1"/>
  <c r="D48" i="7" s="1"/>
  <c r="N48" i="7" a="1"/>
  <c r="N48" i="7" s="1"/>
  <c r="V48" i="7" a="1"/>
  <c r="V48" i="7" s="1"/>
  <c r="G49" i="7" a="1"/>
  <c r="G49" i="7" s="1"/>
  <c r="O49" i="7" a="1"/>
  <c r="O49" i="7" s="1"/>
  <c r="I50" i="7" a="1"/>
  <c r="I50" i="7" s="1"/>
  <c r="Q50" i="7" a="1"/>
  <c r="Q50" i="7" s="1"/>
  <c r="J51" i="7" a="1"/>
  <c r="J51" i="7" s="1"/>
  <c r="S51" i="7" a="1"/>
  <c r="S51" i="7" s="1"/>
  <c r="C52" i="7" a="1"/>
  <c r="C52" i="7" s="1"/>
  <c r="N52" i="7" a="1"/>
  <c r="N52" i="7" s="1"/>
  <c r="Z52" i="7" a="1"/>
  <c r="Z52" i="7" s="1"/>
  <c r="M53" i="7" a="1"/>
  <c r="M53" i="7" s="1"/>
  <c r="Y53" i="7" a="1"/>
  <c r="Y53" i="7" s="1"/>
  <c r="L54" i="7" a="1"/>
  <c r="L54" i="7" s="1"/>
  <c r="X54" i="7" a="1"/>
  <c r="X54" i="7" s="1"/>
  <c r="K55" i="7" a="1"/>
  <c r="K55" i="7" s="1"/>
  <c r="W55" i="7" a="1"/>
  <c r="W55" i="7" s="1"/>
  <c r="J56" i="7" a="1"/>
  <c r="J56" i="7" s="1"/>
  <c r="V56" i="7" a="1"/>
  <c r="V56" i="7" s="1"/>
  <c r="I57" i="7" a="1"/>
  <c r="I57" i="7" s="1"/>
  <c r="U57" i="7" a="1"/>
  <c r="U57" i="7" s="1"/>
  <c r="H58" i="7" a="1"/>
  <c r="H58" i="7" s="1"/>
  <c r="T58" i="7" a="1"/>
  <c r="T58" i="7" s="1"/>
  <c r="G59" i="7" a="1"/>
  <c r="G59" i="7" s="1"/>
  <c r="S59" i="7" a="1"/>
  <c r="S59" i="7" s="1"/>
  <c r="F60" i="7" a="1"/>
  <c r="F60" i="7" s="1"/>
  <c r="R60" i="7" a="1"/>
  <c r="R60" i="7" s="1"/>
  <c r="E61" i="7" a="1"/>
  <c r="E61" i="7" s="1"/>
  <c r="Q61" i="7" a="1"/>
  <c r="Q61" i="7" s="1"/>
  <c r="D62" i="7" a="1"/>
  <c r="D62" i="7" s="1"/>
  <c r="P62" i="7" a="1"/>
  <c r="P62" i="7" s="1"/>
  <c r="C63" i="7" a="1"/>
  <c r="C63" i="7" s="1"/>
  <c r="X19" i="7" a="1"/>
  <c r="X19" i="7" s="1"/>
  <c r="K24" i="7" a="1"/>
  <c r="K24" i="7" s="1"/>
  <c r="N28" i="7" a="1"/>
  <c r="N28" i="7" s="1"/>
  <c r="G31" i="7" a="1"/>
  <c r="G31" i="7" s="1"/>
  <c r="O32" i="7" a="1"/>
  <c r="O32" i="7" s="1"/>
  <c r="J33" i="7" a="1"/>
  <c r="J33" i="7" s="1"/>
  <c r="E35" i="7" a="1"/>
  <c r="E35" i="7" s="1"/>
  <c r="Z35" i="7" a="1"/>
  <c r="Z35" i="7" s="1"/>
  <c r="I36" i="7" a="1"/>
  <c r="I36" i="7" s="1"/>
  <c r="S36" i="7" a="1"/>
  <c r="S36" i="7" s="1"/>
  <c r="C37" i="7" a="1"/>
  <c r="C37" i="7" s="1"/>
  <c r="E38" i="7" a="1"/>
  <c r="E38" i="7" s="1"/>
  <c r="N38" i="7" a="1"/>
  <c r="N38" i="7" s="1"/>
  <c r="W38" i="7" a="1"/>
  <c r="W38" i="7" s="1"/>
  <c r="G39" i="7" a="1"/>
  <c r="G39" i="7" s="1"/>
  <c r="P39" i="7" a="1"/>
  <c r="P39" i="7" s="1"/>
  <c r="Y39" i="7" a="1"/>
  <c r="Y39" i="7" s="1"/>
  <c r="I40" i="7" a="1"/>
  <c r="I40" i="7" s="1"/>
  <c r="R40" i="7" a="1"/>
  <c r="R40" i="7" s="1"/>
  <c r="Z40" i="7" a="1"/>
  <c r="Z40" i="7" s="1"/>
  <c r="C42" i="7" a="1"/>
  <c r="C42" i="7" s="1"/>
  <c r="L42" i="7" a="1"/>
  <c r="L42" i="7" s="1"/>
  <c r="U42" i="7" a="1"/>
  <c r="U42" i="7" s="1"/>
  <c r="E43" i="7" a="1"/>
  <c r="E43" i="7" s="1"/>
  <c r="N43" i="7" a="1"/>
  <c r="N43" i="7" s="1"/>
  <c r="V43" i="7" a="1"/>
  <c r="V43" i="7" s="1"/>
  <c r="F44" i="7" a="1"/>
  <c r="F44" i="7" s="1"/>
  <c r="P44" i="7" a="1"/>
  <c r="P44" i="7" s="1"/>
  <c r="H45" i="7" a="1"/>
  <c r="H45" i="7" s="1"/>
  <c r="Q45" i="7" a="1"/>
  <c r="Q45" i="7" s="1"/>
  <c r="Y45" i="7" a="1"/>
  <c r="Y45" i="7" s="1"/>
  <c r="J46" i="7" a="1"/>
  <c r="J46" i="7" s="1"/>
  <c r="R46" i="7" a="1"/>
  <c r="R46" i="7" s="1"/>
  <c r="L47" i="7" a="1"/>
  <c r="L47" i="7" s="1"/>
  <c r="E48" i="7" a="1"/>
  <c r="E48" i="7" s="1"/>
  <c r="W48" i="7" a="1"/>
  <c r="W48" i="7" s="1"/>
  <c r="H49" i="7" a="1"/>
  <c r="H49" i="7" s="1"/>
  <c r="Y49" i="7" a="1"/>
  <c r="Y49" i="7" s="1"/>
  <c r="J50" i="7" a="1"/>
  <c r="J50" i="7" s="1"/>
  <c r="Z50" i="7" a="1"/>
  <c r="Z50" i="7" s="1"/>
  <c r="K51" i="7" a="1"/>
  <c r="K51" i="7" s="1"/>
  <c r="T51" i="7" a="1"/>
  <c r="T51" i="7" s="1"/>
  <c r="D52" i="7" a="1"/>
  <c r="D52" i="7" s="1"/>
  <c r="O52" i="7" a="1"/>
  <c r="O52" i="7" s="1"/>
  <c r="B53" i="7" a="1"/>
  <c r="B53" i="7" s="1"/>
  <c r="N53" i="7" a="1"/>
  <c r="N53" i="7" s="1"/>
  <c r="Z53" i="7" a="1"/>
  <c r="Z53" i="7" s="1"/>
  <c r="M54" i="7" a="1"/>
  <c r="M54" i="7" s="1"/>
  <c r="Y54" i="7" a="1"/>
  <c r="Y54" i="7" s="1"/>
  <c r="L55" i="7" a="1"/>
  <c r="L55" i="7" s="1"/>
  <c r="X55" i="7" a="1"/>
  <c r="X55" i="7" s="1"/>
  <c r="K56" i="7" a="1"/>
  <c r="K56" i="7" s="1"/>
  <c r="W56" i="7" a="1"/>
  <c r="W56" i="7" s="1"/>
  <c r="J57" i="7" a="1"/>
  <c r="J57" i="7" s="1"/>
  <c r="V57" i="7" a="1"/>
  <c r="V57" i="7" s="1"/>
  <c r="I58" i="7" a="1"/>
  <c r="I58" i="7" s="1"/>
  <c r="U58" i="7" a="1"/>
  <c r="U58" i="7" s="1"/>
  <c r="H59" i="7" a="1"/>
  <c r="H59" i="7" s="1"/>
  <c r="T59" i="7" a="1"/>
  <c r="T59" i="7" s="1"/>
  <c r="G60" i="7" a="1"/>
  <c r="G60" i="7" s="1"/>
  <c r="S60" i="7" a="1"/>
  <c r="S60" i="7" s="1"/>
  <c r="F61" i="7" a="1"/>
  <c r="F61" i="7" s="1"/>
  <c r="R61" i="7" a="1"/>
  <c r="R61" i="7" s="1"/>
  <c r="E62" i="7" a="1"/>
  <c r="E62" i="7" s="1"/>
  <c r="Q62" i="7" a="1"/>
  <c r="Q62" i="7" s="1"/>
  <c r="D63" i="7" a="1"/>
  <c r="D63" i="7" s="1"/>
  <c r="I20" i="7" a="1"/>
  <c r="I20" i="7" s="1"/>
  <c r="U24" i="7" a="1"/>
  <c r="U24" i="7" s="1"/>
  <c r="N31" i="7" a="1"/>
  <c r="N31" i="7" s="1"/>
  <c r="P32" i="7" a="1"/>
  <c r="P32" i="7" s="1"/>
  <c r="C34" i="7" a="1"/>
  <c r="C34" i="7" s="1"/>
  <c r="T34" i="7" a="1"/>
  <c r="T34" i="7" s="1"/>
  <c r="F35" i="7" a="1"/>
  <c r="F35" i="7" s="1"/>
  <c r="P35" i="7" a="1"/>
  <c r="P35" i="7" s="1"/>
  <c r="B36" i="7" a="1"/>
  <c r="B36" i="7" s="1"/>
  <c r="J36" i="7" a="1"/>
  <c r="J36" i="7" s="1"/>
  <c r="T36" i="7" a="1"/>
  <c r="T36" i="7" s="1"/>
  <c r="D37" i="7" a="1"/>
  <c r="D37" i="7" s="1"/>
  <c r="M37" i="7" a="1"/>
  <c r="M37" i="7" s="1"/>
  <c r="V37" i="7" a="1"/>
  <c r="V37" i="7" s="1"/>
  <c r="F38" i="7" a="1"/>
  <c r="F38" i="7" s="1"/>
  <c r="O38" i="7" a="1"/>
  <c r="O38" i="7" s="1"/>
  <c r="X38" i="7" a="1"/>
  <c r="X38" i="7" s="1"/>
  <c r="Q39" i="7" a="1"/>
  <c r="Q39" i="7" s="1"/>
  <c r="B41" i="7" a="1"/>
  <c r="B41" i="7" s="1"/>
  <c r="K41" i="7" a="1"/>
  <c r="K41" i="7" s="1"/>
  <c r="T41" i="7" a="1"/>
  <c r="T41" i="7" s="1"/>
  <c r="D42" i="7" a="1"/>
  <c r="D42" i="7" s="1"/>
  <c r="M42" i="7" a="1"/>
  <c r="M42" i="7" s="1"/>
  <c r="V42" i="7" a="1"/>
  <c r="V42" i="7" s="1"/>
  <c r="F43" i="7" a="1"/>
  <c r="F43" i="7" s="1"/>
  <c r="O43" i="7" a="1"/>
  <c r="O43" i="7" s="1"/>
  <c r="W43" i="7" a="1"/>
  <c r="W43" i="7" s="1"/>
  <c r="G44" i="7" a="1"/>
  <c r="G44" i="7" s="1"/>
  <c r="X44" i="7" a="1"/>
  <c r="X44" i="7" s="1"/>
  <c r="I45" i="7" a="1"/>
  <c r="I45" i="7" s="1"/>
  <c r="Z45" i="7" a="1"/>
  <c r="Z45" i="7" s="1"/>
  <c r="K46" i="7" a="1"/>
  <c r="K46" i="7" s="1"/>
  <c r="C47" i="7" a="1"/>
  <c r="C47" i="7" s="1"/>
  <c r="M47" i="7" a="1"/>
  <c r="M47" i="7" s="1"/>
  <c r="U47" i="7" a="1"/>
  <c r="U47" i="7" s="1"/>
  <c r="F48" i="7" a="1"/>
  <c r="F48" i="7" s="1"/>
  <c r="O48" i="7" a="1"/>
  <c r="O48" i="7" s="1"/>
  <c r="X48" i="7" a="1"/>
  <c r="X48" i="7" s="1"/>
  <c r="P49" i="7" a="1"/>
  <c r="P49" i="7" s="1"/>
  <c r="Z49" i="7" a="1"/>
  <c r="Z49" i="7" s="1"/>
  <c r="R50" i="7" a="1"/>
  <c r="R50" i="7" s="1"/>
  <c r="B51" i="7" a="1"/>
  <c r="B51" i="7" s="1"/>
  <c r="U51" i="7" a="1"/>
  <c r="U51" i="7" s="1"/>
  <c r="E52" i="7" a="1"/>
  <c r="E52" i="7" s="1"/>
  <c r="P52" i="7" a="1"/>
  <c r="P52" i="7" s="1"/>
  <c r="C53" i="7" a="1"/>
  <c r="C53" i="7" s="1"/>
  <c r="O53" i="7" a="1"/>
  <c r="O53" i="7" s="1"/>
  <c r="B54" i="7" a="1"/>
  <c r="B54" i="7" s="1"/>
  <c r="N54" i="7" a="1"/>
  <c r="N54" i="7" s="1"/>
  <c r="Z54" i="7" a="1"/>
  <c r="Z54" i="7" s="1"/>
  <c r="M55" i="7" a="1"/>
  <c r="M55" i="7" s="1"/>
  <c r="Y55" i="7" a="1"/>
  <c r="Y55" i="7" s="1"/>
  <c r="L56" i="7" a="1"/>
  <c r="L56" i="7" s="1"/>
  <c r="X56" i="7" a="1"/>
  <c r="X56" i="7" s="1"/>
  <c r="K57" i="7" a="1"/>
  <c r="K57" i="7" s="1"/>
  <c r="W57" i="7" a="1"/>
  <c r="W57" i="7" s="1"/>
  <c r="J58" i="7" a="1"/>
  <c r="J58" i="7" s="1"/>
  <c r="V58" i="7" a="1"/>
  <c r="V58" i="7" s="1"/>
  <c r="I59" i="7" a="1"/>
  <c r="I59" i="7" s="1"/>
  <c r="U59" i="7" a="1"/>
  <c r="U59" i="7" s="1"/>
  <c r="H60" i="7" a="1"/>
  <c r="H60" i="7" s="1"/>
  <c r="T60" i="7" a="1"/>
  <c r="T60" i="7" s="1"/>
  <c r="G61" i="7" a="1"/>
  <c r="G61" i="7" s="1"/>
  <c r="S61" i="7" a="1"/>
  <c r="S61" i="7" s="1"/>
  <c r="F62" i="7" a="1"/>
  <c r="F62" i="7" s="1"/>
  <c r="R62" i="7" a="1"/>
  <c r="R62" i="7" s="1"/>
  <c r="E63" i="7" a="1"/>
  <c r="E63" i="7" s="1"/>
  <c r="Q63" i="7" a="1"/>
  <c r="Q63" i="7" s="1"/>
  <c r="R20" i="7" a="1"/>
  <c r="R20" i="7" s="1"/>
  <c r="E29" i="7" a="1"/>
  <c r="E29" i="7" s="1"/>
  <c r="R32" i="7" a="1"/>
  <c r="R32" i="7" s="1"/>
  <c r="N33" i="7" a="1"/>
  <c r="N33" i="7" s="1"/>
  <c r="G34" i="7" a="1"/>
  <c r="G34" i="7" s="1"/>
  <c r="U34" i="7" a="1"/>
  <c r="U34" i="7" s="1"/>
  <c r="R35" i="7" a="1"/>
  <c r="R35" i="7" s="1"/>
  <c r="K36" i="7" a="1"/>
  <c r="K36" i="7" s="1"/>
  <c r="U36" i="7" a="1"/>
  <c r="U36" i="7" s="1"/>
  <c r="E37" i="7" a="1"/>
  <c r="E37" i="7" s="1"/>
  <c r="N37" i="7" a="1"/>
  <c r="N37" i="7" s="1"/>
  <c r="W37" i="7" a="1"/>
  <c r="W37" i="7" s="1"/>
  <c r="P38" i="7" a="1"/>
  <c r="P38" i="7" s="1"/>
  <c r="H39" i="7" a="1"/>
  <c r="H39" i="7" s="1"/>
  <c r="Z39" i="7" a="1"/>
  <c r="Z39" i="7" s="1"/>
  <c r="J40" i="7" a="1"/>
  <c r="J40" i="7" s="1"/>
  <c r="S40" i="7" a="1"/>
  <c r="S40" i="7" s="1"/>
  <c r="C41" i="7" a="1"/>
  <c r="C41" i="7" s="1"/>
  <c r="L41" i="7" a="1"/>
  <c r="L41" i="7" s="1"/>
  <c r="U41" i="7" a="1"/>
  <c r="U41" i="7" s="1"/>
  <c r="N42" i="7" a="1"/>
  <c r="N42" i="7" s="1"/>
  <c r="X43" i="7" a="1"/>
  <c r="X43" i="7" s="1"/>
  <c r="Q44" i="7" a="1"/>
  <c r="Q44" i="7" s="1"/>
  <c r="Y44" i="7" a="1"/>
  <c r="Y44" i="7" s="1"/>
  <c r="J45" i="7" a="1"/>
  <c r="J45" i="7" s="1"/>
  <c r="R45" i="7" a="1"/>
  <c r="R45" i="7" s="1"/>
  <c r="B46" i="7" a="1"/>
  <c r="B46" i="7" s="1"/>
  <c r="S46" i="7" a="1"/>
  <c r="S46" i="7" s="1"/>
  <c r="D47" i="7" a="1"/>
  <c r="D47" i="7" s="1"/>
  <c r="V47" i="7" a="1"/>
  <c r="V47" i="7" s="1"/>
  <c r="G48" i="7" a="1"/>
  <c r="G48" i="7" s="1"/>
  <c r="P48" i="7" a="1"/>
  <c r="P48" i="7" s="1"/>
  <c r="Y48" i="7" a="1"/>
  <c r="Y48" i="7" s="1"/>
  <c r="I49" i="7" a="1"/>
  <c r="I49" i="7" s="1"/>
  <c r="Q49" i="7" a="1"/>
  <c r="Q49" i="7" s="1"/>
  <c r="K50" i="7" a="1"/>
  <c r="K50" i="7" s="1"/>
  <c r="S50" i="7" a="1"/>
  <c r="S50" i="7" s="1"/>
  <c r="C51" i="7" a="1"/>
  <c r="C51" i="7" s="1"/>
  <c r="L51" i="7" a="1"/>
  <c r="L51" i="7" s="1"/>
  <c r="V51" i="7" a="1"/>
  <c r="V51" i="7" s="1"/>
  <c r="Q52" i="7" a="1"/>
  <c r="Q52" i="7" s="1"/>
  <c r="D53" i="7" a="1"/>
  <c r="D53" i="7" s="1"/>
  <c r="P53" i="7" a="1"/>
  <c r="P53" i="7" s="1"/>
  <c r="C54" i="7" a="1"/>
  <c r="C54" i="7" s="1"/>
  <c r="O54" i="7" a="1"/>
  <c r="O54" i="7" s="1"/>
  <c r="B55" i="7" a="1"/>
  <c r="B55" i="7" s="1"/>
  <c r="N55" i="7" a="1"/>
  <c r="N55" i="7" s="1"/>
  <c r="Z55" i="7" a="1"/>
  <c r="Z55" i="7" s="1"/>
  <c r="M56" i="7" a="1"/>
  <c r="M56" i="7" s="1"/>
  <c r="Y56" i="7" a="1"/>
  <c r="Y56" i="7" s="1"/>
  <c r="L57" i="7" a="1"/>
  <c r="L57" i="7" s="1"/>
  <c r="X57" i="7" a="1"/>
  <c r="X57" i="7" s="1"/>
  <c r="K58" i="7" a="1"/>
  <c r="K58" i="7" s="1"/>
  <c r="W58" i="7" a="1"/>
  <c r="W58" i="7" s="1"/>
  <c r="J59" i="7" a="1"/>
  <c r="J59" i="7" s="1"/>
  <c r="V59" i="7" a="1"/>
  <c r="V59" i="7" s="1"/>
  <c r="I60" i="7" a="1"/>
  <c r="I60" i="7" s="1"/>
  <c r="U60" i="7" a="1"/>
  <c r="U60" i="7" s="1"/>
  <c r="H61" i="7" a="1"/>
  <c r="H61" i="7" s="1"/>
  <c r="T61" i="7" a="1"/>
  <c r="T61" i="7" s="1"/>
  <c r="G62" i="7" a="1"/>
  <c r="G62" i="7" s="1"/>
  <c r="S62" i="7" a="1"/>
  <c r="S62" i="7" s="1"/>
  <c r="F63" i="7" a="1"/>
  <c r="F63" i="7" s="1"/>
  <c r="R63" i="7" a="1"/>
  <c r="R63" i="7" s="1"/>
  <c r="E64" i="7" a="1"/>
  <c r="E64" i="7" s="1"/>
  <c r="C21" i="7" a="1"/>
  <c r="C21" i="7" s="1"/>
  <c r="L25" i="7" a="1"/>
  <c r="L25" i="7" s="1"/>
  <c r="P31" i="7" a="1"/>
  <c r="P31" i="7" s="1"/>
  <c r="Q33" i="7" a="1"/>
  <c r="Q33" i="7" s="1"/>
  <c r="G35" i="7" a="1"/>
  <c r="G35" i="7" s="1"/>
  <c r="C36" i="7" a="1"/>
  <c r="C36" i="7" s="1"/>
  <c r="L36" i="7" a="1"/>
  <c r="L36" i="7" s="1"/>
  <c r="V36" i="7" a="1"/>
  <c r="V36" i="7" s="1"/>
  <c r="G38" i="7" a="1"/>
  <c r="G38" i="7" s="1"/>
  <c r="Y38" i="7" a="1"/>
  <c r="Y38" i="7" s="1"/>
  <c r="I39" i="7" a="1"/>
  <c r="I39" i="7" s="1"/>
  <c r="R39" i="7" a="1"/>
  <c r="R39" i="7" s="1"/>
  <c r="B40" i="7" a="1"/>
  <c r="B40" i="7" s="1"/>
  <c r="K40" i="7" a="1"/>
  <c r="K40" i="7" s="1"/>
  <c r="T40" i="7" a="1"/>
  <c r="T40" i="7" s="1"/>
  <c r="M41" i="7" a="1"/>
  <c r="M41" i="7" s="1"/>
  <c r="E42" i="7" a="1"/>
  <c r="E42" i="7" s="1"/>
  <c r="W42" i="7" a="1"/>
  <c r="W42" i="7" s="1"/>
  <c r="G43" i="7" a="1"/>
  <c r="G43" i="7" s="1"/>
  <c r="P43" i="7" a="1"/>
  <c r="P43" i="7" s="1"/>
  <c r="Y43" i="7" a="1"/>
  <c r="Y43" i="7" s="1"/>
  <c r="H44" i="7" a="1"/>
  <c r="H44" i="7" s="1"/>
  <c r="R44" i="7" a="1"/>
  <c r="R44" i="7" s="1"/>
  <c r="Z44" i="7" a="1"/>
  <c r="Z44" i="7" s="1"/>
  <c r="S45" i="7" a="1"/>
  <c r="S45" i="7" s="1"/>
  <c r="C46" i="7" a="1"/>
  <c r="C46" i="7" s="1"/>
  <c r="L46" i="7" a="1"/>
  <c r="L46" i="7" s="1"/>
  <c r="T46" i="7" a="1"/>
  <c r="T46" i="7" s="1"/>
  <c r="N47" i="7" a="1"/>
  <c r="N47" i="7" s="1"/>
  <c r="W47" i="7" a="1"/>
  <c r="W47" i="7" s="1"/>
  <c r="R49" i="7" a="1"/>
  <c r="R49" i="7" s="1"/>
  <c r="B50" i="7" a="1"/>
  <c r="B50" i="7" s="1"/>
  <c r="L50" i="7" a="1"/>
  <c r="L50" i="7" s="1"/>
  <c r="T50" i="7" a="1"/>
  <c r="T50" i="7" s="1"/>
  <c r="D51" i="7" a="1"/>
  <c r="D51" i="7" s="1"/>
  <c r="M51" i="7" a="1"/>
  <c r="M51" i="7" s="1"/>
  <c r="F52" i="7" a="1"/>
  <c r="F52" i="7" s="1"/>
  <c r="R52" i="7" a="1"/>
  <c r="R52" i="7" s="1"/>
  <c r="E53" i="7" a="1"/>
  <c r="E53" i="7" s="1"/>
  <c r="Q53" i="7" a="1"/>
  <c r="Q53" i="7" s="1"/>
  <c r="D54" i="7" a="1"/>
  <c r="D54" i="7" s="1"/>
  <c r="P54" i="7" a="1"/>
  <c r="P54" i="7" s="1"/>
  <c r="C55" i="7" a="1"/>
  <c r="C55" i="7" s="1"/>
  <c r="O55" i="7" a="1"/>
  <c r="O55" i="7" s="1"/>
  <c r="B56" i="7" a="1"/>
  <c r="B56" i="7" s="1"/>
  <c r="N56" i="7" a="1"/>
  <c r="N56" i="7" s="1"/>
  <c r="Z56" i="7" a="1"/>
  <c r="Z56" i="7" s="1"/>
  <c r="M57" i="7" a="1"/>
  <c r="M57" i="7" s="1"/>
  <c r="Y57" i="7" a="1"/>
  <c r="Y57" i="7" s="1"/>
  <c r="L58" i="7" a="1"/>
  <c r="L58" i="7" s="1"/>
  <c r="X58" i="7" a="1"/>
  <c r="X58" i="7" s="1"/>
  <c r="K59" i="7" a="1"/>
  <c r="K59" i="7" s="1"/>
  <c r="W59" i="7" a="1"/>
  <c r="W59" i="7" s="1"/>
  <c r="J60" i="7" a="1"/>
  <c r="J60" i="7" s="1"/>
  <c r="V60" i="7" a="1"/>
  <c r="V60" i="7" s="1"/>
  <c r="I61" i="7" a="1"/>
  <c r="I61" i="7" s="1"/>
  <c r="U61" i="7" a="1"/>
  <c r="U61" i="7" s="1"/>
  <c r="H62" i="7" a="1"/>
  <c r="H62" i="7" s="1"/>
  <c r="T62" i="7" a="1"/>
  <c r="T62" i="7" s="1"/>
  <c r="G63" i="7" a="1"/>
  <c r="G63" i="7" s="1"/>
  <c r="S63" i="7" a="1"/>
  <c r="S63" i="7" s="1"/>
  <c r="F64" i="7" a="1"/>
  <c r="F64" i="7" s="1"/>
  <c r="R64" i="7" a="1"/>
  <c r="R64" i="7" s="1"/>
  <c r="E65" i="7" a="1"/>
  <c r="E65" i="7" s="1"/>
  <c r="Q65" i="7" a="1"/>
  <c r="Q65" i="7" s="1"/>
  <c r="D66" i="7" a="1"/>
  <c r="D66" i="7" s="1"/>
  <c r="F74" i="5"/>
  <c r="E68" i="5"/>
  <c r="F61" i="5"/>
  <c r="E55" i="5"/>
  <c r="F48" i="5"/>
  <c r="F41" i="5"/>
  <c r="E35" i="5"/>
  <c r="F28" i="5"/>
  <c r="E22" i="5"/>
  <c r="F15" i="5"/>
  <c r="E9" i="5"/>
  <c r="I76" i="7" a="1"/>
  <c r="I76" i="7" s="1"/>
  <c r="Z75" i="7" a="1"/>
  <c r="Z75" i="7" s="1"/>
  <c r="I75" i="7" a="1"/>
  <c r="I75" i="7" s="1"/>
  <c r="Y74" i="7" a="1"/>
  <c r="Y74" i="7" s="1"/>
  <c r="R74" i="7" a="1"/>
  <c r="R74" i="7" s="1"/>
  <c r="I74" i="7" a="1"/>
  <c r="I74" i="7" s="1"/>
  <c r="Q73" i="7" a="1"/>
  <c r="Q73" i="7" s="1"/>
  <c r="I73" i="7" a="1"/>
  <c r="I73" i="7" s="1"/>
  <c r="P72" i="7" a="1"/>
  <c r="P72" i="7" s="1"/>
  <c r="I72" i="7" a="1"/>
  <c r="I72" i="7" s="1"/>
  <c r="O71" i="7" a="1"/>
  <c r="O71" i="7" s="1"/>
  <c r="C71" i="7" a="1"/>
  <c r="C71" i="7" s="1"/>
  <c r="P70" i="7" a="1"/>
  <c r="P70" i="7" s="1"/>
  <c r="D70" i="7" a="1"/>
  <c r="D70" i="7" s="1"/>
  <c r="Q69" i="7" a="1"/>
  <c r="Q69" i="7" s="1"/>
  <c r="E69" i="7" a="1"/>
  <c r="E69" i="7" s="1"/>
  <c r="R68" i="7" a="1"/>
  <c r="R68" i="7" s="1"/>
  <c r="F68" i="7" a="1"/>
  <c r="F68" i="7" s="1"/>
  <c r="S67" i="7" a="1"/>
  <c r="S67" i="7" s="1"/>
  <c r="G67" i="7" a="1"/>
  <c r="G67" i="7" s="1"/>
  <c r="T66" i="7" a="1"/>
  <c r="T66" i="7" s="1"/>
  <c r="H66" i="7" a="1"/>
  <c r="H66" i="7" s="1"/>
  <c r="T65" i="7" a="1"/>
  <c r="T65" i="7" s="1"/>
  <c r="G65" i="7" a="1"/>
  <c r="G65" i="7" s="1"/>
  <c r="S64" i="7" a="1"/>
  <c r="S64" i="7" s="1"/>
  <c r="C64" i="7" a="1"/>
  <c r="C64" i="7" s="1"/>
  <c r="L63" i="7" a="1"/>
  <c r="L63" i="7" s="1"/>
  <c r="L62" i="7" a="1"/>
  <c r="L62" i="7" s="1"/>
  <c r="R75" i="7" a="1"/>
  <c r="R75" i="7" s="1"/>
  <c r="X74" i="7" a="1"/>
  <c r="X74" i="7" s="1"/>
  <c r="Q74" i="7" a="1"/>
  <c r="Q74" i="7" s="1"/>
  <c r="X73" i="7" a="1"/>
  <c r="X73" i="7" s="1"/>
  <c r="P73" i="7" a="1"/>
  <c r="P73" i="7" s="1"/>
  <c r="X72" i="7" a="1"/>
  <c r="X72" i="7" s="1"/>
  <c r="O72" i="7" a="1"/>
  <c r="O72" i="7" s="1"/>
  <c r="H72" i="7" a="1"/>
  <c r="H72" i="7" s="1"/>
  <c r="X71" i="7" a="1"/>
  <c r="X71" i="7" s="1"/>
  <c r="N71" i="7" a="1"/>
  <c r="N71" i="7" s="1"/>
  <c r="B71" i="7" a="1"/>
  <c r="B71" i="7" s="1"/>
  <c r="O70" i="7" a="1"/>
  <c r="O70" i="7" s="1"/>
  <c r="C70" i="7" a="1"/>
  <c r="C70" i="7" s="1"/>
  <c r="P69" i="7" a="1"/>
  <c r="P69" i="7" s="1"/>
  <c r="D69" i="7" a="1"/>
  <c r="D69" i="7" s="1"/>
  <c r="Q68" i="7" a="1"/>
  <c r="Q68" i="7" s="1"/>
  <c r="E68" i="7" a="1"/>
  <c r="E68" i="7" s="1"/>
  <c r="R67" i="7" a="1"/>
  <c r="R67" i="7" s="1"/>
  <c r="F67" i="7" a="1"/>
  <c r="F67" i="7" s="1"/>
  <c r="S66" i="7" a="1"/>
  <c r="S66" i="7" s="1"/>
  <c r="G66" i="7" a="1"/>
  <c r="G66" i="7" s="1"/>
  <c r="S65" i="7" a="1"/>
  <c r="S65" i="7" s="1"/>
  <c r="F65" i="7" a="1"/>
  <c r="F65" i="7" s="1"/>
  <c r="Q64" i="7" a="1"/>
  <c r="Q64" i="7" s="1"/>
  <c r="B64" i="7" a="1"/>
  <c r="B64" i="7" s="1"/>
  <c r="K63" i="7" a="1"/>
  <c r="K63" i="7" s="1"/>
  <c r="K62" i="7" a="1"/>
  <c r="K62" i="7" s="1"/>
  <c r="C4" i="7" a="1"/>
  <c r="C4" i="7" s="1"/>
  <c r="M4" i="7" a="1"/>
  <c r="M4" i="7" s="1"/>
  <c r="X4" i="7" a="1"/>
  <c r="X4" i="7" s="1"/>
  <c r="K4" i="7" a="1"/>
  <c r="K4" i="7" s="1"/>
  <c r="R4" i="7" a="1"/>
  <c r="R4" i="7" s="1"/>
  <c r="F4" i="7" a="1"/>
  <c r="F4" i="7" s="1"/>
  <c r="W4" i="7" a="1"/>
  <c r="W4" i="7" s="1"/>
  <c r="J4" i="7" a="1"/>
  <c r="J4" i="7" s="1"/>
  <c r="S4" i="7" a="1"/>
  <c r="S4" i="7" s="1"/>
  <c r="G4" i="7" a="1"/>
  <c r="G4" i="7" s="1"/>
  <c r="P4" i="7" a="1"/>
  <c r="P4" i="7" s="1"/>
  <c r="D4" i="7" a="1"/>
  <c r="D4" i="7" s="1"/>
  <c r="Y4" i="7" a="1"/>
  <c r="Y4" i="7" s="1"/>
  <c r="L4" i="7" a="1"/>
  <c r="L4" i="7" s="1"/>
  <c r="U4" i="7" a="1"/>
  <c r="U4" i="7" s="1"/>
  <c r="I4" i="7" a="1"/>
  <c r="I4" i="7" s="1"/>
  <c r="B4" i="7" a="1"/>
  <c r="B4" i="7" s="1"/>
  <c r="N4" i="7" a="1"/>
  <c r="N4" i="7" s="1"/>
  <c r="T4" i="7" a="1"/>
  <c r="T4" i="7" s="1"/>
  <c r="H4" i="7" a="1"/>
  <c r="H4" i="7" s="1"/>
  <c r="Z4" i="7" a="1"/>
  <c r="Z4" i="7" s="1"/>
  <c r="O4" i="7" a="1"/>
  <c r="O4" i="7" s="1"/>
  <c r="V4" i="7" a="1"/>
  <c r="V4" i="7" s="1"/>
  <c r="Q4" i="7" a="1"/>
  <c r="Q4" i="7" s="1"/>
  <c r="E4" i="7" a="1"/>
  <c r="E4" i="7" s="1"/>
  <c r="AB24" i="3" a="1"/>
  <c r="AB24" i="3" s="1"/>
  <c r="AI24" i="3" a="1"/>
  <c r="AI24" i="3" s="1"/>
  <c r="AK24" i="3" a="1"/>
  <c r="AK24" i="3" s="1"/>
  <c r="AL24" i="3" a="1"/>
  <c r="AL24" i="3" s="1"/>
  <c r="AA24" i="3" a="1"/>
  <c r="AA24" i="3" s="1"/>
  <c r="AF24" i="3" a="1"/>
  <c r="AF24" i="3" s="1"/>
  <c r="AC24" i="3" a="1"/>
  <c r="AC24" i="3" s="1"/>
  <c r="E72" i="5"/>
  <c r="E66" i="5"/>
  <c r="E60" i="5"/>
  <c r="E54" i="5"/>
  <c r="E48" i="5"/>
  <c r="E42" i="5"/>
  <c r="E36" i="5"/>
  <c r="E30" i="5"/>
  <c r="E24" i="5"/>
  <c r="E18" i="5"/>
  <c r="E12" i="5"/>
  <c r="E6" i="5"/>
  <c r="B63" i="5"/>
  <c r="B37" i="5"/>
  <c r="B14" i="5"/>
  <c r="D66" i="5"/>
  <c r="D32" i="5"/>
  <c r="B62" i="5"/>
  <c r="B36" i="5"/>
  <c r="B8" i="5"/>
  <c r="D65" i="5"/>
  <c r="D31" i="5"/>
  <c r="B60" i="5"/>
  <c r="B34" i="5"/>
  <c r="D54" i="5"/>
  <c r="C75" i="5"/>
  <c r="B52" i="5"/>
  <c r="B33" i="5"/>
  <c r="C74" i="5"/>
  <c r="B51" i="5"/>
  <c r="D18" i="5"/>
  <c r="C73" i="5"/>
  <c r="B50" i="5"/>
  <c r="B23" i="5"/>
  <c r="D50" i="5"/>
  <c r="D17" i="5"/>
  <c r="C53" i="5"/>
  <c r="B75" i="5"/>
  <c r="B49" i="5"/>
  <c r="B22" i="5"/>
  <c r="D48" i="5"/>
  <c r="D16" i="5"/>
  <c r="C49" i="5"/>
  <c r="B74" i="5"/>
  <c r="B48" i="5"/>
  <c r="B21" i="5"/>
  <c r="D70" i="5"/>
  <c r="D45" i="5"/>
  <c r="D14" i="5"/>
  <c r="C46" i="5"/>
  <c r="B66" i="5"/>
  <c r="B47" i="5"/>
  <c r="B20" i="5"/>
  <c r="D69" i="5"/>
  <c r="D44" i="5"/>
  <c r="D13" i="5"/>
  <c r="C45" i="5"/>
  <c r="J2" i="5"/>
  <c r="D53" i="5"/>
  <c r="B29" i="5"/>
  <c r="B65" i="5"/>
  <c r="B46" i="5"/>
  <c r="B16" i="5"/>
  <c r="D68" i="5"/>
  <c r="D37" i="5"/>
  <c r="D12" i="5"/>
  <c r="A3" i="5"/>
  <c r="C4" i="5"/>
  <c r="C16" i="5"/>
  <c r="C28" i="5"/>
  <c r="C40" i="5"/>
  <c r="C52" i="5"/>
  <c r="C64" i="5"/>
  <c r="C5" i="5"/>
  <c r="C6" i="5"/>
  <c r="C18" i="5"/>
  <c r="C30" i="5"/>
  <c r="C42" i="5"/>
  <c r="C54" i="5"/>
  <c r="C66" i="5"/>
  <c r="C8" i="5"/>
  <c r="C7" i="5"/>
  <c r="C22" i="5"/>
  <c r="C36" i="5"/>
  <c r="C50" i="5"/>
  <c r="C65" i="5"/>
  <c r="C9" i="5"/>
  <c r="C23" i="5"/>
  <c r="G23" i="5" s="1"/>
  <c r="C37" i="5"/>
  <c r="C51" i="5"/>
  <c r="C67" i="5"/>
  <c r="C12" i="5"/>
  <c r="C26" i="5"/>
  <c r="C41" i="5"/>
  <c r="C56" i="5"/>
  <c r="C70" i="5"/>
  <c r="C10" i="5"/>
  <c r="C29" i="5"/>
  <c r="C47" i="5"/>
  <c r="C68" i="5"/>
  <c r="D15" i="5"/>
  <c r="D27" i="5"/>
  <c r="D39" i="5"/>
  <c r="D51" i="5"/>
  <c r="D63" i="5"/>
  <c r="D75" i="5"/>
  <c r="B6" i="5"/>
  <c r="B18" i="5"/>
  <c r="B30" i="5"/>
  <c r="C11" i="5"/>
  <c r="C31" i="5"/>
  <c r="C48" i="5"/>
  <c r="C69" i="5"/>
  <c r="C13" i="5"/>
  <c r="C34" i="5"/>
  <c r="C58" i="5"/>
  <c r="C14" i="5"/>
  <c r="C35" i="5"/>
  <c r="C59" i="5"/>
  <c r="D7" i="5"/>
  <c r="D20" i="5"/>
  <c r="D33" i="5"/>
  <c r="D46" i="5"/>
  <c r="D59" i="5"/>
  <c r="D72" i="5"/>
  <c r="B4" i="5"/>
  <c r="B17" i="5"/>
  <c r="B31" i="5"/>
  <c r="B43" i="5"/>
  <c r="B55" i="5"/>
  <c r="B67" i="5"/>
  <c r="C15" i="5"/>
  <c r="C38" i="5"/>
  <c r="C60" i="5"/>
  <c r="D8" i="5"/>
  <c r="G8" i="5" s="1"/>
  <c r="D21" i="5"/>
  <c r="D34" i="5"/>
  <c r="D47" i="5"/>
  <c r="D60" i="5"/>
  <c r="D73" i="5"/>
  <c r="B5" i="5"/>
  <c r="B19" i="5"/>
  <c r="B32" i="5"/>
  <c r="B44" i="5"/>
  <c r="B56" i="5"/>
  <c r="B68" i="5"/>
  <c r="C17" i="5"/>
  <c r="C39" i="5"/>
  <c r="C61" i="5"/>
  <c r="C19" i="5"/>
  <c r="C43" i="5"/>
  <c r="C62" i="5"/>
  <c r="D10" i="5"/>
  <c r="D23" i="5"/>
  <c r="D36" i="5"/>
  <c r="D49" i="5"/>
  <c r="D62" i="5"/>
  <c r="C20" i="5"/>
  <c r="C55" i="5"/>
  <c r="D19" i="5"/>
  <c r="D38" i="5"/>
  <c r="D55" i="5"/>
  <c r="D71" i="5"/>
  <c r="B9" i="5"/>
  <c r="B24" i="5"/>
  <c r="B39" i="5"/>
  <c r="B53" i="5"/>
  <c r="B69" i="5"/>
  <c r="B12" i="5"/>
  <c r="C72" i="5"/>
  <c r="C21" i="5"/>
  <c r="C57" i="5"/>
  <c r="D4" i="5"/>
  <c r="D22" i="5"/>
  <c r="D40" i="5"/>
  <c r="D56" i="5"/>
  <c r="D74" i="5"/>
  <c r="B10" i="5"/>
  <c r="B25" i="5"/>
  <c r="B40" i="5"/>
  <c r="B54" i="5"/>
  <c r="B70" i="5"/>
  <c r="D43" i="5"/>
  <c r="C24" i="5"/>
  <c r="C63" i="5"/>
  <c r="D5" i="5"/>
  <c r="D24" i="5"/>
  <c r="D41" i="5"/>
  <c r="D57" i="5"/>
  <c r="B11" i="5"/>
  <c r="B26" i="5"/>
  <c r="B41" i="5"/>
  <c r="B57" i="5"/>
  <c r="B71" i="5"/>
  <c r="C25" i="5"/>
  <c r="C71" i="5"/>
  <c r="D6" i="5"/>
  <c r="D25" i="5"/>
  <c r="D42" i="5"/>
  <c r="D58" i="5"/>
  <c r="B27" i="5"/>
  <c r="B42" i="5"/>
  <c r="B58" i="5"/>
  <c r="B72" i="5"/>
  <c r="C27" i="5"/>
  <c r="D9" i="5"/>
  <c r="D26" i="5"/>
  <c r="D61" i="5"/>
  <c r="B13" i="5"/>
  <c r="B28" i="5"/>
  <c r="B45" i="5"/>
  <c r="B59" i="5"/>
  <c r="B73" i="5"/>
  <c r="C32" i="5"/>
  <c r="B61" i="5"/>
  <c r="B35" i="5"/>
  <c r="B7" i="5"/>
  <c r="D64" i="5"/>
  <c r="D30" i="5"/>
  <c r="D29" i="5"/>
  <c r="D28" i="5"/>
  <c r="D52" i="5"/>
  <c r="B64" i="5"/>
  <c r="B38" i="5"/>
  <c r="B15" i="5"/>
  <c r="D67" i="5"/>
  <c r="D35" i="5"/>
  <c r="D11" i="5"/>
  <c r="C33" i="5"/>
  <c r="B100" i="3"/>
  <c r="AE24" i="3" a="1"/>
  <c r="AE24" i="3" s="1"/>
  <c r="AD24" i="3" a="1"/>
  <c r="AD24" i="3" s="1"/>
  <c r="W5" i="3"/>
  <c r="AL40" i="3" a="1"/>
  <c r="AL40" i="3" s="1"/>
  <c r="AM76" i="3" a="1"/>
  <c r="AM76" i="3" s="1"/>
  <c r="AG69" i="3" a="1"/>
  <c r="AG69" i="3" s="1"/>
  <c r="AD47" i="3" a="1"/>
  <c r="AD47" i="3" s="1"/>
  <c r="AK76" i="3" a="1"/>
  <c r="AK76" i="3" s="1"/>
  <c r="AF73" i="3" a="1"/>
  <c r="AF73" i="3" s="1"/>
  <c r="AE69" i="3" a="1"/>
  <c r="AE69" i="3" s="1"/>
  <c r="X47" i="3" a="1"/>
  <c r="X47" i="3" s="1"/>
  <c r="AJ54" i="3" a="1"/>
  <c r="AJ54" i="3" s="1"/>
  <c r="AL46" i="3" a="1"/>
  <c r="AL46" i="3" s="1"/>
  <c r="AL6" i="3" a="1"/>
  <c r="AL6" i="3" s="1"/>
  <c r="AM75" i="3" a="1"/>
  <c r="AM75" i="3" s="1"/>
  <c r="AH72" i="3" a="1"/>
  <c r="AH72" i="3" s="1"/>
  <c r="AK67" i="3" a="1"/>
  <c r="AK67" i="3" s="1"/>
  <c r="AI63" i="3" a="1"/>
  <c r="AI63" i="3" s="1"/>
  <c r="AH58" i="3" a="1"/>
  <c r="AH58" i="3" s="1"/>
  <c r="AA44" i="3" a="1"/>
  <c r="AA44" i="3" s="1"/>
  <c r="Z33" i="3" a="1"/>
  <c r="Z33" i="3" s="1"/>
  <c r="AJ6" i="3" a="1"/>
  <c r="AJ6" i="3" s="1"/>
  <c r="AL75" i="3" a="1"/>
  <c r="AL75" i="3" s="1"/>
  <c r="AD72" i="3" a="1"/>
  <c r="AD72" i="3" s="1"/>
  <c r="AE63" i="3" a="1"/>
  <c r="AE63" i="3" s="1"/>
  <c r="AE58" i="3" a="1"/>
  <c r="AE58" i="3" s="1"/>
  <c r="AA52" i="3" a="1"/>
  <c r="AA52" i="3" s="1"/>
  <c r="AC32" i="3" a="1"/>
  <c r="AC32" i="3" s="1"/>
  <c r="AA66" i="3" a="1"/>
  <c r="AA66" i="3" s="1"/>
  <c r="AA55" i="3" a="1"/>
  <c r="AA55" i="3" s="1"/>
  <c r="AL64" i="3" a="1"/>
  <c r="AL64" i="3" s="1"/>
  <c r="AJ59" i="3" a="1"/>
  <c r="AJ59" i="3" s="1"/>
  <c r="AG61" i="3" a="1"/>
  <c r="AG61" i="3" s="1"/>
  <c r="Y65" i="3" a="1"/>
  <c r="Y65" i="3" s="1"/>
  <c r="AK54" i="3" a="1"/>
  <c r="AK54" i="3" s="1"/>
  <c r="AF37" i="3" a="1"/>
  <c r="AF37" i="3" s="1"/>
  <c r="AG54" i="3" a="1"/>
  <c r="AG54" i="3" s="1"/>
  <c r="AF56" i="3" a="1"/>
  <c r="AF56" i="3" s="1"/>
  <c r="Z60" i="3" a="1"/>
  <c r="Z60" i="3" s="1"/>
  <c r="AJ64" i="3" a="1"/>
  <c r="AJ64" i="3" s="1"/>
  <c r="AH59" i="3" a="1"/>
  <c r="AH59" i="3" s="1"/>
  <c r="AB49" i="3" a="1"/>
  <c r="AB49" i="3" s="1"/>
  <c r="AH37" i="3" a="1"/>
  <c r="AH37" i="3" s="1"/>
  <c r="AL59" i="3" a="1"/>
  <c r="AL59" i="3" s="1"/>
  <c r="AC69" i="3" a="1"/>
  <c r="AC69" i="3" s="1"/>
  <c r="AH7" i="3" a="1"/>
  <c r="AH7" i="3" s="1"/>
  <c r="AA9" i="3" a="1"/>
  <c r="AA9" i="3" s="1"/>
  <c r="Y22" i="3" a="1"/>
  <c r="Y22" i="3" s="1"/>
  <c r="AD38" i="3" a="1"/>
  <c r="AD38" i="3" s="1"/>
  <c r="AH41" i="3" a="1"/>
  <c r="AH41" i="3" s="1"/>
  <c r="AE44" i="3" a="1"/>
  <c r="AE44" i="3" s="1"/>
  <c r="AE50" i="3" a="1"/>
  <c r="AE50" i="3" s="1"/>
  <c r="AB52" i="3" a="1"/>
  <c r="AB52" i="3" s="1"/>
  <c r="AB55" i="3" a="1"/>
  <c r="AB55" i="3" s="1"/>
  <c r="Z57" i="3" a="1"/>
  <c r="Z57" i="3" s="1"/>
  <c r="AJ58" i="3" a="1"/>
  <c r="AJ58" i="3" s="1"/>
  <c r="AB60" i="3" a="1"/>
  <c r="AB60" i="3" s="1"/>
  <c r="AC62" i="3" a="1"/>
  <c r="AC62" i="3" s="1"/>
  <c r="AK63" i="3" a="1"/>
  <c r="AK63" i="3" s="1"/>
  <c r="AB65" i="3" a="1"/>
  <c r="AB65" i="3" s="1"/>
  <c r="AJ66" i="3" a="1"/>
  <c r="AJ66" i="3" s="1"/>
  <c r="AM67" i="3" a="1"/>
  <c r="AM67" i="3" s="1"/>
  <c r="AI69" i="3" a="1"/>
  <c r="AI69" i="3" s="1"/>
  <c r="AI72" i="3" a="1"/>
  <c r="AI72" i="3" s="1"/>
  <c r="AH73" i="3" a="1"/>
  <c r="AH73" i="3" s="1"/>
  <c r="AK74" i="3" a="1"/>
  <c r="AK74" i="3" s="1"/>
  <c r="Z76" i="3" a="1"/>
  <c r="Z76" i="3" s="1"/>
  <c r="AD61" i="3" a="1"/>
  <c r="AD61" i="3" s="1"/>
  <c r="AI28" i="3" a="1"/>
  <c r="AI28" i="3" s="1"/>
  <c r="AK46" i="3" a="1"/>
  <c r="AK46" i="3" s="1"/>
  <c r="X54" i="3" a="1"/>
  <c r="X54" i="3" s="1"/>
  <c r="AH64" i="3" a="1"/>
  <c r="AH64" i="3" s="1"/>
  <c r="AA73" i="3" a="1"/>
  <c r="AA73" i="3" s="1"/>
  <c r="AK10" i="3" a="1"/>
  <c r="AK10" i="3" s="1"/>
  <c r="Y23" i="3" a="1"/>
  <c r="Y23" i="3" s="1"/>
  <c r="AC33" i="3" a="1"/>
  <c r="AC33" i="3" s="1"/>
  <c r="AL41" i="3" a="1"/>
  <c r="AL41" i="3" s="1"/>
  <c r="AL44" i="3" a="1"/>
  <c r="AL44" i="3" s="1"/>
  <c r="AE47" i="3" a="1"/>
  <c r="AE47" i="3" s="1"/>
  <c r="AG50" i="3" a="1"/>
  <c r="AG50" i="3" s="1"/>
  <c r="AJ52" i="3" a="1"/>
  <c r="AJ52" i="3" s="1"/>
  <c r="AD55" i="3" a="1"/>
  <c r="AD55" i="3" s="1"/>
  <c r="AG57" i="3" a="1"/>
  <c r="AG57" i="3" s="1"/>
  <c r="AK58" i="3" a="1"/>
  <c r="AK58" i="3" s="1"/>
  <c r="AC60" i="3" a="1"/>
  <c r="AC60" i="3" s="1"/>
  <c r="AE62" i="3" a="1"/>
  <c r="AE62" i="3" s="1"/>
  <c r="AE65" i="3" a="1"/>
  <c r="AE65" i="3" s="1"/>
  <c r="AK66" i="3" a="1"/>
  <c r="AK66" i="3" s="1"/>
  <c r="Z68" i="3" a="1"/>
  <c r="Z68" i="3" s="1"/>
  <c r="AJ69" i="3" a="1"/>
  <c r="AJ69" i="3" s="1"/>
  <c r="AA71" i="3" a="1"/>
  <c r="AA71" i="3" s="1"/>
  <c r="AJ72" i="3" a="1"/>
  <c r="AJ72" i="3" s="1"/>
  <c r="AL74" i="3" a="1"/>
  <c r="AL74" i="3" s="1"/>
  <c r="AA76" i="3" a="1"/>
  <c r="AA76" i="3" s="1"/>
  <c r="X77" i="3" a="1"/>
  <c r="X77" i="3" s="1"/>
  <c r="AL77" i="3" a="1"/>
  <c r="AL77" i="3" s="1"/>
  <c r="AC56" i="3" a="1"/>
  <c r="AC56" i="3" s="1"/>
  <c r="Y18" i="3" a="1"/>
  <c r="Y18" i="3" s="1"/>
  <c r="AK48" i="3" a="1"/>
  <c r="AK48" i="3" s="1"/>
  <c r="Y69" i="3" a="1"/>
  <c r="Y69" i="3" s="1"/>
  <c r="AG75" i="3" a="1"/>
  <c r="AG75" i="3" s="1"/>
  <c r="AA12" i="3" a="1"/>
  <c r="AA12" i="3" s="1"/>
  <c r="AG23" i="3" a="1"/>
  <c r="AG23" i="3" s="1"/>
  <c r="Z34" i="3" a="1"/>
  <c r="Z34" i="3" s="1"/>
  <c r="AB39" i="3" a="1"/>
  <c r="AB39" i="3" s="1"/>
  <c r="AB42" i="3" a="1"/>
  <c r="AB42" i="3" s="1"/>
  <c r="AI47" i="3" a="1"/>
  <c r="AI47" i="3" s="1"/>
  <c r="AM50" i="3" a="1"/>
  <c r="AM50" i="3" s="1"/>
  <c r="AJ55" i="3" a="1"/>
  <c r="AJ55" i="3" s="1"/>
  <c r="AL58" i="3" a="1"/>
  <c r="AL58" i="3" s="1"/>
  <c r="AF60" i="3" a="1"/>
  <c r="AF60" i="3" s="1"/>
  <c r="Y64" i="3" a="1"/>
  <c r="Y64" i="3" s="1"/>
  <c r="AH65" i="3" a="1"/>
  <c r="AH65" i="3" s="1"/>
  <c r="AL66" i="3" a="1"/>
  <c r="AL66" i="3" s="1"/>
  <c r="AM69" i="3" a="1"/>
  <c r="AM69" i="3" s="1"/>
  <c r="AD71" i="3" a="1"/>
  <c r="AD71" i="3" s="1"/>
  <c r="AI73" i="3" a="1"/>
  <c r="AI73" i="3" s="1"/>
  <c r="Y75" i="3" a="1"/>
  <c r="Y75" i="3" s="1"/>
  <c r="AB76" i="3" a="1"/>
  <c r="AB76" i="3" s="1"/>
  <c r="Z77" i="3" a="1"/>
  <c r="Z77" i="3" s="1"/>
  <c r="AM77" i="3" a="1"/>
  <c r="AM77" i="3" s="1"/>
  <c r="AD59" i="3" a="1"/>
  <c r="AD59" i="3" s="1"/>
  <c r="AM42" i="3" a="1"/>
  <c r="AM42" i="3" s="1"/>
  <c r="AD56" i="3" a="1"/>
  <c r="AD56" i="3" s="1"/>
  <c r="Z72" i="3" a="1"/>
  <c r="Z72" i="3" s="1"/>
  <c r="AG77" i="3" a="1"/>
  <c r="AG77" i="3" s="1"/>
  <c r="Z14" i="3" a="1"/>
  <c r="Z14" i="3" s="1"/>
  <c r="AE45" i="3" a="1"/>
  <c r="AE45" i="3" s="1"/>
  <c r="Y48" i="3" a="1"/>
  <c r="Y48" i="3" s="1"/>
  <c r="X51" i="3" a="1"/>
  <c r="X51" i="3" s="1"/>
  <c r="AD53" i="3" a="1"/>
  <c r="AD53" i="3" s="1"/>
  <c r="AI57" i="3" a="1"/>
  <c r="AI57" i="3" s="1"/>
  <c r="AA59" i="3" a="1"/>
  <c r="AA59" i="3" s="1"/>
  <c r="AK60" i="3" a="1"/>
  <c r="AK60" i="3" s="1"/>
  <c r="AG62" i="3" a="1"/>
  <c r="AG62" i="3" s="1"/>
  <c r="Z64" i="3" a="1"/>
  <c r="Z64" i="3" s="1"/>
  <c r="AI65" i="3" a="1"/>
  <c r="AI65" i="3" s="1"/>
  <c r="X67" i="3" a="1"/>
  <c r="X67" i="3" s="1"/>
  <c r="AC68" i="3" a="1"/>
  <c r="AC68" i="3" s="1"/>
  <c r="AF71" i="3" a="1"/>
  <c r="AF71" i="3" s="1"/>
  <c r="AL72" i="3" a="1"/>
  <c r="AL72" i="3" s="1"/>
  <c r="AJ73" i="3" a="1"/>
  <c r="AJ73" i="3" s="1"/>
  <c r="AB75" i="3" a="1"/>
  <c r="AB75" i="3" s="1"/>
  <c r="AC76" i="3" a="1"/>
  <c r="AC76" i="3" s="1"/>
  <c r="AA77" i="3" a="1"/>
  <c r="AA77" i="3" s="1"/>
  <c r="Z6" i="3" a="1"/>
  <c r="Z6" i="3" s="1"/>
  <c r="AC40" i="3" a="1"/>
  <c r="AC40" i="3" s="1"/>
  <c r="Y63" i="3" a="1"/>
  <c r="Y63" i="3" s="1"/>
  <c r="AF70" i="3" a="1"/>
  <c r="AF70" i="3" s="1"/>
  <c r="AJ15" i="3" a="1"/>
  <c r="AJ15" i="3" s="1"/>
  <c r="AB35" i="3" a="1"/>
  <c r="AB35" i="3" s="1"/>
  <c r="AE39" i="3" a="1"/>
  <c r="AE39" i="3" s="1"/>
  <c r="AD42" i="3" a="1"/>
  <c r="AD42" i="3" s="1"/>
  <c r="AG45" i="3" a="1"/>
  <c r="AG45" i="3" s="1"/>
  <c r="Z48" i="3" a="1"/>
  <c r="Z48" i="3" s="1"/>
  <c r="AK55" i="3" a="1"/>
  <c r="AK55" i="3" s="1"/>
  <c r="AM57" i="3" a="1"/>
  <c r="AM57" i="3" s="1"/>
  <c r="AB59" i="3" a="1"/>
  <c r="AB59" i="3" s="1"/>
  <c r="X61" i="3" a="1"/>
  <c r="X61" i="3" s="1"/>
  <c r="AK62" i="3" a="1"/>
  <c r="AK62" i="3" s="1"/>
  <c r="AA64" i="3" a="1"/>
  <c r="AA64" i="3" s="1"/>
  <c r="AJ65" i="3" a="1"/>
  <c r="AJ65" i="3" s="1"/>
  <c r="AE68" i="3" a="1"/>
  <c r="AE68" i="3" s="1"/>
  <c r="Y70" i="3" a="1"/>
  <c r="Y70" i="3" s="1"/>
  <c r="AJ71" i="3" a="1"/>
  <c r="AJ71" i="3" s="1"/>
  <c r="X73" i="3" a="1"/>
  <c r="X73" i="3" s="1"/>
  <c r="X74" i="3" a="1"/>
  <c r="X74" i="3" s="1"/>
  <c r="AD76" i="3" a="1"/>
  <c r="AD76" i="3" s="1"/>
  <c r="AD77" i="3" a="1"/>
  <c r="AD77" i="3" s="1"/>
  <c r="AC6" i="3" a="1"/>
  <c r="AC6" i="3" s="1"/>
  <c r="Y17" i="3" a="1"/>
  <c r="Y17" i="3" s="1"/>
  <c r="AD35" i="3" a="1"/>
  <c r="AD35" i="3" s="1"/>
  <c r="AM39" i="3" a="1"/>
  <c r="AM39" i="3" s="1"/>
  <c r="AL42" i="3" a="1"/>
  <c r="AL42" i="3" s="1"/>
  <c r="AA46" i="3" a="1"/>
  <c r="AA46" i="3" s="1"/>
  <c r="AH48" i="3" a="1"/>
  <c r="AH48" i="3" s="1"/>
  <c r="AB51" i="3" a="1"/>
  <c r="AB51" i="3" s="1"/>
  <c r="AG53" i="3" a="1"/>
  <c r="AG53" i="3" s="1"/>
  <c r="AM55" i="3" a="1"/>
  <c r="AM55" i="3" s="1"/>
  <c r="Y58" i="3" a="1"/>
  <c r="Y58" i="3" s="1"/>
  <c r="AA61" i="3" a="1"/>
  <c r="AA61" i="3" s="1"/>
  <c r="AM62" i="3" a="1"/>
  <c r="AM62" i="3" s="1"/>
  <c r="AD64" i="3" a="1"/>
  <c r="AD64" i="3" s="1"/>
  <c r="X66" i="3" a="1"/>
  <c r="X66" i="3" s="1"/>
  <c r="AB67" i="3" a="1"/>
  <c r="AB67" i="3" s="1"/>
  <c r="AI68" i="3" a="1"/>
  <c r="AI68" i="3" s="1"/>
  <c r="Z70" i="3" a="1"/>
  <c r="Z70" i="3" s="1"/>
  <c r="AL71" i="3" a="1"/>
  <c r="AL71" i="3" s="1"/>
  <c r="Z73" i="3" a="1"/>
  <c r="Z73" i="3" s="1"/>
  <c r="AA74" i="3" a="1"/>
  <c r="AA74" i="3" s="1"/>
  <c r="AC75" i="3" a="1"/>
  <c r="AC75" i="3" s="1"/>
  <c r="AF76" i="3" a="1"/>
  <c r="AF76" i="3" s="1"/>
  <c r="AE6" i="3" a="1"/>
  <c r="AE6" i="3" s="1"/>
  <c r="AA17" i="3" a="1"/>
  <c r="AA17" i="3" s="1"/>
  <c r="AD25" i="3" a="1"/>
  <c r="AD25" i="3" s="1"/>
  <c r="AG35" i="3" a="1"/>
  <c r="AG35" i="3" s="1"/>
  <c r="X40" i="3" a="1"/>
  <c r="X40" i="3" s="1"/>
  <c r="AB46" i="3" a="1"/>
  <c r="AB46" i="3" s="1"/>
  <c r="AG51" i="3" a="1"/>
  <c r="AG51" i="3" s="1"/>
  <c r="AM53" i="3" a="1"/>
  <c r="AM53" i="3" s="1"/>
  <c r="Z58" i="3" a="1"/>
  <c r="Z58" i="3" s="1"/>
  <c r="X63" i="3" a="1"/>
  <c r="X63" i="3" s="1"/>
  <c r="AG64" i="3" a="1"/>
  <c r="AG64" i="3" s="1"/>
  <c r="Z66" i="3" a="1"/>
  <c r="Z66" i="3" s="1"/>
  <c r="AL68" i="3" a="1"/>
  <c r="AL68" i="3" s="1"/>
  <c r="AC70" i="3" a="1"/>
  <c r="AC70" i="3" s="1"/>
  <c r="X72" i="3" a="1"/>
  <c r="X72" i="3" s="1"/>
  <c r="AB74" i="3" a="1"/>
  <c r="AB74" i="3" s="1"/>
  <c r="AE75" i="3" a="1"/>
  <c r="AE75" i="3" s="1"/>
  <c r="AH76" i="3" a="1"/>
  <c r="AH76" i="3" s="1"/>
  <c r="AE77" i="3" a="1"/>
  <c r="AE77" i="3" s="1"/>
  <c r="AF6" i="3" a="1"/>
  <c r="AF6" i="3" s="1"/>
  <c r="AA36" i="3" a="1"/>
  <c r="AA36" i="3" s="1"/>
  <c r="AF59" i="3" a="1"/>
  <c r="AF59" i="3" s="1"/>
  <c r="AC67" i="3" a="1"/>
  <c r="AC67" i="3" s="1"/>
  <c r="AD74" i="3" a="1"/>
  <c r="AD74" i="3" s="1"/>
  <c r="AG6" i="3" a="1"/>
  <c r="AG6" i="3" s="1"/>
  <c r="AF29" i="3" a="1"/>
  <c r="AF29" i="3" s="1"/>
  <c r="AJ76" i="3" a="1"/>
  <c r="AJ76" i="3" s="1"/>
  <c r="AB73" i="3" a="1"/>
  <c r="AB73" i="3" s="1"/>
  <c r="AA69" i="3" a="1"/>
  <c r="AA69" i="3" s="1"/>
  <c r="AI6" i="3" a="1"/>
  <c r="AI6" i="3" s="1"/>
  <c r="AK75" i="3" a="1"/>
  <c r="AK75" i="3" s="1"/>
  <c r="AB72" i="3" a="1"/>
  <c r="AB72" i="3" s="1"/>
  <c r="AJ67" i="3" a="1"/>
  <c r="AJ67" i="3" s="1"/>
  <c r="AC63" i="3" a="1"/>
  <c r="AC63" i="3" s="1"/>
  <c r="AK51" i="3" a="1"/>
  <c r="AK51" i="3" s="1"/>
  <c r="AG43" i="3" a="1"/>
  <c r="AG43" i="3" s="1"/>
  <c r="AJ31" i="3" a="1"/>
  <c r="AJ31" i="3" s="1"/>
  <c r="AH6" i="3" a="1"/>
  <c r="AH6" i="3" s="1"/>
  <c r="AJ75" i="3" a="1"/>
  <c r="AJ75" i="3" s="1"/>
  <c r="AD67" i="3" a="1"/>
  <c r="AD67" i="3" s="1"/>
  <c r="AA63" i="3" a="1"/>
  <c r="AA63" i="3" s="1"/>
  <c r="AC58" i="3" a="1"/>
  <c r="AC58" i="3" s="1"/>
  <c r="AI51" i="3" a="1"/>
  <c r="AI51" i="3" s="1"/>
  <c r="Z43" i="3" a="1"/>
  <c r="Z43" i="3" s="1"/>
  <c r="X21" i="3" a="1"/>
  <c r="X21" i="3" s="1"/>
  <c r="AK77" i="3" a="1"/>
  <c r="AK77" i="3" s="1"/>
  <c r="AI74" i="3" a="1"/>
  <c r="AI74" i="3" s="1"/>
  <c r="X71" i="3" a="1"/>
  <c r="X71" i="3" s="1"/>
  <c r="AH66" i="3" a="1"/>
  <c r="AH66" i="3" s="1"/>
  <c r="Y62" i="3" a="1"/>
  <c r="Y62" i="3" s="1"/>
  <c r="Y57" i="3" a="1"/>
  <c r="Y57" i="3" s="1"/>
  <c r="AD50" i="3" a="1"/>
  <c r="AD50" i="3" s="1"/>
  <c r="AG41" i="3" a="1"/>
  <c r="AG41" i="3" s="1"/>
  <c r="AJ20" i="3" a="1"/>
  <c r="AJ20" i="3" s="1"/>
  <c r="AG74" i="3" a="1"/>
  <c r="AG74" i="3" s="1"/>
  <c r="AK70" i="3" a="1"/>
  <c r="AK70" i="3" s="1"/>
  <c r="AF66" i="3" a="1"/>
  <c r="AF66" i="3" s="1"/>
  <c r="AM61" i="3" a="1"/>
  <c r="AM61" i="3" s="1"/>
  <c r="X57" i="3" a="1"/>
  <c r="X57" i="3" s="1"/>
  <c r="AK49" i="3" a="1"/>
  <c r="AK49" i="3" s="1"/>
  <c r="Y41" i="3" a="1"/>
  <c r="Y41" i="3" s="1"/>
  <c r="AM19" i="3" a="1"/>
  <c r="AM19" i="3" s="1"/>
  <c r="AJ77" i="3" a="1"/>
  <c r="AJ77" i="3" s="1"/>
  <c r="AF74" i="3" a="1"/>
  <c r="AF74" i="3" s="1"/>
  <c r="AH70" i="3" a="1"/>
  <c r="AH70" i="3" s="1"/>
  <c r="AC66" i="3" a="1"/>
  <c r="AC66" i="3" s="1"/>
  <c r="AI61" i="3" a="1"/>
  <c r="AI61" i="3" s="1"/>
  <c r="AH56" i="3" a="1"/>
  <c r="AH56" i="3" s="1"/>
  <c r="AE49" i="3" a="1"/>
  <c r="AE49" i="3" s="1"/>
  <c r="AG18" i="3" a="1"/>
  <c r="AG18" i="3" s="1"/>
  <c r="Z54" i="3" a="1"/>
  <c r="Z54" i="3" s="1"/>
  <c r="AC52" i="3" a="1"/>
  <c r="AC52" i="3" s="1"/>
  <c r="AD49" i="3" a="1"/>
  <c r="AD49" i="3" s="1"/>
  <c r="AJ48" i="3" a="1"/>
  <c r="AJ48" i="3" s="1"/>
  <c r="AA48" i="3" a="1"/>
  <c r="AA48" i="3" s="1"/>
  <c r="AH47" i="3" a="1"/>
  <c r="AH47" i="3" s="1"/>
  <c r="AD46" i="3" a="1"/>
  <c r="AD46" i="3" s="1"/>
  <c r="AI45" i="3" a="1"/>
  <c r="AI45" i="3" s="1"/>
  <c r="X45" i="3" a="1"/>
  <c r="X45" i="3" s="1"/>
  <c r="Y43" i="3" a="1"/>
  <c r="Y43" i="3" s="1"/>
  <c r="AE42" i="3" a="1"/>
  <c r="AE42" i="3" s="1"/>
  <c r="AJ41" i="3" a="1"/>
  <c r="AJ41" i="3" s="1"/>
  <c r="AI36" i="3" a="1"/>
  <c r="AI36" i="3" s="1"/>
  <c r="AF35" i="3" a="1"/>
  <c r="AF35" i="3" s="1"/>
  <c r="AG34" i="3" a="1"/>
  <c r="AG34" i="3" s="1"/>
  <c r="AB33" i="3" a="1"/>
  <c r="AB33" i="3" s="1"/>
  <c r="AI29" i="3" a="1"/>
  <c r="AI29" i="3" s="1"/>
  <c r="AC27" i="3" a="1"/>
  <c r="AC27" i="3" s="1"/>
  <c r="AM25" i="3" a="1"/>
  <c r="AM25" i="3" s="1"/>
  <c r="AF23" i="3" a="1"/>
  <c r="AF23" i="3" s="1"/>
  <c r="AM20" i="3" a="1"/>
  <c r="AM20" i="3" s="1"/>
  <c r="Z17" i="3" a="1"/>
  <c r="Z17" i="3" s="1"/>
  <c r="AB14" i="3" a="1"/>
  <c r="AB14" i="3" s="1"/>
  <c r="AI12" i="3" a="1"/>
  <c r="AI12" i="3" s="1"/>
  <c r="AJ10" i="3" a="1"/>
  <c r="AJ10" i="3" s="1"/>
  <c r="Y9" i="3" a="1"/>
  <c r="Y9" i="3" s="1"/>
  <c r="AA72" i="3" a="1"/>
  <c r="AA72" i="3" s="1"/>
  <c r="Y71" i="3" a="1"/>
  <c r="Y71" i="3" s="1"/>
  <c r="AG70" i="3" a="1"/>
  <c r="AG70" i="3" s="1"/>
  <c r="X70" i="3" a="1"/>
  <c r="X70" i="3" s="1"/>
  <c r="AF69" i="3" a="1"/>
  <c r="AF69" i="3" s="1"/>
  <c r="X69" i="3" a="1"/>
  <c r="X69" i="3" s="1"/>
  <c r="AD68" i="3" a="1"/>
  <c r="AD68" i="3" s="1"/>
  <c r="AL67" i="3" a="1"/>
  <c r="AL67" i="3" s="1"/>
  <c r="AA65" i="3" a="1"/>
  <c r="AA65" i="3" s="1"/>
  <c r="AH63" i="3" a="1"/>
  <c r="AH63" i="3" s="1"/>
  <c r="AF62" i="3" a="1"/>
  <c r="AF62" i="3" s="1"/>
  <c r="X62" i="3" a="1"/>
  <c r="X62" i="3" s="1"/>
  <c r="AF61" i="3" a="1"/>
  <c r="AF61" i="3" s="1"/>
  <c r="AM60" i="3" a="1"/>
  <c r="AM60" i="3" s="1"/>
  <c r="AD60" i="3" a="1"/>
  <c r="AD60" i="3" s="1"/>
  <c r="AC59" i="3" a="1"/>
  <c r="AC59" i="3" s="1"/>
  <c r="AH57" i="3" a="1"/>
  <c r="AH57" i="3" s="1"/>
  <c r="AL55" i="3" a="1"/>
  <c r="AL55" i="3" s="1"/>
  <c r="AI54" i="3" a="1"/>
  <c r="AI54" i="3" s="1"/>
  <c r="Y54" i="3" a="1"/>
  <c r="Y54" i="3" s="1"/>
  <c r="AF53" i="3" a="1"/>
  <c r="AF53" i="3" s="1"/>
  <c r="AM52" i="3" a="1"/>
  <c r="AM52" i="3" s="1"/>
  <c r="AJ51" i="3" a="1"/>
  <c r="AJ51" i="3" s="1"/>
  <c r="Z51" i="3" a="1"/>
  <c r="Z51" i="3" s="1"/>
  <c r="AF50" i="3" a="1"/>
  <c r="AF50" i="3" s="1"/>
  <c r="AM49" i="3" a="1"/>
  <c r="AM49" i="3" s="1"/>
  <c r="AI48" i="3" a="1"/>
  <c r="AI48" i="3" s="1"/>
  <c r="AG47" i="3" a="1"/>
  <c r="AG47" i="3" s="1"/>
  <c r="AM46" i="3" a="1"/>
  <c r="AM46" i="3" s="1"/>
  <c r="AM44" i="3" a="1"/>
  <c r="AM44" i="3" s="1"/>
  <c r="AD44" i="3" a="1"/>
  <c r="AD44" i="3" s="1"/>
  <c r="AI43" i="3" a="1"/>
  <c r="AI43" i="3" s="1"/>
  <c r="X41" i="3" a="1"/>
  <c r="X41" i="3" s="1"/>
  <c r="AD39" i="3" a="1"/>
  <c r="AD39" i="3" s="1"/>
  <c r="AG37" i="3" a="1"/>
  <c r="AG37" i="3" s="1"/>
  <c r="AD34" i="3" a="1"/>
  <c r="AD34" i="3" s="1"/>
  <c r="AA33" i="3" a="1"/>
  <c r="AA33" i="3" s="1"/>
  <c r="AM31" i="3" a="1"/>
  <c r="AM31" i="3" s="1"/>
  <c r="AL30" i="3" a="1"/>
  <c r="AL30" i="3" s="1"/>
  <c r="AB28" i="3" a="1"/>
  <c r="AB28" i="3" s="1"/>
  <c r="AB27" i="3" a="1"/>
  <c r="AB27" i="3" s="1"/>
  <c r="AF19" i="3" a="1"/>
  <c r="AF19" i="3" s="1"/>
  <c r="AI15" i="3" a="1"/>
  <c r="AI15" i="3" s="1"/>
  <c r="AA14" i="3" a="1"/>
  <c r="AA14" i="3" s="1"/>
  <c r="AK31" i="3" a="1"/>
  <c r="AK31" i="3" s="1"/>
  <c r="AF30" i="3" a="1"/>
  <c r="AF30" i="3" s="1"/>
  <c r="AA28" i="3" a="1"/>
  <c r="AA28" i="3" s="1"/>
  <c r="AK26" i="3" a="1"/>
  <c r="AK26" i="3" s="1"/>
  <c r="AJ25" i="3" a="1"/>
  <c r="AJ25" i="3" s="1"/>
  <c r="AE19" i="3" a="1"/>
  <c r="AE19" i="3" s="1"/>
  <c r="AH16" i="3" a="1"/>
  <c r="AH16" i="3" s="1"/>
  <c r="AI13" i="3" a="1"/>
  <c r="AI13" i="3" s="1"/>
  <c r="Z12" i="3" a="1"/>
  <c r="Z12" i="3" s="1"/>
  <c r="AE10" i="3" a="1"/>
  <c r="AE10" i="3" s="1"/>
  <c r="AH20" i="3" a="1"/>
  <c r="AH20" i="3" s="1"/>
  <c r="X18" i="3" a="1"/>
  <c r="X18" i="3" s="1"/>
  <c r="Z15" i="3" a="1"/>
  <c r="Z15" i="3" s="1"/>
  <c r="Y10" i="3" a="1"/>
  <c r="Y10" i="3" s="1"/>
  <c r="AD8" i="3" a="1"/>
  <c r="AD8" i="3" s="1"/>
  <c r="Y73" i="3" a="1"/>
  <c r="Y73" i="3" s="1"/>
  <c r="AG72" i="3" a="1"/>
  <c r="AG72" i="3" s="1"/>
  <c r="AM71" i="3" a="1"/>
  <c r="AM71" i="3" s="1"/>
  <c r="AE71" i="3" a="1"/>
  <c r="AE71" i="3" s="1"/>
  <c r="AM70" i="3" a="1"/>
  <c r="AM70" i="3" s="1"/>
  <c r="AD70" i="3" a="1"/>
  <c r="AD70" i="3" s="1"/>
  <c r="AL69" i="3" a="1"/>
  <c r="AL69" i="3" s="1"/>
  <c r="AJ68" i="3" a="1"/>
  <c r="AJ68" i="3" s="1"/>
  <c r="AB68" i="3" a="1"/>
  <c r="AB68" i="3" s="1"/>
  <c r="AG65" i="3" a="1"/>
  <c r="AG65" i="3" s="1"/>
  <c r="AM63" i="3" a="1"/>
  <c r="AM63" i="3" s="1"/>
  <c r="AL62" i="3" a="1"/>
  <c r="AL62" i="3" s="1"/>
  <c r="AD62" i="3" a="1"/>
  <c r="AD62" i="3" s="1"/>
  <c r="AK61" i="3" a="1"/>
  <c r="AK61" i="3" s="1"/>
  <c r="AB61" i="3" a="1"/>
  <c r="AB61" i="3" s="1"/>
  <c r="AJ60" i="3" a="1"/>
  <c r="AJ60" i="3" s="1"/>
  <c r="AA60" i="3" a="1"/>
  <c r="AA60" i="3" s="1"/>
  <c r="AI59" i="3" a="1"/>
  <c r="AI59" i="3" s="1"/>
  <c r="AG58" i="3" a="1"/>
  <c r="AG58" i="3" s="1"/>
  <c r="AF57" i="3" a="1"/>
  <c r="AF57" i="3" s="1"/>
  <c r="AK56" i="3" a="1"/>
  <c r="AK56" i="3" s="1"/>
  <c r="AI55" i="3" a="1"/>
  <c r="AI55" i="3" s="1"/>
  <c r="AB53" i="3" a="1"/>
  <c r="AB53" i="3" s="1"/>
  <c r="AI52" i="3" a="1"/>
  <c r="AI52" i="3" s="1"/>
  <c r="AI49" i="3" a="1"/>
  <c r="AI49" i="3" s="1"/>
  <c r="Z49" i="3" a="1"/>
  <c r="Z49" i="3" s="1"/>
  <c r="AG48" i="3" a="1"/>
  <c r="AG48" i="3" s="1"/>
  <c r="AL47" i="3" a="1"/>
  <c r="AL47" i="3" s="1"/>
  <c r="AK44" i="3" a="1"/>
  <c r="AK44" i="3" s="1"/>
  <c r="Y44" i="3" a="1"/>
  <c r="Y44" i="3" s="1"/>
  <c r="AF43" i="3" a="1"/>
  <c r="AF43" i="3" s="1"/>
  <c r="AF41" i="3" a="1"/>
  <c r="AF41" i="3" s="1"/>
  <c r="AL39" i="3" a="1"/>
  <c r="AL39" i="3" s="1"/>
  <c r="AA38" i="3" a="1"/>
  <c r="AA38" i="3" s="1"/>
  <c r="X34" i="3" a="1"/>
  <c r="X34" i="3" s="1"/>
  <c r="AM32" i="3" a="1"/>
  <c r="AM32" i="3" s="1"/>
  <c r="AM27" i="3" a="1"/>
  <c r="AM27" i="3" s="1"/>
  <c r="AJ26" i="3" a="1"/>
  <c r="AJ26" i="3" s="1"/>
  <c r="AC25" i="3" a="1"/>
  <c r="AC25" i="3" s="1"/>
  <c r="AM22" i="3" a="1"/>
  <c r="AM22" i="3" s="1"/>
  <c r="AG21" i="3" a="1"/>
  <c r="AG21" i="3" s="1"/>
  <c r="AA19" i="3" a="1"/>
  <c r="AA19" i="3" s="1"/>
  <c r="AG16" i="3" a="1"/>
  <c r="AG16" i="3" s="1"/>
  <c r="Y15" i="3" a="1"/>
  <c r="Y15" i="3" s="1"/>
  <c r="AG13" i="3" a="1"/>
  <c r="AG13" i="3" s="1"/>
  <c r="AM9" i="3" a="1"/>
  <c r="AM9" i="3" s="1"/>
  <c r="AD6" i="3" a="1"/>
  <c r="AD6" i="3" s="1"/>
  <c r="AH77" i="3" a="1"/>
  <c r="AH77" i="3" s="1"/>
  <c r="AI76" i="3" a="1"/>
  <c r="AI76" i="3" s="1"/>
  <c r="AI75" i="3" a="1"/>
  <c r="AI75" i="3" s="1"/>
  <c r="Z75" i="3" a="1"/>
  <c r="Z75" i="3" s="1"/>
  <c r="AH74" i="3" a="1"/>
  <c r="AH74" i="3" s="1"/>
  <c r="Y74" i="3" a="1"/>
  <c r="Y74" i="3" s="1"/>
  <c r="AG73" i="3" a="1"/>
  <c r="AG73" i="3" s="1"/>
  <c r="AE72" i="3" a="1"/>
  <c r="AE72" i="3" s="1"/>
  <c r="AB69" i="3" a="1"/>
  <c r="AB69" i="3" s="1"/>
  <c r="AA68" i="3" a="1"/>
  <c r="AA68" i="3" s="1"/>
  <c r="AI67" i="3" a="1"/>
  <c r="AI67" i="3" s="1"/>
  <c r="Y67" i="3" a="1"/>
  <c r="Y67" i="3" s="1"/>
  <c r="AG66" i="3" a="1"/>
  <c r="AG66" i="3" s="1"/>
  <c r="Y66" i="3" a="1"/>
  <c r="Y66" i="3" s="1"/>
  <c r="AF65" i="3" a="1"/>
  <c r="AF65" i="3" s="1"/>
  <c r="X65" i="3" a="1"/>
  <c r="X65" i="3" s="1"/>
  <c r="AL63" i="3" a="1"/>
  <c r="AL63" i="3" s="1"/>
  <c r="AD63" i="3" a="1"/>
  <c r="AD63" i="3" s="1"/>
  <c r="AI60" i="3" a="1"/>
  <c r="AI60" i="3" s="1"/>
  <c r="Y59" i="3" a="1"/>
  <c r="Y59" i="3" s="1"/>
  <c r="X58" i="3" a="1"/>
  <c r="X58" i="3" s="1"/>
  <c r="AE57" i="3" a="1"/>
  <c r="AE57" i="3" s="1"/>
  <c r="AB56" i="3" a="1"/>
  <c r="AB56" i="3" s="1"/>
  <c r="AH55" i="3" a="1"/>
  <c r="AH55" i="3" s="1"/>
  <c r="X55" i="3" a="1"/>
  <c r="X55" i="3" s="1"/>
  <c r="AE54" i="3" a="1"/>
  <c r="AE54" i="3" s="1"/>
  <c r="AA53" i="3" a="1"/>
  <c r="AA53" i="3" s="1"/>
  <c r="Y52" i="3" a="1"/>
  <c r="Y52" i="3" s="1"/>
  <c r="AE51" i="3" a="1"/>
  <c r="AE51" i="3" s="1"/>
  <c r="AL50" i="3" a="1"/>
  <c r="AL50" i="3" s="1"/>
  <c r="Y49" i="3" a="1"/>
  <c r="Y49" i="3" s="1"/>
  <c r="AF48" i="3" a="1"/>
  <c r="AF48" i="3" s="1"/>
  <c r="AC47" i="3" a="1"/>
  <c r="AC47" i="3" s="1"/>
  <c r="X46" i="3" a="1"/>
  <c r="X46" i="3" s="1"/>
  <c r="AD45" i="3" a="1"/>
  <c r="AD45" i="3" s="1"/>
  <c r="AJ44" i="3" a="1"/>
  <c r="AJ44" i="3" s="1"/>
  <c r="AD43" i="3" a="1"/>
  <c r="AD43" i="3" s="1"/>
  <c r="Y42" i="3" a="1"/>
  <c r="Y42" i="3" s="1"/>
  <c r="Z36" i="3" a="1"/>
  <c r="Z36" i="3" s="1"/>
  <c r="AI32" i="3" a="1"/>
  <c r="AI32" i="3" s="1"/>
  <c r="AI31" i="3" a="1"/>
  <c r="AI31" i="3" s="1"/>
  <c r="AC30" i="3" a="1"/>
  <c r="AC30" i="3" s="1"/>
  <c r="AL27" i="3" a="1"/>
  <c r="AL27" i="3" s="1"/>
  <c r="AM23" i="3" a="1"/>
  <c r="AM23" i="3" s="1"/>
  <c r="AA20" i="3" a="1"/>
  <c r="AA20" i="3" s="1"/>
  <c r="AC8" i="3" a="1"/>
  <c r="AC8" i="3" s="1"/>
  <c r="AF58" i="3" a="1"/>
  <c r="AF58" i="3" s="1"/>
  <c r="AJ56" i="3" a="1"/>
  <c r="AJ56" i="3" s="1"/>
  <c r="AA56" i="3" a="1"/>
  <c r="AA56" i="3" s="1"/>
  <c r="AK53" i="3" a="1"/>
  <c r="AK53" i="3" s="1"/>
  <c r="AH52" i="3" a="1"/>
  <c r="AH52" i="3" s="1"/>
  <c r="X52" i="3" a="1"/>
  <c r="X52" i="3" s="1"/>
  <c r="AB50" i="3" a="1"/>
  <c r="AB50" i="3" s="1"/>
  <c r="AH49" i="3" a="1"/>
  <c r="AH49" i="3" s="1"/>
  <c r="AK47" i="3" a="1"/>
  <c r="AK47" i="3" s="1"/>
  <c r="AH46" i="3" a="1"/>
  <c r="AH46" i="3" s="1"/>
  <c r="AC45" i="3" a="1"/>
  <c r="AC45" i="3" s="1"/>
  <c r="X44" i="3" a="1"/>
  <c r="X44" i="3" s="1"/>
  <c r="AJ42" i="3" a="1"/>
  <c r="AJ42" i="3" s="1"/>
  <c r="AE41" i="3" a="1"/>
  <c r="AE41" i="3" s="1"/>
  <c r="AG40" i="3" a="1"/>
  <c r="AG40" i="3" s="1"/>
  <c r="AK39" i="3" a="1"/>
  <c r="AK39" i="3" s="1"/>
  <c r="Y38" i="3" a="1"/>
  <c r="Y38" i="3" s="1"/>
  <c r="Y37" i="3" a="1"/>
  <c r="Y37" i="3" s="1"/>
  <c r="AJ34" i="3" a="1"/>
  <c r="AJ34" i="3" s="1"/>
  <c r="AL28" i="3" a="1"/>
  <c r="AL28" i="3" s="1"/>
  <c r="AG27" i="3" a="1"/>
  <c r="AG27" i="3" s="1"/>
  <c r="AB25" i="3" a="1"/>
  <c r="AB25" i="3" s="1"/>
  <c r="AL23" i="3" a="1"/>
  <c r="AL23" i="3" s="1"/>
  <c r="AL22" i="3" a="1"/>
  <c r="AL22" i="3" s="1"/>
  <c r="AF21" i="3" a="1"/>
  <c r="AF21" i="3" s="1"/>
  <c r="AK18" i="3" a="1"/>
  <c r="AK18" i="3" s="1"/>
  <c r="AM14" i="3" a="1"/>
  <c r="AM14" i="3" s="1"/>
  <c r="AD11" i="3" a="1"/>
  <c r="AD11" i="3" s="1"/>
  <c r="AK9" i="3" a="1"/>
  <c r="AK9" i="3" s="1"/>
  <c r="AB57" i="3" a="1"/>
  <c r="AB57" i="3" s="1"/>
  <c r="AF55" i="3" a="1"/>
  <c r="AF55" i="3" s="1"/>
  <c r="AM54" i="3" a="1"/>
  <c r="AM54" i="3" s="1"/>
  <c r="AD54" i="3" a="1"/>
  <c r="AD54" i="3" s="1"/>
  <c r="Z53" i="3" a="1"/>
  <c r="Z53" i="3" s="1"/>
  <c r="AD51" i="3" a="1"/>
  <c r="AD51" i="3" s="1"/>
  <c r="Z50" i="3" a="1"/>
  <c r="Z50" i="3" s="1"/>
  <c r="AG49" i="3" a="1"/>
  <c r="AG49" i="3" s="1"/>
  <c r="X49" i="3" a="1"/>
  <c r="X49" i="3" s="1"/>
  <c r="AC48" i="3" a="1"/>
  <c r="AC48" i="3" s="1"/>
  <c r="AB47" i="3" a="1"/>
  <c r="AB47" i="3" s="1"/>
  <c r="AM45" i="3" a="1"/>
  <c r="AM45" i="3" s="1"/>
  <c r="AC43" i="3" a="1"/>
  <c r="AC43" i="3" s="1"/>
  <c r="AG42" i="3" a="1"/>
  <c r="AG42" i="3" s="1"/>
  <c r="X42" i="3" a="1"/>
  <c r="X42" i="3" s="1"/>
  <c r="AL38" i="3" a="1"/>
  <c r="AL38" i="3" s="1"/>
  <c r="X37" i="3" a="1"/>
  <c r="X37" i="3" s="1"/>
  <c r="X36" i="3" a="1"/>
  <c r="X36" i="3" s="1"/>
  <c r="AI34" i="3" a="1"/>
  <c r="AI34" i="3" s="1"/>
  <c r="AJ33" i="3" a="1"/>
  <c r="AJ33" i="3" s="1"/>
  <c r="AH32" i="3" a="1"/>
  <c r="AH32" i="3" s="1"/>
  <c r="AB31" i="3" a="1"/>
  <c r="AB31" i="3" s="1"/>
  <c r="AA30" i="3" a="1"/>
  <c r="AA30" i="3" s="1"/>
  <c r="AE27" i="3" a="1"/>
  <c r="AE27" i="3" s="1"/>
  <c r="AE26" i="3" a="1"/>
  <c r="AE26" i="3" s="1"/>
  <c r="Y20" i="3" a="1"/>
  <c r="Y20" i="3" s="1"/>
  <c r="AB16" i="3" a="1"/>
  <c r="AB16" i="3" s="1"/>
  <c r="AC11" i="3" a="1"/>
  <c r="AC11" i="3" s="1"/>
  <c r="X6" i="3" a="1"/>
  <c r="X6" i="3" s="1"/>
  <c r="Y77" i="3" a="1"/>
  <c r="Y77" i="3" s="1"/>
  <c r="AE73" i="3" a="1"/>
  <c r="AE73" i="3" s="1"/>
  <c r="AC72" i="3" a="1"/>
  <c r="AC72" i="3" s="1"/>
  <c r="AK71" i="3" a="1"/>
  <c r="AK71" i="3" s="1"/>
  <c r="AC71" i="3" a="1"/>
  <c r="AC71" i="3" s="1"/>
  <c r="AJ70" i="3" a="1"/>
  <c r="AJ70" i="3" s="1"/>
  <c r="AA70" i="3" a="1"/>
  <c r="AA70" i="3" s="1"/>
  <c r="Z69" i="3" a="1"/>
  <c r="Z69" i="3" s="1"/>
  <c r="AH68" i="3" a="1"/>
  <c r="AH68" i="3" s="1"/>
  <c r="AF67" i="3" a="1"/>
  <c r="AF67" i="3" s="1"/>
  <c r="AK64" i="3" a="1"/>
  <c r="AK64" i="3" s="1"/>
  <c r="AB63" i="3" a="1"/>
  <c r="AB63" i="3" s="1"/>
  <c r="AJ62" i="3" a="1"/>
  <c r="AJ62" i="3" s="1"/>
  <c r="Z62" i="3" a="1"/>
  <c r="Z62" i="3" s="1"/>
  <c r="AH61" i="3" a="1"/>
  <c r="AH61" i="3" s="1"/>
  <c r="Z61" i="3" a="1"/>
  <c r="Z61" i="3" s="1"/>
  <c r="AG60" i="3" a="1"/>
  <c r="AG60" i="3" s="1"/>
  <c r="Y60" i="3" a="1"/>
  <c r="Y60" i="3" s="1"/>
  <c r="AM58" i="3" a="1"/>
  <c r="AM58" i="3" s="1"/>
  <c r="AL57" i="3" a="1"/>
  <c r="AL57" i="3" s="1"/>
  <c r="AI56" i="3" a="1"/>
  <c r="AI56" i="3" s="1"/>
  <c r="Y56" i="3" a="1"/>
  <c r="Y56" i="3" s="1"/>
  <c r="AE55" i="3" a="1"/>
  <c r="AE55" i="3" s="1"/>
  <c r="AL54" i="3" a="1"/>
  <c r="AL54" i="3" s="1"/>
  <c r="AL51" i="3" a="1"/>
  <c r="AL51" i="3" s="1"/>
  <c r="AC51" i="3" a="1"/>
  <c r="AC51" i="3" s="1"/>
  <c r="AM48" i="3" a="1"/>
  <c r="AM48" i="3" s="1"/>
  <c r="AJ47" i="3" a="1"/>
  <c r="AJ47" i="3" s="1"/>
  <c r="AF46" i="3" a="1"/>
  <c r="AF46" i="3" s="1"/>
  <c r="AF44" i="3" a="1"/>
  <c r="AF44" i="3" s="1"/>
  <c r="AM43" i="3" a="1"/>
  <c r="AM43" i="3" s="1"/>
  <c r="AB43" i="3" a="1"/>
  <c r="AB43" i="3" s="1"/>
  <c r="AM41" i="3" a="1"/>
  <c r="AM41" i="3" s="1"/>
  <c r="AM36" i="3" a="1"/>
  <c r="AM36" i="3" s="1"/>
  <c r="AI33" i="3" a="1"/>
  <c r="AI33" i="3" s="1"/>
  <c r="AK28" i="3" a="1"/>
  <c r="AK28" i="3" s="1"/>
  <c r="X25" i="3" a="1"/>
  <c r="X25" i="3" s="1"/>
  <c r="AE22" i="3" a="1"/>
  <c r="AE22" i="3" s="1"/>
  <c r="AE21" i="3" a="1"/>
  <c r="AE21" i="3" s="1"/>
  <c r="AH18" i="3" a="1"/>
  <c r="AH18" i="3" s="1"/>
  <c r="AD17" i="3" a="1"/>
  <c r="AD17" i="3" s="1"/>
  <c r="AL15" i="3" a="1"/>
  <c r="AL15" i="3" s="1"/>
  <c r="AE14" i="3" a="1"/>
  <c r="AE14" i="3" s="1"/>
  <c r="Y7" i="3" a="1"/>
  <c r="Y7" i="3" s="1"/>
  <c r="AL7" i="3" a="1"/>
  <c r="AL7" i="3" s="1"/>
  <c r="AI8" i="3" a="1"/>
  <c r="AI8" i="3" s="1"/>
  <c r="AF9" i="3" a="1"/>
  <c r="AF9" i="3" s="1"/>
  <c r="AC10" i="3" a="1"/>
  <c r="AC10" i="3" s="1"/>
  <c r="Z11" i="3" a="1"/>
  <c r="Z11" i="3" s="1"/>
  <c r="AG11" i="3" a="1"/>
  <c r="AG11" i="3" s="1"/>
  <c r="AD12" i="3" a="1"/>
  <c r="AD12" i="3" s="1"/>
  <c r="AA13" i="3" a="1"/>
  <c r="AA13" i="3" s="1"/>
  <c r="X14" i="3" a="1"/>
  <c r="X14" i="3" s="1"/>
  <c r="AK14" i="3" a="1"/>
  <c r="AK14" i="3" s="1"/>
  <c r="AH15" i="3" a="1"/>
  <c r="AH15" i="3" s="1"/>
  <c r="Y16" i="3" a="1"/>
  <c r="Y16" i="3" s="1"/>
  <c r="AL16" i="3" a="1"/>
  <c r="AL16" i="3" s="1"/>
  <c r="AI17" i="3" a="1"/>
  <c r="AI17" i="3" s="1"/>
  <c r="AF18" i="3" a="1"/>
  <c r="AF18" i="3" s="1"/>
  <c r="AC19" i="3" a="1"/>
  <c r="AC19" i="3" s="1"/>
  <c r="Z20" i="3" a="1"/>
  <c r="Z20" i="3" s="1"/>
  <c r="AG20" i="3" a="1"/>
  <c r="AG20" i="3" s="1"/>
  <c r="AD21" i="3" a="1"/>
  <c r="AD21" i="3" s="1"/>
  <c r="AA22" i="3" a="1"/>
  <c r="AA22" i="3" s="1"/>
  <c r="X23" i="3" a="1"/>
  <c r="X23" i="3" s="1"/>
  <c r="AK23" i="3" a="1"/>
  <c r="AK23" i="3" s="1"/>
  <c r="Y25" i="3" a="1"/>
  <c r="Y25" i="3" s="1"/>
  <c r="AL25" i="3" a="1"/>
  <c r="AL25" i="3" s="1"/>
  <c r="AI26" i="3" a="1"/>
  <c r="AI26" i="3" s="1"/>
  <c r="AF27" i="3" a="1"/>
  <c r="AF27" i="3" s="1"/>
  <c r="AC28" i="3" a="1"/>
  <c r="AC28" i="3" s="1"/>
  <c r="Z29" i="3" a="1"/>
  <c r="Z29" i="3" s="1"/>
  <c r="AG29" i="3" a="1"/>
  <c r="AG29" i="3" s="1"/>
  <c r="AD30" i="3" a="1"/>
  <c r="AD30" i="3" s="1"/>
  <c r="AA31" i="3" a="1"/>
  <c r="AA31" i="3" s="1"/>
  <c r="X32" i="3" a="1"/>
  <c r="X32" i="3" s="1"/>
  <c r="AK32" i="3" a="1"/>
  <c r="AK32" i="3" s="1"/>
  <c r="AH33" i="3" a="1"/>
  <c r="AH33" i="3" s="1"/>
  <c r="Y34" i="3" a="1"/>
  <c r="Y34" i="3" s="1"/>
  <c r="AL34" i="3" a="1"/>
  <c r="AL34" i="3" s="1"/>
  <c r="AI35" i="3" a="1"/>
  <c r="AI35" i="3" s="1"/>
  <c r="AF36" i="3" a="1"/>
  <c r="AF36" i="3" s="1"/>
  <c r="AC37" i="3" a="1"/>
  <c r="AC37" i="3" s="1"/>
  <c r="Z38" i="3" a="1"/>
  <c r="Z38" i="3" s="1"/>
  <c r="AG38" i="3" a="1"/>
  <c r="AG38" i="3" s="1"/>
  <c r="AM38" i="3" a="1"/>
  <c r="AM38" i="3" s="1"/>
  <c r="AC39" i="3" a="1"/>
  <c r="AC39" i="3" s="1"/>
  <c r="AI39" i="3" a="1"/>
  <c r="AI39" i="3" s="1"/>
  <c r="Y40" i="3" a="1"/>
  <c r="Y40" i="3" s="1"/>
  <c r="AE40" i="3" a="1"/>
  <c r="AE40" i="3" s="1"/>
  <c r="AK40" i="3" a="1"/>
  <c r="AK40" i="3" s="1"/>
  <c r="AA41" i="3" a="1"/>
  <c r="AA41" i="3" s="1"/>
  <c r="AC9" i="3" a="1"/>
  <c r="AC9" i="3" s="1"/>
  <c r="AJ9" i="3" a="1"/>
  <c r="AJ9" i="3" s="1"/>
  <c r="AA10" i="3" a="1"/>
  <c r="AA10" i="3" s="1"/>
  <c r="AH10" i="3" a="1"/>
  <c r="AH10" i="3" s="1"/>
  <c r="Y11" i="3" a="1"/>
  <c r="Y11" i="3" s="1"/>
  <c r="AF11" i="3" a="1"/>
  <c r="AF11" i="3" s="1"/>
  <c r="X12" i="3" a="1"/>
  <c r="X12" i="3" s="1"/>
  <c r="AE12" i="3" a="1"/>
  <c r="AE12" i="3" s="1"/>
  <c r="AL12" i="3" a="1"/>
  <c r="AL12" i="3" s="1"/>
  <c r="AC13" i="3" a="1"/>
  <c r="AC13" i="3" s="1"/>
  <c r="AJ13" i="3" a="1"/>
  <c r="AJ13" i="3" s="1"/>
  <c r="AE16" i="3" a="1"/>
  <c r="AE16" i="3" s="1"/>
  <c r="AI18" i="3" a="1"/>
  <c r="AI18" i="3" s="1"/>
  <c r="Z19" i="3" a="1"/>
  <c r="Z19" i="3" s="1"/>
  <c r="AG19" i="3" a="1"/>
  <c r="AG19" i="3" s="1"/>
  <c r="X20" i="3" a="1"/>
  <c r="X20" i="3" s="1"/>
  <c r="AE20" i="3" a="1"/>
  <c r="AE20" i="3" s="1"/>
  <c r="AL20" i="3" a="1"/>
  <c r="AL20" i="3" s="1"/>
  <c r="AK21" i="3" a="1"/>
  <c r="AK21" i="3" s="1"/>
  <c r="AB22" i="3" a="1"/>
  <c r="AB22" i="3" s="1"/>
  <c r="AI22" i="3" a="1"/>
  <c r="AI22" i="3" s="1"/>
  <c r="Z23" i="3" a="1"/>
  <c r="Z23" i="3" s="1"/>
  <c r="AK25" i="3" a="1"/>
  <c r="AK25" i="3" s="1"/>
  <c r="AB26" i="3" a="1"/>
  <c r="AB26" i="3" s="1"/>
  <c r="Y28" i="3" a="1"/>
  <c r="Y28" i="3" s="1"/>
  <c r="AF28" i="3" a="1"/>
  <c r="AF28" i="3" s="1"/>
  <c r="AM28" i="3" a="1"/>
  <c r="AM28" i="3" s="1"/>
  <c r="AD29" i="3" a="1"/>
  <c r="AD29" i="3" s="1"/>
  <c r="AK29" i="3" a="1"/>
  <c r="AK29" i="3" s="1"/>
  <c r="AB30" i="3" a="1"/>
  <c r="AB30" i="3" s="1"/>
  <c r="AH31" i="3" a="1"/>
  <c r="AH31" i="3" s="1"/>
  <c r="Y32" i="3" a="1"/>
  <c r="Y32" i="3" s="1"/>
  <c r="AF32" i="3" a="1"/>
  <c r="AF32" i="3" s="1"/>
  <c r="AA35" i="3" a="1"/>
  <c r="AA35" i="3" s="1"/>
  <c r="AH35" i="3" a="1"/>
  <c r="AH35" i="3" s="1"/>
  <c r="Y36" i="3" a="1"/>
  <c r="Y36" i="3" s="1"/>
  <c r="AE37" i="3" a="1"/>
  <c r="AE37" i="3" s="1"/>
  <c r="AL37" i="3" a="1"/>
  <c r="AL37" i="3" s="1"/>
  <c r="AC38" i="3" a="1"/>
  <c r="AC38" i="3" s="1"/>
  <c r="AJ38" i="3" a="1"/>
  <c r="AJ38" i="3" s="1"/>
  <c r="AG39" i="3" a="1"/>
  <c r="AG39" i="3" s="1"/>
  <c r="AD40" i="3" a="1"/>
  <c r="AD40" i="3" s="1"/>
  <c r="X7" i="3" a="1"/>
  <c r="X7" i="3" s="1"/>
  <c r="AG7" i="3" a="1"/>
  <c r="AG7" i="3" s="1"/>
  <c r="AF8" i="3" a="1"/>
  <c r="AF8" i="3" s="1"/>
  <c r="X9" i="3" a="1"/>
  <c r="X9" i="3" s="1"/>
  <c r="AM10" i="3" a="1"/>
  <c r="AM10" i="3" s="1"/>
  <c r="AL11" i="3" a="1"/>
  <c r="AL11" i="3" s="1"/>
  <c r="AD13" i="3" a="1"/>
  <c r="AD13" i="3" s="1"/>
  <c r="AL13" i="3" a="1"/>
  <c r="AL13" i="3" s="1"/>
  <c r="AK15" i="3" a="1"/>
  <c r="AK15" i="3" s="1"/>
  <c r="AJ16" i="3" a="1"/>
  <c r="AJ16" i="3" s="1"/>
  <c r="AB17" i="3" a="1"/>
  <c r="AB17" i="3" s="1"/>
  <c r="AJ17" i="3" a="1"/>
  <c r="AJ17" i="3" s="1"/>
  <c r="AB18" i="3" a="1"/>
  <c r="AB18" i="3" s="1"/>
  <c r="AJ18" i="3" a="1"/>
  <c r="AJ18" i="3" s="1"/>
  <c r="AI19" i="3" a="1"/>
  <c r="AI19" i="3" s="1"/>
  <c r="AI20" i="3" a="1"/>
  <c r="AI20" i="3" s="1"/>
  <c r="AH21" i="3" a="1"/>
  <c r="AH21" i="3" s="1"/>
  <c r="Z22" i="3" a="1"/>
  <c r="Z22" i="3" s="1"/>
  <c r="AH22" i="3" a="1"/>
  <c r="AH22" i="3" s="1"/>
  <c r="AH23" i="3" a="1"/>
  <c r="AH23" i="3" s="1"/>
  <c r="AG25" i="3" a="1"/>
  <c r="AG25" i="3" s="1"/>
  <c r="AF26" i="3" a="1"/>
  <c r="AF26" i="3" s="1"/>
  <c r="X27" i="3" a="1"/>
  <c r="X27" i="3" s="1"/>
  <c r="AE29" i="3" a="1"/>
  <c r="AE29" i="3" s="1"/>
  <c r="AM29" i="3" a="1"/>
  <c r="AM29" i="3" s="1"/>
  <c r="AE30" i="3" a="1"/>
  <c r="AE30" i="3" s="1"/>
  <c r="AD31" i="3" a="1"/>
  <c r="AD31" i="3" s="1"/>
  <c r="AL31" i="3" a="1"/>
  <c r="AL31" i="3" s="1"/>
  <c r="AK33" i="3" a="1"/>
  <c r="AK33" i="3" s="1"/>
  <c r="AC34" i="3" a="1"/>
  <c r="AC34" i="3" s="1"/>
  <c r="AK34" i="3" a="1"/>
  <c r="AK34" i="3" s="1"/>
  <c r="AC35" i="3" a="1"/>
  <c r="AC35" i="3" s="1"/>
  <c r="AB36" i="3" a="1"/>
  <c r="AB36" i="3" s="1"/>
  <c r="AJ36" i="3" a="1"/>
  <c r="AJ36" i="3" s="1"/>
  <c r="AI37" i="3" a="1"/>
  <c r="AI37" i="3" s="1"/>
  <c r="AI38" i="3" a="1"/>
  <c r="AI38" i="3" s="1"/>
  <c r="Z39" i="3" a="1"/>
  <c r="Z39" i="3" s="1"/>
  <c r="AF40" i="3" a="1"/>
  <c r="AF40" i="3" s="1"/>
  <c r="AM40" i="3" a="1"/>
  <c r="AM40" i="3" s="1"/>
  <c r="AD41" i="3" a="1"/>
  <c r="AD41" i="3" s="1"/>
  <c r="AA42" i="3" a="1"/>
  <c r="AA42" i="3" s="1"/>
  <c r="X43" i="3" a="1"/>
  <c r="X43" i="3" s="1"/>
  <c r="AK43" i="3" a="1"/>
  <c r="AK43" i="3" s="1"/>
  <c r="AB44" i="3" a="1"/>
  <c r="AB44" i="3" s="1"/>
  <c r="Y45" i="3" a="1"/>
  <c r="Y45" i="3" s="1"/>
  <c r="AL45" i="3" a="1"/>
  <c r="AL45" i="3" s="1"/>
  <c r="AI46" i="3" a="1"/>
  <c r="AI46" i="3" s="1"/>
  <c r="Z7" i="3" a="1"/>
  <c r="Z7" i="3" s="1"/>
  <c r="Y8" i="3" a="1"/>
  <c r="Y8" i="3" s="1"/>
  <c r="AG8" i="3" a="1"/>
  <c r="AG8" i="3" s="1"/>
  <c r="X10" i="3" a="1"/>
  <c r="X10" i="3" s="1"/>
  <c r="AF10" i="3" a="1"/>
  <c r="AF10" i="3" s="1"/>
  <c r="AE11" i="3" a="1"/>
  <c r="AE11" i="3" s="1"/>
  <c r="AM11" i="3" a="1"/>
  <c r="AM11" i="3" s="1"/>
  <c r="AM12" i="3" a="1"/>
  <c r="AM12" i="3" s="1"/>
  <c r="AE13" i="3" a="1"/>
  <c r="AE13" i="3" s="1"/>
  <c r="AD14" i="3" a="1"/>
  <c r="AD14" i="3" s="1"/>
  <c r="AL14" i="3" a="1"/>
  <c r="AL14" i="3" s="1"/>
  <c r="AD15" i="3" a="1"/>
  <c r="AD15" i="3" s="1"/>
  <c r="AC16" i="3" a="1"/>
  <c r="AC16" i="3" s="1"/>
  <c r="AK16" i="3" a="1"/>
  <c r="AK16" i="3" s="1"/>
  <c r="AC17" i="3" a="1"/>
  <c r="AC17" i="3" s="1"/>
  <c r="AK17" i="3" a="1"/>
  <c r="AK17" i="3" s="1"/>
  <c r="AC18" i="3" a="1"/>
  <c r="AC18" i="3" s="1"/>
  <c r="AB19" i="3" a="1"/>
  <c r="AB19" i="3" s="1"/>
  <c r="AJ19" i="3" a="1"/>
  <c r="AJ19" i="3" s="1"/>
  <c r="AB20" i="3" a="1"/>
  <c r="AB20" i="3" s="1"/>
  <c r="AA21" i="3" a="1"/>
  <c r="AA21" i="3" s="1"/>
  <c r="AI21" i="3" a="1"/>
  <c r="AI21" i="3" s="1"/>
  <c r="AA23" i="3" a="1"/>
  <c r="AA23" i="3" s="1"/>
  <c r="Z25" i="3" a="1"/>
  <c r="Z25" i="3" s="1"/>
  <c r="Y26" i="3" a="1"/>
  <c r="Y26" i="3" s="1"/>
  <c r="AG26" i="3" a="1"/>
  <c r="AG26" i="3" s="1"/>
  <c r="X28" i="3" a="1"/>
  <c r="X28" i="3" s="1"/>
  <c r="X29" i="3" a="1"/>
  <c r="X29" i="3" s="1"/>
  <c r="X30" i="3" a="1"/>
  <c r="X30" i="3" s="1"/>
  <c r="AM30" i="3" a="1"/>
  <c r="AM30" i="3" s="1"/>
  <c r="AE31" i="3" a="1"/>
  <c r="AE31" i="3" s="1"/>
  <c r="AD32" i="3" a="1"/>
  <c r="AD32" i="3" s="1"/>
  <c r="AL32" i="3" a="1"/>
  <c r="AL32" i="3" s="1"/>
  <c r="AD33" i="3" a="1"/>
  <c r="AD33" i="3" s="1"/>
  <c r="AL33" i="3" a="1"/>
  <c r="AL33" i="3" s="1"/>
  <c r="AK35" i="3" a="1"/>
  <c r="AK35" i="3" s="1"/>
  <c r="AC36" i="3" a="1"/>
  <c r="AC36" i="3" s="1"/>
  <c r="AB37" i="3" a="1"/>
  <c r="AB37" i="3" s="1"/>
  <c r="AJ37" i="3" a="1"/>
  <c r="AJ37" i="3" s="1"/>
  <c r="AB38" i="3" a="1"/>
  <c r="AB38" i="3" s="1"/>
  <c r="AA39" i="3" a="1"/>
  <c r="AA39" i="3" s="1"/>
  <c r="AH39" i="3" a="1"/>
  <c r="AH39" i="3" s="1"/>
  <c r="AK41" i="3" a="1"/>
  <c r="AK41" i="3" s="1"/>
  <c r="AH42" i="3" a="1"/>
  <c r="AH42" i="3" s="1"/>
  <c r="AE43" i="3" a="1"/>
  <c r="AE43" i="3" s="1"/>
  <c r="AL43" i="3" a="1"/>
  <c r="AL43" i="3" s="1"/>
  <c r="AI44" i="3" a="1"/>
  <c r="AI44" i="3" s="1"/>
  <c r="AF45" i="3" a="1"/>
  <c r="AF45" i="3" s="1"/>
  <c r="AC46" i="3" a="1"/>
  <c r="AC46" i="3" s="1"/>
  <c r="Z47" i="3" a="1"/>
  <c r="Z47" i="3" s="1"/>
  <c r="AM47" i="3" a="1"/>
  <c r="AM47" i="3" s="1"/>
  <c r="AD48" i="3" a="1"/>
  <c r="AD48" i="3" s="1"/>
  <c r="AA49" i="3" a="1"/>
  <c r="AA49" i="3" s="1"/>
  <c r="X50" i="3" a="1"/>
  <c r="X50" i="3" s="1"/>
  <c r="AK50" i="3" a="1"/>
  <c r="AK50" i="3" s="1"/>
  <c r="AH51" i="3" a="1"/>
  <c r="AH51" i="3" s="1"/>
  <c r="AE52" i="3" a="1"/>
  <c r="AE52" i="3" s="1"/>
  <c r="AL52" i="3" a="1"/>
  <c r="AL52" i="3" s="1"/>
  <c r="AI53" i="3" a="1"/>
  <c r="AI53" i="3" s="1"/>
  <c r="AF54" i="3" a="1"/>
  <c r="AF54" i="3" s="1"/>
  <c r="AC55" i="3" a="1"/>
  <c r="AC55" i="3" s="1"/>
  <c r="Z56" i="3" a="1"/>
  <c r="Z56" i="3" s="1"/>
  <c r="AM56" i="3" a="1"/>
  <c r="AM56" i="3" s="1"/>
  <c r="AD57" i="3" a="1"/>
  <c r="AD57" i="3" s="1"/>
  <c r="AA58" i="3" a="1"/>
  <c r="AA58" i="3" s="1"/>
  <c r="X59" i="3" a="1"/>
  <c r="X59" i="3" s="1"/>
  <c r="AK59" i="3" a="1"/>
  <c r="AK59" i="3" s="1"/>
  <c r="AH60" i="3" a="1"/>
  <c r="AH60" i="3" s="1"/>
  <c r="AE61" i="3" a="1"/>
  <c r="AE61" i="3" s="1"/>
  <c r="AL61" i="3" a="1"/>
  <c r="AL61" i="3" s="1"/>
  <c r="AI62" i="3" a="1"/>
  <c r="AI62" i="3" s="1"/>
  <c r="AF63" i="3" a="1"/>
  <c r="AF63" i="3" s="1"/>
  <c r="AC64" i="3" a="1"/>
  <c r="AC64" i="3" s="1"/>
  <c r="Z65" i="3" a="1"/>
  <c r="Z65" i="3" s="1"/>
  <c r="AM65" i="3" a="1"/>
  <c r="AM65" i="3" s="1"/>
  <c r="AD66" i="3" a="1"/>
  <c r="AD66" i="3" s="1"/>
  <c r="AA67" i="3" a="1"/>
  <c r="AA67" i="3" s="1"/>
  <c r="X68" i="3" a="1"/>
  <c r="X68" i="3" s="1"/>
  <c r="AK68" i="3" a="1"/>
  <c r="AK68" i="3" s="1"/>
  <c r="AH69" i="3" a="1"/>
  <c r="AH69" i="3" s="1"/>
  <c r="AE70" i="3" a="1"/>
  <c r="AE70" i="3" s="1"/>
  <c r="AL70" i="3" a="1"/>
  <c r="AL70" i="3" s="1"/>
  <c r="AI71" i="3" a="1"/>
  <c r="AI71" i="3" s="1"/>
  <c r="AF72" i="3" a="1"/>
  <c r="AF72" i="3" s="1"/>
  <c r="AC73" i="3" a="1"/>
  <c r="AC73" i="3" s="1"/>
  <c r="Z74" i="3" a="1"/>
  <c r="Z74" i="3" s="1"/>
  <c r="AM74" i="3" a="1"/>
  <c r="AM74" i="3" s="1"/>
  <c r="AD75" i="3" a="1"/>
  <c r="AD75" i="3" s="1"/>
  <c r="Y6" i="3" a="1"/>
  <c r="Y6" i="3" s="1"/>
  <c r="AK6" i="3" a="1"/>
  <c r="AK6" i="3" s="1"/>
  <c r="AA7" i="3" a="1"/>
  <c r="AA7" i="3" s="1"/>
  <c r="Z8" i="3" a="1"/>
  <c r="Z8" i="3" s="1"/>
  <c r="AH8" i="3" a="1"/>
  <c r="AH8" i="3" s="1"/>
  <c r="Z9" i="3" a="1"/>
  <c r="Z9" i="3" s="1"/>
  <c r="AG10" i="3" a="1"/>
  <c r="AG10" i="3" s="1"/>
  <c r="Y12" i="3" a="1"/>
  <c r="Y12" i="3" s="1"/>
  <c r="X13" i="3" a="1"/>
  <c r="X13" i="3" s="1"/>
  <c r="AF13" i="3" a="1"/>
  <c r="AF13" i="3" s="1"/>
  <c r="AE15" i="3" a="1"/>
  <c r="AE15" i="3" s="1"/>
  <c r="AD16" i="3" a="1"/>
  <c r="AD16" i="3" s="1"/>
  <c r="AM16" i="3" a="1"/>
  <c r="AM16" i="3" s="1"/>
  <c r="AL17" i="3" a="1"/>
  <c r="AL17" i="3" s="1"/>
  <c r="AD18" i="3" a="1"/>
  <c r="AD18" i="3" s="1"/>
  <c r="AC20" i="3" a="1"/>
  <c r="AC20" i="3" s="1"/>
  <c r="AB21" i="3" a="1"/>
  <c r="AB21" i="3" s="1"/>
  <c r="AJ21" i="3" a="1"/>
  <c r="AJ21" i="3" s="1"/>
  <c r="AJ22" i="3" a="1"/>
  <c r="AJ22" i="3" s="1"/>
  <c r="AB23" i="3" a="1"/>
  <c r="AB23" i="3" s="1"/>
  <c r="AA25" i="3" a="1"/>
  <c r="AA25" i="3" s="1"/>
  <c r="Z26" i="3" a="1"/>
  <c r="Z26" i="3" s="1"/>
  <c r="AH26" i="3" a="1"/>
  <c r="AH26" i="3" s="1"/>
  <c r="Z27" i="3" a="1"/>
  <c r="Z27" i="3" s="1"/>
  <c r="AH27" i="3" a="1"/>
  <c r="AH27" i="3" s="1"/>
  <c r="Z28" i="3" a="1"/>
  <c r="Z28" i="3" s="1"/>
  <c r="Y29" i="3" a="1"/>
  <c r="Y29" i="3" s="1"/>
  <c r="Y30" i="3" a="1"/>
  <c r="Y30" i="3" s="1"/>
  <c r="X31" i="3" a="1"/>
  <c r="X31" i="3" s="1"/>
  <c r="AF31" i="3" a="1"/>
  <c r="AF31" i="3" s="1"/>
  <c r="X33" i="3" a="1"/>
  <c r="X33" i="3" s="1"/>
  <c r="AM33" i="3" a="1"/>
  <c r="AM33" i="3" s="1"/>
  <c r="AE34" i="3" a="1"/>
  <c r="AE34" i="3" s="1"/>
  <c r="AM34" i="3" a="1"/>
  <c r="AM34" i="3" s="1"/>
  <c r="AL35" i="3" a="1"/>
  <c r="AL35" i="3" s="1"/>
  <c r="AD36" i="3" a="1"/>
  <c r="AD36" i="3" s="1"/>
  <c r="AI7" i="3" a="1"/>
  <c r="AI7" i="3" s="1"/>
  <c r="AA8" i="3" a="1"/>
  <c r="AA8" i="3" s="1"/>
  <c r="AH9" i="3" a="1"/>
  <c r="AH9" i="3" s="1"/>
  <c r="Z10" i="3" a="1"/>
  <c r="Z10" i="3" s="1"/>
  <c r="AH11" i="3" a="1"/>
  <c r="AH11" i="3" s="1"/>
  <c r="AG12" i="3" a="1"/>
  <c r="AG12" i="3" s="1"/>
  <c r="Y13" i="3" a="1"/>
  <c r="Y13" i="3" s="1"/>
  <c r="AF14" i="3" a="1"/>
  <c r="AF14" i="3" s="1"/>
  <c r="X15" i="3" a="1"/>
  <c r="X15" i="3" s="1"/>
  <c r="AM15" i="3" a="1"/>
  <c r="AM15" i="3" s="1"/>
  <c r="AF16" i="3" a="1"/>
  <c r="AF16" i="3" s="1"/>
  <c r="AE17" i="3" a="1"/>
  <c r="AE17" i="3" s="1"/>
  <c r="AM17" i="3" a="1"/>
  <c r="AM17" i="3" s="1"/>
  <c r="AL18" i="3" a="1"/>
  <c r="AL18" i="3" s="1"/>
  <c r="AD19" i="3" a="1"/>
  <c r="AD19" i="3" s="1"/>
  <c r="AL19" i="3" a="1"/>
  <c r="AL19" i="3" s="1"/>
  <c r="AK20" i="3" a="1"/>
  <c r="AK20" i="3" s="1"/>
  <c r="AC21" i="3" a="1"/>
  <c r="AC21" i="3" s="1"/>
  <c r="AC22" i="3" a="1"/>
  <c r="AC22" i="3" s="1"/>
  <c r="AK22" i="3" a="1"/>
  <c r="AK22" i="3" s="1"/>
  <c r="AJ23" i="3" a="1"/>
  <c r="AJ23" i="3" s="1"/>
  <c r="AI25" i="3" a="1"/>
  <c r="AI25" i="3" s="1"/>
  <c r="AA26" i="3" a="1"/>
  <c r="AA26" i="3" s="1"/>
  <c r="AA27" i="3" a="1"/>
  <c r="AA27" i="3" s="1"/>
  <c r="AI27" i="3" a="1"/>
  <c r="AI27" i="3" s="1"/>
  <c r="AH28" i="3" a="1"/>
  <c r="AH28" i="3" s="1"/>
  <c r="AH29" i="3" a="1"/>
  <c r="AH29" i="3" s="1"/>
  <c r="AG30" i="3" a="1"/>
  <c r="AG30" i="3" s="1"/>
  <c r="Y31" i="3" a="1"/>
  <c r="Y31" i="3" s="1"/>
  <c r="AG32" i="3" a="1"/>
  <c r="AG32" i="3" s="1"/>
  <c r="AF33" i="3" a="1"/>
  <c r="AF33" i="3" s="1"/>
  <c r="AF34" i="3" a="1"/>
  <c r="AF34" i="3" s="1"/>
  <c r="AE35" i="3" a="1"/>
  <c r="AE35" i="3" s="1"/>
  <c r="AM35" i="3" a="1"/>
  <c r="AM35" i="3" s="1"/>
  <c r="AL36" i="3" a="1"/>
  <c r="AL36" i="3" s="1"/>
  <c r="AC7" i="3" a="1"/>
  <c r="AC7" i="3" s="1"/>
  <c r="AD9" i="3" a="1"/>
  <c r="AD9" i="3" s="1"/>
  <c r="AB12" i="3" a="1"/>
  <c r="AB12" i="3" s="1"/>
  <c r="AG14" i="3" a="1"/>
  <c r="AG14" i="3" s="1"/>
  <c r="AA15" i="3" a="1"/>
  <c r="AA15" i="3" s="1"/>
  <c r="X16" i="3" a="1"/>
  <c r="X16" i="3" s="1"/>
  <c r="Z18" i="3" a="1"/>
  <c r="Z18" i="3" s="1"/>
  <c r="AM18" i="3" a="1"/>
  <c r="AM18" i="3" s="1"/>
  <c r="AD20" i="3" a="1"/>
  <c r="AD20" i="3" s="1"/>
  <c r="Y21" i="3" a="1"/>
  <c r="Y21" i="3" s="1"/>
  <c r="AL21" i="3" a="1"/>
  <c r="AL21" i="3" s="1"/>
  <c r="AF22" i="3" a="1"/>
  <c r="AF22" i="3" s="1"/>
  <c r="AC23" i="3" a="1"/>
  <c r="AC23" i="3" s="1"/>
  <c r="AE25" i="3" a="1"/>
  <c r="AE25" i="3" s="1"/>
  <c r="AL26" i="3" a="1"/>
  <c r="AL26" i="3" s="1"/>
  <c r="AA29" i="3" a="1"/>
  <c r="AA29" i="3" s="1"/>
  <c r="AA34" i="3" a="1"/>
  <c r="AA34" i="3" s="1"/>
  <c r="X35" i="3" a="1"/>
  <c r="X35" i="3" s="1"/>
  <c r="AE36" i="3" a="1"/>
  <c r="AE36" i="3" s="1"/>
  <c r="Z37" i="3" a="1"/>
  <c r="Z37" i="3" s="1"/>
  <c r="AK37" i="3" a="1"/>
  <c r="AK37" i="3" s="1"/>
  <c r="AE38" i="3" a="1"/>
  <c r="AE38" i="3" s="1"/>
  <c r="X39" i="3" a="1"/>
  <c r="X39" i="3" s="1"/>
  <c r="AF39" i="3" a="1"/>
  <c r="AF39" i="3" s="1"/>
  <c r="Z40" i="3" a="1"/>
  <c r="Z40" i="3" s="1"/>
  <c r="AH40" i="3" a="1"/>
  <c r="AH40" i="3" s="1"/>
  <c r="Z41" i="3" a="1"/>
  <c r="Z41" i="3" s="1"/>
  <c r="Z42" i="3" a="1"/>
  <c r="Z42" i="3" s="1"/>
  <c r="AH43" i="3" a="1"/>
  <c r="AH43" i="3" s="1"/>
  <c r="AG44" i="3" a="1"/>
  <c r="AG44" i="3" s="1"/>
  <c r="Z45" i="3" a="1"/>
  <c r="Z45" i="3" s="1"/>
  <c r="Y46" i="3" a="1"/>
  <c r="Y46" i="3" s="1"/>
  <c r="AG46" i="3" a="1"/>
  <c r="AG46" i="3" s="1"/>
  <c r="AH50" i="3" a="1"/>
  <c r="AH50" i="3" s="1"/>
  <c r="Y51" i="3" a="1"/>
  <c r="Y51" i="3" s="1"/>
  <c r="AF51" i="3" a="1"/>
  <c r="AF51" i="3" s="1"/>
  <c r="AM51" i="3" a="1"/>
  <c r="AM51" i="3" s="1"/>
  <c r="AD52" i="3" a="1"/>
  <c r="AD52" i="3" s="1"/>
  <c r="AK52" i="3" a="1"/>
  <c r="AK52" i="3" s="1"/>
  <c r="AC53" i="3" a="1"/>
  <c r="AC53" i="3" s="1"/>
  <c r="AJ53" i="3" a="1"/>
  <c r="AJ53" i="3" s="1"/>
  <c r="AA54" i="3" a="1"/>
  <c r="AA54" i="3" s="1"/>
  <c r="AH54" i="3" a="1"/>
  <c r="AH54" i="3" s="1"/>
  <c r="Y55" i="3" a="1"/>
  <c r="Y55" i="3" s="1"/>
  <c r="AJ57" i="3" a="1"/>
  <c r="AJ57" i="3" s="1"/>
  <c r="X60" i="3" a="1"/>
  <c r="X60" i="3" s="1"/>
  <c r="AE60" i="3" a="1"/>
  <c r="AE60" i="3" s="1"/>
  <c r="AL60" i="3" a="1"/>
  <c r="AL60" i="3" s="1"/>
  <c r="AC61" i="3" a="1"/>
  <c r="AC61" i="3" s="1"/>
  <c r="AJ61" i="3" a="1"/>
  <c r="AJ61" i="3" s="1"/>
  <c r="AA62" i="3" a="1"/>
  <c r="AA62" i="3" s="1"/>
  <c r="Z63" i="3" a="1"/>
  <c r="Z63" i="3" s="1"/>
  <c r="AG63" i="3" a="1"/>
  <c r="AG63" i="3" s="1"/>
  <c r="X64" i="3" a="1"/>
  <c r="X64" i="3" s="1"/>
  <c r="AE64" i="3" a="1"/>
  <c r="AE64" i="3" s="1"/>
  <c r="Z67" i="3" a="1"/>
  <c r="Z67" i="3" s="1"/>
  <c r="AG67" i="3" a="1"/>
  <c r="AG67" i="3" s="1"/>
  <c r="AD69" i="3" a="1"/>
  <c r="AD69" i="3" s="1"/>
  <c r="AK69" i="3" a="1"/>
  <c r="AK69" i="3" s="1"/>
  <c r="AB70" i="3" a="1"/>
  <c r="AB70" i="3" s="1"/>
  <c r="AI70" i="3" a="1"/>
  <c r="AI70" i="3" s="1"/>
  <c r="Z71" i="3" a="1"/>
  <c r="Z71" i="3" s="1"/>
  <c r="AG71" i="3" a="1"/>
  <c r="AG71" i="3" s="1"/>
  <c r="AM72" i="3" a="1"/>
  <c r="AM72" i="3" s="1"/>
  <c r="AD73" i="3" a="1"/>
  <c r="AD73" i="3" s="1"/>
  <c r="AK73" i="3" a="1"/>
  <c r="AK73" i="3" s="1"/>
  <c r="AE76" i="3" a="1"/>
  <c r="AE76" i="3" s="1"/>
  <c r="AB77" i="3" a="1"/>
  <c r="AB77" i="3" s="1"/>
  <c r="AI77" i="3" a="1"/>
  <c r="AI77" i="3" s="1"/>
  <c r="AA6" i="3" a="1"/>
  <c r="AA6" i="3" s="1"/>
  <c r="AB7" i="3" a="1"/>
  <c r="AB7" i="3" s="1"/>
  <c r="AM7" i="3" a="1"/>
  <c r="AM7" i="3" s="1"/>
  <c r="AJ8" i="3" a="1"/>
  <c r="AJ8" i="3" s="1"/>
  <c r="AL10" i="3" a="1"/>
  <c r="AL10" i="3" s="1"/>
  <c r="AI11" i="3" a="1"/>
  <c r="AI11" i="3" s="1"/>
  <c r="AC12" i="3" a="1"/>
  <c r="AC12" i="3" s="1"/>
  <c r="Z13" i="3" a="1"/>
  <c r="Z13" i="3" s="1"/>
  <c r="AK13" i="3" a="1"/>
  <c r="AK13" i="3" s="1"/>
  <c r="AB15" i="3" a="1"/>
  <c r="AB15" i="3" s="1"/>
  <c r="AI16" i="3" a="1"/>
  <c r="AI16" i="3" s="1"/>
  <c r="AF17" i="3" a="1"/>
  <c r="AF17" i="3" s="1"/>
  <c r="AH19" i="3" a="1"/>
  <c r="AH19" i="3" s="1"/>
  <c r="AF25" i="3" a="1"/>
  <c r="AF25" i="3" s="1"/>
  <c r="AC26" i="3" a="1"/>
  <c r="AC26" i="3" s="1"/>
  <c r="AM26" i="3" a="1"/>
  <c r="AM26" i="3" s="1"/>
  <c r="AJ27" i="3" a="1"/>
  <c r="AJ27" i="3" s="1"/>
  <c r="AD28" i="3" a="1"/>
  <c r="AD28" i="3" s="1"/>
  <c r="AH30" i="3" a="1"/>
  <c r="AH30" i="3" s="1"/>
  <c r="AC31" i="3" a="1"/>
  <c r="AC31" i="3" s="1"/>
  <c r="Z32" i="3" a="1"/>
  <c r="Z32" i="3" s="1"/>
  <c r="AJ32" i="3" a="1"/>
  <c r="AJ32" i="3" s="1"/>
  <c r="AG33" i="3" a="1"/>
  <c r="AG33" i="3" s="1"/>
  <c r="AI41" i="3" a="1"/>
  <c r="AI41" i="3" s="1"/>
  <c r="AI42" i="3" a="1"/>
  <c r="AI42" i="3" s="1"/>
  <c r="AA43" i="3" a="1"/>
  <c r="AA43" i="3" s="1"/>
  <c r="Z44" i="3" a="1"/>
  <c r="Z44" i="3" s="1"/>
  <c r="AH44" i="3" a="1"/>
  <c r="AH44" i="3" s="1"/>
  <c r="AH45" i="3" a="1"/>
  <c r="AH45" i="3" s="1"/>
  <c r="Z46" i="3" a="1"/>
  <c r="Z46" i="3" s="1"/>
  <c r="Y47" i="3" a="1"/>
  <c r="Y47" i="3" s="1"/>
  <c r="AF47" i="3" a="1"/>
  <c r="AF47" i="3" s="1"/>
  <c r="X48" i="3" a="1"/>
  <c r="X48" i="3" s="1"/>
  <c r="AE48" i="3" a="1"/>
  <c r="AE48" i="3" s="1"/>
  <c r="AL48" i="3" a="1"/>
  <c r="AL48" i="3" s="1"/>
  <c r="AC49" i="3" a="1"/>
  <c r="AC49" i="3" s="1"/>
  <c r="AJ49" i="3" a="1"/>
  <c r="AJ49" i="3" s="1"/>
  <c r="AA50" i="3" a="1"/>
  <c r="AA50" i="3" s="1"/>
  <c r="Z55" i="3" a="1"/>
  <c r="Z55" i="3" s="1"/>
  <c r="AG55" i="3" a="1"/>
  <c r="AG55" i="3" s="1"/>
  <c r="X56" i="3" a="1"/>
  <c r="X56" i="3" s="1"/>
  <c r="AE56" i="3" a="1"/>
  <c r="AE56" i="3" s="1"/>
  <c r="AL56" i="3" a="1"/>
  <c r="AL56" i="3" s="1"/>
  <c r="AC57" i="3" a="1"/>
  <c r="AC57" i="3" s="1"/>
  <c r="AK57" i="3" a="1"/>
  <c r="AK57" i="3" s="1"/>
  <c r="AB58" i="3" a="1"/>
  <c r="AB58" i="3" s="1"/>
  <c r="AI58" i="3" a="1"/>
  <c r="AI58" i="3" s="1"/>
  <c r="Z59" i="3" a="1"/>
  <c r="Z59" i="3" s="1"/>
  <c r="AG59" i="3" a="1"/>
  <c r="AG59" i="3" s="1"/>
  <c r="AB62" i="3" a="1"/>
  <c r="AB62" i="3" s="1"/>
  <c r="AF64" i="3" a="1"/>
  <c r="AF64" i="3" s="1"/>
  <c r="AM64" i="3" a="1"/>
  <c r="AM64" i="3" s="1"/>
  <c r="AD65" i="3" a="1"/>
  <c r="AD65" i="3" s="1"/>
  <c r="AK65" i="3" a="1"/>
  <c r="AK65" i="3" s="1"/>
  <c r="AB66" i="3" a="1"/>
  <c r="AB66" i="3" s="1"/>
  <c r="AI66" i="3" a="1"/>
  <c r="AI66" i="3" s="1"/>
  <c r="AH67" i="3" a="1"/>
  <c r="AH67" i="3" s="1"/>
  <c r="Y68" i="3" a="1"/>
  <c r="Y68" i="3" s="1"/>
  <c r="AF68" i="3" a="1"/>
  <c r="AF68" i="3" s="1"/>
  <c r="AM68" i="3" a="1"/>
  <c r="AM68" i="3" s="1"/>
  <c r="AH71" i="3" a="1"/>
  <c r="AH71" i="3" s="1"/>
  <c r="Y72" i="3" a="1"/>
  <c r="Y72" i="3" s="1"/>
  <c r="AL73" i="3" a="1"/>
  <c r="AL73" i="3" s="1"/>
  <c r="AC74" i="3" a="1"/>
  <c r="AC74" i="3" s="1"/>
  <c r="AJ74" i="3" a="1"/>
  <c r="AJ74" i="3" s="1"/>
  <c r="AA75" i="3" a="1"/>
  <c r="AA75" i="3" s="1"/>
  <c r="AH75" i="3" a="1"/>
  <c r="AH75" i="3" s="1"/>
  <c r="Y76" i="3" a="1"/>
  <c r="Y76" i="3" s="1"/>
  <c r="AL76" i="3" a="1"/>
  <c r="AL76" i="3" s="1"/>
  <c r="AC77" i="3" a="1"/>
  <c r="AC77" i="3" s="1"/>
  <c r="AB6" i="3" a="1"/>
  <c r="AB6" i="3" s="1"/>
  <c r="X8" i="3" a="1"/>
  <c r="X8" i="3" s="1"/>
  <c r="AE9" i="3" a="1"/>
  <c r="AE9" i="3" s="1"/>
  <c r="AB10" i="3" a="1"/>
  <c r="AB10" i="3" s="1"/>
  <c r="AH14" i="3" a="1"/>
  <c r="AH14" i="3" s="1"/>
  <c r="AC15" i="3" a="1"/>
  <c r="AC15" i="3" s="1"/>
  <c r="Z16" i="3" a="1"/>
  <c r="Z16" i="3" s="1"/>
  <c r="AG17" i="3" a="1"/>
  <c r="AG17" i="3" s="1"/>
  <c r="AA18" i="3" a="1"/>
  <c r="AA18" i="3" s="1"/>
  <c r="X19" i="3" a="1"/>
  <c r="X19" i="3" s="1"/>
  <c r="Z21" i="3" a="1"/>
  <c r="Z21" i="3" s="1"/>
  <c r="AM21" i="3" a="1"/>
  <c r="AM21" i="3" s="1"/>
  <c r="AG22" i="3" a="1"/>
  <c r="AG22" i="3" s="1"/>
  <c r="AD23" i="3" a="1"/>
  <c r="AD23" i="3" s="1"/>
  <c r="AE28" i="3" a="1"/>
  <c r="AE28" i="3" s="1"/>
  <c r="AB29" i="3" a="1"/>
  <c r="AB29" i="3" s="1"/>
  <c r="AL29" i="3" a="1"/>
  <c r="AL29" i="3" s="1"/>
  <c r="AI30" i="3" a="1"/>
  <c r="AI30" i="3" s="1"/>
  <c r="AA32" i="3" a="1"/>
  <c r="AA32" i="3" s="1"/>
  <c r="AB34" i="3" a="1"/>
  <c r="AB34" i="3" s="1"/>
  <c r="Y35" i="3" a="1"/>
  <c r="Y35" i="3" s="1"/>
  <c r="AJ35" i="3" a="1"/>
  <c r="AJ35" i="3" s="1"/>
  <c r="AG36" i="3" a="1"/>
  <c r="AG36" i="3" s="1"/>
  <c r="AA37" i="3" a="1"/>
  <c r="AA37" i="3" s="1"/>
  <c r="AM37" i="3" a="1"/>
  <c r="AM37" i="3" s="1"/>
  <c r="AF38" i="3" a="1"/>
  <c r="AF38" i="3" s="1"/>
  <c r="Y39" i="3" a="1"/>
  <c r="Y39" i="3" s="1"/>
  <c r="AA40" i="3" a="1"/>
  <c r="AA40" i="3" s="1"/>
  <c r="AI40" i="3" a="1"/>
  <c r="AI40" i="3" s="1"/>
  <c r="AB41" i="3" a="1"/>
  <c r="AB41" i="3" s="1"/>
  <c r="AK8" i="3" a="1"/>
  <c r="AK8" i="3" s="1"/>
  <c r="AG9" i="3" a="1"/>
  <c r="AG9" i="3" s="1"/>
  <c r="X11" i="3" a="1"/>
  <c r="X11" i="3" s="1"/>
  <c r="AJ11" i="3" a="1"/>
  <c r="AJ11" i="3" s="1"/>
  <c r="AF12" i="3" a="1"/>
  <c r="AF12" i="3" s="1"/>
  <c r="AM13" i="3" a="1"/>
  <c r="AM13" i="3" s="1"/>
  <c r="AI14" i="3" a="1"/>
  <c r="AI14" i="3" s="1"/>
  <c r="Y19" i="3" a="1"/>
  <c r="Y19" i="3" s="1"/>
  <c r="AK19" i="3" a="1"/>
  <c r="AK19" i="3" s="1"/>
  <c r="AF20" i="3" a="1"/>
  <c r="AF20" i="3" s="1"/>
  <c r="AE23" i="3" a="1"/>
  <c r="AE23" i="3" s="1"/>
  <c r="AH25" i="3" a="1"/>
  <c r="AH25" i="3" s="1"/>
  <c r="AD26" i="3" a="1"/>
  <c r="AD26" i="3" s="1"/>
  <c r="Y27" i="3" a="1"/>
  <c r="Y27" i="3" s="1"/>
  <c r="AK27" i="3" a="1"/>
  <c r="AK27" i="3" s="1"/>
  <c r="AG28" i="3" a="1"/>
  <c r="AG28" i="3" s="1"/>
  <c r="AJ30" i="3" a="1"/>
  <c r="AJ30" i="3" s="1"/>
  <c r="AD7" i="3" a="1"/>
  <c r="AD7" i="3" s="1"/>
  <c r="AL8" i="3" a="1"/>
  <c r="AL8" i="3" s="1"/>
  <c r="AI9" i="3" a="1"/>
  <c r="AI9" i="3" s="1"/>
  <c r="AA11" i="3" a="1"/>
  <c r="AA11" i="3" s="1"/>
  <c r="AB13" i="3" a="1"/>
  <c r="AB13" i="3" s="1"/>
  <c r="Y14" i="3" a="1"/>
  <c r="Y14" i="3" s="1"/>
  <c r="AF15" i="3" a="1"/>
  <c r="AF15" i="3" s="1"/>
  <c r="AA16" i="3" a="1"/>
  <c r="AA16" i="3" s="1"/>
  <c r="X17" i="3" a="1"/>
  <c r="X17" i="3" s="1"/>
  <c r="AH17" i="3" a="1"/>
  <c r="AH17" i="3" s="1"/>
  <c r="AE18" i="3" a="1"/>
  <c r="AE18" i="3" s="1"/>
  <c r="X22" i="3" a="1"/>
  <c r="X22" i="3" s="1"/>
  <c r="AC29" i="3" a="1"/>
  <c r="AC29" i="3" s="1"/>
  <c r="Z30" i="3" a="1"/>
  <c r="Z30" i="3" s="1"/>
  <c r="AK30" i="3" a="1"/>
  <c r="AK30" i="3" s="1"/>
  <c r="AG31" i="3" a="1"/>
  <c r="AG31" i="3" s="1"/>
  <c r="AB32" i="3" a="1"/>
  <c r="AB32" i="3" s="1"/>
  <c r="Y33" i="3" a="1"/>
  <c r="Y33" i="3" s="1"/>
  <c r="Z35" i="3" a="1"/>
  <c r="Z35" i="3" s="1"/>
  <c r="AH36" i="3" a="1"/>
  <c r="AH36" i="3" s="1"/>
  <c r="AD37" i="3" a="1"/>
  <c r="AD37" i="3" s="1"/>
  <c r="X38" i="3" a="1"/>
  <c r="X38" i="3" s="1"/>
  <c r="AH38" i="3" a="1"/>
  <c r="AH38" i="3" s="1"/>
  <c r="AJ39" i="3" a="1"/>
  <c r="AJ39" i="3" s="1"/>
  <c r="AB40" i="3" a="1"/>
  <c r="AB40" i="3" s="1"/>
  <c r="AJ40" i="3" a="1"/>
  <c r="AJ40" i="3" s="1"/>
  <c r="AC41" i="3" a="1"/>
  <c r="AC41" i="3" s="1"/>
  <c r="AC42" i="3" a="1"/>
  <c r="AC42" i="3" s="1"/>
  <c r="AK42" i="3" a="1"/>
  <c r="AK42" i="3" s="1"/>
  <c r="AJ43" i="3" a="1"/>
  <c r="AJ43" i="3" s="1"/>
  <c r="AC44" i="3" a="1"/>
  <c r="AC44" i="3" s="1"/>
  <c r="AB45" i="3" a="1"/>
  <c r="AB45" i="3" s="1"/>
  <c r="AJ45" i="3" a="1"/>
  <c r="AJ45" i="3" s="1"/>
  <c r="AJ46" i="3" a="1"/>
  <c r="AJ46" i="3" s="1"/>
  <c r="AA47" i="3" a="1"/>
  <c r="AA47" i="3" s="1"/>
  <c r="AL49" i="3" a="1"/>
  <c r="AL49" i="3" s="1"/>
  <c r="AC50" i="3" a="1"/>
  <c r="AC50" i="3" s="1"/>
  <c r="AJ50" i="3" a="1"/>
  <c r="AJ50" i="3" s="1"/>
  <c r="AA51" i="3" a="1"/>
  <c r="AA51" i="3" s="1"/>
  <c r="Z52" i="3" a="1"/>
  <c r="Z52" i="3" s="1"/>
  <c r="AG52" i="3" a="1"/>
  <c r="AG52" i="3" s="1"/>
  <c r="X53" i="3" a="1"/>
  <c r="X53" i="3" s="1"/>
  <c r="AE53" i="3" a="1"/>
  <c r="AE53" i="3" s="1"/>
  <c r="AL53" i="3" a="1"/>
  <c r="AL53" i="3" s="1"/>
  <c r="AC54" i="3" a="1"/>
  <c r="AC54" i="3" s="1"/>
  <c r="AG56" i="3" a="1"/>
  <c r="AG56" i="3" s="1"/>
  <c r="AE7" i="3" a="1"/>
  <c r="AE7" i="3" s="1"/>
  <c r="AB8" i="3" a="1"/>
  <c r="AB8" i="3" s="1"/>
  <c r="AM8" i="3" a="1"/>
  <c r="AM8" i="3" s="1"/>
  <c r="AD10" i="3" a="1"/>
  <c r="AD10" i="3" s="1"/>
  <c r="AK11" i="3" a="1"/>
  <c r="AK11" i="3" s="1"/>
  <c r="AH12" i="3" a="1"/>
  <c r="AH12" i="3" s="1"/>
  <c r="AJ14" i="3" a="1"/>
  <c r="AJ14" i="3" s="1"/>
  <c r="AG15" i="3" a="1"/>
  <c r="AG15" i="3" s="1"/>
  <c r="AJ7" i="3" a="1"/>
  <c r="AJ7" i="3" s="1"/>
  <c r="AE8" i="3" a="1"/>
  <c r="AE8" i="3" s="1"/>
  <c r="AL9" i="3" a="1"/>
  <c r="AL9" i="3" s="1"/>
  <c r="AI10" i="3" a="1"/>
  <c r="AI10" i="3" s="1"/>
  <c r="AK12" i="3" a="1"/>
  <c r="AK12" i="3" s="1"/>
  <c r="AH13" i="3" a="1"/>
  <c r="AH13" i="3" s="1"/>
  <c r="AK7" i="3" a="1"/>
  <c r="AK7" i="3" s="1"/>
  <c r="AM6" i="3" a="1"/>
  <c r="AM6" i="3" s="1"/>
  <c r="AF77" i="3" a="1"/>
  <c r="AF77" i="3" s="1"/>
  <c r="AG76" i="3" a="1"/>
  <c r="AG76" i="3" s="1"/>
  <c r="X76" i="3" a="1"/>
  <c r="X76" i="3" s="1"/>
  <c r="AF75" i="3" a="1"/>
  <c r="AF75" i="3" s="1"/>
  <c r="X75" i="3" a="1"/>
  <c r="X75" i="3" s="1"/>
  <c r="AE74" i="3" a="1"/>
  <c r="AE74" i="3" s="1"/>
  <c r="AM73" i="3" a="1"/>
  <c r="AM73" i="3" s="1"/>
  <c r="AK72" i="3" a="1"/>
  <c r="AK72" i="3" s="1"/>
  <c r="AB71" i="3" a="1"/>
  <c r="AB71" i="3" s="1"/>
  <c r="AG68" i="3" a="1"/>
  <c r="AG68" i="3" s="1"/>
  <c r="AE67" i="3" a="1"/>
  <c r="AE67" i="3" s="1"/>
  <c r="AM66" i="3" a="1"/>
  <c r="AM66" i="3" s="1"/>
  <c r="AE66" i="3" a="1"/>
  <c r="AE66" i="3" s="1"/>
  <c r="AL65" i="3" a="1"/>
  <c r="AL65" i="3" s="1"/>
  <c r="AC65" i="3" a="1"/>
  <c r="AC65" i="3" s="1"/>
  <c r="AB64" i="3" a="1"/>
  <c r="AB64" i="3" s="1"/>
  <c r="AJ63" i="3" a="1"/>
  <c r="AJ63" i="3" s="1"/>
  <c r="AH62" i="3" a="1"/>
  <c r="AH62" i="3" s="1"/>
  <c r="Y61" i="3" a="1"/>
  <c r="Y61" i="3" s="1"/>
  <c r="AM59" i="3" a="1"/>
  <c r="AM59" i="3" s="1"/>
  <c r="AE59" i="3" a="1"/>
  <c r="AE59" i="3" s="1"/>
  <c r="AD58" i="3" a="1"/>
  <c r="AD58" i="3" s="1"/>
  <c r="AA57" i="3" a="1"/>
  <c r="AA57" i="3" s="1"/>
  <c r="AB54" i="3" a="1"/>
  <c r="AB54" i="3" s="1"/>
  <c r="AH53" i="3" a="1"/>
  <c r="AH53" i="3" s="1"/>
  <c r="Y53" i="3" a="1"/>
  <c r="Y53" i="3" s="1"/>
  <c r="AF52" i="3" a="1"/>
  <c r="AF52" i="3" s="1"/>
  <c r="AI50" i="3" a="1"/>
  <c r="AI50" i="3" s="1"/>
  <c r="Y50" i="3" a="1"/>
  <c r="Y50" i="3" s="1"/>
  <c r="AF49" i="3" a="1"/>
  <c r="AF49" i="3" s="1"/>
  <c r="AB48" i="3" a="1"/>
  <c r="AB48" i="3" s="1"/>
  <c r="AE46" i="3" a="1"/>
  <c r="AE46" i="3" s="1"/>
  <c r="AK45" i="3" a="1"/>
  <c r="AK45" i="3" s="1"/>
  <c r="AA45" i="3" a="1"/>
  <c r="AA45" i="3" s="1"/>
  <c r="AF42" i="3" a="1"/>
  <c r="AF42" i="3" s="1"/>
  <c r="AK38" i="3" a="1"/>
  <c r="AK38" i="3" s="1"/>
  <c r="AK36" i="3" a="1"/>
  <c r="AK36" i="3" s="1"/>
  <c r="AH34" i="3" a="1"/>
  <c r="AH34" i="3" s="1"/>
  <c r="AE33" i="3" a="1"/>
  <c r="AE33" i="3" s="1"/>
  <c r="AE32" i="3" a="1"/>
  <c r="AE32" i="3" s="1"/>
  <c r="Z31" i="3" a="1"/>
  <c r="Z31" i="3" s="1"/>
  <c r="AJ29" i="3" a="1"/>
  <c r="AJ29" i="3" s="1"/>
  <c r="AJ28" i="3" a="1"/>
  <c r="AJ28" i="3" s="1"/>
  <c r="AD27" i="3" a="1"/>
  <c r="AD27" i="3" s="1"/>
  <c r="X26" i="3" a="1"/>
  <c r="X26" i="3" s="1"/>
  <c r="AI23" i="3" a="1"/>
  <c r="AI23" i="3" s="1"/>
  <c r="AD22" i="3" a="1"/>
  <c r="AD22" i="3" s="1"/>
  <c r="AC14" i="3" a="1"/>
  <c r="AC14" i="3" s="1"/>
  <c r="AJ12" i="3" a="1"/>
  <c r="AJ12" i="3" s="1"/>
  <c r="AB11" i="3" a="1"/>
  <c r="AB11" i="3" s="1"/>
  <c r="AB9" i="3" a="1"/>
  <c r="AB9" i="3" s="1"/>
  <c r="AF7" i="3" a="1"/>
  <c r="AF7" i="3" s="1"/>
  <c r="G6" i="5" l="1"/>
  <c r="G27" i="5"/>
  <c r="G24" i="5"/>
  <c r="G38" i="5"/>
  <c r="BE45" i="5"/>
  <c r="G25" i="5"/>
  <c r="G51" i="5"/>
  <c r="AD19" i="5"/>
  <c r="AH68" i="5"/>
  <c r="AC60" i="5"/>
  <c r="AV25" i="5"/>
  <c r="AP68" i="5"/>
  <c r="AE57" i="5"/>
  <c r="AG29" i="5"/>
  <c r="BW70" i="5"/>
  <c r="AF55" i="5"/>
  <c r="U30" i="5"/>
  <c r="K45" i="5"/>
  <c r="CC69" i="5"/>
  <c r="CB40" i="5"/>
  <c r="CA71" i="5"/>
  <c r="L43" i="5"/>
  <c r="AS41" i="5"/>
  <c r="AT57" i="5"/>
  <c r="BC71" i="5"/>
  <c r="BI54" i="5"/>
  <c r="BB46" i="5"/>
  <c r="AW68" i="5"/>
  <c r="R16" i="5"/>
  <c r="AI39" i="5"/>
  <c r="BD30" i="5"/>
  <c r="S12" i="5"/>
  <c r="U46" i="5"/>
  <c r="AP46" i="5"/>
  <c r="BN62" i="5"/>
  <c r="AR59" i="5"/>
  <c r="V29" i="5"/>
  <c r="BV21" i="5"/>
  <c r="AA38" i="5"/>
  <c r="AW19" i="5"/>
  <c r="BH67" i="5"/>
  <c r="V46" i="5"/>
  <c r="AL26" i="5"/>
  <c r="BQ71" i="5"/>
  <c r="BN57" i="5"/>
  <c r="BV38" i="5"/>
  <c r="Z71" i="5"/>
  <c r="BO60" i="5"/>
  <c r="R31" i="5"/>
  <c r="AS52" i="5"/>
  <c r="AX70" i="5"/>
  <c r="AM52" i="5"/>
  <c r="AT72" i="5"/>
  <c r="K56" i="5"/>
  <c r="M43" i="5"/>
  <c r="AT65" i="5"/>
  <c r="K73" i="5"/>
  <c r="BO55" i="5"/>
  <c r="BI60" i="5"/>
  <c r="BN68" i="5"/>
  <c r="AA22" i="5"/>
  <c r="AH40" i="5"/>
  <c r="K31" i="5"/>
  <c r="M17" i="5"/>
  <c r="BQ46" i="5"/>
  <c r="BQ56" i="5"/>
  <c r="BW66" i="5"/>
  <c r="BI59" i="5"/>
  <c r="AI37" i="5"/>
  <c r="P9" i="5"/>
  <c r="U42" i="5"/>
  <c r="AR30" i="5"/>
  <c r="BP34" i="5"/>
  <c r="BM70" i="5"/>
  <c r="AN63" i="5"/>
  <c r="AL21" i="5"/>
  <c r="AX67" i="5"/>
  <c r="AG55" i="5"/>
  <c r="P24" i="5"/>
  <c r="CD69" i="5"/>
  <c r="BO51" i="5"/>
  <c r="AE26" i="5"/>
  <c r="AT40" i="5"/>
  <c r="AN68" i="5"/>
  <c r="CB37" i="5"/>
  <c r="AR70" i="5"/>
  <c r="R39" i="5"/>
  <c r="AN38" i="5"/>
  <c r="AX55" i="5"/>
  <c r="BJ66" i="5"/>
  <c r="BJ48" i="5"/>
  <c r="AB44" i="5"/>
  <c r="AJ56" i="5"/>
  <c r="CC74" i="5"/>
  <c r="AD35" i="5"/>
  <c r="CD44" i="5"/>
  <c r="AI75" i="5"/>
  <c r="AQ43" i="5"/>
  <c r="M40" i="5"/>
  <c r="BU52" i="5"/>
  <c r="BY46" i="5"/>
  <c r="BQ24" i="5"/>
  <c r="BV71" i="5"/>
  <c r="O27" i="5"/>
  <c r="AV11" i="5"/>
  <c r="AQ32" i="5"/>
  <c r="V70" i="5"/>
  <c r="BG62" i="5"/>
  <c r="Q24" i="5"/>
  <c r="V68" i="5"/>
  <c r="BV55" i="5"/>
  <c r="AO28" i="5"/>
  <c r="BA70" i="5"/>
  <c r="BO54" i="5"/>
  <c r="AD29" i="5"/>
  <c r="AS43" i="5"/>
  <c r="AH69" i="5"/>
  <c r="AF40" i="5"/>
  <c r="AK71" i="5"/>
  <c r="AR41" i="5"/>
  <c r="CD39" i="5"/>
  <c r="AV56" i="5"/>
  <c r="BX67" i="5"/>
  <c r="AY53" i="5"/>
  <c r="BL45" i="5"/>
  <c r="AC68" i="5"/>
  <c r="AL75" i="5"/>
  <c r="BQ37" i="5"/>
  <c r="L13" i="5"/>
  <c r="BM75" i="5"/>
  <c r="U45" i="5"/>
  <c r="AI40" i="5"/>
  <c r="AD62" i="5"/>
  <c r="V56" i="5"/>
  <c r="Y25" i="5"/>
  <c r="N72" i="5"/>
  <c r="AQ37" i="5"/>
  <c r="AW12" i="5"/>
  <c r="K37" i="5"/>
  <c r="AL71" i="5"/>
  <c r="N64" i="5"/>
  <c r="BU16" i="5"/>
  <c r="BC66" i="5"/>
  <c r="W54" i="5"/>
  <c r="BK22" i="5"/>
  <c r="AI69" i="5"/>
  <c r="Z51" i="5"/>
  <c r="BZ23" i="5"/>
  <c r="Q38" i="5"/>
  <c r="P68" i="5"/>
  <c r="AO36" i="5"/>
  <c r="U70" i="5"/>
  <c r="N36" i="5"/>
  <c r="CA36" i="5"/>
  <c r="AH53" i="5"/>
  <c r="AV55" i="5"/>
  <c r="BY47" i="5"/>
  <c r="BH41" i="5"/>
  <c r="P56" i="5"/>
  <c r="AD74" i="5"/>
  <c r="Q28" i="5"/>
  <c r="BD44" i="5"/>
  <c r="AT68" i="5"/>
  <c r="P39" i="5"/>
  <c r="BJ39" i="5"/>
  <c r="Z47" i="5"/>
  <c r="BC46" i="5"/>
  <c r="BR14" i="5"/>
  <c r="Z67" i="5"/>
  <c r="Y21" i="5"/>
  <c r="BM24" i="5"/>
  <c r="G54" i="5"/>
  <c r="G30" i="5"/>
  <c r="CB43" i="5"/>
  <c r="BD64" i="5"/>
  <c r="BG75" i="5"/>
  <c r="AE66" i="5"/>
  <c r="BA47" i="5"/>
  <c r="R21" i="5"/>
  <c r="AJ65" i="5"/>
  <c r="BZ49" i="5"/>
  <c r="U59" i="5"/>
  <c r="AO37" i="5"/>
  <c r="AM62" i="5"/>
  <c r="BM35" i="5"/>
  <c r="BB64" i="5"/>
  <c r="BC29" i="5"/>
  <c r="BN7" i="5"/>
  <c r="CA45" i="5"/>
  <c r="AL48" i="5"/>
  <c r="BG46" i="5"/>
  <c r="T35" i="5"/>
  <c r="AJ55" i="5"/>
  <c r="AD64" i="5"/>
  <c r="AQ27" i="5"/>
  <c r="CC43" i="5"/>
  <c r="BF65" i="5"/>
  <c r="BI38" i="5"/>
  <c r="BE36" i="5"/>
  <c r="AL46" i="5"/>
  <c r="AH23" i="5"/>
  <c r="AN51" i="5"/>
  <c r="CD58" i="5"/>
  <c r="BC20" i="5"/>
  <c r="CD47" i="5"/>
  <c r="W9" i="5"/>
  <c r="S67" i="5"/>
  <c r="BD74" i="5"/>
  <c r="AL65" i="5"/>
  <c r="CC46" i="5"/>
  <c r="BV10" i="5"/>
  <c r="P65" i="5"/>
  <c r="AY47" i="5"/>
  <c r="BG58" i="5"/>
  <c r="AM34" i="5"/>
  <c r="AX61" i="5"/>
  <c r="X34" i="5"/>
  <c r="AF64" i="5"/>
  <c r="BZ26" i="5"/>
  <c r="BK72" i="5"/>
  <c r="AS44" i="5"/>
  <c r="R47" i="5"/>
  <c r="AA25" i="5"/>
  <c r="BC34" i="5"/>
  <c r="BH52" i="5"/>
  <c r="M64" i="5"/>
  <c r="AI25" i="5"/>
  <c r="BD41" i="5"/>
  <c r="AP65" i="5"/>
  <c r="K27" i="5"/>
  <c r="BO30" i="5"/>
  <c r="BQ45" i="5"/>
  <c r="AE22" i="5"/>
  <c r="R48" i="5"/>
  <c r="AT54" i="5"/>
  <c r="AR9" i="5"/>
  <c r="G53" i="5"/>
  <c r="AY70" i="5"/>
  <c r="BQ49" i="5"/>
  <c r="T15" i="5"/>
  <c r="BI67" i="5"/>
  <c r="AI74" i="5"/>
  <c r="BO64" i="5"/>
  <c r="BC45" i="5"/>
  <c r="AR6" i="5"/>
  <c r="S64" i="5"/>
  <c r="BB45" i="5"/>
  <c r="BO57" i="5"/>
  <c r="M32" i="5"/>
  <c r="X61" i="5"/>
  <c r="Q31" i="5"/>
  <c r="CB63" i="5"/>
  <c r="BK25" i="5"/>
  <c r="AS72" i="5"/>
  <c r="BV42" i="5"/>
  <c r="BY45" i="5"/>
  <c r="Z24" i="5"/>
  <c r="BB33" i="5"/>
  <c r="BO47" i="5"/>
  <c r="AU63" i="5"/>
  <c r="AZ38" i="5"/>
  <c r="AV37" i="5"/>
  <c r="CB64" i="5"/>
  <c r="AQ17" i="5"/>
  <c r="CA29" i="5"/>
  <c r="AP42" i="5"/>
  <c r="CA21" i="5"/>
  <c r="AE21" i="5"/>
  <c r="R54" i="5"/>
  <c r="AR68" i="5"/>
  <c r="G55" i="5"/>
  <c r="CD54" i="5"/>
  <c r="AL53" i="5"/>
  <c r="AT24" i="5"/>
  <c r="AI68" i="5"/>
  <c r="P74" i="5"/>
  <c r="AQ64" i="5"/>
  <c r="W44" i="5"/>
  <c r="AX71" i="5"/>
  <c r="BS63" i="5"/>
  <c r="BU44" i="5"/>
  <c r="AI56" i="5"/>
  <c r="AD31" i="5"/>
  <c r="M59" i="5"/>
  <c r="AY22" i="5"/>
  <c r="X62" i="5"/>
  <c r="CB21" i="5"/>
  <c r="BD71" i="5"/>
  <c r="AQ41" i="5"/>
  <c r="BT42" i="5"/>
  <c r="AO22" i="5"/>
  <c r="AO74" i="5"/>
  <c r="AK47" i="5"/>
  <c r="L62" i="5"/>
  <c r="AW37" i="5"/>
  <c r="X37" i="5"/>
  <c r="BN63" i="5"/>
  <c r="BL16" i="5"/>
  <c r="BU7" i="5"/>
  <c r="BO36" i="5"/>
  <c r="AD20" i="5"/>
  <c r="BS30" i="5"/>
  <c r="BE47" i="5"/>
  <c r="V60" i="5"/>
  <c r="V27" i="5"/>
  <c r="CB71" i="5"/>
  <c r="AH14" i="5"/>
  <c r="AE9" i="5"/>
  <c r="AU5" i="5"/>
  <c r="AX40" i="5"/>
  <c r="BR69" i="5"/>
  <c r="AZ17" i="5"/>
  <c r="BC70" i="5"/>
  <c r="BE5" i="5"/>
  <c r="AL63" i="5"/>
  <c r="AA30" i="5"/>
  <c r="AB74" i="5"/>
  <c r="Y73" i="5"/>
  <c r="BR60" i="5"/>
  <c r="AR43" i="5"/>
  <c r="O74" i="5"/>
  <c r="AV63" i="5"/>
  <c r="AP36" i="5"/>
  <c r="BW55" i="5"/>
  <c r="W73" i="5"/>
  <c r="U54" i="5"/>
  <c r="X4" i="5"/>
  <c r="BZ57" i="5"/>
  <c r="R55" i="5"/>
  <c r="L71" i="5"/>
  <c r="AM15" i="5"/>
  <c r="AO34" i="5"/>
  <c r="BA17" i="5"/>
  <c r="BJ73" i="5"/>
  <c r="X46" i="5"/>
  <c r="BW57" i="5"/>
  <c r="Y37" i="5"/>
  <c r="BQ26" i="5"/>
  <c r="AB60" i="5"/>
  <c r="BQ15" i="5"/>
  <c r="BQ68" i="5"/>
  <c r="AW36" i="5"/>
  <c r="BT10" i="5"/>
  <c r="Y27" i="5"/>
  <c r="AP63" i="5"/>
  <c r="BQ59" i="5"/>
  <c r="BC64" i="5"/>
  <c r="AT32" i="5"/>
  <c r="BQ74" i="5"/>
  <c r="BG72" i="5"/>
  <c r="L60" i="5"/>
  <c r="AO40" i="5"/>
  <c r="AU73" i="5"/>
  <c r="AN62" i="5"/>
  <c r="BN35" i="5"/>
  <c r="BL53" i="5"/>
  <c r="BW72" i="5"/>
  <c r="BC53" i="5"/>
  <c r="AD75" i="5"/>
  <c r="AU57" i="5"/>
  <c r="L54" i="5"/>
  <c r="Q70" i="5"/>
  <c r="T74" i="5"/>
  <c r="BK33" i="5"/>
  <c r="CA61" i="5"/>
  <c r="AR73" i="5"/>
  <c r="R24" i="5"/>
  <c r="BU56" i="5"/>
  <c r="BS35" i="5"/>
  <c r="AY18" i="5"/>
  <c r="AM59" i="5"/>
  <c r="BN10" i="5"/>
  <c r="BA68" i="5"/>
  <c r="K19" i="5"/>
  <c r="AF12" i="5"/>
  <c r="AK26" i="5"/>
  <c r="AC63" i="5"/>
  <c r="AL73" i="5"/>
  <c r="AY44" i="5"/>
  <c r="AN12" i="5"/>
  <c r="L67" i="5"/>
  <c r="BM74" i="5"/>
  <c r="BU28" i="5"/>
  <c r="CD42" i="5"/>
  <c r="Z27" i="5"/>
  <c r="AF22" i="5"/>
  <c r="BG53" i="5"/>
  <c r="BH11" i="5"/>
  <c r="BQ47" i="5"/>
  <c r="BN28" i="5"/>
  <c r="BZ52" i="5"/>
  <c r="T70" i="5"/>
  <c r="AW28" i="5"/>
  <c r="V17" i="5"/>
  <c r="BX42" i="5"/>
  <c r="AH46" i="5"/>
  <c r="AJ67" i="5"/>
  <c r="L33" i="5"/>
  <c r="BH60" i="5"/>
  <c r="Y11" i="5"/>
  <c r="AT51" i="5"/>
  <c r="BG32" i="5"/>
  <c r="AR56" i="5"/>
  <c r="AH58" i="5"/>
  <c r="BD24" i="5"/>
  <c r="AI58" i="5"/>
  <c r="CA18" i="5"/>
  <c r="S56" i="5"/>
  <c r="W45" i="5"/>
  <c r="Z65" i="5"/>
  <c r="BH8" i="5"/>
  <c r="BT44" i="5"/>
  <c r="V63" i="5"/>
  <c r="AP73" i="5"/>
  <c r="BI45" i="5"/>
  <c r="AA4" i="5"/>
  <c r="BP38" i="5"/>
  <c r="BQ55" i="5"/>
  <c r="BH65" i="5"/>
  <c r="AH74" i="5"/>
  <c r="V30" i="5"/>
  <c r="BN48" i="5"/>
  <c r="Z61" i="5"/>
  <c r="BM68" i="5"/>
  <c r="BZ75" i="5"/>
  <c r="R73" i="5"/>
  <c r="AH59" i="5"/>
  <c r="AE75" i="5"/>
  <c r="BF62" i="5"/>
  <c r="AE14" i="5"/>
  <c r="AP53" i="5"/>
  <c r="AL6" i="5"/>
  <c r="BG23" i="5"/>
  <c r="AO13" i="5"/>
  <c r="BK29" i="5"/>
  <c r="Y43" i="5"/>
  <c r="AH29" i="5"/>
  <c r="AH25" i="5"/>
  <c r="BN54" i="5"/>
  <c r="V14" i="5"/>
  <c r="AS48" i="5"/>
  <c r="BA29" i="5"/>
  <c r="AA53" i="5"/>
  <c r="AZ70" i="5"/>
  <c r="CB28" i="5"/>
  <c r="AC19" i="5"/>
  <c r="BE44" i="5"/>
  <c r="BM48" i="5"/>
  <c r="T69" i="5"/>
  <c r="N35" i="5"/>
  <c r="Z62" i="5"/>
  <c r="AO17" i="5"/>
  <c r="CA53" i="5"/>
  <c r="S36" i="5"/>
  <c r="V15" i="5"/>
  <c r="AC59" i="5"/>
  <c r="BG25" i="5"/>
  <c r="AI63" i="5"/>
  <c r="BA20" i="5"/>
  <c r="P57" i="5"/>
  <c r="CB45" i="5"/>
  <c r="BT65" i="5"/>
  <c r="BG10" i="5"/>
  <c r="BV46" i="5"/>
  <c r="BR63" i="5"/>
  <c r="BT74" i="5"/>
  <c r="CD46" i="5"/>
  <c r="AQ14" i="5"/>
  <c r="BS41" i="5"/>
  <c r="BP56" i="5"/>
  <c r="X67" i="5"/>
  <c r="BV74" i="5"/>
  <c r="AC31" i="5"/>
  <c r="AD51" i="5"/>
  <c r="AO62" i="5"/>
  <c r="AF70" i="5"/>
  <c r="BK4" i="5"/>
  <c r="CD71" i="5"/>
  <c r="X55" i="5"/>
  <c r="BP74" i="5"/>
  <c r="AG59" i="5"/>
  <c r="Z8" i="5"/>
  <c r="P12" i="5"/>
  <c r="BN20" i="5"/>
  <c r="T31" i="5"/>
  <c r="BC5" i="5"/>
  <c r="L34" i="5"/>
  <c r="O45" i="5"/>
  <c r="BI31" i="5"/>
  <c r="AL28" i="5"/>
  <c r="K55" i="5"/>
  <c r="BB16" i="5"/>
  <c r="AU49" i="5"/>
  <c r="BP30" i="5"/>
  <c r="BA53" i="5"/>
  <c r="BS70" i="5"/>
  <c r="W30" i="5"/>
  <c r="AZ20" i="5"/>
  <c r="BF45" i="5"/>
  <c r="AB49" i="5"/>
  <c r="BF69" i="5"/>
  <c r="AZ35" i="5"/>
  <c r="T63" i="5"/>
  <c r="AN19" i="5"/>
  <c r="AI54" i="5"/>
  <c r="W37" i="5"/>
  <c r="BH26" i="5"/>
  <c r="Q60" i="5"/>
  <c r="BK26" i="5"/>
  <c r="AC64" i="5"/>
  <c r="CC21" i="5"/>
  <c r="BF9" i="5"/>
  <c r="BX50" i="5"/>
  <c r="AO66" i="5"/>
  <c r="AL16" i="5"/>
  <c r="AG49" i="5"/>
  <c r="AN64" i="5"/>
  <c r="AK75" i="5"/>
  <c r="BW48" i="5"/>
  <c r="AP16" i="5"/>
  <c r="AK43" i="5"/>
  <c r="BK57" i="5"/>
  <c r="BS67" i="5"/>
  <c r="BF75" i="5"/>
  <c r="AR33" i="5"/>
  <c r="BQ51" i="5"/>
  <c r="BV62" i="5"/>
  <c r="BE70" i="5"/>
  <c r="BN6" i="5"/>
  <c r="AN71" i="5"/>
  <c r="BG51" i="5"/>
  <c r="AA74" i="5"/>
  <c r="L58" i="5"/>
  <c r="AE12" i="5"/>
  <c r="L21" i="5"/>
  <c r="BO31" i="5"/>
  <c r="CA5" i="5"/>
  <c r="AS42" i="5"/>
  <c r="N53" i="5"/>
  <c r="K41" i="5"/>
  <c r="BR34" i="5"/>
  <c r="AS59" i="5"/>
  <c r="S25" i="5"/>
  <c r="BU53" i="5"/>
  <c r="BK35" i="5"/>
  <c r="CB57" i="5"/>
  <c r="BH73" i="5"/>
  <c r="BS34" i="5"/>
  <c r="BQ27" i="5"/>
  <c r="CC45" i="5"/>
  <c r="BD49" i="5"/>
  <c r="BZ69" i="5"/>
  <c r="T37" i="5"/>
  <c r="BG63" i="5"/>
  <c r="AL20" i="5"/>
  <c r="BF54" i="5"/>
  <c r="BK37" i="5"/>
  <c r="AV30" i="5"/>
  <c r="AZ64" i="5"/>
  <c r="BT39" i="5"/>
  <c r="V65" i="5"/>
  <c r="AU23" i="5"/>
  <c r="W17" i="5"/>
  <c r="AI53" i="5"/>
  <c r="AU69" i="5"/>
  <c r="L18" i="5"/>
  <c r="Q51" i="5"/>
  <c r="AR67" i="5"/>
  <c r="BE75" i="5"/>
  <c r="AK49" i="5"/>
  <c r="BL19" i="5"/>
  <c r="M44" i="5"/>
  <c r="U58" i="5"/>
  <c r="BL68" i="5"/>
  <c r="BY75" i="5"/>
  <c r="AL34" i="5"/>
  <c r="K53" i="5"/>
  <c r="BT63" i="5"/>
  <c r="BX70" i="5"/>
  <c r="BP14" i="5"/>
  <c r="X70" i="5"/>
  <c r="BS49" i="5"/>
  <c r="CC71" i="5"/>
  <c r="BC56" i="5"/>
  <c r="L23" i="5"/>
  <c r="AY9" i="5"/>
  <c r="AD37" i="5"/>
  <c r="AD11" i="5"/>
  <c r="BW47" i="5"/>
  <c r="AN5" i="5"/>
  <c r="Y45" i="5"/>
  <c r="AA36" i="5"/>
  <c r="BS61" i="5"/>
  <c r="AW29" i="5"/>
  <c r="AW56" i="5"/>
  <c r="O38" i="5"/>
  <c r="R59" i="5"/>
  <c r="BN74" i="5"/>
  <c r="AX36" i="5"/>
  <c r="Z30" i="5"/>
  <c r="BJ18" i="5"/>
  <c r="W55" i="5"/>
  <c r="Q73" i="5"/>
  <c r="BI43" i="5"/>
  <c r="BL66" i="5"/>
  <c r="BN29" i="5"/>
  <c r="AP59" i="5"/>
  <c r="AC44" i="5"/>
  <c r="AF31" i="5"/>
  <c r="AM66" i="5"/>
  <c r="BU65" i="5"/>
  <c r="BV34" i="5"/>
  <c r="AG75" i="5"/>
  <c r="AJ72" i="5"/>
  <c r="T59" i="5"/>
  <c r="AV39" i="5"/>
  <c r="AT71" i="5"/>
  <c r="Y61" i="5"/>
  <c r="BI32" i="5"/>
  <c r="L53" i="5"/>
  <c r="W71" i="5"/>
  <c r="CC52" i="5"/>
  <c r="N73" i="5"/>
  <c r="AZ56" i="5"/>
  <c r="CD50" i="5"/>
  <c r="AN66" i="5"/>
  <c r="BU73" i="5"/>
  <c r="R56" i="5"/>
  <c r="K61" i="5"/>
  <c r="AF72" i="5"/>
  <c r="Y23" i="5"/>
  <c r="AU56" i="5"/>
  <c r="AR34" i="5"/>
  <c r="BP17" i="5"/>
  <c r="BW50" i="5"/>
  <c r="AM57" i="5"/>
  <c r="W68" i="5"/>
  <c r="AJ61" i="5"/>
  <c r="BP8" i="5"/>
  <c r="AK20" i="5"/>
  <c r="AQ55" i="5"/>
  <c r="AU36" i="5"/>
  <c r="G80" i="7" a="1"/>
  <c r="G80" i="7" s="1"/>
  <c r="Q80" i="7" a="1"/>
  <c r="Q80" i="7" s="1"/>
  <c r="L80" i="7" a="1"/>
  <c r="L80" i="7" s="1"/>
  <c r="V80" i="7" a="1"/>
  <c r="V80" i="7" s="1"/>
  <c r="B80" i="7" a="1"/>
  <c r="B80" i="7" s="1"/>
  <c r="BX68" i="5"/>
  <c r="BA43" i="5"/>
  <c r="BS54" i="5"/>
  <c r="BZ30" i="5"/>
  <c r="BY36" i="5"/>
  <c r="BW26" i="5"/>
  <c r="AA46" i="5"/>
  <c r="CD55" i="5"/>
  <c r="AR54" i="5"/>
  <c r="AS38" i="5"/>
  <c r="AS36" i="5"/>
  <c r="AS30" i="5"/>
  <c r="AS28" i="5"/>
  <c r="AU38" i="5"/>
  <c r="AO38" i="5"/>
  <c r="BX38" i="5"/>
  <c r="BL38" i="5"/>
  <c r="AS55" i="5"/>
  <c r="X38" i="5"/>
  <c r="BR38" i="5"/>
  <c r="AS66" i="5"/>
  <c r="AS12" i="5"/>
  <c r="AS13" i="5"/>
  <c r="AS60" i="5"/>
  <c r="AS17" i="5"/>
  <c r="AS46" i="5"/>
  <c r="AS18" i="5"/>
  <c r="AS34" i="5"/>
  <c r="BT38" i="5"/>
  <c r="AY38" i="5"/>
  <c r="S38" i="5"/>
  <c r="AS31" i="5"/>
  <c r="AS71" i="5"/>
  <c r="AS29" i="5"/>
  <c r="AS32" i="5"/>
  <c r="AS49" i="5"/>
  <c r="AS40" i="5"/>
  <c r="T38" i="5"/>
  <c r="AS75" i="5"/>
  <c r="AS51" i="5"/>
  <c r="AH38" i="5"/>
  <c r="AS69" i="5"/>
  <c r="AS33" i="5"/>
  <c r="AS9" i="5"/>
  <c r="CD38" i="5"/>
  <c r="AS27" i="5"/>
  <c r="AS65" i="5"/>
  <c r="AJ43" i="5"/>
  <c r="AJ27" i="5"/>
  <c r="AK30" i="5"/>
  <c r="AK34" i="5"/>
  <c r="AY30" i="5"/>
  <c r="AO30" i="5"/>
  <c r="BI30" i="5"/>
  <c r="CA30" i="5"/>
  <c r="G61" i="5"/>
  <c r="AO61" i="5"/>
  <c r="BP4" i="5"/>
  <c r="BX61" i="5"/>
  <c r="BP9" i="5"/>
  <c r="BP24" i="5"/>
  <c r="BK61" i="5"/>
  <c r="BP43" i="5"/>
  <c r="BP15" i="5"/>
  <c r="BP42" i="5"/>
  <c r="BR61" i="5"/>
  <c r="BP65" i="5"/>
  <c r="AY61" i="5"/>
  <c r="BP16" i="5"/>
  <c r="BP60" i="5"/>
  <c r="BP19" i="5"/>
  <c r="BP55" i="5"/>
  <c r="BP13" i="5"/>
  <c r="BP31" i="5"/>
  <c r="BP12" i="5"/>
  <c r="T61" i="5"/>
  <c r="BP29" i="5"/>
  <c r="BP32" i="5"/>
  <c r="BP61" i="5"/>
  <c r="BP41" i="5"/>
  <c r="BL61" i="5"/>
  <c r="BP75" i="5"/>
  <c r="BT61" i="5"/>
  <c r="BP54" i="5"/>
  <c r="BP46" i="5"/>
  <c r="BP27" i="5"/>
  <c r="BP35" i="5"/>
  <c r="AK61" i="5"/>
  <c r="BP44" i="5"/>
  <c r="BW61" i="5"/>
  <c r="G59" i="5"/>
  <c r="BN18" i="5"/>
  <c r="BN11" i="5"/>
  <c r="BN40" i="5"/>
  <c r="BN15" i="5"/>
  <c r="BN27" i="5"/>
  <c r="BN56" i="5"/>
  <c r="BN16" i="5"/>
  <c r="AJ59" i="5"/>
  <c r="BN45" i="5"/>
  <c r="BN8" i="5"/>
  <c r="BN12" i="5"/>
  <c r="BN75" i="5"/>
  <c r="BL59" i="5"/>
  <c r="BN72" i="5"/>
  <c r="BN36" i="5"/>
  <c r="AK59" i="5"/>
  <c r="BN23" i="5"/>
  <c r="BN32" i="5"/>
  <c r="CA59" i="5"/>
  <c r="BN44" i="5"/>
  <c r="AU59" i="5"/>
  <c r="BN26" i="5"/>
  <c r="AQ59" i="5"/>
  <c r="AZ59" i="5"/>
  <c r="BN38" i="5"/>
  <c r="BK59" i="5"/>
  <c r="N59" i="5"/>
  <c r="BN58" i="5"/>
  <c r="AO59" i="5"/>
  <c r="BN61" i="5"/>
  <c r="BN5" i="5"/>
  <c r="BX59" i="5"/>
  <c r="BN46" i="5"/>
  <c r="AA59" i="5"/>
  <c r="G28" i="5"/>
  <c r="AJ28" i="5"/>
  <c r="AI21" i="5"/>
  <c r="AI52" i="5"/>
  <c r="AI62" i="5"/>
  <c r="AI4" i="5"/>
  <c r="AI41" i="5"/>
  <c r="AI7" i="5"/>
  <c r="AI16" i="5"/>
  <c r="AI11" i="5"/>
  <c r="AI20" i="5"/>
  <c r="AI60" i="5"/>
  <c r="AI23" i="5"/>
  <c r="AI24" i="5"/>
  <c r="AI5" i="5"/>
  <c r="AI29" i="5"/>
  <c r="AI45" i="5"/>
  <c r="BL28" i="5"/>
  <c r="AI38" i="5"/>
  <c r="AV28" i="5"/>
  <c r="BK28" i="5"/>
  <c r="AI36" i="5"/>
  <c r="BI28" i="5"/>
  <c r="AI46" i="5"/>
  <c r="AI72" i="5"/>
  <c r="AI67" i="5"/>
  <c r="BS28" i="5"/>
  <c r="AY28" i="5"/>
  <c r="AQ28" i="5"/>
  <c r="AI64" i="5"/>
  <c r="AI59" i="5"/>
  <c r="AI35" i="5"/>
  <c r="AI32" i="5"/>
  <c r="AR28" i="5"/>
  <c r="AI57" i="5"/>
  <c r="X28" i="5"/>
  <c r="AI73" i="5"/>
  <c r="BE28" i="5"/>
  <c r="AI44" i="5"/>
  <c r="G58" i="5"/>
  <c r="BM54" i="5"/>
  <c r="BM15" i="5"/>
  <c r="BM42" i="5"/>
  <c r="X58" i="5"/>
  <c r="BM20" i="5"/>
  <c r="BM18" i="5"/>
  <c r="BM47" i="5"/>
  <c r="AU58" i="5"/>
  <c r="BL58" i="5"/>
  <c r="BM38" i="5"/>
  <c r="BM8" i="5"/>
  <c r="BM63" i="5"/>
  <c r="BM21" i="5"/>
  <c r="BM4" i="5"/>
  <c r="BM41" i="5"/>
  <c r="BM37" i="5"/>
  <c r="BK58" i="5"/>
  <c r="AA58" i="5"/>
  <c r="BM62" i="5"/>
  <c r="BM11" i="5"/>
  <c r="BM12" i="5"/>
  <c r="AZ58" i="5"/>
  <c r="BT58" i="5"/>
  <c r="BM66" i="5"/>
  <c r="BM64" i="5"/>
  <c r="N58" i="5"/>
  <c r="BM53" i="5"/>
  <c r="AQ58" i="5"/>
  <c r="BM16" i="5"/>
  <c r="BR58" i="5"/>
  <c r="AO58" i="5"/>
  <c r="BM40" i="5"/>
  <c r="BM36" i="5"/>
  <c r="BM55" i="5"/>
  <c r="BM9" i="5"/>
  <c r="AP58" i="5"/>
  <c r="BM51" i="5"/>
  <c r="BM72" i="5"/>
  <c r="BM28" i="5"/>
  <c r="BS58" i="5"/>
  <c r="BM43" i="5"/>
  <c r="G42" i="5"/>
  <c r="AW58" i="5"/>
  <c r="AW20" i="5"/>
  <c r="CA42" i="5"/>
  <c r="AW66" i="5"/>
  <c r="AW4" i="5"/>
  <c r="AW46" i="5"/>
  <c r="AW33" i="5"/>
  <c r="AW27" i="5"/>
  <c r="AW63" i="5"/>
  <c r="AW16" i="5"/>
  <c r="AW48" i="5"/>
  <c r="AW34" i="5"/>
  <c r="BI42" i="5"/>
  <c r="AW54" i="5"/>
  <c r="AW49" i="5"/>
  <c r="AW21" i="5"/>
  <c r="AW11" i="5"/>
  <c r="AW32" i="5"/>
  <c r="AJ42" i="5"/>
  <c r="AW22" i="5"/>
  <c r="AW53" i="5"/>
  <c r="AW69" i="5"/>
  <c r="AW62" i="5"/>
  <c r="AW57" i="5"/>
  <c r="AW47" i="5"/>
  <c r="AW70" i="5"/>
  <c r="AW26" i="5"/>
  <c r="AW6" i="5"/>
  <c r="AW41" i="5"/>
  <c r="AW7" i="5"/>
  <c r="T42" i="5"/>
  <c r="AW24" i="5"/>
  <c r="AW13" i="5"/>
  <c r="AZ42" i="5"/>
  <c r="Y42" i="5"/>
  <c r="AW40" i="5"/>
  <c r="BZ65" i="5"/>
  <c r="AJ71" i="5"/>
  <c r="G26" i="5"/>
  <c r="AG13" i="5"/>
  <c r="BL26" i="5"/>
  <c r="AG21" i="5"/>
  <c r="CA26" i="5"/>
  <c r="BX26" i="5"/>
  <c r="AG6" i="5"/>
  <c r="AO26" i="5"/>
  <c r="AG11" i="5"/>
  <c r="AG18" i="5"/>
  <c r="AG42" i="5"/>
  <c r="AV26" i="5"/>
  <c r="AG37" i="5"/>
  <c r="AG22" i="5"/>
  <c r="AG28" i="5"/>
  <c r="AG10" i="5"/>
  <c r="AG14" i="5"/>
  <c r="AG8" i="5"/>
  <c r="AU26" i="5"/>
  <c r="AG52" i="5"/>
  <c r="AG71" i="5"/>
  <c r="AG68" i="5"/>
  <c r="AG40" i="5"/>
  <c r="AG39" i="5"/>
  <c r="AG31" i="5"/>
  <c r="AG70" i="5"/>
  <c r="AG23" i="5"/>
  <c r="AP26" i="5"/>
  <c r="BT26" i="5"/>
  <c r="BR26" i="5"/>
  <c r="AG54" i="5"/>
  <c r="AG24" i="5"/>
  <c r="AY26" i="5"/>
  <c r="AG20" i="5"/>
  <c r="T26" i="5"/>
  <c r="AG17" i="5"/>
  <c r="BS26" i="5"/>
  <c r="G11" i="5"/>
  <c r="T11" i="5"/>
  <c r="R44" i="5"/>
  <c r="R7" i="5"/>
  <c r="N11" i="5"/>
  <c r="AK11" i="5"/>
  <c r="R41" i="5"/>
  <c r="R64" i="5"/>
  <c r="S11" i="5"/>
  <c r="R62" i="5"/>
  <c r="R61" i="5"/>
  <c r="R22" i="5"/>
  <c r="R17" i="5"/>
  <c r="R26" i="5"/>
  <c r="R46" i="5"/>
  <c r="R28" i="5"/>
  <c r="R18" i="5"/>
  <c r="X11" i="5"/>
  <c r="R70" i="5"/>
  <c r="BI11" i="5"/>
  <c r="R36" i="5"/>
  <c r="AA11" i="5"/>
  <c r="R40" i="5"/>
  <c r="R53" i="5"/>
  <c r="BS11" i="5"/>
  <c r="R58" i="5"/>
  <c r="R20" i="5"/>
  <c r="R37" i="5"/>
  <c r="R52" i="5"/>
  <c r="AP11" i="5"/>
  <c r="R67" i="5"/>
  <c r="R29" i="5"/>
  <c r="R34" i="5"/>
  <c r="BT11" i="5"/>
  <c r="R35" i="5"/>
  <c r="L46" i="5"/>
  <c r="L72" i="5"/>
  <c r="AE13" i="5"/>
  <c r="AE5" i="5"/>
  <c r="AE46" i="5"/>
  <c r="AF68" i="5"/>
  <c r="AF39" i="5"/>
  <c r="AY25" i="5"/>
  <c r="AF9" i="5"/>
  <c r="AF44" i="5"/>
  <c r="AF13" i="5"/>
  <c r="BT25" i="5"/>
  <c r="AF49" i="5"/>
  <c r="AF19" i="5"/>
  <c r="AF62" i="5"/>
  <c r="AF17" i="5"/>
  <c r="AF73" i="5"/>
  <c r="BR25" i="5"/>
  <c r="AF21" i="5"/>
  <c r="AF27" i="5"/>
  <c r="T25" i="5"/>
  <c r="BI25" i="5"/>
  <c r="AF67" i="5"/>
  <c r="AF18" i="5"/>
  <c r="AF47" i="5"/>
  <c r="N25" i="5"/>
  <c r="AF53" i="5"/>
  <c r="AF45" i="5"/>
  <c r="AF41" i="5"/>
  <c r="AF48" i="5"/>
  <c r="AF29" i="5"/>
  <c r="BL25" i="5"/>
  <c r="AF69" i="5"/>
  <c r="AF59" i="5"/>
  <c r="AF32" i="5"/>
  <c r="AF65" i="5"/>
  <c r="AF75" i="5"/>
  <c r="AF61" i="5"/>
  <c r="AF58" i="5"/>
  <c r="AF24" i="5"/>
  <c r="AF46" i="5"/>
  <c r="AF34" i="5"/>
  <c r="BX25" i="5"/>
  <c r="AO25" i="5"/>
  <c r="AF52" i="5"/>
  <c r="AF16" i="5"/>
  <c r="AF74" i="5"/>
  <c r="AF26" i="5"/>
  <c r="BS25" i="5"/>
  <c r="AF37" i="5"/>
  <c r="AF43" i="5"/>
  <c r="G10" i="5"/>
  <c r="Q10" i="5"/>
  <c r="Q26" i="5"/>
  <c r="Q13" i="5"/>
  <c r="Q25" i="5"/>
  <c r="T10" i="5"/>
  <c r="Q63" i="5"/>
  <c r="CA10" i="5"/>
  <c r="Q33" i="5"/>
  <c r="Q7" i="5"/>
  <c r="AV10" i="5"/>
  <c r="Q43" i="5"/>
  <c r="Q4" i="5"/>
  <c r="AK10" i="5"/>
  <c r="Q61" i="5"/>
  <c r="Q44" i="5"/>
  <c r="AO10" i="5"/>
  <c r="Q5" i="5"/>
  <c r="N10" i="5"/>
  <c r="Q16" i="5"/>
  <c r="Q57" i="5"/>
  <c r="Q65" i="5"/>
  <c r="Q59" i="5"/>
  <c r="X10" i="5"/>
  <c r="Q23" i="5"/>
  <c r="Q53" i="5"/>
  <c r="Q45" i="5"/>
  <c r="AZ10" i="5"/>
  <c r="Q49" i="5"/>
  <c r="Q48" i="5"/>
  <c r="Q12" i="5"/>
  <c r="Q58" i="5"/>
  <c r="Q56" i="5"/>
  <c r="Q41" i="5"/>
  <c r="AJ10" i="5"/>
  <c r="Q32" i="5"/>
  <c r="Q15" i="5"/>
  <c r="Q35" i="5"/>
  <c r="Q67" i="5"/>
  <c r="Q62" i="5"/>
  <c r="BL54" i="5"/>
  <c r="BX57" i="5"/>
  <c r="BR57" i="5"/>
  <c r="BL18" i="5"/>
  <c r="G57" i="5"/>
  <c r="BL40" i="5"/>
  <c r="BL48" i="5"/>
  <c r="BL56" i="5"/>
  <c r="BL37" i="5"/>
  <c r="AR57" i="5"/>
  <c r="BI53" i="5"/>
  <c r="BH47" i="5"/>
  <c r="BH55" i="5"/>
  <c r="T53" i="5"/>
  <c r="BH33" i="5"/>
  <c r="BH6" i="5"/>
  <c r="BH4" i="5"/>
  <c r="BH71" i="5"/>
  <c r="BH7" i="5"/>
  <c r="BH23" i="5"/>
  <c r="BH24" i="5"/>
  <c r="AJ53" i="5"/>
  <c r="BS53" i="5"/>
  <c r="BH44" i="5"/>
  <c r="BH5" i="5"/>
  <c r="BH28" i="5"/>
  <c r="BH37" i="5"/>
  <c r="BH30" i="5"/>
  <c r="BH46" i="5"/>
  <c r="Y53" i="5"/>
  <c r="BE53" i="5"/>
  <c r="BH49" i="5"/>
  <c r="AZ53" i="5"/>
  <c r="BH17" i="5"/>
  <c r="BH40" i="5"/>
  <c r="BH50" i="5"/>
  <c r="BH32" i="5"/>
  <c r="AQ53" i="5"/>
  <c r="BH42" i="5"/>
  <c r="BT53" i="5"/>
  <c r="BR53" i="5"/>
  <c r="BH51" i="5"/>
  <c r="BX53" i="5"/>
  <c r="BH38" i="5"/>
  <c r="G39" i="5"/>
  <c r="AT5" i="5"/>
  <c r="BR39" i="5"/>
  <c r="AT8" i="5"/>
  <c r="AT42" i="5"/>
  <c r="AT6" i="5"/>
  <c r="AT43" i="5"/>
  <c r="AT26" i="5"/>
  <c r="AT60" i="5"/>
  <c r="AT11" i="5"/>
  <c r="AT38" i="5"/>
  <c r="AT66" i="5"/>
  <c r="AT16" i="5"/>
  <c r="AQ39" i="5"/>
  <c r="AP39" i="5"/>
  <c r="AT34" i="5"/>
  <c r="AT74" i="5"/>
  <c r="AT22" i="5"/>
  <c r="AT46" i="5"/>
  <c r="AT17" i="5"/>
  <c r="AT20" i="5"/>
  <c r="BL39" i="5"/>
  <c r="AT58" i="5"/>
  <c r="CA39" i="5"/>
  <c r="S39" i="5"/>
  <c r="AK39" i="5"/>
  <c r="AT64" i="5"/>
  <c r="AT33" i="5"/>
  <c r="AT53" i="5"/>
  <c r="AT45" i="5"/>
  <c r="N39" i="5"/>
  <c r="BI39" i="5"/>
  <c r="AT31" i="5"/>
  <c r="AT69" i="5"/>
  <c r="AU39" i="5"/>
  <c r="AT67" i="5"/>
  <c r="G9" i="5"/>
  <c r="P25" i="5"/>
  <c r="P36" i="5"/>
  <c r="BT9" i="5"/>
  <c r="P55" i="5"/>
  <c r="P5" i="5"/>
  <c r="P40" i="5"/>
  <c r="X9" i="5"/>
  <c r="P43" i="5"/>
  <c r="P30" i="5"/>
  <c r="P70" i="5"/>
  <c r="P7" i="5"/>
  <c r="P49" i="5"/>
  <c r="P61" i="5"/>
  <c r="P47" i="5"/>
  <c r="BI9" i="5"/>
  <c r="BL9" i="5"/>
  <c r="P32" i="5"/>
  <c r="Y9" i="5"/>
  <c r="S9" i="5"/>
  <c r="P22" i="5"/>
  <c r="AZ9" i="5"/>
  <c r="P33" i="5"/>
  <c r="N9" i="5"/>
  <c r="AQ9" i="5"/>
  <c r="P10" i="5"/>
  <c r="P50" i="5"/>
  <c r="P67" i="5"/>
  <c r="P64" i="5"/>
  <c r="P38" i="5"/>
  <c r="P35" i="5"/>
  <c r="P58" i="5"/>
  <c r="P29" i="5"/>
  <c r="P51" i="5"/>
  <c r="P21" i="5"/>
  <c r="BR9" i="5"/>
  <c r="P31" i="5"/>
  <c r="P42" i="5"/>
  <c r="P8" i="5"/>
  <c r="P69" i="5"/>
  <c r="P73" i="5"/>
  <c r="P34" i="5"/>
  <c r="P60" i="5"/>
  <c r="P4" i="5"/>
  <c r="BI36" i="5"/>
  <c r="AQ69" i="5"/>
  <c r="AQ36" i="5"/>
  <c r="AZ36" i="5"/>
  <c r="AQ44" i="5"/>
  <c r="AQ34" i="5"/>
  <c r="AY36" i="5"/>
  <c r="X29" i="5"/>
  <c r="X65" i="5"/>
  <c r="BS17" i="5"/>
  <c r="X13" i="5"/>
  <c r="X45" i="5"/>
  <c r="G32" i="5"/>
  <c r="AM10" i="5"/>
  <c r="AJ32" i="5"/>
  <c r="AM23" i="5"/>
  <c r="AZ32" i="5"/>
  <c r="AM58" i="5"/>
  <c r="AM12" i="5"/>
  <c r="AA32" i="5"/>
  <c r="AY32" i="5"/>
  <c r="AM19" i="5"/>
  <c r="AM13" i="5"/>
  <c r="AM73" i="5"/>
  <c r="AM21" i="5"/>
  <c r="AM67" i="5"/>
  <c r="AO32" i="5"/>
  <c r="AM42" i="5"/>
  <c r="AM31" i="5"/>
  <c r="AM55" i="5"/>
  <c r="AM37" i="5"/>
  <c r="AM27" i="5"/>
  <c r="AM74" i="5"/>
  <c r="AM25" i="5"/>
  <c r="BT32" i="5"/>
  <c r="AM28" i="5"/>
  <c r="AM16" i="5"/>
  <c r="AM54" i="5"/>
  <c r="N32" i="5"/>
  <c r="AV32" i="5"/>
  <c r="AM36" i="5"/>
  <c r="AM41" i="5"/>
  <c r="AH32" i="5"/>
  <c r="CA32" i="5"/>
  <c r="AM43" i="5"/>
  <c r="AM30" i="5"/>
  <c r="AM61" i="5"/>
  <c r="AM71" i="5"/>
  <c r="BS32" i="5"/>
  <c r="AM18" i="5"/>
  <c r="AM60" i="5"/>
  <c r="AM20" i="5"/>
  <c r="G19" i="5"/>
  <c r="Z74" i="5"/>
  <c r="N19" i="5"/>
  <c r="T19" i="5"/>
  <c r="Z14" i="5"/>
  <c r="Z36" i="5"/>
  <c r="Z5" i="5"/>
  <c r="Z35" i="5"/>
  <c r="AV19" i="5"/>
  <c r="BT19" i="5"/>
  <c r="X19" i="5"/>
  <c r="Z49" i="5"/>
  <c r="S19" i="5"/>
  <c r="BX19" i="5"/>
  <c r="AK19" i="5"/>
  <c r="Z19" i="5"/>
  <c r="Z6" i="5"/>
  <c r="Z21" i="5"/>
  <c r="Z25" i="5"/>
  <c r="Z11" i="5"/>
  <c r="BK19" i="5"/>
  <c r="Z10" i="5"/>
  <c r="CA19" i="5"/>
  <c r="Z12" i="5"/>
  <c r="AQ19" i="5"/>
  <c r="Z34" i="5"/>
  <c r="AO19" i="5"/>
  <c r="Z59" i="5"/>
  <c r="Z60" i="5"/>
  <c r="Z41" i="5"/>
  <c r="Z50" i="5"/>
  <c r="Z28" i="5"/>
  <c r="Z53" i="5"/>
  <c r="Z42" i="5"/>
  <c r="CD19" i="5"/>
  <c r="Z66" i="5"/>
  <c r="Z54" i="5"/>
  <c r="AY19" i="5"/>
  <c r="Z44" i="5"/>
  <c r="AE19" i="5"/>
  <c r="Z73" i="5"/>
  <c r="G67" i="5"/>
  <c r="BL67" i="5"/>
  <c r="BV8" i="5"/>
  <c r="BV48" i="5"/>
  <c r="BV30" i="5"/>
  <c r="BV60" i="5"/>
  <c r="BV69" i="5"/>
  <c r="AZ67" i="5"/>
  <c r="BV50" i="5"/>
  <c r="BV20" i="5"/>
  <c r="BV6" i="5"/>
  <c r="BV28" i="5"/>
  <c r="BV32" i="5"/>
  <c r="AU67" i="5"/>
  <c r="BV40" i="5"/>
  <c r="BV12" i="5"/>
  <c r="BV39" i="5"/>
  <c r="BV59" i="5"/>
  <c r="BV47" i="5"/>
  <c r="CD67" i="5"/>
  <c r="CA67" i="5"/>
  <c r="BV68" i="5"/>
  <c r="BV7" i="5"/>
  <c r="BV53" i="5"/>
  <c r="BR67" i="5"/>
  <c r="BV65" i="5"/>
  <c r="BK67" i="5"/>
  <c r="N55" i="5"/>
  <c r="BJ61" i="5"/>
  <c r="BL55" i="5"/>
  <c r="BS55" i="5"/>
  <c r="BJ8" i="5"/>
  <c r="BK55" i="5"/>
  <c r="BJ57" i="5"/>
  <c r="BJ25" i="5"/>
  <c r="BJ5" i="5"/>
  <c r="BJ9" i="5"/>
  <c r="BT55" i="5"/>
  <c r="AA55" i="5"/>
  <c r="T55" i="5"/>
  <c r="BJ47" i="5"/>
  <c r="BJ21" i="5"/>
  <c r="BJ31" i="5"/>
  <c r="CA55" i="5"/>
  <c r="BJ56" i="5"/>
  <c r="BJ72" i="5"/>
  <c r="BJ69" i="5"/>
  <c r="AK55" i="5"/>
  <c r="BJ38" i="5"/>
  <c r="BJ12" i="5"/>
  <c r="BJ22" i="5"/>
  <c r="AO55" i="5"/>
  <c r="BJ75" i="5"/>
  <c r="BJ52" i="5"/>
  <c r="BJ58" i="5"/>
  <c r="BJ50" i="5"/>
  <c r="BJ65" i="5"/>
  <c r="BJ40" i="5"/>
  <c r="BJ51" i="5"/>
  <c r="BJ59" i="5"/>
  <c r="BJ11" i="5"/>
  <c r="BJ36" i="5"/>
  <c r="BR55" i="5"/>
  <c r="BZ55" i="5"/>
  <c r="BJ70" i="5"/>
  <c r="BJ20" i="5"/>
  <c r="BJ14" i="5"/>
  <c r="G31" i="5"/>
  <c r="N31" i="5"/>
  <c r="AJ31" i="5"/>
  <c r="AK31" i="5"/>
  <c r="AL22" i="5"/>
  <c r="BT31" i="5"/>
  <c r="BK31" i="5"/>
  <c r="AL57" i="5"/>
  <c r="AL19" i="5"/>
  <c r="AP31" i="5"/>
  <c r="AL42" i="5"/>
  <c r="AL60" i="5"/>
  <c r="AL74" i="5"/>
  <c r="AL49" i="5"/>
  <c r="AL50" i="5"/>
  <c r="AL56" i="5"/>
  <c r="AL45" i="5"/>
  <c r="AL31" i="5"/>
  <c r="AL39" i="5"/>
  <c r="AL44" i="5"/>
  <c r="AL24" i="5"/>
  <c r="AL59" i="5"/>
  <c r="AL18" i="5"/>
  <c r="CA31" i="5"/>
  <c r="AO31" i="5"/>
  <c r="AL61" i="5"/>
  <c r="Y31" i="5"/>
  <c r="AL47" i="5"/>
  <c r="AL36" i="5"/>
  <c r="BL31" i="5"/>
  <c r="AL23" i="5"/>
  <c r="AL15" i="5"/>
  <c r="AL43" i="5"/>
  <c r="AL54" i="5"/>
  <c r="AL70" i="5"/>
  <c r="AU31" i="5"/>
  <c r="AL35" i="5"/>
  <c r="AL37" i="5"/>
  <c r="G4" i="5"/>
  <c r="K5" i="5"/>
  <c r="K9" i="5"/>
  <c r="K39" i="5"/>
  <c r="K7" i="5"/>
  <c r="AV4" i="5"/>
  <c r="K26" i="5"/>
  <c r="K6" i="5"/>
  <c r="K24" i="5"/>
  <c r="K17" i="5"/>
  <c r="K65" i="5"/>
  <c r="K57" i="5"/>
  <c r="K25" i="5"/>
  <c r="K29" i="5"/>
  <c r="K38" i="5"/>
  <c r="K8" i="5"/>
  <c r="AZ4" i="5"/>
  <c r="K46" i="5"/>
  <c r="K35" i="5"/>
  <c r="K30" i="5"/>
  <c r="K28" i="5"/>
  <c r="BI4" i="5"/>
  <c r="K47" i="5"/>
  <c r="K67" i="5"/>
  <c r="AO4" i="5"/>
  <c r="S4" i="5"/>
  <c r="K40" i="5"/>
  <c r="K15" i="5"/>
  <c r="K33" i="5"/>
  <c r="K10" i="5"/>
  <c r="K75" i="5"/>
  <c r="K68" i="5"/>
  <c r="K11" i="5"/>
  <c r="K71" i="5"/>
  <c r="K64" i="5"/>
  <c r="K54" i="5"/>
  <c r="K23" i="5"/>
  <c r="AP54" i="5"/>
  <c r="AP29" i="5"/>
  <c r="AP7" i="5"/>
  <c r="AK35" i="5"/>
  <c r="AP45" i="5"/>
  <c r="AP57" i="5"/>
  <c r="AP13" i="5"/>
  <c r="AP48" i="5"/>
  <c r="AQ35" i="5"/>
  <c r="AP44" i="5"/>
  <c r="AP20" i="5"/>
  <c r="BR35" i="5"/>
  <c r="AQ13" i="5"/>
  <c r="T34" i="5"/>
  <c r="T7" i="5"/>
  <c r="T12" i="5"/>
  <c r="T41" i="5"/>
  <c r="BX13" i="5"/>
  <c r="T17" i="5"/>
  <c r="T29" i="5"/>
  <c r="BI13" i="5"/>
  <c r="T40" i="5"/>
  <c r="T20" i="5"/>
  <c r="T45" i="5"/>
  <c r="AY13" i="5"/>
  <c r="BR13" i="5"/>
  <c r="T65" i="5"/>
  <c r="AR48" i="5"/>
  <c r="BC68" i="5"/>
  <c r="M14" i="5"/>
  <c r="M30" i="5"/>
  <c r="X6" i="5"/>
  <c r="BL6" i="5"/>
  <c r="M18" i="5"/>
  <c r="M22" i="5"/>
  <c r="M23" i="5"/>
  <c r="M27" i="5"/>
  <c r="AU6" i="5"/>
  <c r="M56" i="5"/>
  <c r="M63" i="5"/>
  <c r="M7" i="5"/>
  <c r="M4" i="5"/>
  <c r="BK6" i="5"/>
  <c r="N6" i="5"/>
  <c r="M72" i="5"/>
  <c r="M70" i="5"/>
  <c r="M28" i="5"/>
  <c r="Y6" i="5"/>
  <c r="M11" i="5"/>
  <c r="AJ6" i="5"/>
  <c r="BX6" i="5"/>
  <c r="M31" i="5"/>
  <c r="M45" i="5"/>
  <c r="M20" i="5"/>
  <c r="M10" i="5"/>
  <c r="M69" i="5"/>
  <c r="M65" i="5"/>
  <c r="M57" i="5"/>
  <c r="M73" i="5"/>
  <c r="AQ6" i="5"/>
  <c r="M39" i="5"/>
  <c r="AA6" i="5"/>
  <c r="M50" i="5"/>
  <c r="M29" i="5"/>
  <c r="BT6" i="5"/>
  <c r="AO6" i="5"/>
  <c r="M52" i="5"/>
  <c r="AZ6" i="5"/>
  <c r="M49" i="5"/>
  <c r="M5" i="5"/>
  <c r="M36" i="5"/>
  <c r="M16" i="5"/>
  <c r="M74" i="5"/>
  <c r="AH63" i="5"/>
  <c r="AH20" i="5"/>
  <c r="AY56" i="5"/>
  <c r="BK12" i="5"/>
  <c r="BI56" i="5"/>
  <c r="AK56" i="5"/>
  <c r="AO56" i="5"/>
  <c r="BS56" i="5"/>
  <c r="BK7" i="5"/>
  <c r="BK34" i="5"/>
  <c r="BX56" i="5"/>
  <c r="AV18" i="5"/>
  <c r="AV64" i="5"/>
  <c r="AK41" i="5"/>
  <c r="AV13" i="5"/>
  <c r="AV41" i="5"/>
  <c r="AV17" i="5"/>
  <c r="BR41" i="5"/>
  <c r="AO41" i="5"/>
  <c r="AV7" i="5"/>
  <c r="AV12" i="5"/>
  <c r="BE41" i="5"/>
  <c r="AV40" i="5"/>
  <c r="AV45" i="5"/>
  <c r="AV29" i="5"/>
  <c r="S13" i="5"/>
  <c r="S69" i="5"/>
  <c r="AY12" i="5"/>
  <c r="BS12" i="5"/>
  <c r="S17" i="5"/>
  <c r="AQ12" i="5"/>
  <c r="S35" i="5"/>
  <c r="S20" i="5"/>
  <c r="S18" i="5"/>
  <c r="S7" i="5"/>
  <c r="BR12" i="5"/>
  <c r="S34" i="5"/>
  <c r="BX12" i="5"/>
  <c r="S68" i="5"/>
  <c r="AJ12" i="5"/>
  <c r="N65" i="5"/>
  <c r="BR7" i="5"/>
  <c r="N57" i="5"/>
  <c r="N30" i="5"/>
  <c r="N56" i="5"/>
  <c r="N34" i="5"/>
  <c r="N45" i="5"/>
  <c r="AK7" i="5"/>
  <c r="N5" i="5"/>
  <c r="N44" i="5"/>
  <c r="AY7" i="5"/>
  <c r="N54" i="5"/>
  <c r="Y29" i="5"/>
  <c r="Y34" i="5"/>
  <c r="Y13" i="5"/>
  <c r="AO18" i="5"/>
  <c r="AK18" i="5"/>
  <c r="Y41" i="5"/>
  <c r="Y69" i="5"/>
  <c r="Y57" i="5"/>
  <c r="AQ18" i="5"/>
  <c r="Y65" i="5"/>
  <c r="Y54" i="5"/>
  <c r="Y17" i="5"/>
  <c r="AQ40" i="5"/>
  <c r="AU35" i="5"/>
  <c r="AU44" i="5"/>
  <c r="AK40" i="5"/>
  <c r="AU45" i="5"/>
  <c r="AU30" i="5"/>
  <c r="AU17" i="5"/>
  <c r="BI40" i="5"/>
  <c r="AY40" i="5"/>
  <c r="AU13" i="5"/>
  <c r="BX40" i="5"/>
  <c r="AU18" i="5"/>
  <c r="G16" i="5"/>
  <c r="W58" i="5"/>
  <c r="W69" i="5"/>
  <c r="AZ16" i="5"/>
  <c r="S16" i="5"/>
  <c r="BI16" i="5"/>
  <c r="BX16" i="5"/>
  <c r="AK16" i="5"/>
  <c r="AY16" i="5"/>
  <c r="W18" i="5"/>
  <c r="W32" i="5"/>
  <c r="W56" i="5"/>
  <c r="W11" i="5"/>
  <c r="W53" i="5"/>
  <c r="W12" i="5"/>
  <c r="W50" i="5"/>
  <c r="BR16" i="5"/>
  <c r="W39" i="5"/>
  <c r="AO16" i="5"/>
  <c r="W23" i="5"/>
  <c r="W5" i="5"/>
  <c r="W51" i="5"/>
  <c r="W40" i="5"/>
  <c r="W33" i="5"/>
  <c r="W35" i="5"/>
  <c r="W70" i="5"/>
  <c r="W42" i="5"/>
  <c r="W59" i="5"/>
  <c r="W7" i="5"/>
  <c r="W21" i="5"/>
  <c r="W64" i="5"/>
  <c r="W24" i="5"/>
  <c r="W13" i="5"/>
  <c r="W49" i="5"/>
  <c r="BA16" i="5"/>
  <c r="W43" i="5"/>
  <c r="W63" i="5"/>
  <c r="W72" i="5"/>
  <c r="W14" i="5"/>
  <c r="W28" i="5"/>
  <c r="AJ16" i="5"/>
  <c r="BX36" i="5"/>
  <c r="BX44" i="5"/>
  <c r="BB8" i="5"/>
  <c r="BB42" i="5"/>
  <c r="BB39" i="5"/>
  <c r="BB6" i="5"/>
  <c r="BB61" i="5"/>
  <c r="BR47" i="5"/>
  <c r="N47" i="5"/>
  <c r="BB35" i="5"/>
  <c r="BB15" i="5"/>
  <c r="BB30" i="5"/>
  <c r="BB37" i="5"/>
  <c r="BB57" i="5"/>
  <c r="BB44" i="5"/>
  <c r="BB65" i="5"/>
  <c r="AU47" i="5"/>
  <c r="T47" i="5"/>
  <c r="BB29" i="5"/>
  <c r="BX47" i="5"/>
  <c r="BB73" i="5"/>
  <c r="BL47" i="5"/>
  <c r="BB7" i="5"/>
  <c r="BB31" i="5"/>
  <c r="BB21" i="5"/>
  <c r="BB71" i="5"/>
  <c r="BB62" i="5"/>
  <c r="G47" i="5"/>
  <c r="BB28" i="5"/>
  <c r="S47" i="5"/>
  <c r="AZ47" i="5"/>
  <c r="BB34" i="5"/>
  <c r="BB32" i="5"/>
  <c r="G66" i="5"/>
  <c r="BU58" i="5"/>
  <c r="BU26" i="5"/>
  <c r="BU4" i="5"/>
  <c r="BU63" i="5"/>
  <c r="BU10" i="5"/>
  <c r="BU20" i="5"/>
  <c r="BU72" i="5"/>
  <c r="BU31" i="5"/>
  <c r="BU60" i="5"/>
  <c r="BU36" i="5"/>
  <c r="S66" i="5"/>
  <c r="BU8" i="5"/>
  <c r="BT66" i="5"/>
  <c r="BU37" i="5"/>
  <c r="BU17" i="5"/>
  <c r="BU39" i="5"/>
  <c r="AK66" i="5"/>
  <c r="BU74" i="5"/>
  <c r="BU35" i="5"/>
  <c r="BU68" i="5"/>
  <c r="BY66" i="5"/>
  <c r="BU47" i="5"/>
  <c r="BU12" i="5"/>
  <c r="BU46" i="5"/>
  <c r="BU22" i="5"/>
  <c r="BU48" i="5"/>
  <c r="AZ66" i="5"/>
  <c r="BU27" i="5"/>
  <c r="BU33" i="5"/>
  <c r="BX66" i="5"/>
  <c r="BU41" i="5"/>
  <c r="BS66" i="5"/>
  <c r="T66" i="5"/>
  <c r="AA66" i="5"/>
  <c r="BU9" i="5"/>
  <c r="G21" i="5"/>
  <c r="BR21" i="5"/>
  <c r="AB10" i="5"/>
  <c r="N21" i="5"/>
  <c r="AB22" i="5"/>
  <c r="AB35" i="5"/>
  <c r="S21" i="5"/>
  <c r="AB6" i="5"/>
  <c r="AB19" i="5"/>
  <c r="AB23" i="5"/>
  <c r="AU21" i="5"/>
  <c r="AB21" i="5"/>
  <c r="AB56" i="5"/>
  <c r="BK21" i="5"/>
  <c r="AB13" i="5"/>
  <c r="AB8" i="5"/>
  <c r="AB27" i="5"/>
  <c r="AB14" i="5"/>
  <c r="AB18" i="5"/>
  <c r="AB39" i="5"/>
  <c r="AB41" i="5"/>
  <c r="AB67" i="5"/>
  <c r="AB75" i="5"/>
  <c r="AB52" i="5"/>
  <c r="AB38" i="5"/>
  <c r="AB46" i="5"/>
  <c r="AB58" i="5"/>
  <c r="AB25" i="5"/>
  <c r="AB16" i="5"/>
  <c r="AB32" i="5"/>
  <c r="AB33" i="5"/>
  <c r="AB47" i="5"/>
  <c r="AB59" i="5"/>
  <c r="AB73" i="5"/>
  <c r="AB51" i="5"/>
  <c r="G74" i="5"/>
  <c r="CC68" i="5"/>
  <c r="CC62" i="5"/>
  <c r="N74" i="5"/>
  <c r="X74" i="5"/>
  <c r="CC32" i="5"/>
  <c r="CC50" i="5"/>
  <c r="AK74" i="5"/>
  <c r="CC16" i="5"/>
  <c r="CC44" i="5"/>
  <c r="CC64" i="5"/>
  <c r="BR74" i="5"/>
  <c r="Y74" i="5"/>
  <c r="CC15" i="5"/>
  <c r="CC38" i="5"/>
  <c r="CC63" i="5"/>
  <c r="CC4" i="5"/>
  <c r="CC55" i="5"/>
  <c r="AQ74" i="5"/>
  <c r="CC41" i="5"/>
  <c r="CC42" i="5"/>
  <c r="CC40" i="5"/>
  <c r="CC49" i="5"/>
  <c r="BX74" i="5"/>
  <c r="AZ74" i="5"/>
  <c r="CC10" i="5"/>
  <c r="CC57" i="5"/>
  <c r="CC34" i="5"/>
  <c r="AP74" i="5"/>
  <c r="CC27" i="5"/>
  <c r="CD74" i="5"/>
  <c r="CC48" i="5"/>
  <c r="CC60" i="5"/>
  <c r="CC23" i="5"/>
  <c r="CC30" i="5"/>
  <c r="BI74" i="5"/>
  <c r="CC24" i="5"/>
  <c r="CC51" i="5"/>
  <c r="CC8" i="5"/>
  <c r="CC66" i="5"/>
  <c r="AV74" i="5"/>
  <c r="CC28" i="5"/>
  <c r="G22" i="5"/>
  <c r="AC42" i="5"/>
  <c r="N22" i="5"/>
  <c r="AC71" i="5"/>
  <c r="AC10" i="5"/>
  <c r="AC26" i="5"/>
  <c r="AC16" i="5"/>
  <c r="AC55" i="5"/>
  <c r="AC9" i="5"/>
  <c r="AC53" i="5"/>
  <c r="AC74" i="5"/>
  <c r="AC7" i="5"/>
  <c r="BI22" i="5"/>
  <c r="BR22" i="5"/>
  <c r="AC56" i="5"/>
  <c r="AU22" i="5"/>
  <c r="AC43" i="5"/>
  <c r="AC21" i="5"/>
  <c r="AC62" i="5"/>
  <c r="AC52" i="5"/>
  <c r="AC66" i="5"/>
  <c r="AC12" i="5"/>
  <c r="AC34" i="5"/>
  <c r="BX22" i="5"/>
  <c r="AC39" i="5"/>
  <c r="AC46" i="5"/>
  <c r="AC32" i="5"/>
  <c r="AC51" i="5"/>
  <c r="AC35" i="5"/>
  <c r="AQ22" i="5"/>
  <c r="AV22" i="5"/>
  <c r="AC75" i="5"/>
  <c r="AK22" i="5"/>
  <c r="AC70" i="5"/>
  <c r="AC41" i="5"/>
  <c r="AC20" i="5"/>
  <c r="AC23" i="5"/>
  <c r="G49" i="5"/>
  <c r="BD47" i="5"/>
  <c r="BD6" i="5"/>
  <c r="BD40" i="5"/>
  <c r="N49" i="5"/>
  <c r="BD33" i="5"/>
  <c r="AA49" i="5"/>
  <c r="BD29" i="5"/>
  <c r="BD48" i="5"/>
  <c r="BD34" i="5"/>
  <c r="AP49" i="5"/>
  <c r="BD69" i="5"/>
  <c r="AV49" i="5"/>
  <c r="BD35" i="5"/>
  <c r="BK49" i="5"/>
  <c r="T49" i="5"/>
  <c r="Y49" i="5"/>
  <c r="BD8" i="5"/>
  <c r="BL49" i="5"/>
  <c r="BT49" i="5"/>
  <c r="BD51" i="5"/>
  <c r="BD45" i="5"/>
  <c r="AO49" i="5"/>
  <c r="BX49" i="5"/>
  <c r="BD58" i="5"/>
  <c r="BW49" i="5"/>
  <c r="BD12" i="5"/>
  <c r="BD42" i="5"/>
  <c r="BD21" i="5"/>
  <c r="BD18" i="5"/>
  <c r="BD59" i="5"/>
  <c r="BE65" i="5"/>
  <c r="BR50" i="5"/>
  <c r="BE54" i="5"/>
  <c r="X23" i="5"/>
  <c r="AD36" i="5"/>
  <c r="AD72" i="5"/>
  <c r="AD16" i="5"/>
  <c r="AD22" i="5"/>
  <c r="AD33" i="5"/>
  <c r="BS23" i="5"/>
  <c r="AD15" i="5"/>
  <c r="AD41" i="5"/>
  <c r="BX23" i="5"/>
  <c r="AD4" i="5"/>
  <c r="AD38" i="5"/>
  <c r="AQ23" i="5"/>
  <c r="AD56" i="5"/>
  <c r="AO23" i="5"/>
  <c r="AD30" i="5"/>
  <c r="AZ23" i="5"/>
  <c r="AD13" i="5"/>
  <c r="AD34" i="5"/>
  <c r="AD54" i="5"/>
  <c r="AA23" i="5"/>
  <c r="AD66" i="5"/>
  <c r="AD26" i="5"/>
  <c r="N23" i="5"/>
  <c r="CA23" i="5"/>
  <c r="AD53" i="5"/>
  <c r="BY73" i="5"/>
  <c r="CB48" i="5"/>
  <c r="CB75" i="5"/>
  <c r="BF57" i="5"/>
  <c r="BF46" i="5"/>
  <c r="BF11" i="5"/>
  <c r="BK51" i="5"/>
  <c r="BF51" i="5"/>
  <c r="BF23" i="5"/>
  <c r="T51" i="5"/>
  <c r="Y51" i="5"/>
  <c r="BF14" i="5"/>
  <c r="BF16" i="5"/>
  <c r="BF34" i="5"/>
  <c r="AU51" i="5"/>
  <c r="AY51" i="5"/>
  <c r="BF4" i="5"/>
  <c r="BF43" i="5"/>
  <c r="BF28" i="5"/>
  <c r="BF68" i="5"/>
  <c r="BF66" i="5"/>
  <c r="BF73" i="5"/>
  <c r="BF17" i="5"/>
  <c r="BF20" i="5"/>
  <c r="BF44" i="5"/>
  <c r="AJ51" i="5"/>
  <c r="X51" i="5"/>
  <c r="BF56" i="5"/>
  <c r="AV51" i="5"/>
  <c r="BF32" i="5"/>
  <c r="AZ51" i="5"/>
  <c r="BF10" i="5"/>
  <c r="AA51" i="5"/>
  <c r="AE51" i="5"/>
  <c r="BF72" i="5"/>
  <c r="AP51" i="5"/>
  <c r="BF50" i="5"/>
  <c r="AH51" i="5"/>
  <c r="BF67" i="5"/>
  <c r="BF19" i="5"/>
  <c r="AQ51" i="5"/>
  <c r="BS51" i="5"/>
  <c r="BF6" i="5"/>
  <c r="BF25" i="5"/>
  <c r="BF52" i="5"/>
  <c r="BF41" i="5"/>
  <c r="BX51" i="5"/>
  <c r="BF15" i="5"/>
  <c r="BF40" i="5"/>
  <c r="BF47" i="5"/>
  <c r="G33" i="5"/>
  <c r="AN6" i="5"/>
  <c r="AN58" i="5"/>
  <c r="AZ33" i="5"/>
  <c r="AN4" i="5"/>
  <c r="AQ33" i="5"/>
  <c r="N33" i="5"/>
  <c r="AN30" i="5"/>
  <c r="S33" i="5"/>
  <c r="AA33" i="5"/>
  <c r="AN55" i="5"/>
  <c r="AN69" i="5"/>
  <c r="AJ33" i="5"/>
  <c r="AN24" i="5"/>
  <c r="AN31" i="5"/>
  <c r="BR33" i="5"/>
  <c r="AN17" i="5"/>
  <c r="AN32" i="5"/>
  <c r="T33" i="5"/>
  <c r="AN46" i="5"/>
  <c r="AN52" i="5"/>
  <c r="AN33" i="5"/>
  <c r="AN50" i="5"/>
  <c r="AN70" i="5"/>
  <c r="AN72" i="5"/>
  <c r="X33" i="5"/>
  <c r="Y33" i="5"/>
  <c r="AN10" i="5"/>
  <c r="AN45" i="5"/>
  <c r="AN26" i="5"/>
  <c r="AN53" i="5"/>
  <c r="G52" i="5"/>
  <c r="BG9" i="5"/>
  <c r="BG50" i="5"/>
  <c r="BG13" i="5"/>
  <c r="BG48" i="5"/>
  <c r="BG4" i="5"/>
  <c r="BG7" i="5"/>
  <c r="BG22" i="5"/>
  <c r="BG49" i="5"/>
  <c r="BG42" i="5"/>
  <c r="BG20" i="5"/>
  <c r="BG60" i="5"/>
  <c r="BG73" i="5"/>
  <c r="BG66" i="5"/>
  <c r="BG19" i="5"/>
  <c r="BG16" i="5"/>
  <c r="BG28" i="5"/>
  <c r="AJ52" i="5"/>
  <c r="AK52" i="5"/>
  <c r="BK52" i="5"/>
  <c r="BG26" i="5"/>
  <c r="AZ52" i="5"/>
  <c r="BG47" i="5"/>
  <c r="BS52" i="5"/>
  <c r="BG36" i="5"/>
  <c r="BG45" i="5"/>
  <c r="BG56" i="5"/>
  <c r="BG69" i="5"/>
  <c r="BG67" i="5"/>
  <c r="BG29" i="5"/>
  <c r="Y52" i="5"/>
  <c r="BG57" i="5"/>
  <c r="BG39" i="5"/>
  <c r="BT52" i="5"/>
  <c r="AO52" i="5"/>
  <c r="BG71" i="5"/>
  <c r="BG40" i="5"/>
  <c r="BG38" i="5"/>
  <c r="BG41" i="5"/>
  <c r="N52" i="5"/>
  <c r="BL52" i="5"/>
  <c r="BG5" i="5"/>
  <c r="BG34" i="5"/>
  <c r="BG52" i="5"/>
  <c r="BG21" i="5"/>
  <c r="V52" i="5"/>
  <c r="BI52" i="5"/>
  <c r="G60" i="5"/>
  <c r="BO20" i="5"/>
  <c r="BO13" i="5"/>
  <c r="BO42" i="5"/>
  <c r="BO5" i="5"/>
  <c r="BO16" i="5"/>
  <c r="BO40" i="5"/>
  <c r="AY60" i="5"/>
  <c r="BO19" i="5"/>
  <c r="BO53" i="5"/>
  <c r="BO61" i="5"/>
  <c r="BO41" i="5"/>
  <c r="BO72" i="5"/>
  <c r="BO48" i="5"/>
  <c r="BO34" i="5"/>
  <c r="BO26" i="5"/>
  <c r="BO37" i="5"/>
  <c r="BS60" i="5"/>
  <c r="BO15" i="5"/>
  <c r="BO22" i="5"/>
  <c r="BO44" i="5"/>
  <c r="BO39" i="5"/>
  <c r="BO71" i="5"/>
  <c r="BO9" i="5"/>
  <c r="BO69" i="5"/>
  <c r="BO23" i="5"/>
  <c r="BO52" i="5"/>
  <c r="BL60" i="5"/>
  <c r="BO11" i="5"/>
  <c r="AV60" i="5"/>
  <c r="AP60" i="5"/>
  <c r="BO70" i="5"/>
  <c r="CA60" i="5"/>
  <c r="BO50" i="5"/>
  <c r="S60" i="5"/>
  <c r="BO56" i="5"/>
  <c r="BO4" i="5"/>
  <c r="BO33" i="5"/>
  <c r="CB60" i="5"/>
  <c r="BO74" i="5"/>
  <c r="BO67" i="5"/>
  <c r="BO65" i="5"/>
  <c r="BO62" i="5"/>
  <c r="BO43" i="5"/>
  <c r="CD60" i="5"/>
  <c r="BS8" i="5"/>
  <c r="O16" i="5"/>
  <c r="O35" i="5"/>
  <c r="AZ8" i="5"/>
  <c r="BT8" i="5"/>
  <c r="O39" i="5"/>
  <c r="O12" i="5"/>
  <c r="AV8" i="5"/>
  <c r="AY8" i="5"/>
  <c r="O7" i="5"/>
  <c r="O55" i="5"/>
  <c r="O14" i="5"/>
  <c r="O28" i="5"/>
  <c r="S8" i="5"/>
  <c r="Y8" i="5"/>
  <c r="O22" i="5"/>
  <c r="O15" i="5"/>
  <c r="O23" i="5"/>
  <c r="O13" i="5"/>
  <c r="X8" i="5"/>
  <c r="O21" i="5"/>
  <c r="BX8" i="5"/>
  <c r="BK8" i="5"/>
  <c r="O24" i="5"/>
  <c r="O25" i="5"/>
  <c r="O47" i="5"/>
  <c r="O5" i="5"/>
  <c r="O19" i="5"/>
  <c r="O65" i="5"/>
  <c r="O31" i="5"/>
  <c r="O17" i="5"/>
  <c r="O4" i="5"/>
  <c r="O58" i="5"/>
  <c r="O48" i="5"/>
  <c r="O42" i="5"/>
  <c r="O66" i="5"/>
  <c r="AP8" i="5"/>
  <c r="O8" i="5"/>
  <c r="AJ8" i="5"/>
  <c r="O57" i="5"/>
  <c r="AR8" i="5"/>
  <c r="O60" i="5"/>
  <c r="O69" i="5"/>
  <c r="G62" i="5"/>
  <c r="BQ50" i="5"/>
  <c r="BQ67" i="5"/>
  <c r="BQ25" i="5"/>
  <c r="BQ38" i="5"/>
  <c r="BQ23" i="5"/>
  <c r="T62" i="5"/>
  <c r="BI62" i="5"/>
  <c r="BQ48" i="5"/>
  <c r="BQ32" i="5"/>
  <c r="AA62" i="5"/>
  <c r="BQ16" i="5"/>
  <c r="BQ7" i="5"/>
  <c r="BX62" i="5"/>
  <c r="BQ63" i="5"/>
  <c r="BQ61" i="5"/>
  <c r="BQ14" i="5"/>
  <c r="AQ62" i="5"/>
  <c r="BQ66" i="5"/>
  <c r="BQ13" i="5"/>
  <c r="BQ17" i="5"/>
  <c r="AY62" i="5"/>
  <c r="BQ36" i="5"/>
  <c r="BQ9" i="5"/>
  <c r="BQ70" i="5"/>
  <c r="BQ41" i="5"/>
  <c r="BQ11" i="5"/>
  <c r="BQ8" i="5"/>
  <c r="BQ52" i="5"/>
  <c r="BQ31" i="5"/>
  <c r="AZ62" i="5"/>
  <c r="BQ69" i="5"/>
  <c r="BA62" i="5"/>
  <c r="Y62" i="5"/>
  <c r="CB62" i="5"/>
  <c r="BQ60" i="5"/>
  <c r="BQ42" i="5"/>
  <c r="AK62" i="5"/>
  <c r="BQ44" i="5"/>
  <c r="BQ43" i="5"/>
  <c r="CA62" i="5"/>
  <c r="G14" i="5"/>
  <c r="U51" i="5"/>
  <c r="AK14" i="5"/>
  <c r="N14" i="5"/>
  <c r="U48" i="5"/>
  <c r="U4" i="5"/>
  <c r="CA14" i="5"/>
  <c r="BI14" i="5"/>
  <c r="U9" i="5"/>
  <c r="X14" i="5"/>
  <c r="U23" i="5"/>
  <c r="U66" i="5"/>
  <c r="U64" i="5"/>
  <c r="U24" i="5"/>
  <c r="U31" i="5"/>
  <c r="U49" i="5"/>
  <c r="U40" i="5"/>
  <c r="U67" i="5"/>
  <c r="U10" i="5"/>
  <c r="U47" i="5"/>
  <c r="U41" i="5"/>
  <c r="AU14" i="5"/>
  <c r="U52" i="5"/>
  <c r="U11" i="5"/>
  <c r="U36" i="5"/>
  <c r="S14" i="5"/>
  <c r="U21" i="5"/>
  <c r="U32" i="5"/>
  <c r="U69" i="5"/>
  <c r="U74" i="5"/>
  <c r="U5" i="5"/>
  <c r="AV14" i="5"/>
  <c r="U72" i="5"/>
  <c r="U57" i="5"/>
  <c r="U27" i="5"/>
  <c r="U53" i="5"/>
  <c r="U56" i="5"/>
  <c r="BX14" i="5"/>
  <c r="U35" i="5"/>
  <c r="CA34" i="5"/>
  <c r="CA63" i="5"/>
  <c r="AR72" i="5"/>
  <c r="AE37" i="5"/>
  <c r="AX23" i="5"/>
  <c r="CD43" i="5"/>
  <c r="AE43" i="5"/>
  <c r="BE69" i="5"/>
  <c r="AR64" i="5"/>
  <c r="BW51" i="5"/>
  <c r="BW27" i="5"/>
  <c r="L42" i="5"/>
  <c r="AV71" i="5"/>
  <c r="L20" i="5"/>
  <c r="V19" i="5"/>
  <c r="BC42" i="5"/>
  <c r="V35" i="5"/>
  <c r="BX73" i="5"/>
  <c r="V69" i="5"/>
  <c r="AX58" i="5"/>
  <c r="BT24" i="5"/>
  <c r="BE40" i="5"/>
  <c r="V22" i="5"/>
  <c r="BK27" i="5"/>
  <c r="AH60" i="5"/>
  <c r="AE16" i="5"/>
  <c r="BS15" i="5"/>
  <c r="BI64" i="5"/>
  <c r="BS64" i="5"/>
  <c r="BS44" i="5"/>
  <c r="G71" i="5"/>
  <c r="BZ29" i="5"/>
  <c r="AO71" i="5"/>
  <c r="AU71" i="5"/>
  <c r="BZ67" i="5"/>
  <c r="BZ59" i="5"/>
  <c r="BZ22" i="5"/>
  <c r="BZ18" i="5"/>
  <c r="BZ36" i="5"/>
  <c r="BZ15" i="5"/>
  <c r="BZ6" i="5"/>
  <c r="BZ11" i="5"/>
  <c r="BZ28" i="5"/>
  <c r="BZ4" i="5"/>
  <c r="BZ34" i="5"/>
  <c r="BZ43" i="5"/>
  <c r="BZ50" i="5"/>
  <c r="N71" i="5"/>
  <c r="BR71" i="5"/>
  <c r="BZ56" i="5"/>
  <c r="BZ42" i="5"/>
  <c r="BZ35" i="5"/>
  <c r="G70" i="5"/>
  <c r="BY43" i="5"/>
  <c r="BY10" i="5"/>
  <c r="BY13" i="5"/>
  <c r="BY18" i="5"/>
  <c r="BY11" i="5"/>
  <c r="BY19" i="5"/>
  <c r="BY35" i="5"/>
  <c r="BY39" i="5"/>
  <c r="BY20" i="5"/>
  <c r="BY59" i="5"/>
  <c r="BY14" i="5"/>
  <c r="BI70" i="5"/>
  <c r="S70" i="5"/>
  <c r="BY30" i="5"/>
  <c r="BY8" i="5"/>
  <c r="BY50" i="5"/>
  <c r="BY16" i="5"/>
  <c r="BY60" i="5"/>
  <c r="BY49" i="5"/>
  <c r="BY72" i="5"/>
  <c r="BY17" i="5"/>
  <c r="AQ70" i="5"/>
  <c r="BY34" i="5"/>
  <c r="BY25" i="5"/>
  <c r="CA64" i="5"/>
  <c r="CA56" i="5"/>
  <c r="CA54" i="5"/>
  <c r="CA12" i="5"/>
  <c r="CA7" i="5"/>
  <c r="AA72" i="5"/>
  <c r="BX20" i="5"/>
  <c r="AA65" i="5"/>
  <c r="AA17" i="5"/>
  <c r="AA44" i="5"/>
  <c r="AQ20" i="5"/>
  <c r="AA57" i="5"/>
  <c r="G68" i="5"/>
  <c r="BW23" i="5"/>
  <c r="AQ68" i="5"/>
  <c r="BW18" i="5"/>
  <c r="BW14" i="5"/>
  <c r="BW36" i="5"/>
  <c r="BW21" i="5"/>
  <c r="BW42" i="5"/>
  <c r="AK68" i="5"/>
  <c r="BS68" i="5"/>
  <c r="BW25" i="5"/>
  <c r="BW33" i="5"/>
  <c r="BW30" i="5"/>
  <c r="AJ64" i="5"/>
  <c r="AJ45" i="5"/>
  <c r="AJ17" i="5"/>
  <c r="AJ44" i="5"/>
  <c r="AY29" i="5"/>
  <c r="AJ30" i="5"/>
  <c r="AJ54" i="5"/>
  <c r="AJ35" i="5"/>
  <c r="BT30" i="5"/>
  <c r="BT18" i="5"/>
  <c r="BT29" i="5"/>
  <c r="BX65" i="5"/>
  <c r="AO65" i="5"/>
  <c r="BT40" i="5"/>
  <c r="BS65" i="5"/>
  <c r="BT57" i="5"/>
  <c r="G46" i="5"/>
  <c r="AK46" i="5"/>
  <c r="BK46" i="5"/>
  <c r="BA25" i="5"/>
  <c r="BA40" i="5"/>
  <c r="BL46" i="5"/>
  <c r="BA41" i="5"/>
  <c r="BA24" i="5"/>
  <c r="BA56" i="5"/>
  <c r="BA71" i="5"/>
  <c r="BA58" i="5"/>
  <c r="BA21" i="5"/>
  <c r="BA30" i="5"/>
  <c r="BA14" i="5"/>
  <c r="BA46" i="5"/>
  <c r="BA45" i="5"/>
  <c r="BA5" i="5"/>
  <c r="BA15" i="5"/>
  <c r="BA50" i="5"/>
  <c r="BA35" i="5"/>
  <c r="BA23" i="5"/>
  <c r="BA18" i="5"/>
  <c r="BA4" i="5"/>
  <c r="CD14" i="5"/>
  <c r="G75" i="5"/>
  <c r="CD5" i="5"/>
  <c r="CD21" i="5"/>
  <c r="CD15" i="5"/>
  <c r="CD28" i="5"/>
  <c r="CD48" i="5"/>
  <c r="AA75" i="5"/>
  <c r="CD62" i="5"/>
  <c r="CD24" i="5"/>
  <c r="CD20" i="5"/>
  <c r="CD27" i="5"/>
  <c r="CD26" i="5"/>
  <c r="CD36" i="5"/>
  <c r="S75" i="5"/>
  <c r="CD23" i="5"/>
  <c r="CD16" i="5"/>
  <c r="AZ75" i="5"/>
  <c r="G37" i="5"/>
  <c r="AR38" i="5"/>
  <c r="AR24" i="5"/>
  <c r="AR23" i="5"/>
  <c r="AY37" i="5"/>
  <c r="AR15" i="5"/>
  <c r="AR16" i="5"/>
  <c r="AR4" i="5"/>
  <c r="AR36" i="5"/>
  <c r="AK37" i="5"/>
  <c r="AR49" i="5"/>
  <c r="AR25" i="5"/>
  <c r="AR65" i="5"/>
  <c r="AR27" i="5"/>
  <c r="AR52" i="5"/>
  <c r="AZ37" i="5"/>
  <c r="BX37" i="5"/>
  <c r="BI37" i="5"/>
  <c r="AA37" i="5"/>
  <c r="AR26" i="5"/>
  <c r="AY27" i="5"/>
  <c r="V75" i="5"/>
  <c r="AA63" i="5"/>
  <c r="BR54" i="5"/>
  <c r="BC74" i="5"/>
  <c r="CD52" i="5"/>
  <c r="BA22" i="5"/>
  <c r="CD41" i="5"/>
  <c r="BK48" i="5"/>
  <c r="L63" i="5"/>
  <c r="BA37" i="5"/>
  <c r="AJ50" i="5"/>
  <c r="AU37" i="5"/>
  <c r="BZ63" i="5"/>
  <c r="BZ54" i="5"/>
  <c r="AA43" i="5"/>
  <c r="BA13" i="5"/>
  <c r="BE72" i="5"/>
  <c r="AE34" i="5"/>
  <c r="BT34" i="5"/>
  <c r="AA41" i="5"/>
  <c r="AA68" i="5"/>
  <c r="AX63" i="5"/>
  <c r="Y50" i="5"/>
  <c r="AH35" i="5"/>
  <c r="AE35" i="5"/>
  <c r="CB4" i="5"/>
  <c r="BW13" i="5"/>
  <c r="AR45" i="5"/>
  <c r="BR72" i="5"/>
  <c r="BT56" i="5"/>
  <c r="AX49" i="5"/>
  <c r="BE34" i="5"/>
  <c r="AZ24" i="5"/>
  <c r="AK65" i="5"/>
  <c r="CB53" i="5"/>
  <c r="BT36" i="5"/>
  <c r="BW17" i="5"/>
  <c r="CB18" i="5"/>
  <c r="BE19" i="5"/>
  <c r="AX4" i="5"/>
  <c r="BZ44" i="5"/>
  <c r="BY40" i="5"/>
  <c r="AK72" i="5"/>
  <c r="AJ34" i="5"/>
  <c r="BW52" i="5"/>
  <c r="BC33" i="5"/>
  <c r="X71" i="5"/>
  <c r="AE41" i="5"/>
  <c r="AJ37" i="5"/>
  <c r="BA48" i="5"/>
  <c r="BC9" i="5"/>
  <c r="BK15" i="5"/>
  <c r="BW9" i="5"/>
  <c r="BK75" i="5"/>
  <c r="CD6" i="5"/>
  <c r="AO64" i="5"/>
  <c r="AQ71" i="5"/>
  <c r="BW41" i="5"/>
  <c r="BA6" i="5"/>
  <c r="BZ39" i="5"/>
  <c r="AR32" i="5"/>
  <c r="V72" i="5"/>
  <c r="AE67" i="5"/>
  <c r="BZ61" i="5"/>
  <c r="AE33" i="5"/>
  <c r="L22" i="5"/>
  <c r="AE64" i="5"/>
  <c r="BE48" i="5"/>
  <c r="BI29" i="5"/>
  <c r="AR12" i="5"/>
  <c r="S48" i="5"/>
  <c r="CD53" i="5"/>
  <c r="AQ46" i="5"/>
  <c r="AA73" i="5"/>
  <c r="AA40" i="5"/>
  <c r="BR75" i="5"/>
  <c r="Y71" i="5"/>
  <c r="BZ8" i="5"/>
  <c r="BZ21" i="5"/>
  <c r="BW38" i="5"/>
  <c r="BA66" i="5"/>
  <c r="BT54" i="5"/>
  <c r="AA20" i="5"/>
  <c r="AA34" i="5"/>
  <c r="BW69" i="5"/>
  <c r="AR14" i="5"/>
  <c r="BS36" i="5"/>
  <c r="BT13" i="5"/>
  <c r="G15" i="5"/>
  <c r="V4" i="5"/>
  <c r="V25" i="5"/>
  <c r="V33" i="5"/>
  <c r="N15" i="5"/>
  <c r="BR15" i="5"/>
  <c r="V41" i="5"/>
  <c r="V26" i="5"/>
  <c r="BL15" i="5"/>
  <c r="CA15" i="5"/>
  <c r="BT15" i="5"/>
  <c r="V11" i="5"/>
  <c r="V16" i="5"/>
  <c r="V55" i="5"/>
  <c r="V58" i="5"/>
  <c r="V45" i="5"/>
  <c r="V42" i="5"/>
  <c r="V24" i="5"/>
  <c r="V8" i="5"/>
  <c r="V64" i="5"/>
  <c r="AK15" i="5"/>
  <c r="V38" i="5"/>
  <c r="V13" i="5"/>
  <c r="V47" i="5"/>
  <c r="CB15" i="5"/>
  <c r="CB23" i="5"/>
  <c r="BI73" i="5"/>
  <c r="CB24" i="5"/>
  <c r="CB7" i="5"/>
  <c r="CB29" i="5"/>
  <c r="AQ73" i="5"/>
  <c r="CB35" i="5"/>
  <c r="AY73" i="5"/>
  <c r="CB72" i="5"/>
  <c r="CB14" i="5"/>
  <c r="CB34" i="5"/>
  <c r="S73" i="5"/>
  <c r="T73" i="5"/>
  <c r="CB38" i="5"/>
  <c r="CB27" i="5"/>
  <c r="CB50" i="5"/>
  <c r="CB41" i="5"/>
  <c r="CB44" i="5"/>
  <c r="CB74" i="5"/>
  <c r="AH44" i="5"/>
  <c r="AH18" i="5"/>
  <c r="AH71" i="5"/>
  <c r="AH33" i="5"/>
  <c r="AH17" i="5"/>
  <c r="AH16" i="5"/>
  <c r="AH49" i="5"/>
  <c r="AH27" i="5"/>
  <c r="AH52" i="5"/>
  <c r="BS27" i="5"/>
  <c r="AH54" i="5"/>
  <c r="BT27" i="5"/>
  <c r="N27" i="5"/>
  <c r="AH66" i="5"/>
  <c r="S27" i="5"/>
  <c r="AH61" i="5"/>
  <c r="AH31" i="5"/>
  <c r="AU27" i="5"/>
  <c r="AH4" i="5"/>
  <c r="AH67" i="5"/>
  <c r="BR27" i="5"/>
  <c r="CA27" i="5"/>
  <c r="AH19" i="5"/>
  <c r="AH24" i="5"/>
  <c r="AE6" i="5"/>
  <c r="T24" i="5"/>
  <c r="AE11" i="5"/>
  <c r="N24" i="5"/>
  <c r="S24" i="5"/>
  <c r="AE74" i="5"/>
  <c r="AE24" i="5"/>
  <c r="AP24" i="5"/>
  <c r="AA24" i="5"/>
  <c r="AE49" i="5"/>
  <c r="AE8" i="5"/>
  <c r="AE68" i="5"/>
  <c r="AE50" i="5"/>
  <c r="AE10" i="5"/>
  <c r="AU24" i="5"/>
  <c r="AE59" i="5"/>
  <c r="AE25" i="5"/>
  <c r="G5" i="5"/>
  <c r="BI5" i="5"/>
  <c r="AK5" i="5"/>
  <c r="T5" i="5"/>
  <c r="L30" i="5"/>
  <c r="L6" i="5"/>
  <c r="AQ5" i="5"/>
  <c r="BX5" i="5"/>
  <c r="BS5" i="5"/>
  <c r="Y5" i="5"/>
  <c r="L10" i="5"/>
  <c r="L48" i="5"/>
  <c r="L66" i="5"/>
  <c r="AP5" i="5"/>
  <c r="L50" i="5"/>
  <c r="L15" i="5"/>
  <c r="L57" i="5"/>
  <c r="L8" i="5"/>
  <c r="L52" i="5"/>
  <c r="G43" i="5"/>
  <c r="N43" i="5"/>
  <c r="AX17" i="5"/>
  <c r="AX46" i="5"/>
  <c r="AX32" i="5"/>
  <c r="AX16" i="5"/>
  <c r="AX44" i="5"/>
  <c r="BK43" i="5"/>
  <c r="AP43" i="5"/>
  <c r="AY43" i="5"/>
  <c r="AX7" i="5"/>
  <c r="CA43" i="5"/>
  <c r="AZ43" i="5"/>
  <c r="BR43" i="5"/>
  <c r="AX34" i="5"/>
  <c r="AX6" i="5"/>
  <c r="AX14" i="5"/>
  <c r="AX69" i="5"/>
  <c r="AX62" i="5"/>
  <c r="AX28" i="5"/>
  <c r="AX65" i="5"/>
  <c r="BT43" i="5"/>
  <c r="AX60" i="5"/>
  <c r="AX41" i="5"/>
  <c r="AX52" i="5"/>
  <c r="BI63" i="5"/>
  <c r="BR36" i="5"/>
  <c r="BR44" i="5"/>
  <c r="AZ13" i="5"/>
  <c r="AZ7" i="5"/>
  <c r="AZ30" i="5"/>
  <c r="AZ65" i="5"/>
  <c r="AY45" i="5"/>
  <c r="AZ34" i="5"/>
  <c r="AZ12" i="5"/>
  <c r="BC39" i="5"/>
  <c r="BC54" i="5"/>
  <c r="BC15" i="5"/>
  <c r="BC19" i="5"/>
  <c r="AJ48" i="5"/>
  <c r="AU48" i="5"/>
  <c r="BI48" i="5"/>
  <c r="BC4" i="5"/>
  <c r="BC69" i="5"/>
  <c r="BS48" i="5"/>
  <c r="BC24" i="5"/>
  <c r="BC44" i="5"/>
  <c r="AO48" i="5"/>
  <c r="BC13" i="5"/>
  <c r="BC16" i="5"/>
  <c r="BC51" i="5"/>
  <c r="BC38" i="5"/>
  <c r="BC48" i="5"/>
  <c r="BX48" i="5"/>
  <c r="BC8" i="5"/>
  <c r="BC23" i="5"/>
  <c r="BC28" i="5"/>
  <c r="BC37" i="5"/>
  <c r="BC14" i="5"/>
  <c r="BC25" i="5"/>
  <c r="BC12" i="5"/>
  <c r="BC62" i="5"/>
  <c r="BC73" i="5"/>
  <c r="T48" i="5"/>
  <c r="G50" i="5"/>
  <c r="X50" i="5"/>
  <c r="BT50" i="5"/>
  <c r="BE10" i="5"/>
  <c r="BE17" i="5"/>
  <c r="BE43" i="5"/>
  <c r="N50" i="5"/>
  <c r="BE26" i="5"/>
  <c r="BI50" i="5"/>
  <c r="BE46" i="5"/>
  <c r="BE27" i="5"/>
  <c r="BE9" i="5"/>
  <c r="BE74" i="5"/>
  <c r="BE63" i="5"/>
  <c r="BE71" i="5"/>
  <c r="BE12" i="5"/>
  <c r="BE32" i="5"/>
  <c r="BE13" i="5"/>
  <c r="AA50" i="5"/>
  <c r="AK50" i="5"/>
  <c r="BE49" i="5"/>
  <c r="BE68" i="5"/>
  <c r="BE64" i="5"/>
  <c r="G48" i="5"/>
  <c r="S46" i="5"/>
  <c r="G73" i="5"/>
  <c r="AE18" i="5"/>
  <c r="BZ72" i="5"/>
  <c r="BZ66" i="5"/>
  <c r="BC50" i="5"/>
  <c r="BE58" i="5"/>
  <c r="AJ73" i="5"/>
  <c r="AZ46" i="5"/>
  <c r="BS43" i="5"/>
  <c r="CB26" i="5"/>
  <c r="AY46" i="5"/>
  <c r="AX68" i="5"/>
  <c r="CA48" i="5"/>
  <c r="BY4" i="5"/>
  <c r="X27" i="5"/>
  <c r="BY63" i="5"/>
  <c r="L49" i="5"/>
  <c r="BC75" i="5"/>
  <c r="CD30" i="5"/>
  <c r="CA75" i="5"/>
  <c r="AE71" i="5"/>
  <c r="BS50" i="5"/>
  <c r="BW31" i="5"/>
  <c r="AO63" i="5"/>
  <c r="CB33" i="5"/>
  <c r="V31" i="5"/>
  <c r="AR13" i="5"/>
  <c r="BL75" i="5"/>
  <c r="BW10" i="5"/>
  <c r="BY71" i="5"/>
  <c r="AE29" i="5"/>
  <c r="G7" i="5"/>
  <c r="G12" i="5"/>
  <c r="G56" i="5"/>
  <c r="G65" i="5"/>
  <c r="G63" i="5"/>
  <c r="AM39" i="5"/>
  <c r="AA60" i="5"/>
  <c r="BY68" i="5"/>
  <c r="BQ75" i="5"/>
  <c r="S37" i="5"/>
  <c r="M61" i="5"/>
  <c r="CA68" i="5"/>
  <c r="BS75" i="5"/>
  <c r="M13" i="5"/>
  <c r="BO73" i="5"/>
  <c r="BI69" i="5"/>
  <c r="K66" i="5"/>
  <c r="O62" i="5"/>
  <c r="BY56" i="5"/>
  <c r="O50" i="5"/>
  <c r="BX41" i="5"/>
  <c r="BM32" i="5"/>
  <c r="BN19" i="5"/>
  <c r="AO75" i="5"/>
  <c r="Q72" i="5"/>
  <c r="AO68" i="5"/>
  <c r="BN64" i="5"/>
  <c r="AG60" i="5"/>
  <c r="V54" i="5"/>
  <c r="BW46" i="5"/>
  <c r="CC37" i="5"/>
  <c r="AB28" i="5"/>
  <c r="BH10" i="5"/>
  <c r="AI55" i="5"/>
  <c r="Y48" i="5"/>
  <c r="BE39" i="5"/>
  <c r="AT29" i="5"/>
  <c r="BD72" i="5"/>
  <c r="L69" i="5"/>
  <c r="AH65" i="5"/>
  <c r="BN60" i="5"/>
  <c r="AE55" i="5"/>
  <c r="P48" i="5"/>
  <c r="AT39" i="5"/>
  <c r="T30" i="5"/>
  <c r="AP14" i="5"/>
  <c r="AR74" i="5"/>
  <c r="M71" i="5"/>
  <c r="AK67" i="5"/>
  <c r="BH63" i="5"/>
  <c r="BV58" i="5"/>
  <c r="O52" i="5"/>
  <c r="AV44" i="5"/>
  <c r="AM35" i="5"/>
  <c r="BJ24" i="5"/>
  <c r="AK53" i="5"/>
  <c r="AK45" i="5"/>
  <c r="AB36" i="5"/>
  <c r="CA25" i="5"/>
  <c r="BO75" i="5"/>
  <c r="X72" i="5"/>
  <c r="AY68" i="5"/>
  <c r="BU64" i="5"/>
  <c r="AZ60" i="5"/>
  <c r="CB54" i="5"/>
  <c r="BK47" i="5"/>
  <c r="Q39" i="5"/>
  <c r="BQ28" i="5"/>
  <c r="BK11" i="5"/>
  <c r="BA73" i="5"/>
  <c r="N70" i="5"/>
  <c r="P66" i="5"/>
  <c r="V62" i="5"/>
  <c r="CC56" i="5"/>
  <c r="R50" i="5"/>
  <c r="M42" i="5"/>
  <c r="BZ32" i="5"/>
  <c r="BC18" i="5"/>
  <c r="AL55" i="5"/>
  <c r="BK50" i="5"/>
  <c r="BT45" i="5"/>
  <c r="BM39" i="5"/>
  <c r="BF33" i="5"/>
  <c r="BC26" i="5"/>
  <c r="S15" i="5"/>
  <c r="BD61" i="5"/>
  <c r="BM57" i="5"/>
  <c r="AS53" i="5"/>
  <c r="BH48" i="5"/>
  <c r="Z43" i="5"/>
  <c r="U37" i="5"/>
  <c r="CB30" i="5"/>
  <c r="AN22" i="5"/>
  <c r="AM8" i="5"/>
  <c r="V74" i="5"/>
  <c r="P71" i="5"/>
  <c r="L68" i="5"/>
  <c r="BZ64" i="5"/>
  <c r="BC61" i="5"/>
  <c r="BL57" i="5"/>
  <c r="AR53" i="5"/>
  <c r="BF48" i="5"/>
  <c r="BF42" i="5"/>
  <c r="BA36" i="5"/>
  <c r="AB30" i="5"/>
  <c r="AN21" i="5"/>
  <c r="BO6" i="5"/>
  <c r="BP73" i="5"/>
  <c r="BY70" i="5"/>
  <c r="BU67" i="5"/>
  <c r="BP64" i="5"/>
  <c r="AP61" i="5"/>
  <c r="AV57" i="5"/>
  <c r="AB53" i="5"/>
  <c r="AM48" i="5"/>
  <c r="BU42" i="5"/>
  <c r="BP36" i="5"/>
  <c r="AX30" i="5"/>
  <c r="BR20" i="5"/>
  <c r="BU5" i="5"/>
  <c r="AF42" i="5"/>
  <c r="Z38" i="5"/>
  <c r="W34" i="5"/>
  <c r="BR29" i="5"/>
  <c r="BK23" i="5"/>
  <c r="AY15" i="5"/>
  <c r="AY4" i="5"/>
  <c r="AE42" i="5"/>
  <c r="Y38" i="5"/>
  <c r="U34" i="5"/>
  <c r="BQ29" i="5"/>
  <c r="AD24" i="5"/>
  <c r="AG16" i="5"/>
  <c r="BD5" i="5"/>
  <c r="AG74" i="5"/>
  <c r="BL71" i="5"/>
  <c r="BZ68" i="5"/>
  <c r="R66" i="5"/>
  <c r="AG63" i="5"/>
  <c r="CC59" i="5"/>
  <c r="AX56" i="5"/>
  <c r="BB52" i="5"/>
  <c r="AT48" i="5"/>
  <c r="AR44" i="5"/>
  <c r="AN40" i="5"/>
  <c r="AJ36" i="5"/>
  <c r="BA31" i="5"/>
  <c r="BB26" i="5"/>
  <c r="AR19" i="5"/>
  <c r="CB9" i="5"/>
  <c r="CA57" i="5"/>
  <c r="AX54" i="5"/>
  <c r="AV50" i="5"/>
  <c r="T46" i="5"/>
  <c r="AN41" i="5"/>
  <c r="AH36" i="5"/>
  <c r="AW31" i="5"/>
  <c r="N26" i="5"/>
  <c r="P18" i="5"/>
  <c r="BY6" i="5"/>
  <c r="AR69" i="5"/>
  <c r="BE66" i="5"/>
  <c r="BV63" i="5"/>
  <c r="BE60" i="5"/>
  <c r="BA57" i="5"/>
  <c r="AA54" i="5"/>
  <c r="BB50" i="5"/>
  <c r="BZ46" i="5"/>
  <c r="AD43" i="5"/>
  <c r="BA39" i="5"/>
  <c r="CC35" i="5"/>
  <c r="AE32" i="5"/>
  <c r="BD27" i="5"/>
  <c r="BP21" i="5"/>
  <c r="CA13" i="5"/>
  <c r="AN60" i="5"/>
  <c r="R57" i="5"/>
  <c r="BF53" i="5"/>
  <c r="BJ49" i="5"/>
  <c r="Q46" i="5"/>
  <c r="S42" i="5"/>
  <c r="AQ38" i="5"/>
  <c r="BQ34" i="5"/>
  <c r="BL30" i="5"/>
  <c r="O26" i="5"/>
  <c r="AX19" i="5"/>
  <c r="AH10" i="5"/>
  <c r="BU23" i="5"/>
  <c r="U18" i="5"/>
  <c r="AG12" i="5"/>
  <c r="AS5" i="5"/>
  <c r="BD13" i="5"/>
  <c r="U7" i="5"/>
  <c r="AX53" i="5"/>
  <c r="AR50" i="5"/>
  <c r="AN47" i="5"/>
  <c r="AK44" i="5"/>
  <c r="P41" i="5"/>
  <c r="L38" i="5"/>
  <c r="CD34" i="5"/>
  <c r="BZ31" i="5"/>
  <c r="AH28" i="5"/>
  <c r="L24" i="5"/>
  <c r="BR18" i="5"/>
  <c r="M12" i="5"/>
  <c r="AC5" i="5"/>
  <c r="P52" i="5"/>
  <c r="O49" i="5"/>
  <c r="AW45" i="5"/>
  <c r="AB42" i="5"/>
  <c r="CA38" i="5"/>
  <c r="BF35" i="5"/>
  <c r="T32" i="5"/>
  <c r="BH27" i="5"/>
  <c r="BT22" i="5"/>
  <c r="BD16" i="5"/>
  <c r="O10" i="5"/>
  <c r="X30" i="5"/>
  <c r="BP26" i="5"/>
  <c r="AW23" i="5"/>
  <c r="AU19" i="5"/>
  <c r="AP15" i="5"/>
  <c r="BO10" i="5"/>
  <c r="AM5" i="5"/>
  <c r="AB26" i="5"/>
  <c r="BW22" i="5"/>
  <c r="P19" i="5"/>
  <c r="BG14" i="5"/>
  <c r="BY9" i="5"/>
  <c r="BV4" i="5"/>
  <c r="Y16" i="5"/>
  <c r="BW11" i="5"/>
  <c r="BG6" i="5"/>
  <c r="P75" i="5"/>
  <c r="BB72" i="5"/>
  <c r="BX69" i="5"/>
  <c r="BH66" i="5"/>
  <c r="BD63" i="5"/>
  <c r="CB59" i="5"/>
  <c r="BE56" i="5"/>
  <c r="AU53" i="5"/>
  <c r="BP49" i="5"/>
  <c r="AR46" i="5"/>
  <c r="BL42" i="5"/>
  <c r="AO39" i="5"/>
  <c r="BX35" i="5"/>
  <c r="BO32" i="5"/>
  <c r="AA29" i="5"/>
  <c r="BZ24" i="5"/>
  <c r="BL20" i="5"/>
  <c r="K74" i="5"/>
  <c r="U71" i="5"/>
  <c r="AY67" i="5"/>
  <c r="AU64" i="5"/>
  <c r="S61" i="5"/>
  <c r="CD57" i="5"/>
  <c r="BU54" i="5"/>
  <c r="BM50" i="5"/>
  <c r="M47" i="5"/>
  <c r="BJ43" i="5"/>
  <c r="Z39" i="5"/>
  <c r="BW35" i="5"/>
  <c r="V32" i="5"/>
  <c r="AT27" i="5"/>
  <c r="BE23" i="5"/>
  <c r="AT18" i="5"/>
  <c r="AU12" i="5"/>
  <c r="BW5" i="5"/>
  <c r="CD22" i="5"/>
  <c r="CC17" i="5"/>
  <c r="CC12" i="5"/>
  <c r="AC8" i="5"/>
  <c r="M24" i="5"/>
  <c r="BQ19" i="5"/>
  <c r="AU15" i="5"/>
  <c r="BH9" i="5"/>
  <c r="AT4" i="5"/>
  <c r="BF18" i="5"/>
  <c r="T14" i="5"/>
  <c r="V10" i="5"/>
  <c r="AR5" i="5"/>
  <c r="AD6" i="5"/>
  <c r="BW73" i="5"/>
  <c r="Q71" i="5"/>
  <c r="AS67" i="5"/>
  <c r="X64" i="5"/>
  <c r="AB61" i="5"/>
  <c r="AF57" i="5"/>
  <c r="BW53" i="5"/>
  <c r="AT50" i="5"/>
  <c r="AJ46" i="5"/>
  <c r="AN42" i="5"/>
  <c r="AE38" i="5"/>
  <c r="BW34" i="5"/>
  <c r="BF30" i="5"/>
  <c r="AX26" i="5"/>
  <c r="BT21" i="5"/>
  <c r="BM17" i="5"/>
  <c r="AJ13" i="5"/>
  <c r="AK8" i="5"/>
  <c r="BQ62" i="5"/>
  <c r="AK58" i="5"/>
  <c r="AC54" i="5"/>
  <c r="AS50" i="5"/>
  <c r="Y46" i="5"/>
  <c r="BB41" i="5"/>
  <c r="BR37" i="5"/>
  <c r="BJ33" i="5"/>
  <c r="L29" i="5"/>
  <c r="AX24" i="5"/>
  <c r="AO20" i="5"/>
  <c r="BV15" i="5"/>
  <c r="BI10" i="5"/>
  <c r="BM5" i="5"/>
  <c r="AT9" i="5"/>
  <c r="BR4" i="5"/>
  <c r="AX29" i="5"/>
  <c r="BN25" i="5"/>
  <c r="BF21" i="5"/>
  <c r="Z17" i="5"/>
  <c r="CB12" i="5"/>
  <c r="BF8" i="5"/>
  <c r="Z13" i="5"/>
  <c r="AP9" i="5"/>
  <c r="AH5" i="5"/>
  <c r="AE48" i="5"/>
  <c r="Y70" i="5"/>
  <c r="BU15" i="5"/>
  <c r="AM45" i="5"/>
  <c r="G35" i="5"/>
  <c r="G72" i="5"/>
  <c r="G41" i="5"/>
  <c r="G40" i="5"/>
  <c r="G69" i="5"/>
  <c r="G44" i="5"/>
  <c r="G18" i="5"/>
  <c r="G29" i="5"/>
  <c r="G34" i="5"/>
  <c r="AU41" i="5"/>
  <c r="L61" i="5"/>
  <c r="AV69" i="5"/>
  <c r="AS39" i="5"/>
  <c r="BU61" i="5"/>
  <c r="AZ69" i="5"/>
  <c r="AP28" i="5"/>
  <c r="V9" i="5"/>
  <c r="AV73" i="5"/>
  <c r="AL69" i="5"/>
  <c r="BI65" i="5"/>
  <c r="BG61" i="5"/>
  <c r="AH56" i="5"/>
  <c r="AJ49" i="5"/>
  <c r="S41" i="5"/>
  <c r="CB31" i="5"/>
  <c r="V18" i="5"/>
  <c r="T75" i="5"/>
  <c r="BP71" i="5"/>
  <c r="U68" i="5"/>
  <c r="AP64" i="5"/>
  <c r="AW59" i="5"/>
  <c r="BD53" i="5"/>
  <c r="AG46" i="5"/>
  <c r="AB37" i="5"/>
  <c r="AK27" i="5"/>
  <c r="BI8" i="5"/>
  <c r="BW54" i="5"/>
  <c r="BB47" i="5"/>
  <c r="BY38" i="5"/>
  <c r="BV75" i="5"/>
  <c r="AH72" i="5"/>
  <c r="BK68" i="5"/>
  <c r="L65" i="5"/>
  <c r="AF60" i="5"/>
  <c r="BK54" i="5"/>
  <c r="AX47" i="5"/>
  <c r="BO38" i="5"/>
  <c r="AC29" i="5"/>
  <c r="BF12" i="5"/>
  <c r="W74" i="5"/>
  <c r="BK70" i="5"/>
  <c r="N67" i="5"/>
  <c r="AJ63" i="5"/>
  <c r="AJ58" i="5"/>
  <c r="AM51" i="5"/>
  <c r="BH43" i="5"/>
  <c r="BA34" i="5"/>
  <c r="V23" i="5"/>
  <c r="BX58" i="5"/>
  <c r="BM52" i="5"/>
  <c r="AW44" i="5"/>
  <c r="AN35" i="5"/>
  <c r="BL24" i="5"/>
  <c r="AT75" i="5"/>
  <c r="BX71" i="5"/>
  <c r="AB68" i="5"/>
  <c r="BA64" i="5"/>
  <c r="R60" i="5"/>
  <c r="AN54" i="5"/>
  <c r="AD47" i="5"/>
  <c r="AL38" i="5"/>
  <c r="BG27" i="5"/>
  <c r="AJ9" i="5"/>
  <c r="AE73" i="5"/>
  <c r="BN69" i="5"/>
  <c r="BM65" i="5"/>
  <c r="BM61" i="5"/>
  <c r="AT56" i="5"/>
  <c r="BC49" i="5"/>
  <c r="AJ41" i="5"/>
  <c r="Z32" i="5"/>
  <c r="CA16" i="5"/>
  <c r="Q55" i="5"/>
  <c r="AI50" i="5"/>
  <c r="AC45" i="5"/>
  <c r="V39" i="5"/>
  <c r="O33" i="5"/>
  <c r="BV25" i="5"/>
  <c r="BF13" i="5"/>
  <c r="AE61" i="5"/>
  <c r="AQ57" i="5"/>
  <c r="P53" i="5"/>
  <c r="AC48" i="5"/>
  <c r="BN42" i="5"/>
  <c r="BD36" i="5"/>
  <c r="AI30" i="5"/>
  <c r="AO21" i="5"/>
  <c r="BR6" i="5"/>
  <c r="CA73" i="5"/>
  <c r="BT70" i="5"/>
  <c r="BN67" i="5"/>
  <c r="BF64" i="5"/>
  <c r="AD61" i="5"/>
  <c r="AK57" i="5"/>
  <c r="O53" i="5"/>
  <c r="AB48" i="5"/>
  <c r="X42" i="5"/>
  <c r="O36" i="5"/>
  <c r="BF29" i="5"/>
  <c r="AJ20" i="5"/>
  <c r="AD5" i="5"/>
  <c r="AZ73" i="5"/>
  <c r="BH70" i="5"/>
  <c r="BC67" i="5"/>
  <c r="AY64" i="5"/>
  <c r="U61" i="5"/>
  <c r="X57" i="5"/>
  <c r="BP52" i="5"/>
  <c r="CB47" i="5"/>
  <c r="AK42" i="5"/>
  <c r="AF36" i="5"/>
  <c r="BY29" i="5"/>
  <c r="BM19" i="5"/>
  <c r="AC4" i="5"/>
  <c r="CA41" i="5"/>
  <c r="BW37" i="5"/>
  <c r="BT33" i="5"/>
  <c r="AN29" i="5"/>
  <c r="P23" i="5"/>
  <c r="BN14" i="5"/>
  <c r="BY41" i="5"/>
  <c r="BV37" i="5"/>
  <c r="BS33" i="5"/>
  <c r="AK29" i="5"/>
  <c r="BJ23" i="5"/>
  <c r="AO15" i="5"/>
  <c r="AS4" i="5"/>
  <c r="R74" i="5"/>
  <c r="AW71" i="5"/>
  <c r="BJ68" i="5"/>
  <c r="BW65" i="5"/>
  <c r="N63" i="5"/>
  <c r="BF59" i="5"/>
  <c r="AF56" i="5"/>
  <c r="Z52" i="5"/>
  <c r="X48" i="5"/>
  <c r="V44" i="5"/>
  <c r="N40" i="5"/>
  <c r="L36" i="5"/>
  <c r="AA31" i="5"/>
  <c r="W26" i="5"/>
  <c r="BS18" i="5"/>
  <c r="L9" i="5"/>
  <c r="BH57" i="5"/>
  <c r="X54" i="5"/>
  <c r="V50" i="5"/>
  <c r="AO45" i="5"/>
  <c r="N41" i="5"/>
  <c r="BC35" i="5"/>
  <c r="Z31" i="5"/>
  <c r="BE25" i="5"/>
  <c r="AP17" i="5"/>
  <c r="BV5" i="5"/>
  <c r="AB69" i="5"/>
  <c r="AP66" i="5"/>
  <c r="BF63" i="5"/>
  <c r="AO60" i="5"/>
  <c r="T57" i="5"/>
  <c r="CC53" i="5"/>
  <c r="AH50" i="5"/>
  <c r="BD46" i="5"/>
  <c r="K43" i="5"/>
  <c r="AH39" i="5"/>
  <c r="BE35" i="5"/>
  <c r="L32" i="5"/>
  <c r="AC27" i="5"/>
  <c r="AD21" i="5"/>
  <c r="AC13" i="5"/>
  <c r="X63" i="5"/>
  <c r="X60" i="5"/>
  <c r="BV56" i="5"/>
  <c r="AM53" i="5"/>
  <c r="AQ49" i="5"/>
  <c r="BP45" i="5"/>
  <c r="BT41" i="5"/>
  <c r="W38" i="5"/>
  <c r="AY34" i="5"/>
  <c r="AL30" i="5"/>
  <c r="BH25" i="5"/>
  <c r="AP18" i="5"/>
  <c r="AU9" i="5"/>
  <c r="AT23" i="5"/>
  <c r="BO17" i="5"/>
  <c r="BR11" i="5"/>
  <c r="CA4" i="5"/>
  <c r="AA13" i="5"/>
  <c r="AY6" i="5"/>
  <c r="AE53" i="5"/>
  <c r="AB50" i="5"/>
  <c r="W47" i="5"/>
  <c r="BW43" i="5"/>
  <c r="BU40" i="5"/>
  <c r="BP37" i="5"/>
  <c r="BN34" i="5"/>
  <c r="BG31" i="5"/>
  <c r="L28" i="5"/>
  <c r="BI23" i="5"/>
  <c r="AJ18" i="5"/>
  <c r="BD11" i="5"/>
  <c r="BD4" i="5"/>
  <c r="BU51" i="5"/>
  <c r="AZ48" i="5"/>
  <c r="AG45" i="5"/>
  <c r="K42" i="5"/>
  <c r="BK38" i="5"/>
  <c r="Y35" i="5"/>
  <c r="BF31" i="5"/>
  <c r="AL27" i="5"/>
  <c r="AR22" i="5"/>
  <c r="U16" i="5"/>
  <c r="M9" i="5"/>
  <c r="BO29" i="5"/>
  <c r="AZ26" i="5"/>
  <c r="AD23" i="5"/>
  <c r="AA19" i="5"/>
  <c r="BT14" i="5"/>
  <c r="S10" i="5"/>
  <c r="L5" i="5"/>
  <c r="M26" i="5"/>
  <c r="BF22" i="5"/>
  <c r="AX18" i="5"/>
  <c r="P14" i="5"/>
  <c r="BA9" i="5"/>
  <c r="AP4" i="5"/>
  <c r="BX15" i="5"/>
  <c r="AC11" i="5"/>
  <c r="BY5" i="5"/>
  <c r="BY74" i="5"/>
  <c r="AO72" i="5"/>
  <c r="BK69" i="5"/>
  <c r="AG66" i="5"/>
  <c r="AD63" i="5"/>
  <c r="BN59" i="5"/>
  <c r="AQ56" i="5"/>
  <c r="AG53" i="5"/>
  <c r="AM49" i="5"/>
  <c r="P46" i="5"/>
  <c r="AX42" i="5"/>
  <c r="AA39" i="5"/>
  <c r="BJ35" i="5"/>
  <c r="AL32" i="5"/>
  <c r="V28" i="5"/>
  <c r="BF24" i="5"/>
  <c r="AR20" i="5"/>
  <c r="BS73" i="5"/>
  <c r="BP70" i="5"/>
  <c r="Y67" i="5"/>
  <c r="AH64" i="5"/>
  <c r="BZ60" i="5"/>
  <c r="BP57" i="5"/>
  <c r="P54" i="5"/>
  <c r="AY50" i="5"/>
  <c r="BS46" i="5"/>
  <c r="AV43" i="5"/>
  <c r="L39" i="5"/>
  <c r="BI35" i="5"/>
  <c r="CC31" i="5"/>
  <c r="AE27" i="5"/>
  <c r="AJ23" i="5"/>
  <c r="Z18" i="5"/>
  <c r="AX11" i="5"/>
  <c r="AV5" i="5"/>
  <c r="AI22" i="5"/>
  <c r="BK17" i="5"/>
  <c r="BH12" i="5"/>
  <c r="CD7" i="5"/>
  <c r="BR23" i="5"/>
  <c r="BA19" i="5"/>
  <c r="AA15" i="5"/>
  <c r="AM9" i="5"/>
  <c r="Y4" i="5"/>
  <c r="AR18" i="5"/>
  <c r="BZ13" i="5"/>
  <c r="CA9" i="5"/>
  <c r="AA5" i="5"/>
  <c r="AZ5" i="5"/>
  <c r="BK73" i="5"/>
  <c r="BB70" i="5"/>
  <c r="AG67" i="5"/>
  <c r="L64" i="5"/>
  <c r="O61" i="5"/>
  <c r="S57" i="5"/>
  <c r="BJ53" i="5"/>
  <c r="CA49" i="5"/>
  <c r="W46" i="5"/>
  <c r="BV41" i="5"/>
  <c r="R38" i="5"/>
  <c r="CD33" i="5"/>
  <c r="AQ30" i="5"/>
  <c r="CB25" i="5"/>
  <c r="BE21" i="5"/>
  <c r="U17" i="5"/>
  <c r="BI12" i="5"/>
  <c r="BF7" i="5"/>
  <c r="AS62" i="5"/>
  <c r="Y58" i="5"/>
  <c r="BB53" i="5"/>
  <c r="BR49" i="5"/>
  <c r="BJ45" i="5"/>
  <c r="AP41" i="5"/>
  <c r="AH37" i="5"/>
  <c r="AL33" i="5"/>
  <c r="BT28" i="5"/>
  <c r="X24" i="5"/>
  <c r="O20" i="5"/>
  <c r="BG15" i="5"/>
  <c r="AT10" i="5"/>
  <c r="R5" i="5"/>
  <c r="T9" i="5"/>
  <c r="BE4" i="5"/>
  <c r="Z29" i="5"/>
  <c r="AP25" i="5"/>
  <c r="AT21" i="5"/>
  <c r="BK16" i="5"/>
  <c r="N12" i="5"/>
  <c r="BZ7" i="5"/>
  <c r="BW12" i="5"/>
  <c r="R9" i="5"/>
  <c r="V5" i="5"/>
  <c r="Q50" i="5"/>
  <c r="AX72" i="5"/>
  <c r="S28" i="5"/>
  <c r="AT52" i="5"/>
  <c r="CB56" i="5"/>
  <c r="G64" i="5"/>
  <c r="G45" i="5"/>
  <c r="G17" i="5"/>
  <c r="E3" i="5"/>
  <c r="K72" i="5"/>
  <c r="AU10" i="5"/>
  <c r="P16" i="5"/>
  <c r="CA20" i="5"/>
  <c r="L25" i="5"/>
  <c r="Y28" i="5"/>
  <c r="BQ30" i="5"/>
  <c r="AF33" i="5"/>
  <c r="AS35" i="5"/>
  <c r="BS37" i="5"/>
  <c r="O40" i="5"/>
  <c r="AR42" i="5"/>
  <c r="BA44" i="5"/>
  <c r="BO46" i="5"/>
  <c r="AX48" i="5"/>
  <c r="AO50" i="5"/>
  <c r="W52" i="5"/>
  <c r="M54" i="5"/>
  <c r="BB55" i="5"/>
  <c r="V57" i="5"/>
  <c r="AR58" i="5"/>
  <c r="BB59" i="5"/>
  <c r="AQ60" i="5"/>
  <c r="AA61" i="5"/>
  <c r="P62" i="5"/>
  <c r="BY62" i="5"/>
  <c r="AZ63" i="5"/>
  <c r="Y64" i="5"/>
  <c r="BQ64" i="5"/>
  <c r="AM65" i="5"/>
  <c r="M66" i="5"/>
  <c r="BD66" i="5"/>
  <c r="AC67" i="5"/>
  <c r="BV67" i="5"/>
  <c r="AU68" i="5"/>
  <c r="Q69" i="5"/>
  <c r="BL69" i="5"/>
  <c r="AI70" i="5"/>
  <c r="CA70" i="5"/>
  <c r="AY71" i="5"/>
  <c r="S72" i="5"/>
  <c r="BH72" i="5"/>
  <c r="AC73" i="5"/>
  <c r="BQ73" i="5"/>
  <c r="AJ74" i="5"/>
  <c r="BZ74" i="5"/>
  <c r="AQ75" i="5"/>
  <c r="CC75" i="5"/>
  <c r="BL4" i="5"/>
  <c r="AQ11" i="5"/>
  <c r="BZ16" i="5"/>
  <c r="BC21" i="5"/>
  <c r="AW25" i="5"/>
  <c r="BD28" i="5"/>
  <c r="BX30" i="5"/>
  <c r="AK33" i="5"/>
  <c r="AY35" i="5"/>
  <c r="CA37" i="5"/>
  <c r="Q40" i="5"/>
  <c r="AU42" i="5"/>
  <c r="BJ44" i="5"/>
  <c r="BR46" i="5"/>
  <c r="AY48" i="5"/>
  <c r="AP50" i="5"/>
  <c r="X52" i="5"/>
  <c r="S54" i="5"/>
  <c r="BC55" i="5"/>
  <c r="W57" i="5"/>
  <c r="AS58" i="5"/>
  <c r="BC59" i="5"/>
  <c r="AR60" i="5"/>
  <c r="AC61" i="5"/>
  <c r="S62" i="5"/>
  <c r="BZ62" i="5"/>
  <c r="BA63" i="5"/>
  <c r="Z64" i="5"/>
  <c r="BR64" i="5"/>
  <c r="AQ65" i="5"/>
  <c r="N66" i="5"/>
  <c r="BI66" i="5"/>
  <c r="AD67" i="5"/>
  <c r="Y26" i="5"/>
  <c r="O29" i="5"/>
  <c r="BM31" i="5"/>
  <c r="K34" i="5"/>
  <c r="AK36" i="5"/>
  <c r="AX38" i="5"/>
  <c r="BW40" i="5"/>
  <c r="R43" i="5"/>
  <c r="AQ45" i="5"/>
  <c r="AH47" i="5"/>
  <c r="AC49" i="5"/>
  <c r="K51" i="5"/>
  <c r="BN52" i="5"/>
  <c r="AZ54" i="5"/>
  <c r="T56" i="5"/>
  <c r="AY57" i="5"/>
  <c r="BZ58" i="5"/>
  <c r="BU59" i="5"/>
  <c r="BF60" i="5"/>
  <c r="AS61" i="5"/>
  <c r="AJ62" i="5"/>
  <c r="S63" i="5"/>
  <c r="BL63" i="5"/>
  <c r="AL64" i="5"/>
  <c r="CD64" i="5"/>
  <c r="BC65" i="5"/>
  <c r="Y66" i="5"/>
  <c r="BP66" i="5"/>
  <c r="AP67" i="5"/>
  <c r="N68" i="5"/>
  <c r="BH68" i="5"/>
  <c r="AD69" i="5"/>
  <c r="BY69" i="5"/>
  <c r="AU70" i="5"/>
  <c r="S71" i="5"/>
  <c r="BK71" i="5"/>
  <c r="AE72" i="5"/>
  <c r="BT72" i="5"/>
  <c r="AN73" i="5"/>
  <c r="CC73" i="5"/>
  <c r="AW74" i="5"/>
  <c r="N75" i="5"/>
  <c r="BB75" i="5"/>
  <c r="O34" i="5"/>
  <c r="AN36" i="5"/>
  <c r="BA38" i="5"/>
  <c r="BZ40" i="5"/>
  <c r="V43" i="5"/>
  <c r="AZ45" i="5"/>
  <c r="AI47" i="5"/>
  <c r="AD49" i="5"/>
  <c r="M51" i="5"/>
  <c r="BV52" i="5"/>
  <c r="BB54" i="5"/>
  <c r="X56" i="5"/>
  <c r="BD57" i="5"/>
  <c r="CA58" i="5"/>
  <c r="BW59" i="5"/>
  <c r="BK60" i="5"/>
  <c r="AU61" i="5"/>
  <c r="AL62" i="5"/>
  <c r="U63" i="5"/>
  <c r="BO63" i="5"/>
  <c r="AM64" i="5"/>
  <c r="BD65" i="5"/>
  <c r="AB66" i="5"/>
  <c r="BV66" i="5"/>
  <c r="AQ67" i="5"/>
  <c r="O68" i="5"/>
  <c r="BI68" i="5"/>
  <c r="AG69" i="5"/>
  <c r="CB69" i="5"/>
  <c r="AV70" i="5"/>
  <c r="T71" i="5"/>
  <c r="BN71" i="5"/>
  <c r="AG72" i="5"/>
  <c r="BV72" i="5"/>
  <c r="AO73" i="5"/>
  <c r="CD73" i="5"/>
  <c r="BA74" i="5"/>
  <c r="R75" i="5"/>
  <c r="BD75" i="5"/>
  <c r="BT7" i="5"/>
  <c r="K14" i="5"/>
  <c r="Q19" i="5"/>
  <c r="AV23" i="5"/>
  <c r="CC26" i="5"/>
  <c r="BX29" i="5"/>
  <c r="Y32" i="5"/>
  <c r="AN34" i="5"/>
  <c r="BL36" i="5"/>
  <c r="BZ38" i="5"/>
  <c r="AH41" i="5"/>
  <c r="AU43" i="5"/>
  <c r="BX45" i="5"/>
  <c r="BI47" i="5"/>
  <c r="AY49" i="5"/>
  <c r="AG51" i="5"/>
  <c r="CB52" i="5"/>
  <c r="BD54" i="5"/>
  <c r="Y56" i="5"/>
  <c r="BE57" i="5"/>
  <c r="CB58" i="5"/>
  <c r="M60" i="5"/>
  <c r="BT60" i="5"/>
  <c r="BH61" i="5"/>
  <c r="AP62" i="5"/>
  <c r="AE63" i="5"/>
  <c r="BW63" i="5"/>
  <c r="AS64" i="5"/>
  <c r="R65" i="5"/>
  <c r="BK65" i="5"/>
  <c r="AJ66" i="5"/>
  <c r="CA66" i="5"/>
  <c r="BA67" i="5"/>
  <c r="X68" i="5"/>
  <c r="BO68" i="5"/>
  <c r="AO69" i="5"/>
  <c r="K70" i="5"/>
  <c r="BF70" i="5"/>
  <c r="AB71" i="5"/>
  <c r="BS71" i="5"/>
  <c r="AP72" i="5"/>
  <c r="CC72" i="5"/>
  <c r="AW73" i="5"/>
  <c r="Q74" i="5"/>
  <c r="BF74" i="5"/>
  <c r="X75" i="5"/>
  <c r="BH75" i="5"/>
  <c r="BY28" i="5"/>
  <c r="BS42" i="5"/>
  <c r="T54" i="5"/>
  <c r="AQ61" i="5"/>
  <c r="AW65" i="5"/>
  <c r="BB68" i="5"/>
  <c r="O71" i="5"/>
  <c r="AK73" i="5"/>
  <c r="AX75" i="5"/>
  <c r="BU43" i="5"/>
  <c r="BX54" i="5"/>
  <c r="BI61" i="5"/>
  <c r="BL65" i="5"/>
  <c r="BT68" i="5"/>
  <c r="AD71" i="5"/>
  <c r="AX73" i="5"/>
  <c r="BI75" i="5"/>
  <c r="AE31" i="5"/>
  <c r="L45" i="5"/>
  <c r="BD55" i="5"/>
  <c r="AB62" i="5"/>
  <c r="W66" i="5"/>
  <c r="R69" i="5"/>
  <c r="AZ71" i="5"/>
  <c r="BR73" i="5"/>
  <c r="CD75" i="5"/>
  <c r="K12" i="5"/>
  <c r="BI33" i="5"/>
  <c r="Q47" i="5"/>
  <c r="AB57" i="5"/>
  <c r="O63" i="5"/>
  <c r="BN66" i="5"/>
  <c r="AP69" i="5"/>
  <c r="BT71" i="5"/>
  <c r="BH34" i="5"/>
  <c r="BU57" i="5"/>
  <c r="AF63" i="5"/>
  <c r="CB66" i="5"/>
  <c r="BM69" i="5"/>
  <c r="T72" i="5"/>
  <c r="AN74" i="5"/>
  <c r="BV35" i="5"/>
  <c r="BZ48" i="5"/>
  <c r="BC58" i="5"/>
  <c r="BJ63" i="5"/>
  <c r="BS69" i="5"/>
  <c r="CC29" i="5"/>
  <c r="S74" i="5"/>
  <c r="AD14" i="5"/>
  <c r="AC72" i="5"/>
  <c r="BT5" i="5"/>
  <c r="Q8" i="5"/>
  <c r="AP32" i="5"/>
  <c r="N46" i="5"/>
  <c r="AS56" i="5"/>
  <c r="AR62" i="5"/>
  <c r="AL66" i="5"/>
  <c r="AA69" i="5"/>
  <c r="BF71" i="5"/>
  <c r="BZ73" i="5"/>
  <c r="F3" i="5"/>
  <c r="BC17" i="5"/>
  <c r="AN67" i="5"/>
  <c r="U19" i="5"/>
  <c r="CB36" i="5"/>
  <c r="BI49" i="5"/>
  <c r="Y59" i="5"/>
  <c r="BX63" i="5"/>
  <c r="BB67" i="5"/>
  <c r="L70" i="5"/>
  <c r="AQ72" i="5"/>
  <c r="BG74" i="5"/>
  <c r="K22" i="5"/>
  <c r="AF38" i="5"/>
  <c r="BL50" i="5"/>
  <c r="BR59" i="5"/>
  <c r="AG64" i="5"/>
  <c r="BW67" i="5"/>
  <c r="AK70" i="5"/>
  <c r="BI72" i="5"/>
  <c r="CA74" i="5"/>
  <c r="AY23" i="5"/>
  <c r="AE39" i="5"/>
  <c r="BA51" i="5"/>
  <c r="N60" i="5"/>
  <c r="AX64" i="5"/>
  <c r="AS70" i="5"/>
  <c r="BQ72" i="5"/>
  <c r="L75" i="5"/>
  <c r="AU40" i="5"/>
  <c r="AA52" i="5"/>
  <c r="BB60" i="5"/>
  <c r="BY64" i="5"/>
  <c r="Y68" i="5"/>
  <c r="BG70" i="5"/>
  <c r="CD72" i="5"/>
  <c r="Y75" i="5"/>
  <c r="L27" i="5"/>
  <c r="AT41" i="5"/>
  <c r="X53" i="5"/>
  <c r="BX60" i="5"/>
  <c r="S65" i="5"/>
  <c r="AV68" i="5"/>
  <c r="AD73" i="5"/>
  <c r="AR75" i="5"/>
  <c r="CA47" i="5"/>
  <c r="AS74" i="5"/>
  <c r="CC25" i="5"/>
  <c r="BA75" i="5"/>
  <c r="BG68" i="5"/>
  <c r="BC60" i="5"/>
  <c r="AW38" i="5"/>
  <c r="CD68" i="5"/>
  <c r="W61" i="5"/>
  <c r="AH42" i="5"/>
  <c r="BS31" i="5"/>
  <c r="M75" i="5"/>
  <c r="M68" i="5"/>
  <c r="BS59" i="5"/>
  <c r="AC36" i="5"/>
  <c r="BU75" i="5"/>
  <c r="AM68" i="5"/>
  <c r="AE60" i="5"/>
  <c r="L40" i="5"/>
  <c r="AU29" i="5"/>
  <c r="AU74" i="5"/>
  <c r="AO67" i="5"/>
  <c r="BH58" i="5"/>
  <c r="BX33" i="5"/>
  <c r="AJ75" i="5"/>
  <c r="BP67" i="5"/>
  <c r="AT59" i="5"/>
  <c r="BN37" i="5"/>
  <c r="BD26" i="5"/>
  <c r="CB73" i="5"/>
  <c r="BO66" i="5"/>
  <c r="AH57" i="5"/>
  <c r="BE31" i="5"/>
  <c r="BS74" i="5"/>
  <c r="V67" i="5"/>
  <c r="AG58" i="5"/>
  <c r="AR35" i="5"/>
  <c r="BB18" i="5"/>
  <c r="BS72" i="5"/>
  <c r="AY65" i="5"/>
  <c r="AK54" i="5"/>
  <c r="X26" i="5"/>
  <c r="BL73" i="5"/>
  <c r="BY65" i="5"/>
  <c r="AP55" i="5"/>
  <c r="BN30" i="5"/>
  <c r="AB7" i="5"/>
  <c r="BJ71" i="5"/>
  <c r="AK64" i="5"/>
  <c r="S49" i="5"/>
  <c r="BN17" i="5"/>
  <c r="AY72" i="5"/>
  <c r="BG64" i="5"/>
  <c r="CD51" i="5"/>
  <c r="BS24" i="5"/>
  <c r="BT75" i="5"/>
  <c r="AJ68" i="5"/>
  <c r="AD60" i="5"/>
  <c r="AP37" i="5"/>
  <c r="BF5" i="5"/>
  <c r="BD7" i="5"/>
  <c r="BB9" i="5"/>
  <c r="AZ11" i="5"/>
  <c r="AX13" i="5"/>
  <c r="AV15" i="5"/>
  <c r="CB5" i="5"/>
  <c r="R8" i="5"/>
  <c r="AD10" i="5"/>
  <c r="AO12" i="5"/>
  <c r="AZ14" i="5"/>
  <c r="BW16" i="5"/>
  <c r="BU18" i="5"/>
  <c r="BS20" i="5"/>
  <c r="CC22" i="5"/>
  <c r="CA24" i="5"/>
  <c r="BY26" i="5"/>
  <c r="BW28" i="5"/>
  <c r="BU30" i="5"/>
  <c r="P6" i="5"/>
  <c r="AA8" i="5"/>
  <c r="AL10" i="5"/>
  <c r="AB4" i="5"/>
  <c r="BS6" i="5"/>
  <c r="AN9" i="5"/>
  <c r="CB11" i="5"/>
  <c r="AF14" i="5"/>
  <c r="BE16" i="5"/>
  <c r="BQ18" i="5"/>
  <c r="CB20" i="5"/>
  <c r="R23" i="5"/>
  <c r="AC25" i="5"/>
  <c r="AO27" i="5"/>
  <c r="AZ29" i="5"/>
  <c r="BX31" i="5"/>
  <c r="BV33" i="5"/>
  <c r="BT35" i="5"/>
  <c r="CD37" i="5"/>
  <c r="CB39" i="5"/>
  <c r="BZ41" i="5"/>
  <c r="BX43" i="5"/>
  <c r="BV45" i="5"/>
  <c r="BT47" i="5"/>
  <c r="CD49" i="5"/>
  <c r="CB51" i="5"/>
  <c r="BZ53" i="5"/>
  <c r="BX55" i="5"/>
  <c r="BV57" i="5"/>
  <c r="BT59" i="5"/>
  <c r="CD61" i="5"/>
  <c r="AL4" i="5"/>
  <c r="X7" i="5"/>
  <c r="AA10" i="5"/>
  <c r="BY12" i="5"/>
  <c r="AT15" i="5"/>
  <c r="CA17" i="5"/>
  <c r="AE20" i="5"/>
  <c r="BD22" i="5"/>
  <c r="W25" i="5"/>
  <c r="AV27" i="5"/>
  <c r="BU29" i="5"/>
  <c r="X32" i="5"/>
  <c r="AI34" i="5"/>
  <c r="AT36" i="5"/>
  <c r="BF38" i="5"/>
  <c r="BQ40" i="5"/>
  <c r="CB42" i="5"/>
  <c r="R45" i="5"/>
  <c r="AP47" i="5"/>
  <c r="BA49" i="5"/>
  <c r="BL51" i="5"/>
  <c r="O54" i="5"/>
  <c r="Z56" i="5"/>
  <c r="AL58" i="5"/>
  <c r="AW60" i="5"/>
  <c r="BH62" i="5"/>
  <c r="BH64" i="5"/>
  <c r="BR66" i="5"/>
  <c r="BP68" i="5"/>
  <c r="BN70" i="5"/>
  <c r="BL72" i="5"/>
  <c r="BJ74" i="5"/>
  <c r="BQ5" i="5"/>
  <c r="BZ5" i="5"/>
  <c r="BL8" i="5"/>
  <c r="BP11" i="5"/>
  <c r="AY14" i="5"/>
  <c r="Q17" i="5"/>
  <c r="AP19" i="5"/>
  <c r="AG7" i="5"/>
  <c r="BR10" i="5"/>
  <c r="CB13" i="5"/>
  <c r="AB17" i="5"/>
  <c r="N20" i="5"/>
  <c r="BL22" i="5"/>
  <c r="L7" i="5"/>
  <c r="AX10" i="5"/>
  <c r="BL13" i="5"/>
  <c r="L17" i="5"/>
  <c r="BS19" i="5"/>
  <c r="AX22" i="5"/>
  <c r="BO7" i="5"/>
  <c r="BU11" i="5"/>
  <c r="AZ15" i="5"/>
  <c r="M19" i="5"/>
  <c r="AJ22" i="5"/>
  <c r="AJ25" i="5"/>
  <c r="BZ27" i="5"/>
  <c r="AT30" i="5"/>
  <c r="CB32" i="5"/>
  <c r="AF35" i="5"/>
  <c r="BE37" i="5"/>
  <c r="X40" i="5"/>
  <c r="AW42" i="5"/>
  <c r="BV44" i="5"/>
  <c r="AA47" i="5"/>
  <c r="AZ49" i="5"/>
  <c r="BZ51" i="5"/>
  <c r="AE54" i="5"/>
  <c r="BD56" i="5"/>
  <c r="CC58" i="5"/>
  <c r="AG61" i="5"/>
  <c r="BC63" i="5"/>
  <c r="BN65" i="5"/>
  <c r="BY67" i="5"/>
  <c r="AB70" i="5"/>
  <c r="AM72" i="5"/>
  <c r="AY74" i="5"/>
  <c r="BZ19" i="5"/>
  <c r="S23" i="5"/>
  <c r="L26" i="5"/>
  <c r="BA28" i="5"/>
  <c r="AI31" i="5"/>
  <c r="BM33" i="5"/>
  <c r="Q36" i="5"/>
  <c r="AP38" i="5"/>
  <c r="BP40" i="5"/>
  <c r="AI43" i="5"/>
  <c r="BH45" i="5"/>
  <c r="M48" i="5"/>
  <c r="AZ50" i="5"/>
  <c r="BY52" i="5"/>
  <c r="AD55" i="5"/>
  <c r="BC57" i="5"/>
  <c r="U60" i="5"/>
  <c r="AV62" i="5"/>
  <c r="BJ64" i="5"/>
  <c r="BU66" i="5"/>
  <c r="K69" i="5"/>
  <c r="V71" i="5"/>
  <c r="Y22" i="5"/>
  <c r="R71" i="5"/>
  <c r="BK63" i="5"/>
  <c r="AG47" i="5"/>
  <c r="R12" i="5"/>
  <c r="AR71" i="5"/>
  <c r="Q64" i="5"/>
  <c r="AM50" i="5"/>
  <c r="BZ20" i="5"/>
  <c r="AH75" i="5"/>
  <c r="BJ67" i="5"/>
  <c r="AN59" i="5"/>
  <c r="AA35" i="5"/>
  <c r="BR5" i="5"/>
  <c r="BP7" i="5"/>
  <c r="BN9" i="5"/>
  <c r="BL11" i="5"/>
  <c r="BJ13" i="5"/>
  <c r="BH15" i="5"/>
  <c r="T6" i="5"/>
  <c r="AF8" i="5"/>
  <c r="AQ10" i="5"/>
  <c r="BB12" i="5"/>
  <c r="BM14" i="5"/>
  <c r="N17" i="5"/>
  <c r="L19" i="5"/>
  <c r="V21" i="5"/>
  <c r="T23" i="5"/>
  <c r="R25" i="5"/>
  <c r="P27" i="5"/>
  <c r="N29" i="5"/>
  <c r="L31" i="5"/>
  <c r="R4" i="5"/>
  <c r="AC6" i="5"/>
  <c r="AN8" i="5"/>
  <c r="AY10" i="5"/>
  <c r="AQ4" i="5"/>
  <c r="N7" i="5"/>
  <c r="BD9" i="5"/>
  <c r="U12" i="5"/>
  <c r="AT14" i="5"/>
  <c r="BS16" i="5"/>
  <c r="CD18" i="5"/>
  <c r="T21" i="5"/>
  <c r="AE23" i="5"/>
  <c r="AQ25" i="5"/>
  <c r="BB27" i="5"/>
  <c r="BM29" i="5"/>
  <c r="O32" i="5"/>
  <c r="M34" i="5"/>
  <c r="K36" i="5"/>
  <c r="U38" i="5"/>
  <c r="S40" i="5"/>
  <c r="Q42" i="5"/>
  <c r="O44" i="5"/>
  <c r="M46" i="5"/>
  <c r="K48" i="5"/>
  <c r="U50" i="5"/>
  <c r="S52" i="5"/>
  <c r="Q54" i="5"/>
  <c r="O56" i="5"/>
  <c r="M58" i="5"/>
  <c r="K60" i="5"/>
  <c r="U62" i="5"/>
  <c r="BB4" i="5"/>
  <c r="AO7" i="5"/>
  <c r="AS10" i="5"/>
  <c r="U13" i="5"/>
  <c r="BJ15" i="5"/>
  <c r="T18" i="5"/>
  <c r="AS20" i="5"/>
  <c r="BS22" i="5"/>
  <c r="AK25" i="5"/>
  <c r="BJ27" i="5"/>
  <c r="O30" i="5"/>
  <c r="AK32" i="5"/>
  <c r="AV34" i="5"/>
  <c r="BH36" i="5"/>
  <c r="BS38" i="5"/>
  <c r="CD40" i="5"/>
  <c r="T43" i="5"/>
  <c r="AE45" i="5"/>
  <c r="BC47" i="5"/>
  <c r="BN49" i="5"/>
  <c r="BY51" i="5"/>
  <c r="AB54" i="5"/>
  <c r="AN56" i="5"/>
  <c r="AY58" i="5"/>
  <c r="BJ60" i="5"/>
  <c r="BU62" i="5"/>
  <c r="BT64" i="5"/>
  <c r="CD66" i="5"/>
  <c r="CB68" i="5"/>
  <c r="BZ70" i="5"/>
  <c r="BX72" i="5"/>
  <c r="M6" i="5"/>
  <c r="W6" i="5"/>
  <c r="AA9" i="5"/>
  <c r="Y12" i="5"/>
  <c r="BO14" i="5"/>
  <c r="AE17" i="5"/>
  <c r="BD19" i="5"/>
  <c r="BC7" i="5"/>
  <c r="O11" i="5"/>
  <c r="AA14" i="5"/>
  <c r="AR17" i="5"/>
  <c r="AF20" i="5"/>
  <c r="CB22" i="5"/>
  <c r="AH7" i="5"/>
  <c r="BS10" i="5"/>
  <c r="CC13" i="5"/>
  <c r="AC17" i="5"/>
  <c r="P20" i="5"/>
  <c r="BN22" i="5"/>
  <c r="W8" i="5"/>
  <c r="X12" i="5"/>
  <c r="BW15" i="5"/>
  <c r="AG19" i="5"/>
  <c r="BB22" i="5"/>
  <c r="AZ25" i="5"/>
  <c r="U28" i="5"/>
  <c r="BJ30" i="5"/>
  <c r="U33" i="5"/>
  <c r="AT35" i="5"/>
  <c r="BT37" i="5"/>
  <c r="AL40" i="5"/>
  <c r="BK42" i="5"/>
  <c r="P45" i="5"/>
  <c r="AO47" i="5"/>
  <c r="BO49" i="5"/>
  <c r="T52" i="5"/>
  <c r="AS54" i="5"/>
  <c r="BR56" i="5"/>
  <c r="V59" i="5"/>
  <c r="AV61" i="5"/>
  <c r="BP63" i="5"/>
  <c r="CA65" i="5"/>
  <c r="Q68" i="5"/>
  <c r="AO70" i="5"/>
  <c r="BA72" i="5"/>
  <c r="BL74" i="5"/>
  <c r="X20" i="5"/>
  <c r="AK23" i="5"/>
  <c r="AA26" i="5"/>
  <c r="BP28" i="5"/>
  <c r="AZ31" i="5"/>
  <c r="CA33" i="5"/>
  <c r="AE36" i="5"/>
  <c r="BD38" i="5"/>
  <c r="X41" i="5"/>
  <c r="AW43" i="5"/>
  <c r="BW45" i="5"/>
  <c r="AA48" i="5"/>
  <c r="BN50" i="5"/>
  <c r="S53" i="5"/>
  <c r="AR55" i="5"/>
  <c r="BQ57" i="5"/>
  <c r="AK60" i="5"/>
  <c r="BJ62" i="5"/>
  <c r="BW64" i="5"/>
  <c r="M67" i="5"/>
  <c r="X69" i="5"/>
  <c r="AT70" i="5"/>
  <c r="BS40" i="5"/>
  <c r="AG65" i="5"/>
  <c r="W10" i="5"/>
  <c r="U73" i="5"/>
  <c r="O64" i="5"/>
  <c r="AO46" i="5"/>
  <c r="U6" i="5"/>
  <c r="AQ8" i="5"/>
  <c r="BM10" i="5"/>
  <c r="N13" i="5"/>
  <c r="AJ15" i="5"/>
  <c r="AJ4" i="5"/>
  <c r="BU6" i="5"/>
  <c r="AK9" i="5"/>
  <c r="BV11" i="5"/>
  <c r="AM14" i="5"/>
  <c r="AL17" i="5"/>
  <c r="BH19" i="5"/>
  <c r="U22" i="5"/>
  <c r="AQ24" i="5"/>
  <c r="BM26" i="5"/>
  <c r="AL29" i="5"/>
  <c r="BH31" i="5"/>
  <c r="X5" i="5"/>
  <c r="BI7" i="5"/>
  <c r="Y10" i="5"/>
  <c r="BX4" i="5"/>
  <c r="BX7" i="5"/>
  <c r="BX10" i="5"/>
  <c r="BK13" i="5"/>
  <c r="AQ16" i="5"/>
  <c r="AI19" i="5"/>
  <c r="BU21" i="5"/>
  <c r="AK24" i="5"/>
  <c r="BV26" i="5"/>
  <c r="AM29" i="5"/>
  <c r="AM32" i="5"/>
  <c r="BI34" i="5"/>
  <c r="V37" i="5"/>
  <c r="AR39" i="5"/>
  <c r="BN41" i="5"/>
  <c r="AM44" i="5"/>
  <c r="BI46" i="5"/>
  <c r="V49" i="5"/>
  <c r="AR51" i="5"/>
  <c r="BN53" i="5"/>
  <c r="AM56" i="5"/>
  <c r="BI58" i="5"/>
  <c r="V61" i="5"/>
  <c r="CA6" i="5"/>
  <c r="CB10" i="5"/>
  <c r="CD13" i="5"/>
  <c r="CB16" i="5"/>
  <c r="BI19" i="5"/>
  <c r="AP22" i="5"/>
  <c r="BM25" i="5"/>
  <c r="AU28" i="5"/>
  <c r="AB31" i="5"/>
  <c r="BQ33" i="5"/>
  <c r="AG36" i="5"/>
  <c r="X39" i="5"/>
  <c r="BI41" i="5"/>
  <c r="Y44" i="5"/>
  <c r="BX46" i="5"/>
  <c r="AN49" i="5"/>
  <c r="AD52" i="5"/>
  <c r="CC54" i="5"/>
  <c r="AS57" i="5"/>
  <c r="CD59" i="5"/>
  <c r="AU62" i="5"/>
  <c r="W65" i="5"/>
  <c r="BE67" i="5"/>
  <c r="CA69" i="5"/>
  <c r="AB72" i="5"/>
  <c r="AX74" i="5"/>
  <c r="AV6" i="5"/>
  <c r="AF4" i="5"/>
  <c r="BA7" i="5"/>
  <c r="Q11" i="5"/>
  <c r="AI14" i="5"/>
  <c r="BG17" i="5"/>
  <c r="AN20" i="5"/>
  <c r="BL5" i="5"/>
  <c r="CC9" i="5"/>
  <c r="BH13" i="5"/>
  <c r="CB17" i="5"/>
  <c r="AA21" i="5"/>
  <c r="AB24" i="5"/>
  <c r="Q6" i="5"/>
  <c r="AF10" i="5"/>
  <c r="AS14" i="5"/>
  <c r="X18" i="5"/>
  <c r="AS21" i="5"/>
  <c r="AS24" i="5"/>
  <c r="AN7" i="5"/>
  <c r="BQ12" i="5"/>
  <c r="P17" i="5"/>
  <c r="M21" i="5"/>
  <c r="BE24" i="5"/>
  <c r="BI27" i="5"/>
  <c r="S31" i="5"/>
  <c r="BZ33" i="5"/>
  <c r="BF36" i="5"/>
  <c r="AN39" i="5"/>
  <c r="AI42" i="5"/>
  <c r="AS45" i="5"/>
  <c r="Z48" i="5"/>
  <c r="CA50" i="5"/>
  <c r="BH53" i="5"/>
  <c r="AP56" i="5"/>
  <c r="AY59" i="5"/>
  <c r="AE62" i="5"/>
  <c r="BV64" i="5"/>
  <c r="AL67" i="5"/>
  <c r="O70" i="5"/>
  <c r="CA72" i="5"/>
  <c r="AM75" i="5"/>
  <c r="BS21" i="5"/>
  <c r="AL25" i="5"/>
  <c r="AK28" i="5"/>
  <c r="CD31" i="5"/>
  <c r="BL34" i="5"/>
  <c r="AR37" i="5"/>
  <c r="Y40" i="5"/>
  <c r="U43" i="5"/>
  <c r="AD46" i="5"/>
  <c r="K49" i="5"/>
  <c r="CA51" i="5"/>
  <c r="BH54" i="5"/>
  <c r="AO57" i="5"/>
  <c r="BM60" i="5"/>
  <c r="AQ63" i="5"/>
  <c r="CB65" i="5"/>
  <c r="AS68" i="5"/>
  <c r="CD70" i="5"/>
  <c r="AG73" i="5"/>
  <c r="AN75" i="5"/>
  <c r="AF6" i="5"/>
  <c r="BB10" i="5"/>
  <c r="AJ14" i="5"/>
  <c r="BZ17" i="5"/>
  <c r="AI6" i="5"/>
  <c r="BC10" i="5"/>
  <c r="AL14" i="5"/>
  <c r="CD17" i="5"/>
  <c r="AJ21" i="5"/>
  <c r="AO24" i="5"/>
  <c r="R27" i="5"/>
  <c r="V6" i="5"/>
  <c r="AP10" i="5"/>
  <c r="AC14" i="5"/>
  <c r="BR17" i="5"/>
  <c r="X21" i="5"/>
  <c r="AY24" i="5"/>
  <c r="AP27" i="5"/>
  <c r="CD29" i="5"/>
  <c r="AL7" i="5"/>
  <c r="BU13" i="5"/>
  <c r="Y19" i="5"/>
  <c r="AJ24" i="5"/>
  <c r="AE28" i="5"/>
  <c r="BY31" i="5"/>
  <c r="BM34" i="5"/>
  <c r="AX37" i="5"/>
  <c r="AJ40" i="5"/>
  <c r="X43" i="5"/>
  <c r="CD45" i="5"/>
  <c r="BR48" i="5"/>
  <c r="BE51" i="5"/>
  <c r="R10" i="5"/>
  <c r="AA16" i="5"/>
  <c r="BL21" i="5"/>
  <c r="S26" i="5"/>
  <c r="BL29" i="5"/>
  <c r="BU32" i="5"/>
  <c r="BG35" i="5"/>
  <c r="AV38" i="5"/>
  <c r="AG41" i="5"/>
  <c r="U44" i="5"/>
  <c r="CB46" i="5"/>
  <c r="BM49" i="5"/>
  <c r="BA52" i="5"/>
  <c r="AG4" i="5"/>
  <c r="BP10" i="5"/>
  <c r="AN16" i="5"/>
  <c r="AH8" i="5"/>
  <c r="U14" i="5"/>
  <c r="BU19" i="5"/>
  <c r="BB24" i="5"/>
  <c r="L11" i="5"/>
  <c r="CC18" i="5"/>
  <c r="AG25" i="5"/>
  <c r="BH29" i="5"/>
  <c r="BG33" i="5"/>
  <c r="L37" i="5"/>
  <c r="AR40" i="5"/>
  <c r="P44" i="5"/>
  <c r="AT47" i="5"/>
  <c r="BU50" i="5"/>
  <c r="AU54" i="5"/>
  <c r="AZ57" i="5"/>
  <c r="BD60" i="5"/>
  <c r="BA12" i="5"/>
  <c r="U20" i="5"/>
  <c r="P26" i="5"/>
  <c r="BM30" i="5"/>
  <c r="AB34" i="5"/>
  <c r="BD37" i="5"/>
  <c r="L41" i="5"/>
  <c r="AO44" i="5"/>
  <c r="BN47" i="5"/>
  <c r="S51" i="5"/>
  <c r="AV54" i="5"/>
  <c r="AJ57" i="5"/>
  <c r="Y60" i="5"/>
  <c r="Z63" i="5"/>
  <c r="BQ65" i="5"/>
  <c r="AL68" i="5"/>
  <c r="CB70" i="5"/>
  <c r="AL12" i="5"/>
  <c r="AP21" i="5"/>
  <c r="BV27" i="5"/>
  <c r="BC32" i="5"/>
  <c r="CC36" i="5"/>
  <c r="BJ41" i="5"/>
  <c r="BM45" i="5"/>
  <c r="BU49" i="5"/>
  <c r="BT69" i="5"/>
  <c r="CA28" i="5"/>
  <c r="AS63" i="5"/>
  <c r="AC69" i="5"/>
  <c r="X22" i="5"/>
  <c r="BL62" i="5"/>
  <c r="AP71" i="5"/>
  <c r="BK62" i="5"/>
  <c r="BN39" i="5"/>
  <c r="K4" i="5"/>
  <c r="AS6" i="5"/>
  <c r="BO8" i="5"/>
  <c r="P11" i="5"/>
  <c r="AL13" i="5"/>
  <c r="K16" i="5"/>
  <c r="BJ4" i="5"/>
  <c r="Z7" i="5"/>
  <c r="BK9" i="5"/>
  <c r="AB12" i="5"/>
  <c r="R15" i="5"/>
  <c r="BJ17" i="5"/>
  <c r="K20" i="5"/>
  <c r="AS22" i="5"/>
  <c r="BO24" i="5"/>
  <c r="AN27" i="5"/>
  <c r="BJ29" i="5"/>
  <c r="AX5" i="5"/>
  <c r="N8" i="5"/>
  <c r="BZ10" i="5"/>
  <c r="AG5" i="5"/>
  <c r="AI8" i="5"/>
  <c r="AJ11" i="5"/>
  <c r="R14" i="5"/>
  <c r="X17" i="5"/>
  <c r="BJ19" i="5"/>
  <c r="Z22" i="5"/>
  <c r="BK24" i="5"/>
  <c r="AA27" i="5"/>
  <c r="R30" i="5"/>
  <c r="BK32" i="5"/>
  <c r="L35" i="5"/>
  <c r="AT37" i="5"/>
  <c r="BP39" i="5"/>
  <c r="AO42" i="5"/>
  <c r="BK44" i="5"/>
  <c r="L47" i="5"/>
  <c r="AT49" i="5"/>
  <c r="BP51" i="5"/>
  <c r="AO54" i="5"/>
  <c r="BK56" i="5"/>
  <c r="L59" i="5"/>
  <c r="AT61" i="5"/>
  <c r="T4" i="5"/>
  <c r="BW7" i="5"/>
  <c r="AO11" i="5"/>
  <c r="AO14" i="5"/>
  <c r="AI17" i="5"/>
  <c r="Q20" i="5"/>
  <c r="Z23" i="5"/>
  <c r="U26" i="5"/>
  <c r="BX28" i="5"/>
  <c r="BD31" i="5"/>
  <c r="V34" i="5"/>
  <c r="M37" i="5"/>
  <c r="AX39" i="5"/>
  <c r="N42" i="5"/>
  <c r="AZ44" i="5"/>
  <c r="AC47" i="5"/>
  <c r="S50" i="5"/>
  <c r="BE52" i="5"/>
  <c r="AH55" i="5"/>
  <c r="BS57" i="5"/>
  <c r="AJ60" i="5"/>
  <c r="Y63" i="5"/>
  <c r="AU65" i="5"/>
  <c r="CC67" i="5"/>
  <c r="AD70" i="5"/>
  <c r="AZ72" i="5"/>
  <c r="CB6" i="5"/>
  <c r="BN4" i="5"/>
  <c r="M8" i="5"/>
  <c r="BA11" i="5"/>
  <c r="Y15" i="5"/>
  <c r="O18" i="5"/>
  <c r="BQ20" i="5"/>
  <c r="AK6" i="5"/>
  <c r="AW10" i="5"/>
  <c r="BK14" i="5"/>
  <c r="AN18" i="5"/>
  <c r="BI21" i="5"/>
  <c r="BG24" i="5"/>
  <c r="BJ6" i="5"/>
  <c r="AM11" i="5"/>
  <c r="AB15" i="5"/>
  <c r="BG18" i="5"/>
  <c r="BY21" i="5"/>
  <c r="BW24" i="5"/>
  <c r="BW8" i="5"/>
  <c r="AN13" i="5"/>
  <c r="BD17" i="5"/>
  <c r="AZ21" i="5"/>
  <c r="U25" i="5"/>
  <c r="AZ28" i="5"/>
  <c r="AY31" i="5"/>
  <c r="AG34" i="5"/>
  <c r="O37" i="5"/>
  <c r="BQ39" i="5"/>
  <c r="S43" i="5"/>
  <c r="BU45" i="5"/>
  <c r="BB48" i="5"/>
  <c r="AI51" i="5"/>
  <c r="X66" i="5"/>
  <c r="R6" i="5"/>
  <c r="CC61" i="5"/>
  <c r="BR70" i="5"/>
  <c r="BV61" i="5"/>
  <c r="BX32" i="5"/>
  <c r="W4" i="5"/>
  <c r="BE6" i="5"/>
  <c r="CA8" i="5"/>
  <c r="AB11" i="5"/>
  <c r="BV13" i="5"/>
  <c r="W16" i="5"/>
  <c r="BW4" i="5"/>
  <c r="AM7" i="5"/>
  <c r="BX9" i="5"/>
  <c r="BO12" i="5"/>
  <c r="AE15" i="5"/>
  <c r="BV17" i="5"/>
  <c r="W20" i="5"/>
  <c r="BE22" i="5"/>
  <c r="AD25" i="5"/>
  <c r="AZ27" i="5"/>
  <c r="BV29" i="5"/>
  <c r="BK5" i="5"/>
  <c r="BA8" i="5"/>
  <c r="R11" i="5"/>
  <c r="AW5" i="5"/>
  <c r="AX8" i="5"/>
  <c r="AY11" i="5"/>
  <c r="BH14" i="5"/>
  <c r="AK17" i="5"/>
  <c r="BW19" i="5"/>
  <c r="AM22" i="5"/>
  <c r="BX24" i="5"/>
  <c r="BO27" i="5"/>
  <c r="AE30" i="5"/>
  <c r="BW32" i="5"/>
  <c r="X35" i="5"/>
  <c r="BF37" i="5"/>
  <c r="AE40" i="5"/>
  <c r="BA42" i="5"/>
  <c r="BW44" i="5"/>
  <c r="X47" i="5"/>
  <c r="BF49" i="5"/>
  <c r="AE52" i="5"/>
  <c r="BA54" i="5"/>
  <c r="BW56" i="5"/>
  <c r="X59" i="5"/>
  <c r="BF61" i="5"/>
  <c r="BT4" i="5"/>
  <c r="U8" i="5"/>
  <c r="BE11" i="5"/>
  <c r="BD14" i="5"/>
  <c r="AW17" i="5"/>
  <c r="BH20" i="5"/>
  <c r="AN23" i="5"/>
  <c r="AJ26" i="5"/>
  <c r="Q29" i="5"/>
  <c r="BR31" i="5"/>
  <c r="BJ34" i="5"/>
  <c r="Z37" i="5"/>
  <c r="BK39" i="5"/>
  <c r="AA42" i="5"/>
  <c r="BM44" i="5"/>
  <c r="BP47" i="5"/>
  <c r="AF50" i="5"/>
  <c r="BR52" i="5"/>
  <c r="AU55" i="5"/>
  <c r="K58" i="5"/>
  <c r="BW60" i="5"/>
  <c r="AK63" i="5"/>
  <c r="BG65" i="5"/>
  <c r="T68" i="5"/>
  <c r="AP70" i="5"/>
  <c r="O73" i="5"/>
  <c r="Y7" i="5"/>
  <c r="CD4" i="5"/>
  <c r="AD8" i="5"/>
  <c r="AP12" i="5"/>
  <c r="AN15" i="5"/>
  <c r="AC18" i="5"/>
  <c r="K21" i="5"/>
  <c r="BI6" i="5"/>
  <c r="AL11" i="5"/>
  <c r="CC14" i="5"/>
  <c r="BE18" i="5"/>
  <c r="BX21" i="5"/>
  <c r="BV24" i="5"/>
  <c r="BE7" i="5"/>
  <c r="BG11" i="5"/>
  <c r="AW15" i="5"/>
  <c r="BX18" i="5"/>
  <c r="S22" i="5"/>
  <c r="L4" i="5"/>
  <c r="Z9" i="5"/>
  <c r="BM13" i="5"/>
  <c r="BX17" i="5"/>
  <c r="BQ21" i="5"/>
  <c r="BP25" i="5"/>
  <c r="BO28" i="5"/>
  <c r="BN31" i="5"/>
  <c r="AU34" i="5"/>
  <c r="AC37" i="5"/>
  <c r="AZ40" i="5"/>
  <c r="AH43" i="5"/>
  <c r="O46" i="5"/>
  <c r="BP48" i="5"/>
  <c r="AW51" i="5"/>
  <c r="BG54" i="5"/>
  <c r="AN57" i="5"/>
  <c r="T60" i="5"/>
  <c r="BW62" i="5"/>
  <c r="AN65" i="5"/>
  <c r="AD68" i="5"/>
  <c r="CC70" i="5"/>
  <c r="AS73" i="5"/>
  <c r="BW75" i="5"/>
  <c r="BC22" i="5"/>
  <c r="AQ26" i="5"/>
  <c r="BE29" i="5"/>
  <c r="BA32" i="5"/>
  <c r="AG35" i="5"/>
  <c r="N38" i="5"/>
  <c r="AL41" i="5"/>
  <c r="S44" i="5"/>
  <c r="BT46" i="5"/>
  <c r="BB49" i="5"/>
  <c r="AW52" i="5"/>
  <c r="BF55" i="5"/>
  <c r="BB58" i="5"/>
  <c r="AI61" i="5"/>
  <c r="CD63" i="5"/>
  <c r="AU66" i="5"/>
  <c r="AK69" i="5"/>
  <c r="BI71" i="5"/>
  <c r="BT73" i="5"/>
  <c r="BX75" i="5"/>
  <c r="AQ7" i="5"/>
  <c r="BB11" i="5"/>
  <c r="AG15" i="5"/>
  <c r="BO18" i="5"/>
  <c r="AT7" i="5"/>
  <c r="BC11" i="5"/>
  <c r="AH15" i="5"/>
  <c r="BP18" i="5"/>
  <c r="T22" i="5"/>
  <c r="X25" i="5"/>
  <c r="BM27" i="5"/>
  <c r="AD7" i="5"/>
  <c r="AS11" i="5"/>
  <c r="U15" i="5"/>
  <c r="BH18" i="5"/>
  <c r="AC22" i="5"/>
  <c r="AF25" i="5"/>
  <c r="N28" i="5"/>
  <c r="BC30" i="5"/>
  <c r="AV9" i="5"/>
  <c r="Z15" i="5"/>
  <c r="BW20" i="5"/>
  <c r="AS25" i="5"/>
  <c r="U29" i="5"/>
  <c r="BD32" i="5"/>
  <c r="AP35" i="5"/>
  <c r="AC38" i="5"/>
  <c r="O41" i="5"/>
  <c r="BV43" i="5"/>
  <c r="BJ46" i="5"/>
  <c r="CA22" i="5"/>
  <c r="R63" i="5"/>
  <c r="BP53" i="5"/>
  <c r="BA69" i="5"/>
  <c r="S58" i="5"/>
  <c r="P28" i="5"/>
  <c r="AU4" i="5"/>
  <c r="CC6" i="5"/>
  <c r="AD9" i="5"/>
  <c r="BX11" i="5"/>
  <c r="Y14" i="5"/>
  <c r="AU16" i="5"/>
  <c r="AB5" i="5"/>
  <c r="BM7" i="5"/>
  <c r="BD10" i="5"/>
  <c r="T13" i="5"/>
  <c r="BE15" i="5"/>
  <c r="Y18" i="5"/>
  <c r="AU20" i="5"/>
  <c r="AF23" i="5"/>
  <c r="BB25" i="5"/>
  <c r="BX27" i="5"/>
  <c r="Y30" i="5"/>
  <c r="AP6" i="5"/>
  <c r="CB8" i="5"/>
  <c r="AR11" i="5"/>
  <c r="CC5" i="5"/>
  <c r="CD8" i="5"/>
  <c r="AI12" i="5"/>
  <c r="P15" i="5"/>
  <c r="BL17" i="5"/>
  <c r="AB20" i="5"/>
  <c r="BM22" i="5"/>
  <c r="BD25" i="5"/>
  <c r="T28" i="5"/>
  <c r="BE30" i="5"/>
  <c r="Z33" i="5"/>
  <c r="AV35" i="5"/>
  <c r="AG38" i="5"/>
  <c r="BC40" i="5"/>
  <c r="BY42" i="5"/>
  <c r="Z45" i="5"/>
  <c r="AV47" i="5"/>
  <c r="AG50" i="5"/>
  <c r="BC52" i="5"/>
  <c r="BY54" i="5"/>
  <c r="Z57" i="5"/>
  <c r="AV59" i="5"/>
  <c r="AG62" i="5"/>
  <c r="AF5" i="5"/>
  <c r="K18" i="5"/>
  <c r="AR61" i="5"/>
  <c r="V73" i="5"/>
  <c r="BM46" i="5"/>
  <c r="T67" i="5"/>
  <c r="Y55" i="5"/>
  <c r="BD20" i="5"/>
  <c r="BS4" i="5"/>
  <c r="AF7" i="5"/>
  <c r="BZ9" i="5"/>
  <c r="AA12" i="5"/>
  <c r="AW14" i="5"/>
  <c r="BB5" i="5"/>
  <c r="AS8" i="5"/>
  <c r="CD10" i="5"/>
  <c r="AT13" i="5"/>
  <c r="X16" i="5"/>
  <c r="AW18" i="5"/>
  <c r="AH21" i="5"/>
  <c r="BD23" i="5"/>
  <c r="BZ25" i="5"/>
  <c r="AA28" i="5"/>
  <c r="AW30" i="5"/>
  <c r="AE4" i="5"/>
  <c r="BP6" i="5"/>
  <c r="AG9" i="5"/>
  <c r="AM6" i="5"/>
  <c r="BS9" i="5"/>
  <c r="BL12" i="5"/>
  <c r="AS15" i="5"/>
  <c r="Q18" i="5"/>
  <c r="BB20" i="5"/>
  <c r="AS23" i="5"/>
  <c r="CD25" i="5"/>
  <c r="AT28" i="5"/>
  <c r="W31" i="5"/>
  <c r="AX33" i="5"/>
  <c r="W36" i="5"/>
  <c r="BE38" i="5"/>
  <c r="CA40" i="5"/>
  <c r="AB43" i="5"/>
  <c r="AX45" i="5"/>
  <c r="W48" i="5"/>
  <c r="BE50" i="5"/>
  <c r="CA52" i="5"/>
  <c r="AB55" i="5"/>
  <c r="AX57" i="5"/>
  <c r="W60" i="5"/>
  <c r="BE62" i="5"/>
  <c r="BP5" i="5"/>
  <c r="O9" i="5"/>
  <c r="AT12" i="5"/>
  <c r="BY15" i="5"/>
  <c r="BK18" i="5"/>
  <c r="AQ21" i="5"/>
  <c r="AM24" i="5"/>
  <c r="T27" i="5"/>
  <c r="AC30" i="5"/>
  <c r="BY32" i="5"/>
  <c r="AO35" i="5"/>
  <c r="BZ37" i="5"/>
  <c r="AP40" i="5"/>
  <c r="AG43" i="5"/>
  <c r="BR45" i="5"/>
  <c r="AV48" i="5"/>
  <c r="L51" i="5"/>
  <c r="AD12" i="5"/>
  <c r="BY55" i="5"/>
  <c r="BU70" i="5"/>
  <c r="G36" i="5"/>
  <c r="BL23" i="5"/>
  <c r="BB51" i="5"/>
  <c r="AC65" i="5"/>
  <c r="AU72" i="5"/>
  <c r="CC19" i="5"/>
  <c r="AO53" i="5"/>
  <c r="AD65" i="5"/>
  <c r="AW72" i="5"/>
  <c r="BY22" i="5"/>
  <c r="AP75" i="5"/>
  <c r="R72" i="5"/>
  <c r="BT67" i="5"/>
  <c r="T64" i="5"/>
  <c r="BA59" i="5"/>
  <c r="BK53" i="5"/>
  <c r="AM46" i="5"/>
  <c r="AN37" i="5"/>
  <c r="AX27" i="5"/>
  <c r="Q9" i="5"/>
  <c r="BN73" i="5"/>
  <c r="AE70" i="5"/>
  <c r="BB66" i="5"/>
  <c r="BR62" i="5"/>
  <c r="AD57" i="5"/>
  <c r="AX50" i="5"/>
  <c r="AY42" i="5"/>
  <c r="AP33" i="5"/>
  <c r="Q21" i="5"/>
  <c r="AD58" i="5"/>
  <c r="BR51" i="5"/>
  <c r="X44" i="5"/>
  <c r="M35" i="5"/>
  <c r="BB74" i="5"/>
  <c r="BV70" i="5"/>
  <c r="W67" i="5"/>
  <c r="AT63" i="5"/>
  <c r="T58" i="5"/>
  <c r="BN51" i="5"/>
  <c r="K44" i="5"/>
  <c r="BX34" i="5"/>
  <c r="BM23" i="5"/>
  <c r="BP72" i="5"/>
  <c r="Z69" i="5"/>
  <c r="AV65" i="5"/>
  <c r="AN61" i="5"/>
  <c r="AY55" i="5"/>
  <c r="AQ48" i="5"/>
  <c r="CC39" i="5"/>
  <c r="BG30" i="5"/>
  <c r="BD15" i="5"/>
  <c r="BB56" i="5"/>
  <c r="R49" i="5"/>
  <c r="BR40" i="5"/>
  <c r="BC31" i="5"/>
  <c r="BB17" i="5"/>
  <c r="BV73" i="5"/>
  <c r="AM70" i="5"/>
  <c r="BK66" i="5"/>
  <c r="K63" i="5"/>
  <c r="BY57" i="5"/>
  <c r="AK51" i="5"/>
  <c r="BB43" i="5"/>
  <c r="AP34" i="5"/>
  <c r="BN21" i="5"/>
  <c r="Z75" i="5"/>
  <c r="BW71" i="5"/>
  <c r="Z68" i="5"/>
  <c r="AA64" i="5"/>
  <c r="BG59" i="5"/>
  <c r="BQ53" i="5"/>
  <c r="AV46" i="5"/>
  <c r="AS37" i="5"/>
  <c r="BF27" i="5"/>
  <c r="AE7" i="5"/>
  <c r="V53" i="5"/>
  <c r="AD48" i="5"/>
  <c r="BR42" i="5"/>
  <c r="BK36" i="5"/>
  <c r="AP30" i="5"/>
  <c r="AY21" i="5"/>
  <c r="AJ5" i="5"/>
  <c r="BP59" i="5"/>
  <c r="BN55" i="5"/>
  <c r="O51" i="5"/>
  <c r="Z46" i="5"/>
  <c r="Z40" i="5"/>
  <c r="Q34" i="5"/>
  <c r="W27" i="5"/>
  <c r="T16" i="5"/>
  <c r="AU75" i="5"/>
  <c r="AV72" i="5"/>
  <c r="AY69" i="5"/>
  <c r="AR66" i="5"/>
  <c r="AM63" i="5"/>
  <c r="BO59" i="5"/>
  <c r="BG55" i="5"/>
  <c r="N51" i="5"/>
  <c r="BK45" i="5"/>
  <c r="BF39" i="5"/>
  <c r="AV33" i="5"/>
  <c r="AM26" i="5"/>
  <c r="BV14" i="5"/>
  <c r="W75" i="5"/>
  <c r="AL72" i="5"/>
  <c r="AM69" i="5"/>
  <c r="AI66" i="5"/>
  <c r="AB63" i="5"/>
  <c r="AX59" i="5"/>
  <c r="AW55" i="5"/>
  <c r="BP50" i="5"/>
  <c r="BZ45" i="5"/>
  <c r="BS39" i="5"/>
  <c r="BN33" i="5"/>
  <c r="BJ26" i="5"/>
  <c r="Q14" i="5"/>
  <c r="AE44" i="5"/>
  <c r="AD40" i="5"/>
  <c r="Y36" i="5"/>
  <c r="S32" i="5"/>
  <c r="AI27" i="5"/>
  <c r="BV19" i="5"/>
  <c r="AR10" i="5"/>
  <c r="AD44" i="5"/>
  <c r="AB40" i="5"/>
  <c r="X36" i="5"/>
  <c r="R32" i="5"/>
  <c r="AD27" i="5"/>
  <c r="AY20" i="5"/>
  <c r="AF11" i="5"/>
  <c r="AW75" i="5"/>
  <c r="L73" i="5"/>
  <c r="AJ70" i="5"/>
  <c r="AW67" i="5"/>
  <c r="BK64" i="5"/>
  <c r="BE61" i="5"/>
  <c r="AC58" i="5"/>
  <c r="AY54" i="5"/>
  <c r="AW50" i="5"/>
  <c r="AU46" i="5"/>
  <c r="AQ42" i="5"/>
  <c r="AK38" i="5"/>
  <c r="BE33" i="5"/>
  <c r="W29" i="5"/>
  <c r="AP23" i="5"/>
  <c r="M15" i="5"/>
  <c r="BE59" i="5"/>
  <c r="AE56" i="5"/>
  <c r="AU52" i="5"/>
  <c r="V48" i="5"/>
  <c r="BN43" i="5"/>
  <c r="AJ39" i="5"/>
  <c r="BY33" i="5"/>
  <c r="S29" i="5"/>
  <c r="BH22" i="5"/>
  <c r="AI13" i="5"/>
  <c r="BL70" i="5"/>
  <c r="CB67" i="5"/>
  <c r="U65" i="5"/>
  <c r="N62" i="5"/>
  <c r="K59" i="5"/>
  <c r="CB55" i="5"/>
  <c r="AY52" i="5"/>
  <c r="BY48" i="5"/>
  <c r="AA45" i="5"/>
  <c r="BC41" i="5"/>
  <c r="BY37" i="5"/>
  <c r="CC33" i="5"/>
  <c r="Q30" i="5"/>
  <c r="BU24" i="5"/>
  <c r="BT17" i="5"/>
  <c r="BR8" i="5"/>
  <c r="M62" i="5"/>
  <c r="BM58" i="5"/>
  <c r="BJ55" i="5"/>
  <c r="BI51" i="5"/>
  <c r="N48" i="5"/>
  <c r="AN44" i="5"/>
  <c r="V40" i="5"/>
  <c r="AV36" i="5"/>
  <c r="BR32" i="5"/>
  <c r="AI28" i="5"/>
  <c r="BP22" i="5"/>
  <c r="W15" i="5"/>
  <c r="AL5" i="5"/>
  <c r="AX21" i="5"/>
  <c r="AX15" i="5"/>
  <c r="AI9" i="5"/>
  <c r="BV16" i="5"/>
  <c r="AI10" i="5"/>
  <c r="BV51" i="5"/>
  <c r="BT48" i="5"/>
  <c r="BO45" i="5"/>
  <c r="BJ42" i="5"/>
  <c r="BH39" i="5"/>
  <c r="BC36" i="5"/>
  <c r="BA33" i="5"/>
  <c r="AH30" i="5"/>
  <c r="AS26" i="5"/>
  <c r="AK21" i="5"/>
  <c r="AI15" i="5"/>
  <c r="BE8" i="5"/>
  <c r="AV53" i="5"/>
  <c r="AQ50" i="5"/>
  <c r="AM47" i="5"/>
  <c r="T44" i="5"/>
  <c r="BB40" i="5"/>
  <c r="Q37" i="5"/>
  <c r="BP33" i="5"/>
  <c r="AG30" i="5"/>
  <c r="BO25" i="5"/>
  <c r="AZ19" i="5"/>
  <c r="CD12" i="5"/>
  <c r="S5" i="5"/>
  <c r="BJ28" i="5"/>
  <c r="AU25" i="5"/>
  <c r="AV21" i="5"/>
  <c r="AD17" i="5"/>
  <c r="K13" i="5"/>
  <c r="AO8" i="5"/>
  <c r="BI24" i="5"/>
  <c r="BP20" i="5"/>
  <c r="BT16" i="5"/>
  <c r="AX12" i="5"/>
  <c r="BS7" i="5"/>
  <c r="AA18" i="5"/>
  <c r="BN13" i="5"/>
  <c r="AB9" i="5"/>
  <c r="N4" i="5"/>
  <c r="L74" i="5"/>
  <c r="AI71" i="5"/>
  <c r="R68" i="5"/>
  <c r="AB65" i="5"/>
  <c r="BY61" i="5"/>
  <c r="BP58" i="5"/>
  <c r="BV54" i="5"/>
  <c r="AX51" i="5"/>
  <c r="BS47" i="5"/>
  <c r="BI44" i="5"/>
  <c r="AZ41" i="5"/>
  <c r="BG37" i="5"/>
  <c r="AH34" i="5"/>
  <c r="BK30" i="5"/>
  <c r="Q27" i="5"/>
  <c r="BV22" i="5"/>
  <c r="AY75" i="5"/>
  <c r="Z72" i="5"/>
  <c r="AJ69" i="5"/>
  <c r="AF66" i="5"/>
  <c r="P63" i="5"/>
  <c r="BM59" i="5"/>
  <c r="L56" i="5"/>
  <c r="BX52" i="5"/>
  <c r="X49" i="5"/>
  <c r="AD45" i="5"/>
  <c r="AY41" i="5"/>
  <c r="M38" i="5"/>
  <c r="BL33" i="5"/>
  <c r="BS29" i="5"/>
  <c r="Z26" i="5"/>
  <c r="BK20" i="5"/>
  <c r="AF15" i="5"/>
  <c r="BV9" i="5"/>
  <c r="AC24" i="5"/>
  <c r="AX20" i="5"/>
  <c r="L16" i="5"/>
  <c r="CD9" i="5"/>
  <c r="BQ4" i="5"/>
  <c r="AH22" i="5"/>
  <c r="BI17" i="5"/>
  <c r="BG12" i="5"/>
  <c r="CC7" i="5"/>
  <c r="Z20" i="5"/>
  <c r="AS16" i="5"/>
  <c r="BT12" i="5"/>
  <c r="AJ7" i="5"/>
  <c r="AL8" i="5"/>
  <c r="AM4" i="5"/>
  <c r="P72" i="5"/>
  <c r="AE69" i="5"/>
  <c r="V66" i="5"/>
  <c r="AH62" i="5"/>
  <c r="AD59" i="5"/>
  <c r="BU55" i="5"/>
  <c r="Q52" i="5"/>
  <c r="AH48" i="5"/>
  <c r="L44" i="5"/>
  <c r="AC40" i="5"/>
  <c r="T36" i="5"/>
  <c r="BL32" i="5"/>
  <c r="AF28" i="5"/>
  <c r="Y24" i="5"/>
  <c r="AT19" i="5"/>
  <c r="AC15" i="5"/>
  <c r="BJ10" i="5"/>
  <c r="AY5" i="5"/>
  <c r="AU60" i="5"/>
  <c r="AA56" i="5"/>
  <c r="AQ52" i="5"/>
  <c r="AI48" i="5"/>
  <c r="BL43" i="5"/>
  <c r="BD39" i="5"/>
  <c r="BH35" i="5"/>
  <c r="AX31" i="5"/>
  <c r="BI26" i="5"/>
  <c r="AZ22" i="5"/>
  <c r="AD18" i="5"/>
  <c r="AH13" i="5"/>
  <c r="T8" i="5"/>
  <c r="V7" i="5"/>
  <c r="AV31" i="5"/>
  <c r="BL27" i="5"/>
  <c r="BP23" i="5"/>
  <c r="AJ19" i="5"/>
  <c r="BZ14" i="5"/>
  <c r="BQ10" i="5"/>
  <c r="AH6" i="5"/>
  <c r="X15" i="5"/>
  <c r="AN11" i="5"/>
  <c r="AR7" i="5"/>
  <c r="AR63" i="5"/>
  <c r="AX66" i="5"/>
  <c r="S6" i="5"/>
  <c r="BB69" i="5"/>
  <c r="P13" i="5"/>
  <c r="G13" i="5"/>
  <c r="G20" i="5"/>
  <c r="S30" i="5"/>
  <c r="S55" i="5"/>
  <c r="AQ66" i="5"/>
  <c r="BD73" i="5"/>
  <c r="BA27" i="5"/>
  <c r="BH56" i="5"/>
  <c r="AV66" i="5"/>
  <c r="BE73" i="5"/>
  <c r="CB19" i="5"/>
  <c r="BW74" i="5"/>
  <c r="AA71" i="5"/>
  <c r="AA67" i="5"/>
  <c r="AY63" i="5"/>
  <c r="BF58" i="5"/>
  <c r="AP52" i="5"/>
  <c r="CA44" i="5"/>
  <c r="BQ35" i="5"/>
  <c r="AN25" i="5"/>
  <c r="AK4" i="5"/>
  <c r="X73" i="5"/>
  <c r="BH69" i="5"/>
  <c r="CD65" i="5"/>
  <c r="K62" i="5"/>
  <c r="AG56" i="5"/>
  <c r="AI49" i="5"/>
  <c r="M41" i="5"/>
  <c r="BV31" i="5"/>
  <c r="N18" i="5"/>
  <c r="AG57" i="5"/>
  <c r="BD50" i="5"/>
  <c r="BE42" i="5"/>
  <c r="AU33" i="5"/>
  <c r="BM73" i="5"/>
  <c r="AA70" i="5"/>
  <c r="AY66" i="5"/>
  <c r="BP62" i="5"/>
  <c r="AC57" i="5"/>
  <c r="AU50" i="5"/>
  <c r="AV42" i="5"/>
  <c r="AM33" i="5"/>
  <c r="CC20" i="5"/>
  <c r="AV75" i="5"/>
  <c r="Y72" i="5"/>
  <c r="AZ68" i="5"/>
  <c r="BX64" i="5"/>
  <c r="BA60" i="5"/>
  <c r="AQ54" i="5"/>
  <c r="AE47" i="5"/>
  <c r="AM38" i="5"/>
  <c r="BR28" i="5"/>
  <c r="CC11" i="5"/>
  <c r="BA55" i="5"/>
  <c r="BZ47" i="5"/>
  <c r="AD39" i="5"/>
  <c r="BW29" i="5"/>
  <c r="CD11" i="5"/>
  <c r="AH73" i="5"/>
  <c r="BP69" i="5"/>
  <c r="Q66" i="5"/>
  <c r="W62" i="5"/>
  <c r="CD56" i="5"/>
  <c r="T50" i="5"/>
  <c r="R42" i="5"/>
  <c r="AG32" i="5"/>
  <c r="BV18" i="5"/>
  <c r="BH74" i="5"/>
  <c r="AF71" i="5"/>
  <c r="BD67" i="5"/>
  <c r="BB63" i="5"/>
  <c r="BQ58" i="5"/>
  <c r="BD52" i="5"/>
  <c r="S45" i="5"/>
  <c r="CD35" i="5"/>
  <c r="AX25" i="5"/>
  <c r="BM56" i="5"/>
  <c r="AL52" i="5"/>
  <c r="AR47" i="5"/>
  <c r="BL41" i="5"/>
  <c r="BL35" i="5"/>
  <c r="AB29" i="5"/>
  <c r="AS19" i="5"/>
  <c r="BT62" i="5"/>
  <c r="S59" i="5"/>
  <c r="M55" i="5"/>
  <c r="AD50" i="5"/>
  <c r="AB45" i="5"/>
  <c r="U39" i="5"/>
  <c r="M33" i="5"/>
  <c r="BU25" i="5"/>
  <c r="BB13" i="5"/>
  <c r="Q75" i="5"/>
  <c r="O72" i="5"/>
  <c r="N69" i="5"/>
  <c r="CC65" i="5"/>
  <c r="BS62" i="5"/>
  <c r="O59" i="5"/>
  <c r="L55" i="5"/>
  <c r="AC50" i="5"/>
  <c r="BL44" i="5"/>
  <c r="BB38" i="5"/>
  <c r="AU32" i="5"/>
  <c r="M25" i="5"/>
  <c r="AH12" i="5"/>
  <c r="BK74" i="5"/>
  <c r="BZ71" i="5"/>
  <c r="BW68" i="5"/>
  <c r="BR65" i="5"/>
  <c r="BD62" i="5"/>
  <c r="BW58" i="5"/>
  <c r="BQ54" i="5"/>
  <c r="CB49" i="5"/>
  <c r="BY44" i="5"/>
  <c r="BU38" i="5"/>
  <c r="BJ32" i="5"/>
  <c r="AV24" i="5"/>
  <c r="AU11" i="5"/>
  <c r="BD43" i="5"/>
  <c r="AY39" i="5"/>
  <c r="AX35" i="5"/>
  <c r="AR31" i="5"/>
  <c r="AH26" i="5"/>
  <c r="AZ18" i="5"/>
  <c r="BG8" i="5"/>
  <c r="BC43" i="5"/>
  <c r="AW39" i="5"/>
  <c r="AW35" i="5"/>
  <c r="AQ31" i="5"/>
  <c r="AG26" i="5"/>
  <c r="W19" i="5"/>
  <c r="AL9" i="5"/>
  <c r="U75" i="5"/>
  <c r="BC72" i="5"/>
  <c r="BU69" i="5"/>
  <c r="O67" i="5"/>
  <c r="AB64" i="5"/>
  <c r="N61" i="5"/>
  <c r="BI57" i="5"/>
  <c r="BY53" i="5"/>
  <c r="BV49" i="5"/>
  <c r="BS45" i="5"/>
  <c r="BK41" i="5"/>
  <c r="BJ37" i="5"/>
  <c r="CD32" i="5"/>
  <c r="AN28" i="5"/>
  <c r="W22" i="5"/>
  <c r="AK13" i="5"/>
  <c r="P59" i="5"/>
  <c r="BI55" i="5"/>
  <c r="BT51" i="5"/>
  <c r="AS47" i="5"/>
  <c r="O43" i="5"/>
  <c r="AJ38" i="5"/>
  <c r="AC33" i="5"/>
  <c r="AC28" i="5"/>
  <c r="BT20" i="5"/>
  <c r="BK10" i="5"/>
  <c r="AH70" i="5"/>
  <c r="AV67" i="5"/>
  <c r="BL64" i="5"/>
  <c r="BA61" i="5"/>
  <c r="AV58" i="5"/>
  <c r="AT55" i="5"/>
  <c r="K52" i="5"/>
  <c r="AG48" i="5"/>
  <c r="BG44" i="5"/>
  <c r="BK40" i="5"/>
  <c r="N37" i="5"/>
  <c r="AO33" i="5"/>
  <c r="AJ29" i="5"/>
  <c r="BV23" i="5"/>
  <c r="BJ16" i="5"/>
  <c r="AA7" i="5"/>
  <c r="AZ61" i="5"/>
  <c r="AE58" i="5"/>
  <c r="Z55" i="5"/>
  <c r="R51" i="5"/>
  <c r="Y47" i="5"/>
  <c r="AX43" i="5"/>
  <c r="AZ39" i="5"/>
  <c r="CA35" i="5"/>
  <c r="AD32" i="5"/>
  <c r="BC27" i="5"/>
  <c r="BO21" i="5"/>
  <c r="BS13" i="5"/>
  <c r="BI20" i="5"/>
  <c r="BB14" i="5"/>
  <c r="BL7" i="5"/>
  <c r="AQ15" i="5"/>
  <c r="AH9" i="5"/>
  <c r="BJ54" i="5"/>
  <c r="AO51" i="5"/>
  <c r="AK48" i="5"/>
  <c r="AH45" i="5"/>
  <c r="AD42" i="5"/>
  <c r="Y39" i="5"/>
  <c r="V36" i="5"/>
  <c r="R33" i="5"/>
  <c r="AR29" i="5"/>
  <c r="AT25" i="5"/>
  <c r="AV20" i="5"/>
  <c r="AN14" i="5"/>
  <c r="AU7" i="5"/>
  <c r="M53" i="5"/>
  <c r="K50" i="5"/>
  <c r="CA46" i="5"/>
  <c r="AO43" i="5"/>
  <c r="BW39" i="5"/>
  <c r="BB36" i="5"/>
  <c r="AG33" i="5"/>
  <c r="AQ29" i="5"/>
  <c r="BN24" i="5"/>
  <c r="AI18" i="5"/>
  <c r="L12" i="5"/>
  <c r="AD28" i="5"/>
  <c r="BR24" i="5"/>
  <c r="BE20" i="5"/>
  <c r="BH16" i="5"/>
  <c r="AK12" i="5"/>
  <c r="BJ7" i="5"/>
  <c r="AG27" i="5"/>
  <c r="BY23" i="5"/>
  <c r="Y20" i="5"/>
  <c r="Z16" i="5"/>
  <c r="CA11" i="5"/>
  <c r="BM6" i="5"/>
  <c r="AM17" i="5"/>
  <c r="R13" i="5"/>
  <c r="AW8" i="5"/>
  <c r="AT73" i="5"/>
  <c r="BD70" i="5"/>
  <c r="BM67" i="5"/>
  <c r="AW64" i="5"/>
  <c r="AW61" i="5"/>
  <c r="Z58" i="5"/>
  <c r="AF54" i="5"/>
  <c r="V51" i="5"/>
  <c r="AQ47" i="5"/>
  <c r="AG44" i="5"/>
  <c r="AM40" i="5"/>
  <c r="P37" i="5"/>
  <c r="AY33" i="5"/>
  <c r="AF30" i="5"/>
  <c r="BF26" i="5"/>
  <c r="Q22" i="5"/>
  <c r="O75" i="5"/>
  <c r="BU71" i="5"/>
  <c r="BR68" i="5"/>
  <c r="BA65" i="5"/>
  <c r="AT62" i="5"/>
  <c r="BO58" i="5"/>
  <c r="BE55" i="5"/>
  <c r="AV52" i="5"/>
  <c r="AN48" i="5"/>
  <c r="AT44" i="5"/>
  <c r="W41" i="5"/>
  <c r="BV36" i="5"/>
  <c r="AI33" i="5"/>
  <c r="AO29" i="5"/>
  <c r="BY24" i="5"/>
  <c r="V20" i="5"/>
  <c r="BE14" i="5"/>
  <c r="AU8" i="5"/>
  <c r="BT23" i="5"/>
  <c r="BB19" i="5"/>
  <c r="BL14" i="5"/>
  <c r="AO9" i="5"/>
  <c r="Z4" i="5"/>
  <c r="AR21" i="5"/>
  <c r="AV16" i="5"/>
  <c r="V12" i="5"/>
  <c r="O6" i="5"/>
  <c r="BR19" i="5"/>
  <c r="N16" i="5"/>
  <c r="AH11" i="5"/>
  <c r="BW6" i="5"/>
  <c r="BY7" i="5"/>
  <c r="BM71" i="5"/>
  <c r="BD68" i="5"/>
  <c r="AI65" i="5"/>
  <c r="CB61" i="5"/>
  <c r="BY58" i="5"/>
  <c r="U55" i="5"/>
  <c r="AL51" i="5"/>
  <c r="CC47" i="5"/>
  <c r="BG43" i="5"/>
  <c r="BX39" i="5"/>
  <c r="BO35" i="5"/>
  <c r="K32" i="5"/>
  <c r="BY27" i="5"/>
  <c r="BB23" i="5"/>
  <c r="R19" i="5"/>
  <c r="BS14" i="5"/>
  <c r="AW9" i="5"/>
  <c r="BH59" i="5"/>
  <c r="AZ55" i="5"/>
  <c r="AF51" i="5"/>
  <c r="AJ47" i="5"/>
  <c r="AN43" i="5"/>
  <c r="T39" i="5"/>
  <c r="BU34" i="5"/>
  <c r="BR30" i="5"/>
  <c r="AI26" i="5"/>
  <c r="BH21" i="5"/>
  <c r="AY17" i="5"/>
  <c r="BZ12" i="5"/>
  <c r="AS7" i="5"/>
  <c r="BL10" i="5"/>
  <c r="BC6" i="5"/>
  <c r="X31" i="5"/>
  <c r="BA26" i="5"/>
  <c r="BQ22" i="5"/>
  <c r="BI18" i="5"/>
  <c r="L14" i="5"/>
  <c r="AX9" i="5"/>
  <c r="AO5" i="5"/>
  <c r="BU14" i="5"/>
  <c r="BA10" i="5"/>
  <c r="BQ6" i="5"/>
  <c r="BI15" i="5"/>
  <c r="AE65" i="5"/>
  <c r="Z70" i="5"/>
  <c r="D3" i="5"/>
  <c r="C3" i="5"/>
  <c r="B3" i="5"/>
  <c r="AN26" i="3" a="1"/>
  <c r="AN26" i="3" s="1"/>
  <c r="AN75" i="3" a="1"/>
  <c r="AN75" i="3" s="1"/>
  <c r="BD171" i="3" s="1" a="1"/>
  <c r="BD171" i="3" s="1"/>
  <c r="BT171" i="3" a="1"/>
  <c r="BT171" i="3" s="1"/>
  <c r="AN76" i="3" a="1"/>
  <c r="AN76" i="3" s="1"/>
  <c r="AN53" i="3" a="1"/>
  <c r="AN53" i="3" s="1"/>
  <c r="BU149" i="3" s="1" a="1"/>
  <c r="BU149" i="3" s="1"/>
  <c r="AN38" i="3" a="1"/>
  <c r="AN38" i="3" s="1"/>
  <c r="AN22" i="3" a="1"/>
  <c r="AN22" i="3" s="1"/>
  <c r="S118" i="3" s="1" a="1"/>
  <c r="S118" i="3" s="1"/>
  <c r="AN17" i="3" a="1"/>
  <c r="AN17" i="3" s="1"/>
  <c r="AN11" i="3" a="1"/>
  <c r="AN11" i="3" s="1"/>
  <c r="AN19" i="3" a="1"/>
  <c r="AN19" i="3" s="1"/>
  <c r="P115" i="3" s="1" a="1"/>
  <c r="P115" i="3" s="1"/>
  <c r="P134" i="3" a="1"/>
  <c r="P134" i="3" s="1"/>
  <c r="AN8" i="3" a="1"/>
  <c r="AN8" i="3" s="1"/>
  <c r="BE104" i="3" s="1" a="1"/>
  <c r="BE104" i="3" s="1"/>
  <c r="AN56" i="3" a="1"/>
  <c r="AN56" i="3" s="1"/>
  <c r="BA122" i="3" s="1" a="1"/>
  <c r="BA122" i="3" s="1"/>
  <c r="AN48" i="3" a="1"/>
  <c r="AN48" i="3" s="1"/>
  <c r="AS156" i="3" a="1"/>
  <c r="AS156" i="3" s="1"/>
  <c r="AN64" i="3" a="1"/>
  <c r="AN64" i="3" s="1"/>
  <c r="AN60" i="3" a="1"/>
  <c r="AN60" i="3" s="1"/>
  <c r="AN39" i="3" a="1"/>
  <c r="AN39" i="3" s="1"/>
  <c r="AN35" i="3" a="1"/>
  <c r="AN35" i="3" s="1"/>
  <c r="AF107" i="3" s="1" a="1"/>
  <c r="AF107" i="3" s="1"/>
  <c r="AF113" i="3" a="1"/>
  <c r="AF113" i="3" s="1"/>
  <c r="AN16" i="3" a="1"/>
  <c r="AN16" i="3" s="1"/>
  <c r="AN15" i="3" a="1"/>
  <c r="AN15" i="3" s="1"/>
  <c r="AN33" i="3" a="1"/>
  <c r="AN33" i="3" s="1"/>
  <c r="AD115" i="3" s="1" a="1"/>
  <c r="AD115" i="3" s="1"/>
  <c r="AN31" i="3" a="1"/>
  <c r="AN31" i="3" s="1"/>
  <c r="AB149" i="3" s="1" a="1"/>
  <c r="AB149" i="3" s="1"/>
  <c r="AN13" i="3" a="1"/>
  <c r="AN13" i="3" s="1"/>
  <c r="AN68" i="3" a="1"/>
  <c r="AN68" i="3" s="1"/>
  <c r="BM172" i="3" s="1" a="1"/>
  <c r="BM172" i="3" s="1"/>
  <c r="AN59" i="3" a="1"/>
  <c r="AN59" i="3" s="1"/>
  <c r="AN50" i="3" a="1"/>
  <c r="AN50" i="3" s="1"/>
  <c r="AN30" i="3" a="1"/>
  <c r="AN30" i="3" s="1"/>
  <c r="AA126" i="3" a="1"/>
  <c r="AA126" i="3" s="1"/>
  <c r="AN29" i="3" a="1"/>
  <c r="AN29" i="3" s="1"/>
  <c r="AN28" i="3" a="1"/>
  <c r="AN28" i="3" s="1"/>
  <c r="AV124" i="3" s="1" a="1"/>
  <c r="AV124" i="3" s="1"/>
  <c r="AN10" i="3" a="1"/>
  <c r="AN10" i="3" s="1"/>
  <c r="G106" i="3" s="1" a="1"/>
  <c r="G106" i="3" s="1"/>
  <c r="AN43" i="3" a="1"/>
  <c r="AN43" i="3" s="1"/>
  <c r="AN27" i="3" a="1"/>
  <c r="AN27" i="3" s="1"/>
  <c r="BS123" i="3" s="1" a="1"/>
  <c r="BS123" i="3" s="1"/>
  <c r="AN9" i="3" a="1"/>
  <c r="AN9" i="3" s="1"/>
  <c r="AN7" i="3" a="1"/>
  <c r="AN7" i="3" s="1"/>
  <c r="D103" i="3" s="1" a="1"/>
  <c r="D103" i="3" s="1"/>
  <c r="AN20" i="3" a="1"/>
  <c r="AN20" i="3" s="1"/>
  <c r="Q109" i="3" s="1" a="1"/>
  <c r="Q109" i="3" s="1"/>
  <c r="AN12" i="3" a="1"/>
  <c r="AN12" i="3" s="1"/>
  <c r="AN32" i="3" a="1"/>
  <c r="AN32" i="3" s="1"/>
  <c r="AN23" i="3" a="1"/>
  <c r="AN23" i="3" s="1"/>
  <c r="AN14" i="3" a="1"/>
  <c r="AN14" i="3" s="1"/>
  <c r="K131" i="3" a="1"/>
  <c r="K131" i="3" s="1"/>
  <c r="K155" i="3" a="1"/>
  <c r="K155" i="3" s="1"/>
  <c r="AN25" i="3" a="1"/>
  <c r="AN25" i="3" s="1"/>
  <c r="K121" i="3" s="1" a="1"/>
  <c r="K121" i="3" s="1"/>
  <c r="AN6" i="3" a="1"/>
  <c r="AN6" i="3" s="1"/>
  <c r="C156" i="3" s="1" a="1"/>
  <c r="C156" i="3" s="1"/>
  <c r="AN36" i="3" a="1"/>
  <c r="AN36" i="3" s="1"/>
  <c r="AG109" i="3" s="1" a="1"/>
  <c r="AG109" i="3" s="1"/>
  <c r="AG132" i="3" a="1"/>
  <c r="AG132" i="3" s="1"/>
  <c r="AG149" i="3" a="1"/>
  <c r="AG149" i="3" s="1"/>
  <c r="AN37" i="3" a="1"/>
  <c r="AN37" i="3" s="1"/>
  <c r="AH144" i="3" s="1" a="1"/>
  <c r="AH144" i="3" s="1"/>
  <c r="AN42" i="3" a="1"/>
  <c r="AN42" i="3" s="1"/>
  <c r="AM116" i="3" s="1" a="1"/>
  <c r="AM116" i="3" s="1"/>
  <c r="AN49" i="3" a="1"/>
  <c r="AN49" i="3" s="1"/>
  <c r="AL145" i="3" s="1" a="1"/>
  <c r="AL145" i="3" s="1"/>
  <c r="AN44" i="3" a="1"/>
  <c r="AN44" i="3" s="1"/>
  <c r="AN52" i="3" a="1"/>
  <c r="AN52" i="3" s="1"/>
  <c r="BR148" i="3" s="1" a="1"/>
  <c r="BR148" i="3" s="1"/>
  <c r="AN46" i="3" a="1"/>
  <c r="AN46" i="3" s="1"/>
  <c r="AN55" i="3" a="1"/>
  <c r="AN55" i="3" s="1"/>
  <c r="AN58" i="3" a="1"/>
  <c r="AN58" i="3" s="1"/>
  <c r="BC155" i="3" a="1"/>
  <c r="BC155" i="3" s="1"/>
  <c r="AN65" i="3" a="1"/>
  <c r="AN65" i="3" s="1"/>
  <c r="BJ113" i="3" s="1" a="1"/>
  <c r="BJ113" i="3" s="1"/>
  <c r="AN34" i="3" a="1"/>
  <c r="AN34" i="3" s="1"/>
  <c r="AN18" i="3" a="1"/>
  <c r="AN18" i="3" s="1"/>
  <c r="O123" i="3" s="1" a="1"/>
  <c r="O123" i="3" s="1"/>
  <c r="AN41" i="3" a="1"/>
  <c r="AN41" i="3" s="1"/>
  <c r="AN62" i="3" a="1"/>
  <c r="AN62" i="3" s="1"/>
  <c r="BG113" i="3" s="1" a="1"/>
  <c r="BG113" i="3" s="1"/>
  <c r="AN69" i="3" a="1"/>
  <c r="AN69" i="3" s="1"/>
  <c r="AN70" i="3" a="1"/>
  <c r="AN70" i="3" s="1"/>
  <c r="AN45" i="3" a="1"/>
  <c r="AN45" i="3" s="1"/>
  <c r="AP156" i="3" s="1" a="1"/>
  <c r="AP156" i="3" s="1"/>
  <c r="AN57" i="3" a="1"/>
  <c r="AN57" i="3" s="1"/>
  <c r="BB103" i="3" a="1"/>
  <c r="BB103" i="3" s="1"/>
  <c r="AN71" i="3" a="1"/>
  <c r="AN71" i="3" s="1"/>
  <c r="BP113" i="3" s="1" a="1"/>
  <c r="BP113" i="3" s="1"/>
  <c r="AN21" i="3" a="1"/>
  <c r="AN21" i="3" s="1"/>
  <c r="R113" i="3" s="1" a="1"/>
  <c r="R113" i="3" s="1"/>
  <c r="R116" i="3" a="1"/>
  <c r="R116" i="3" s="1"/>
  <c r="R126" i="3" a="1"/>
  <c r="R126" i="3" s="1"/>
  <c r="R132" i="3" a="1"/>
  <c r="R132" i="3" s="1"/>
  <c r="R144" i="3" a="1"/>
  <c r="R144" i="3" s="1"/>
  <c r="R145" i="3" a="1"/>
  <c r="R145" i="3" s="1"/>
  <c r="AN72" i="3" a="1"/>
  <c r="AN72" i="3" s="1"/>
  <c r="BQ168" i="3" a="1"/>
  <c r="BQ168" i="3" s="1"/>
  <c r="AN63" i="3" a="1"/>
  <c r="AN63" i="3" s="1"/>
  <c r="BH172" i="3" s="1" a="1"/>
  <c r="BH172" i="3" s="1"/>
  <c r="AN40" i="3" a="1"/>
  <c r="AN40" i="3" s="1"/>
  <c r="AN66" i="3" a="1"/>
  <c r="AN66" i="3" s="1"/>
  <c r="AN74" i="3" a="1"/>
  <c r="AN74" i="3" s="1"/>
  <c r="R170" i="3" s="1" a="1"/>
  <c r="R170" i="3" s="1"/>
  <c r="BS116" i="3" a="1"/>
  <c r="BS116" i="3" s="1"/>
  <c r="BS134" i="3" a="1"/>
  <c r="BS134" i="3" s="1"/>
  <c r="AN73" i="3" a="1"/>
  <c r="AN73" i="3" s="1"/>
  <c r="BR117" i="3" a="1"/>
  <c r="BR117" i="3" s="1"/>
  <c r="BR159" i="3" a="1"/>
  <c r="BR159" i="3" s="1"/>
  <c r="BR140" i="3" a="1"/>
  <c r="BR140" i="3" s="1"/>
  <c r="BR164" i="3" a="1"/>
  <c r="BR164" i="3" s="1"/>
  <c r="BR170" i="3" a="1"/>
  <c r="BR170" i="3" s="1"/>
  <c r="AN61" i="3" a="1"/>
  <c r="AN61" i="3" s="1"/>
  <c r="AN67" i="3" a="1"/>
  <c r="AN67" i="3" s="1"/>
  <c r="BL132" i="3" s="1" a="1"/>
  <c r="BL132" i="3" s="1"/>
  <c r="AN51" i="3" a="1"/>
  <c r="AN51" i="3" s="1"/>
  <c r="AV172" i="3" s="1" a="1"/>
  <c r="AV172" i="3" s="1"/>
  <c r="AV132" i="3" a="1"/>
  <c r="AV132" i="3" s="1"/>
  <c r="AV113" i="3" a="1"/>
  <c r="AV113" i="3" s="1"/>
  <c r="AN77" i="3" a="1"/>
  <c r="AN77" i="3" s="1"/>
  <c r="BV158" i="3" a="1"/>
  <c r="BV158" i="3" s="1"/>
  <c r="AN54" i="3" a="1"/>
  <c r="AN54" i="3" s="1"/>
  <c r="AN47" i="3" a="1"/>
  <c r="AN47" i="3" s="1"/>
  <c r="AR144" i="3" s="1" a="1"/>
  <c r="AR144" i="3" s="1"/>
  <c r="AR116" i="3" a="1"/>
  <c r="AR116" i="3" s="1"/>
  <c r="AN24" i="3" a="1"/>
  <c r="AN24" i="3" s="1"/>
  <c r="AE5" i="3" a="1"/>
  <c r="AE5" i="3" s="1"/>
  <c r="AF5" i="3" a="1"/>
  <c r="AF5" i="3" s="1"/>
  <c r="AH5" i="3" a="1"/>
  <c r="AH5" i="3" s="1"/>
  <c r="AI5" i="3" a="1"/>
  <c r="AI5" i="3" s="1"/>
  <c r="AJ5" i="3" a="1"/>
  <c r="AJ5" i="3" s="1"/>
  <c r="AL5" i="3" a="1"/>
  <c r="AL5" i="3" s="1"/>
  <c r="AM5" i="3" a="1"/>
  <c r="AM5" i="3" s="1"/>
  <c r="AA5" i="3" a="1"/>
  <c r="AA5" i="3" s="1"/>
  <c r="AK5" i="3" a="1"/>
  <c r="AK5" i="3" s="1"/>
  <c r="AB5" i="3" a="1"/>
  <c r="AB5" i="3" s="1"/>
  <c r="Z5" i="3" a="1"/>
  <c r="Z5" i="3" s="1"/>
  <c r="AC5" i="3" a="1"/>
  <c r="AC5" i="3" s="1"/>
  <c r="Y5" i="3" a="1"/>
  <c r="Y5" i="3" s="1"/>
  <c r="AD5" i="3" a="1"/>
  <c r="AD5" i="3" s="1"/>
  <c r="AG5" i="3" a="1"/>
  <c r="AG5" i="3" s="1"/>
  <c r="BS138" i="3" l="1" a="1"/>
  <c r="BS138" i="3" s="1"/>
  <c r="O172" i="3" a="1"/>
  <c r="O172" i="3" s="1"/>
  <c r="AT121" i="3" a="1"/>
  <c r="AT121" i="3" s="1"/>
  <c r="V116" i="3" a="1"/>
  <c r="V116" i="3" s="1"/>
  <c r="AX144" i="3" a="1"/>
  <c r="AX144" i="3" s="1"/>
  <c r="Z171" i="3" a="1"/>
  <c r="Z171" i="3" s="1"/>
  <c r="AV126" i="3" a="1"/>
  <c r="AV126" i="3" s="1"/>
  <c r="AK114" i="3" a="1"/>
  <c r="AK114" i="3" s="1"/>
  <c r="R121" i="3" a="1"/>
  <c r="R121" i="3" s="1"/>
  <c r="AC111" i="3" a="1"/>
  <c r="AC111" i="3" s="1"/>
  <c r="AM125" i="3" a="1"/>
  <c r="AM125" i="3" s="1"/>
  <c r="AG138" i="3" a="1"/>
  <c r="AG138" i="3" s="1"/>
  <c r="BS119" i="3" a="1"/>
  <c r="BS119" i="3" s="1"/>
  <c r="X107" i="3" a="1"/>
  <c r="X107" i="3" s="1"/>
  <c r="AV110" i="3" a="1"/>
  <c r="AV110" i="3" s="1"/>
  <c r="BS132" i="3" a="1"/>
  <c r="BS132" i="3" s="1"/>
  <c r="O154" i="3" a="1"/>
  <c r="O154" i="3" s="1"/>
  <c r="R108" i="3" a="1"/>
  <c r="R108" i="3" s="1"/>
  <c r="AV148" i="3" a="1"/>
  <c r="AV148" i="3" s="1"/>
  <c r="BS141" i="3" a="1"/>
  <c r="BS141" i="3" s="1"/>
  <c r="BH114" i="3" a="1"/>
  <c r="BH114" i="3" s="1"/>
  <c r="BP161" i="3" a="1"/>
  <c r="BP161" i="3" s="1"/>
  <c r="O115" i="3" a="1"/>
  <c r="O115" i="3" s="1"/>
  <c r="AQ106" i="3" a="1"/>
  <c r="AQ106" i="3" s="1"/>
  <c r="Q113" i="3" a="1"/>
  <c r="Q113" i="3" s="1"/>
  <c r="AA131" i="3" a="1"/>
  <c r="AA131" i="3" s="1"/>
  <c r="O145" i="3" a="1"/>
  <c r="O145" i="3" s="1"/>
  <c r="U170" i="3" a="1"/>
  <c r="U170" i="3" s="1"/>
  <c r="AV117" i="3" a="1"/>
  <c r="AV117" i="3" s="1"/>
  <c r="BS144" i="3" a="1"/>
  <c r="BS144" i="3" s="1"/>
  <c r="BH168" i="3" a="1"/>
  <c r="BH168" i="3" s="1"/>
  <c r="O114" i="3" a="1"/>
  <c r="O114" i="3" s="1"/>
  <c r="AQ115" i="3" a="1"/>
  <c r="AQ115" i="3" s="1"/>
  <c r="V125" i="3" a="1"/>
  <c r="V125" i="3" s="1"/>
  <c r="AU131" i="3" a="1"/>
  <c r="AU131" i="3" s="1"/>
  <c r="AX172" i="3" a="1"/>
  <c r="AX172" i="3" s="1"/>
  <c r="BN127" i="3" a="1"/>
  <c r="BN127" i="3" s="1"/>
  <c r="BJ104" i="3" a="1"/>
  <c r="BJ104" i="3" s="1"/>
  <c r="L171" i="3" a="1"/>
  <c r="L171" i="3" s="1"/>
  <c r="BS170" i="3" a="1"/>
  <c r="BS170" i="3" s="1"/>
  <c r="O155" i="3" a="1"/>
  <c r="O155" i="3" s="1"/>
  <c r="V112" i="3" a="1"/>
  <c r="V112" i="3" s="1"/>
  <c r="AR141" i="3" a="1"/>
  <c r="AR141" i="3" s="1"/>
  <c r="BS155" i="3" a="1"/>
  <c r="BS155" i="3" s="1"/>
  <c r="BB106" i="3" a="1"/>
  <c r="BB106" i="3" s="1"/>
  <c r="AO160" i="3" a="1"/>
  <c r="AO160" i="3" s="1"/>
  <c r="V121" i="3" a="1"/>
  <c r="V121" i="3" s="1"/>
  <c r="BR104" i="3" a="1"/>
  <c r="BR104" i="3" s="1"/>
  <c r="AV114" i="3" a="1"/>
  <c r="AV114" i="3" s="1"/>
  <c r="BR126" i="3" a="1"/>
  <c r="BR126" i="3" s="1"/>
  <c r="BH115" i="3" a="1"/>
  <c r="BH115" i="3" s="1"/>
  <c r="R104" i="3" a="1"/>
  <c r="R104" i="3" s="1"/>
  <c r="BB128" i="3" a="1"/>
  <c r="BB128" i="3" s="1"/>
  <c r="BC111" i="3" a="1"/>
  <c r="BC111" i="3" s="1"/>
  <c r="Q115" i="3" a="1"/>
  <c r="Q115" i="3" s="1"/>
  <c r="BC148" i="3" a="1"/>
  <c r="BC148" i="3" s="1"/>
  <c r="U169" i="3" a="1"/>
  <c r="U169" i="3" s="1"/>
  <c r="AV161" i="3" a="1"/>
  <c r="AV161" i="3" s="1"/>
  <c r="BS133" i="3" a="1"/>
  <c r="BS133" i="3" s="1"/>
  <c r="BC133" i="3" a="1"/>
  <c r="BC133" i="3" s="1"/>
  <c r="V132" i="3" a="1"/>
  <c r="V132" i="3" s="1"/>
  <c r="BD107" i="3" a="1"/>
  <c r="BD107" i="3" s="1"/>
  <c r="V135" i="3" a="1"/>
  <c r="V135" i="3" s="1"/>
  <c r="BS167" i="3" a="1"/>
  <c r="BS167" i="3" s="1"/>
  <c r="BB142" i="3" a="1"/>
  <c r="BB142" i="3" s="1"/>
  <c r="W171" i="3" a="1"/>
  <c r="W171" i="3" s="1"/>
  <c r="U171" i="3" a="1"/>
  <c r="U171" i="3" s="1"/>
  <c r="BS121" i="3" a="1"/>
  <c r="BS121" i="3" s="1"/>
  <c r="BP145" i="3" a="1"/>
  <c r="BP145" i="3" s="1"/>
  <c r="BC128" i="3" a="1"/>
  <c r="BC128" i="3" s="1"/>
  <c r="K108" i="3" a="1"/>
  <c r="K108" i="3" s="1"/>
  <c r="F104" i="3" a="1"/>
  <c r="F104" i="3" s="1"/>
  <c r="AI122" i="3" a="1"/>
  <c r="AI122" i="3" s="1"/>
  <c r="M171" i="3" a="1"/>
  <c r="M171" i="3" s="1"/>
  <c r="U113" i="3" a="1"/>
  <c r="U113" i="3" s="1"/>
  <c r="AV116" i="3" a="1"/>
  <c r="AV116" i="3" s="1"/>
  <c r="BS115" i="3" a="1"/>
  <c r="BS115" i="3" s="1"/>
  <c r="BS112" i="3" a="1"/>
  <c r="BS112" i="3" s="1"/>
  <c r="BQ140" i="3" a="1"/>
  <c r="BQ140" i="3" s="1"/>
  <c r="BP129" i="3" a="1"/>
  <c r="BP129" i="3" s="1"/>
  <c r="BO145" i="3" a="1"/>
  <c r="BO145" i="3" s="1"/>
  <c r="BC129" i="3" a="1"/>
  <c r="BC129" i="3" s="1"/>
  <c r="AH156" i="3" a="1"/>
  <c r="AH156" i="3" s="1"/>
  <c r="V144" i="3" a="1"/>
  <c r="V144" i="3" s="1"/>
  <c r="K111" i="3" a="1"/>
  <c r="K111" i="3" s="1"/>
  <c r="BS129" i="3" a="1"/>
  <c r="BS129" i="3" s="1"/>
  <c r="AG129" i="3" a="1"/>
  <c r="AG129" i="3" s="1"/>
  <c r="AH171" i="3" a="1"/>
  <c r="AH171" i="3" s="1"/>
  <c r="AV166" i="3" a="1"/>
  <c r="AV166" i="3" s="1"/>
  <c r="BF107" i="3" a="1"/>
  <c r="BF107" i="3" s="1"/>
  <c r="BS104" i="3" a="1"/>
  <c r="BS104" i="3" s="1"/>
  <c r="BS130" i="3" a="1"/>
  <c r="BS130" i="3" s="1"/>
  <c r="BQ109" i="3" a="1"/>
  <c r="BQ109" i="3" s="1"/>
  <c r="BP126" i="3" a="1"/>
  <c r="BP126" i="3" s="1"/>
  <c r="AE121" i="3" a="1"/>
  <c r="AE121" i="3" s="1"/>
  <c r="BC107" i="3" a="1"/>
  <c r="BC107" i="3" s="1"/>
  <c r="AH126" i="3" a="1"/>
  <c r="AH126" i="3" s="1"/>
  <c r="V124" i="3" a="1"/>
  <c r="V124" i="3" s="1"/>
  <c r="BI156" i="3" a="1"/>
  <c r="BI156" i="3" s="1"/>
  <c r="AY125" i="3" a="1"/>
  <c r="AY125" i="3" s="1"/>
  <c r="Q171" i="3" a="1"/>
  <c r="Q171" i="3" s="1"/>
  <c r="J53" i="5"/>
  <c r="U104" i="3" a="1"/>
  <c r="U104" i="3" s="1"/>
  <c r="AV121" i="3" a="1"/>
  <c r="AV121" i="3" s="1"/>
  <c r="R128" i="3" a="1"/>
  <c r="R128" i="3" s="1"/>
  <c r="BP104" i="3" a="1"/>
  <c r="BP104" i="3" s="1"/>
  <c r="BJ138" i="3" a="1"/>
  <c r="BJ138" i="3" s="1"/>
  <c r="AZ125" i="3" a="1"/>
  <c r="AZ125" i="3" s="1"/>
  <c r="AH116" i="3" a="1"/>
  <c r="AH116" i="3" s="1"/>
  <c r="V171" i="3" a="1"/>
  <c r="V171" i="3" s="1"/>
  <c r="AN125" i="3" a="1"/>
  <c r="AN125" i="3" s="1"/>
  <c r="J104" i="3" a="1"/>
  <c r="J104" i="3" s="1"/>
  <c r="BC171" i="3" a="1"/>
  <c r="BC171" i="3" s="1"/>
  <c r="AR136" i="3" a="1"/>
  <c r="AR136" i="3" s="1"/>
  <c r="AV128" i="3" a="1"/>
  <c r="AV128" i="3" s="1"/>
  <c r="BJ149" i="3" a="1"/>
  <c r="BJ149" i="3" s="1"/>
  <c r="AQ125" i="3" a="1"/>
  <c r="AQ125" i="3" s="1"/>
  <c r="V129" i="3" a="1"/>
  <c r="V129" i="3" s="1"/>
  <c r="AC123" i="3" a="1"/>
  <c r="AC123" i="3" s="1"/>
  <c r="AZ3" i="5"/>
  <c r="AV3" i="5"/>
  <c r="J48" i="5"/>
  <c r="J67" i="5"/>
  <c r="J39" i="5"/>
  <c r="J18" i="5"/>
  <c r="J29" i="5"/>
  <c r="J61" i="5"/>
  <c r="AR135" i="3" a="1"/>
  <c r="AR135" i="3" s="1"/>
  <c r="AV108" i="3" a="1"/>
  <c r="AV108" i="3" s="1"/>
  <c r="AV129" i="3" a="1"/>
  <c r="AV129" i="3" s="1"/>
  <c r="AV156" i="3" a="1"/>
  <c r="AV156" i="3" s="1"/>
  <c r="BR155" i="3" a="1"/>
  <c r="BR155" i="3" s="1"/>
  <c r="BS172" i="3" a="1"/>
  <c r="BS172" i="3" s="1"/>
  <c r="BS109" i="3" a="1"/>
  <c r="BS109" i="3" s="1"/>
  <c r="BS171" i="3" a="1"/>
  <c r="BS171" i="3" s="1"/>
  <c r="BH129" i="3" a="1"/>
  <c r="BH129" i="3" s="1"/>
  <c r="BQ107" i="3" a="1"/>
  <c r="BQ107" i="3" s="1"/>
  <c r="R124" i="3" a="1"/>
  <c r="R124" i="3" s="1"/>
  <c r="R110" i="3" a="1"/>
  <c r="R110" i="3" s="1"/>
  <c r="BP116" i="3" a="1"/>
  <c r="BP116" i="3" s="1"/>
  <c r="AP111" i="3" a="1"/>
  <c r="AP111" i="3" s="1"/>
  <c r="AL111" i="3" a="1"/>
  <c r="AL111" i="3" s="1"/>
  <c r="O112" i="3" a="1"/>
  <c r="O112" i="3" s="1"/>
  <c r="BJ103" i="3" a="1"/>
  <c r="BJ103" i="3" s="1"/>
  <c r="BC108" i="3" a="1"/>
  <c r="BC108" i="3" s="1"/>
  <c r="AQ113" i="3" a="1"/>
  <c r="AQ113" i="3" s="1"/>
  <c r="AM109" i="3" a="1"/>
  <c r="AM109" i="3" s="1"/>
  <c r="AG155" i="3" a="1"/>
  <c r="AG155" i="3" s="1"/>
  <c r="AG126" i="3" a="1"/>
  <c r="AG126" i="3" s="1"/>
  <c r="V126" i="3" a="1"/>
  <c r="V126" i="3" s="1"/>
  <c r="V104" i="3" a="1"/>
  <c r="V104" i="3" s="1"/>
  <c r="AC106" i="3" a="1"/>
  <c r="AC106" i="3" s="1"/>
  <c r="Q103" i="3" a="1"/>
  <c r="Q103" i="3" s="1"/>
  <c r="X144" i="3" a="1"/>
  <c r="X144" i="3" s="1"/>
  <c r="Z146" i="3" a="1"/>
  <c r="Z146" i="3" s="1"/>
  <c r="BE122" i="3" a="1"/>
  <c r="BE122" i="3" s="1"/>
  <c r="Z3" i="5"/>
  <c r="BV3" i="5"/>
  <c r="AF3" i="5"/>
  <c r="BC3" i="5"/>
  <c r="J44" i="5"/>
  <c r="J23" i="5"/>
  <c r="J38" i="5"/>
  <c r="J13" i="5"/>
  <c r="J69" i="5"/>
  <c r="J49" i="5"/>
  <c r="AR145" i="3" a="1"/>
  <c r="AR145" i="3" s="1"/>
  <c r="AV134" i="3" a="1"/>
  <c r="AV134" i="3" s="1"/>
  <c r="AV152" i="3" a="1"/>
  <c r="AV152" i="3" s="1"/>
  <c r="BR135" i="3" a="1"/>
  <c r="BR135" i="3" s="1"/>
  <c r="BS135" i="3" a="1"/>
  <c r="BS135" i="3" s="1"/>
  <c r="BH113" i="3" a="1"/>
  <c r="BH113" i="3" s="1"/>
  <c r="BQ135" i="3" a="1"/>
  <c r="BQ135" i="3" s="1"/>
  <c r="O135" i="3" a="1"/>
  <c r="O135" i="3" s="1"/>
  <c r="AM113" i="3" a="1"/>
  <c r="AM113" i="3" s="1"/>
  <c r="AG110" i="3" a="1"/>
  <c r="AG110" i="3" s="1"/>
  <c r="AG112" i="3" a="1"/>
  <c r="AG112" i="3" s="1"/>
  <c r="V113" i="3" a="1"/>
  <c r="V113" i="3" s="1"/>
  <c r="AA135" i="3" a="1"/>
  <c r="AA135" i="3" s="1"/>
  <c r="AB134" i="3" a="1"/>
  <c r="AB134" i="3" s="1"/>
  <c r="AG115" i="3" a="1"/>
  <c r="AG115" i="3" s="1"/>
  <c r="BT134" i="3" a="1"/>
  <c r="BT134" i="3" s="1"/>
  <c r="J64" i="5"/>
  <c r="J7" i="5"/>
  <c r="J36" i="5"/>
  <c r="J30" i="5"/>
  <c r="J40" i="5"/>
  <c r="J37" i="5"/>
  <c r="BM3" i="5"/>
  <c r="AR129" i="3" a="1"/>
  <c r="AR129" i="3" s="1"/>
  <c r="AV167" i="3" a="1"/>
  <c r="AV167" i="3" s="1"/>
  <c r="AV135" i="3" a="1"/>
  <c r="AV135" i="3" s="1"/>
  <c r="BS161" i="3" a="1"/>
  <c r="BS161" i="3" s="1"/>
  <c r="BS124" i="3" a="1"/>
  <c r="BS124" i="3" s="1"/>
  <c r="BS152" i="3" a="1"/>
  <c r="BS152" i="3" s="1"/>
  <c r="BH142" i="3" a="1"/>
  <c r="BH142" i="3" s="1"/>
  <c r="BQ138" i="3" a="1"/>
  <c r="BQ138" i="3" s="1"/>
  <c r="R171" i="3" a="1"/>
  <c r="R171" i="3" s="1"/>
  <c r="R111" i="3" a="1"/>
  <c r="R111" i="3" s="1"/>
  <c r="BP151" i="3" a="1"/>
  <c r="BP151" i="3" s="1"/>
  <c r="O104" i="3" a="1"/>
  <c r="O104" i="3" s="1"/>
  <c r="BC156" i="3" a="1"/>
  <c r="BC156" i="3" s="1"/>
  <c r="AZ121" i="3" a="1"/>
  <c r="AZ121" i="3" s="1"/>
  <c r="AW110" i="3" a="1"/>
  <c r="AW110" i="3" s="1"/>
  <c r="AG133" i="3" a="1"/>
  <c r="AG133" i="3" s="1"/>
  <c r="AG111" i="3" a="1"/>
  <c r="AG111" i="3" s="1"/>
  <c r="V115" i="3" a="1"/>
  <c r="V115" i="3" s="1"/>
  <c r="V109" i="3" a="1"/>
  <c r="V109" i="3" s="1"/>
  <c r="D149" i="3" a="1"/>
  <c r="D149" i="3" s="1"/>
  <c r="X104" i="3" a="1"/>
  <c r="X104" i="3" s="1"/>
  <c r="AA134" i="3" a="1"/>
  <c r="AA134" i="3" s="1"/>
  <c r="BD113" i="3" a="1"/>
  <c r="BD113" i="3" s="1"/>
  <c r="AD113" i="3" a="1"/>
  <c r="AD113" i="3" s="1"/>
  <c r="H104" i="3" a="1"/>
  <c r="H104" i="3" s="1"/>
  <c r="BT122" i="3" a="1"/>
  <c r="BT122" i="3" s="1"/>
  <c r="AS3" i="5"/>
  <c r="T3" i="5"/>
  <c r="R3" i="5"/>
  <c r="M3" i="5"/>
  <c r="AK3" i="5"/>
  <c r="AJ3" i="5"/>
  <c r="CD3" i="5"/>
  <c r="AX3" i="5"/>
  <c r="BZ3" i="5"/>
  <c r="AW3" i="5"/>
  <c r="L3" i="5"/>
  <c r="J11" i="5"/>
  <c r="J73" i="5"/>
  <c r="J63" i="5"/>
  <c r="J20" i="5"/>
  <c r="J15" i="5"/>
  <c r="J31" i="5"/>
  <c r="AR114" i="3" a="1"/>
  <c r="AR114" i="3" s="1"/>
  <c r="AV122" i="3" a="1"/>
  <c r="AV122" i="3" s="1"/>
  <c r="BL164" i="3" a="1"/>
  <c r="BL164" i="3" s="1"/>
  <c r="BS146" i="3" a="1"/>
  <c r="BS146" i="3" s="1"/>
  <c r="BQ116" i="3" a="1"/>
  <c r="BQ116" i="3" s="1"/>
  <c r="R153" i="3" a="1"/>
  <c r="R153" i="3" s="1"/>
  <c r="BB113" i="3" a="1"/>
  <c r="BB113" i="3" s="1"/>
  <c r="BN125" i="3" a="1"/>
  <c r="BN125" i="3" s="1"/>
  <c r="AE172" i="3" a="1"/>
  <c r="AE172" i="3" s="1"/>
  <c r="AZ149" i="3" a="1"/>
  <c r="AZ149" i="3" s="1"/>
  <c r="AO144" i="3" a="1"/>
  <c r="AO144" i="3" s="1"/>
  <c r="AM134" i="3" a="1"/>
  <c r="AM134" i="3" s="1"/>
  <c r="AG156" i="3" a="1"/>
  <c r="AG156" i="3" s="1"/>
  <c r="AG172" i="3" a="1"/>
  <c r="AG172" i="3" s="1"/>
  <c r="AC129" i="3" a="1"/>
  <c r="AC129" i="3" s="1"/>
  <c r="D164" i="3" a="1"/>
  <c r="D164" i="3" s="1"/>
  <c r="AN160" i="3" a="1"/>
  <c r="AN160" i="3" s="1"/>
  <c r="AA104" i="3" a="1"/>
  <c r="AA104" i="3" s="1"/>
  <c r="BM156" i="3" a="1"/>
  <c r="BM156" i="3" s="1"/>
  <c r="BI118" i="3" a="1"/>
  <c r="BI118" i="3" s="1"/>
  <c r="BT149" i="3" a="1"/>
  <c r="BT149" i="3" s="1"/>
  <c r="BX3" i="5"/>
  <c r="BD3" i="5"/>
  <c r="BA3" i="5"/>
  <c r="O3" i="5"/>
  <c r="J70" i="5"/>
  <c r="J47" i="5"/>
  <c r="J28" i="5"/>
  <c r="J8" i="5"/>
  <c r="J17" i="5"/>
  <c r="J21" i="5"/>
  <c r="W3" i="5"/>
  <c r="AR133" i="3" a="1"/>
  <c r="AR133" i="3" s="1"/>
  <c r="BS122" i="3" a="1"/>
  <c r="BS122" i="3" s="1"/>
  <c r="BH108" i="3" a="1"/>
  <c r="BH108" i="3" s="1"/>
  <c r="BQ119" i="3" a="1"/>
  <c r="BQ119" i="3" s="1"/>
  <c r="R106" i="3" a="1"/>
  <c r="R106" i="3" s="1"/>
  <c r="BP164" i="3" a="1"/>
  <c r="BP164" i="3" s="1"/>
  <c r="BN133" i="3" a="1"/>
  <c r="BN133" i="3" s="1"/>
  <c r="O146" i="3" a="1"/>
  <c r="O146" i="3" s="1"/>
  <c r="AZ108" i="3" a="1"/>
  <c r="AZ108" i="3" s="1"/>
  <c r="AG108" i="3" a="1"/>
  <c r="AG108" i="3" s="1"/>
  <c r="I113" i="3" a="1"/>
  <c r="I113" i="3" s="1"/>
  <c r="D146" i="3" a="1"/>
  <c r="D146" i="3" s="1"/>
  <c r="BM122" i="3" a="1"/>
  <c r="BM122" i="3" s="1"/>
  <c r="AL3" i="5"/>
  <c r="BQ3" i="5"/>
  <c r="AQ3" i="5"/>
  <c r="BO3" i="5"/>
  <c r="BU3" i="5"/>
  <c r="J60" i="5"/>
  <c r="J26" i="5"/>
  <c r="J59" i="5"/>
  <c r="J4" i="5"/>
  <c r="J12" i="5"/>
  <c r="J16" i="5"/>
  <c r="AR119" i="3" a="1"/>
  <c r="AR119" i="3" s="1"/>
  <c r="BR168" i="3" a="1"/>
  <c r="BR168" i="3" s="1"/>
  <c r="BQ122" i="3" a="1"/>
  <c r="BQ122" i="3" s="1"/>
  <c r="BQ114" i="3" a="1"/>
  <c r="BQ114" i="3" s="1"/>
  <c r="BB160" i="3" a="1"/>
  <c r="BB160" i="3" s="1"/>
  <c r="BN118" i="3" a="1"/>
  <c r="BN118" i="3" s="1"/>
  <c r="O151" i="3" a="1"/>
  <c r="O151" i="3" s="1"/>
  <c r="BJ135" i="3" a="1"/>
  <c r="BJ135" i="3" s="1"/>
  <c r="AZ152" i="3" a="1"/>
  <c r="AZ152" i="3" s="1"/>
  <c r="AG146" i="3" a="1"/>
  <c r="AG146" i="3" s="1"/>
  <c r="C106" i="3" a="1"/>
  <c r="C106" i="3" s="1"/>
  <c r="V146" i="3" a="1"/>
  <c r="V146" i="3" s="1"/>
  <c r="K164" i="3" a="1"/>
  <c r="K164" i="3" s="1"/>
  <c r="I164" i="3" a="1"/>
  <c r="I164" i="3" s="1"/>
  <c r="D107" i="3" a="1"/>
  <c r="D107" i="3" s="1"/>
  <c r="G164" i="3" a="1"/>
  <c r="G164" i="3" s="1"/>
  <c r="BM171" i="3" a="1"/>
  <c r="BM171" i="3" s="1"/>
  <c r="AI149" i="3" a="1"/>
  <c r="AI149" i="3" s="1"/>
  <c r="AT3" i="5"/>
  <c r="AY3" i="5"/>
  <c r="BW3" i="5"/>
  <c r="J71" i="5"/>
  <c r="J74" i="5"/>
  <c r="J45" i="5"/>
  <c r="J55" i="5"/>
  <c r="J27" i="5"/>
  <c r="J9" i="5"/>
  <c r="J5" i="5"/>
  <c r="U138" i="3" a="1"/>
  <c r="U138" i="3" s="1"/>
  <c r="AR109" i="3" a="1"/>
  <c r="AR109" i="3" s="1"/>
  <c r="AV130" i="3" a="1"/>
  <c r="AV130" i="3" s="1"/>
  <c r="AV104" i="3" a="1"/>
  <c r="AV104" i="3" s="1"/>
  <c r="BR154" i="3" a="1"/>
  <c r="BR154" i="3" s="1"/>
  <c r="BR152" i="3" a="1"/>
  <c r="BR152" i="3" s="1"/>
  <c r="BS106" i="3" a="1"/>
  <c r="BS106" i="3" s="1"/>
  <c r="BS156" i="3" a="1"/>
  <c r="BS156" i="3" s="1"/>
  <c r="AK108" i="3" a="1"/>
  <c r="AK108" i="3" s="1"/>
  <c r="BQ156" i="3" a="1"/>
  <c r="BQ156" i="3" s="1"/>
  <c r="BQ115" i="3" a="1"/>
  <c r="BQ115" i="3" s="1"/>
  <c r="R119" i="3" a="1"/>
  <c r="R119" i="3" s="1"/>
  <c r="BP135" i="3" a="1"/>
  <c r="BP135" i="3" s="1"/>
  <c r="BN152" i="3" a="1"/>
  <c r="BN152" i="3" s="1"/>
  <c r="O121" i="3" a="1"/>
  <c r="O121" i="3" s="1"/>
  <c r="BJ132" i="3" a="1"/>
  <c r="BJ132" i="3" s="1"/>
  <c r="BC131" i="3" a="1"/>
  <c r="BC131" i="3" s="1"/>
  <c r="AZ156" i="3" a="1"/>
  <c r="AZ156" i="3" s="1"/>
  <c r="AG103" i="3" a="1"/>
  <c r="AG103" i="3" s="1"/>
  <c r="C135" i="3" a="1"/>
  <c r="C135" i="3" s="1"/>
  <c r="V160" i="3" a="1"/>
  <c r="V160" i="3" s="1"/>
  <c r="I112" i="3" a="1"/>
  <c r="I112" i="3" s="1"/>
  <c r="G144" i="3" a="1"/>
  <c r="G144" i="3" s="1"/>
  <c r="AU111" i="3" a="1"/>
  <c r="AU111" i="3" s="1"/>
  <c r="BM109" i="3" a="1"/>
  <c r="BM109" i="3" s="1"/>
  <c r="M107" i="3" a="1"/>
  <c r="M107" i="3" s="1"/>
  <c r="AI171" i="3" a="1"/>
  <c r="AI171" i="3" s="1"/>
  <c r="W122" i="3" a="1"/>
  <c r="W122" i="3" s="1"/>
  <c r="BG3" i="5"/>
  <c r="AN3" i="5"/>
  <c r="CC3" i="5"/>
  <c r="J68" i="5"/>
  <c r="J62" i="5"/>
  <c r="J25" i="5"/>
  <c r="J52" i="5"/>
  <c r="J22" i="5"/>
  <c r="J66" i="5"/>
  <c r="AM3" i="5"/>
  <c r="BQ151" i="3" a="1"/>
  <c r="BQ151" i="3" s="1"/>
  <c r="BQ103" i="3" a="1"/>
  <c r="BQ103" i="3" s="1"/>
  <c r="BN109" i="3" a="1"/>
  <c r="BN109" i="3" s="1"/>
  <c r="AM164" i="3" a="1"/>
  <c r="AM164" i="3" s="1"/>
  <c r="K135" i="3" a="1"/>
  <c r="K135" i="3" s="1"/>
  <c r="D109" i="3" a="1"/>
  <c r="D109" i="3" s="1"/>
  <c r="G104" i="3" a="1"/>
  <c r="G104" i="3" s="1"/>
  <c r="AU129" i="3" a="1"/>
  <c r="AU129" i="3" s="1"/>
  <c r="BM134" i="3" a="1"/>
  <c r="BM134" i="3" s="1"/>
  <c r="BA152" i="3" a="1"/>
  <c r="BA152" i="3" s="1"/>
  <c r="Q3" i="5"/>
  <c r="BY3" i="5"/>
  <c r="N3" i="5"/>
  <c r="AI3" i="5"/>
  <c r="AE3" i="5"/>
  <c r="BP3" i="5"/>
  <c r="BB3" i="5"/>
  <c r="J65" i="5"/>
  <c r="J57" i="5"/>
  <c r="J56" i="5"/>
  <c r="J43" i="5"/>
  <c r="AQ105" i="3" a="1"/>
  <c r="AQ105" i="3" s="1"/>
  <c r="AM135" i="3" a="1"/>
  <c r="AM135" i="3" s="1"/>
  <c r="F125" i="3" a="1"/>
  <c r="F125" i="3" s="1"/>
  <c r="AU122" i="3" a="1"/>
  <c r="AU122" i="3" s="1"/>
  <c r="AD3" i="5"/>
  <c r="AU3" i="5"/>
  <c r="CA3" i="5"/>
  <c r="BL3" i="5"/>
  <c r="V3" i="5"/>
  <c r="AB3" i="5"/>
  <c r="P3" i="5"/>
  <c r="AH3" i="5"/>
  <c r="CB3" i="5"/>
  <c r="J51" i="5"/>
  <c r="J14" i="5"/>
  <c r="J35" i="5"/>
  <c r="J32" i="5"/>
  <c r="J58" i="5"/>
  <c r="J46" i="5"/>
  <c r="BJ3" i="5"/>
  <c r="AR110" i="3" a="1"/>
  <c r="AR110" i="3" s="1"/>
  <c r="AV119" i="3" a="1"/>
  <c r="AV119" i="3" s="1"/>
  <c r="BH167" i="3" a="1"/>
  <c r="BH167" i="3" s="1"/>
  <c r="BQ149" i="3" a="1"/>
  <c r="BQ149" i="3" s="1"/>
  <c r="BB109" i="3" a="1"/>
  <c r="BB109" i="3" s="1"/>
  <c r="O109" i="3" a="1"/>
  <c r="O109" i="3" s="1"/>
  <c r="BJ109" i="3" a="1"/>
  <c r="BJ109" i="3" s="1"/>
  <c r="AM132" i="3" a="1"/>
  <c r="AM132" i="3" s="1"/>
  <c r="AH106" i="3" a="1"/>
  <c r="AH106" i="3" s="1"/>
  <c r="AG104" i="3" a="1"/>
  <c r="AG104" i="3" s="1"/>
  <c r="F133" i="3" a="1"/>
  <c r="F133" i="3" s="1"/>
  <c r="AU115" i="3" a="1"/>
  <c r="AU115" i="3" s="1"/>
  <c r="J122" i="3" a="1"/>
  <c r="J122" i="3" s="1"/>
  <c r="E122" i="3" a="1"/>
  <c r="E122" i="3" s="1"/>
  <c r="AX122" i="3" a="1"/>
  <c r="AX122" i="3" s="1"/>
  <c r="AR3" i="5"/>
  <c r="U3" i="5"/>
  <c r="BI3" i="5"/>
  <c r="AA3" i="5"/>
  <c r="BH3" i="5"/>
  <c r="S3" i="5"/>
  <c r="AO3" i="5"/>
  <c r="AC3" i="5"/>
  <c r="J72" i="5"/>
  <c r="J75" i="5"/>
  <c r="J34" i="5"/>
  <c r="J19" i="5"/>
  <c r="J50" i="5"/>
  <c r="J24" i="5"/>
  <c r="AR151" i="3" a="1"/>
  <c r="AR151" i="3" s="1"/>
  <c r="BV111" i="3" a="1"/>
  <c r="BV111" i="3" s="1"/>
  <c r="AV151" i="3" a="1"/>
  <c r="AV151" i="3" s="1"/>
  <c r="AV103" i="3" a="1"/>
  <c r="AV103" i="3" s="1"/>
  <c r="BR129" i="3" a="1"/>
  <c r="BR129" i="3" s="1"/>
  <c r="BS145" i="3" a="1"/>
  <c r="BS145" i="3" s="1"/>
  <c r="BS107" i="3" a="1"/>
  <c r="BS107" i="3" s="1"/>
  <c r="BS108" i="3" a="1"/>
  <c r="BS108" i="3" s="1"/>
  <c r="BH140" i="3" a="1"/>
  <c r="BH140" i="3" s="1"/>
  <c r="BQ155" i="3" a="1"/>
  <c r="BQ155" i="3" s="1"/>
  <c r="R138" i="3" a="1"/>
  <c r="R138" i="3" s="1"/>
  <c r="BP122" i="3" a="1"/>
  <c r="BP122" i="3" s="1"/>
  <c r="AP131" i="3" a="1"/>
  <c r="AP131" i="3" s="1"/>
  <c r="AL156" i="3" a="1"/>
  <c r="AL156" i="3" s="1"/>
  <c r="BJ121" i="3" a="1"/>
  <c r="BJ121" i="3" s="1"/>
  <c r="BC123" i="3" a="1"/>
  <c r="BC123" i="3" s="1"/>
  <c r="AQ145" i="3" a="1"/>
  <c r="AQ145" i="3" s="1"/>
  <c r="AM149" i="3" a="1"/>
  <c r="AM149" i="3" s="1"/>
  <c r="AH154" i="3" a="1"/>
  <c r="AH154" i="3" s="1"/>
  <c r="AG113" i="3" a="1"/>
  <c r="AG113" i="3" s="1"/>
  <c r="V172" i="3" a="1"/>
  <c r="V172" i="3" s="1"/>
  <c r="V128" i="3" a="1"/>
  <c r="V128" i="3" s="1"/>
  <c r="AA110" i="3" a="1"/>
  <c r="AA110" i="3" s="1"/>
  <c r="Q131" i="3" a="1"/>
  <c r="Q131" i="3" s="1"/>
  <c r="F113" i="3" a="1"/>
  <c r="F113" i="3" s="1"/>
  <c r="Z172" i="3" a="1"/>
  <c r="Z172" i="3" s="1"/>
  <c r="AU172" i="3" a="1"/>
  <c r="AU172" i="3" s="1"/>
  <c r="J109" i="3" a="1"/>
  <c r="J109" i="3" s="1"/>
  <c r="AF172" i="3" a="1"/>
  <c r="AF172" i="3" s="1"/>
  <c r="BU104" i="3" a="1"/>
  <c r="BU104" i="3" s="1"/>
  <c r="AG3" i="5"/>
  <c r="BF3" i="5"/>
  <c r="BE3" i="5"/>
  <c r="J42" i="5"/>
  <c r="J33" i="5"/>
  <c r="J6" i="5"/>
  <c r="J54" i="5"/>
  <c r="J41" i="5"/>
  <c r="J10" i="5"/>
  <c r="BN3" i="5"/>
  <c r="G3" i="5"/>
  <c r="Y3" i="5"/>
  <c r="X3" i="5"/>
  <c r="BT3" i="5"/>
  <c r="BR3" i="5"/>
  <c r="BS3" i="5"/>
  <c r="BK3" i="5"/>
  <c r="AP3" i="5"/>
  <c r="BL130" i="3" a="1"/>
  <c r="BL130" i="3" s="1"/>
  <c r="Z155" i="3" a="1"/>
  <c r="Z155" i="3" s="1"/>
  <c r="AB171" i="3" a="1"/>
  <c r="AB171" i="3" s="1"/>
  <c r="AV139" i="3" a="1"/>
  <c r="AV139" i="3" s="1"/>
  <c r="AL132" i="3" a="1"/>
  <c r="AL132" i="3" s="1"/>
  <c r="R118" i="3" a="1"/>
  <c r="R118" i="3" s="1"/>
  <c r="BB153" i="3" a="1"/>
  <c r="BB153" i="3" s="1"/>
  <c r="AL168" i="3" a="1"/>
  <c r="AL168" i="3" s="1"/>
  <c r="AL161" i="3" a="1"/>
  <c r="AL161" i="3" s="1"/>
  <c r="AQ104" i="3" a="1"/>
  <c r="AQ104" i="3" s="1"/>
  <c r="D125" i="3" a="1"/>
  <c r="D125" i="3" s="1"/>
  <c r="F126" i="3" a="1"/>
  <c r="F126" i="3" s="1"/>
  <c r="AR149" i="3" a="1"/>
  <c r="AR149" i="3" s="1"/>
  <c r="AR105" i="3" a="1"/>
  <c r="AR105" i="3" s="1"/>
  <c r="BF153" i="3" a="1"/>
  <c r="BF153" i="3" s="1"/>
  <c r="BR114" i="3" a="1"/>
  <c r="BR114" i="3" s="1"/>
  <c r="BR103" i="3" a="1"/>
  <c r="BR103" i="3" s="1"/>
  <c r="BH164" i="3" a="1"/>
  <c r="BH164" i="3" s="1"/>
  <c r="BH122" i="3" a="1"/>
  <c r="BH122" i="3" s="1"/>
  <c r="BQ141" i="3" a="1"/>
  <c r="BQ141" i="3" s="1"/>
  <c r="R160" i="3" a="1"/>
  <c r="R160" i="3" s="1"/>
  <c r="BB145" i="3" a="1"/>
  <c r="BB145" i="3" s="1"/>
  <c r="BB165" i="3" a="1"/>
  <c r="BB165" i="3" s="1"/>
  <c r="BB110" i="3" a="1"/>
  <c r="BB110" i="3" s="1"/>
  <c r="BN112" i="3" a="1"/>
  <c r="BN112" i="3" s="1"/>
  <c r="AL140" i="3" a="1"/>
  <c r="AL140" i="3" s="1"/>
  <c r="AL118" i="3" a="1"/>
  <c r="AL118" i="3" s="1"/>
  <c r="AE135" i="3" a="1"/>
  <c r="AE135" i="3" s="1"/>
  <c r="BJ148" i="3" a="1"/>
  <c r="BJ148" i="3" s="1"/>
  <c r="BJ105" i="3" a="1"/>
  <c r="BJ105" i="3" s="1"/>
  <c r="BC160" i="3" a="1"/>
  <c r="BC160" i="3" s="1"/>
  <c r="BC104" i="3" a="1"/>
  <c r="BC104" i="3" s="1"/>
  <c r="AZ133" i="3" a="1"/>
  <c r="AZ133" i="3" s="1"/>
  <c r="AQ155" i="3" a="1"/>
  <c r="AQ155" i="3" s="1"/>
  <c r="AQ121" i="3" a="1"/>
  <c r="AQ121" i="3" s="1"/>
  <c r="AH160" i="3" a="1"/>
  <c r="AH160" i="3" s="1"/>
  <c r="AG125" i="3" a="1"/>
  <c r="AG125" i="3" s="1"/>
  <c r="V107" i="3" a="1"/>
  <c r="V107" i="3" s="1"/>
  <c r="Q134" i="3" a="1"/>
  <c r="Q134" i="3" s="1"/>
  <c r="D171" i="3" a="1"/>
  <c r="D171" i="3" s="1"/>
  <c r="D172" i="3" a="1"/>
  <c r="D172" i="3" s="1"/>
  <c r="F131" i="3" a="1"/>
  <c r="F131" i="3" s="1"/>
  <c r="X125" i="3" a="1"/>
  <c r="X125" i="3" s="1"/>
  <c r="AN171" i="3" a="1"/>
  <c r="AN171" i="3" s="1"/>
  <c r="Z126" i="3" a="1"/>
  <c r="Z126" i="3" s="1"/>
  <c r="AU127" i="3" a="1"/>
  <c r="AU127" i="3" s="1"/>
  <c r="AB122" i="3" a="1"/>
  <c r="AB122" i="3" s="1"/>
  <c r="Z135" i="3" a="1"/>
  <c r="Z135" i="3" s="1"/>
  <c r="H171" i="3" a="1"/>
  <c r="H171" i="3" s="1"/>
  <c r="AI172" i="3" a="1"/>
  <c r="AI172" i="3" s="1"/>
  <c r="BS105" i="3" a="1"/>
  <c r="BS105" i="3" s="1"/>
  <c r="BQ160" i="3" a="1"/>
  <c r="BQ160" i="3" s="1"/>
  <c r="BB149" i="3" a="1"/>
  <c r="BB149" i="3" s="1"/>
  <c r="BB139" i="3" a="1"/>
  <c r="BB139" i="3" s="1"/>
  <c r="BN130" i="3" a="1"/>
  <c r="BN130" i="3" s="1"/>
  <c r="AL128" i="3" a="1"/>
  <c r="AL128" i="3" s="1"/>
  <c r="AE118" i="3" a="1"/>
  <c r="AE118" i="3" s="1"/>
  <c r="BJ127" i="3" a="1"/>
  <c r="BJ127" i="3" s="1"/>
  <c r="AQ154" i="3" a="1"/>
  <c r="AQ154" i="3" s="1"/>
  <c r="Q118" i="3" a="1"/>
  <c r="Q118" i="3" s="1"/>
  <c r="D112" i="3" a="1"/>
  <c r="D112" i="3" s="1"/>
  <c r="AN156" i="3" a="1"/>
  <c r="AN156" i="3" s="1"/>
  <c r="AR132" i="3" a="1"/>
  <c r="AR132" i="3" s="1"/>
  <c r="AR134" i="3" a="1"/>
  <c r="AR134" i="3" s="1"/>
  <c r="AR117" i="3" a="1"/>
  <c r="AR117" i="3" s="1"/>
  <c r="AR106" i="3" a="1"/>
  <c r="AR106" i="3" s="1"/>
  <c r="AV125" i="3" a="1"/>
  <c r="AV125" i="3" s="1"/>
  <c r="AV118" i="3" a="1"/>
  <c r="AV118" i="3" s="1"/>
  <c r="BF139" i="3" a="1"/>
  <c r="BF139" i="3" s="1"/>
  <c r="BR137" i="3" a="1"/>
  <c r="BR137" i="3" s="1"/>
  <c r="BR108" i="3" a="1"/>
  <c r="BR108" i="3" s="1"/>
  <c r="BS140" i="3" a="1"/>
  <c r="BS140" i="3" s="1"/>
  <c r="BH130" i="3" a="1"/>
  <c r="BH130" i="3" s="1"/>
  <c r="BH135" i="3" a="1"/>
  <c r="BH135" i="3" s="1"/>
  <c r="BQ161" i="3" a="1"/>
  <c r="BQ161" i="3" s="1"/>
  <c r="BQ131" i="3" a="1"/>
  <c r="BQ131" i="3" s="1"/>
  <c r="R148" i="3" a="1"/>
  <c r="R148" i="3" s="1"/>
  <c r="BP123" i="3" a="1"/>
  <c r="BP123" i="3" s="1"/>
  <c r="BB151" i="3" a="1"/>
  <c r="BB151" i="3" s="1"/>
  <c r="BB152" i="3" a="1"/>
  <c r="BB152" i="3" s="1"/>
  <c r="BB104" i="3" a="1"/>
  <c r="BB104" i="3" s="1"/>
  <c r="BO165" i="3" a="1"/>
  <c r="BO165" i="3" s="1"/>
  <c r="BN115" i="3" a="1"/>
  <c r="BN115" i="3" s="1"/>
  <c r="AL133" i="3" a="1"/>
  <c r="AL133" i="3" s="1"/>
  <c r="AL139" i="3" a="1"/>
  <c r="AL139" i="3" s="1"/>
  <c r="O127" i="3" a="1"/>
  <c r="O127" i="3" s="1"/>
  <c r="AE119" i="3" a="1"/>
  <c r="AE119" i="3" s="1"/>
  <c r="BJ144" i="3" a="1"/>
  <c r="BJ144" i="3" s="1"/>
  <c r="BJ115" i="3" a="1"/>
  <c r="BJ115" i="3" s="1"/>
  <c r="BC146" i="3" a="1"/>
  <c r="BC146" i="3" s="1"/>
  <c r="BC113" i="3" a="1"/>
  <c r="BC113" i="3" s="1"/>
  <c r="AZ112" i="3" a="1"/>
  <c r="AZ112" i="3" s="1"/>
  <c r="AQ156" i="3" a="1"/>
  <c r="AQ156" i="3" s="1"/>
  <c r="AQ134" i="3" a="1"/>
  <c r="AQ134" i="3" s="1"/>
  <c r="AH124" i="3" a="1"/>
  <c r="AH124" i="3" s="1"/>
  <c r="AG118" i="3" a="1"/>
  <c r="AG118" i="3" s="1"/>
  <c r="V155" i="3" a="1"/>
  <c r="V155" i="3" s="1"/>
  <c r="K146" i="3" a="1"/>
  <c r="K146" i="3" s="1"/>
  <c r="I155" i="3" a="1"/>
  <c r="I155" i="3" s="1"/>
  <c r="D122" i="3" a="1"/>
  <c r="D122" i="3" s="1"/>
  <c r="D118" i="3" a="1"/>
  <c r="D118" i="3" s="1"/>
  <c r="F134" i="3" a="1"/>
  <c r="F134" i="3" s="1"/>
  <c r="AN146" i="3" a="1"/>
  <c r="AN146" i="3" s="1"/>
  <c r="G127" i="3" a="1"/>
  <c r="G127" i="3" s="1"/>
  <c r="Z123" i="3" a="1"/>
  <c r="Z123" i="3" s="1"/>
  <c r="AU164" i="3" a="1"/>
  <c r="AU164" i="3" s="1"/>
  <c r="AU171" i="3" a="1"/>
  <c r="AU171" i="3" s="1"/>
  <c r="BM131" i="3" a="1"/>
  <c r="BM131" i="3" s="1"/>
  <c r="J152" i="3" a="1"/>
  <c r="J152" i="3" s="1"/>
  <c r="AB144" i="3" a="1"/>
  <c r="AB144" i="3" s="1"/>
  <c r="BE160" i="3" a="1"/>
  <c r="BE160" i="3" s="1"/>
  <c r="H149" i="3" a="1"/>
  <c r="H149" i="3" s="1"/>
  <c r="AL146" i="3" a="1"/>
  <c r="AL146" i="3" s="1"/>
  <c r="AN139" i="3" a="1"/>
  <c r="AN139" i="3" s="1"/>
  <c r="BM118" i="3" a="1"/>
  <c r="BM118" i="3" s="1"/>
  <c r="BB105" i="3" a="1"/>
  <c r="BB105" i="3" s="1"/>
  <c r="AL125" i="3" a="1"/>
  <c r="AL125" i="3" s="1"/>
  <c r="K127" i="3" a="1"/>
  <c r="K127" i="3" s="1"/>
  <c r="F105" i="3" a="1"/>
  <c r="F105" i="3" s="1"/>
  <c r="AN126" i="3" a="1"/>
  <c r="AN126" i="3" s="1"/>
  <c r="AB127" i="3" a="1"/>
  <c r="AB127" i="3" s="1"/>
  <c r="AI118" i="3" a="1"/>
  <c r="AI118" i="3" s="1"/>
  <c r="W134" i="3" a="1"/>
  <c r="W134" i="3" s="1"/>
  <c r="AB109" i="3" a="1"/>
  <c r="AB109" i="3" s="1"/>
  <c r="AV127" i="3" a="1"/>
  <c r="AV127" i="3" s="1"/>
  <c r="BQ105" i="3" a="1"/>
  <c r="BQ105" i="3" s="1"/>
  <c r="BB135" i="3" a="1"/>
  <c r="BB135" i="3" s="1"/>
  <c r="AR153" i="3" a="1"/>
  <c r="AR153" i="3" s="1"/>
  <c r="AR148" i="3" a="1"/>
  <c r="AR148" i="3" s="1"/>
  <c r="AY121" i="3" a="1"/>
  <c r="AY121" i="3" s="1"/>
  <c r="AV153" i="3" a="1"/>
  <c r="AV153" i="3" s="1"/>
  <c r="BS148" i="3" a="1"/>
  <c r="BS148" i="3" s="1"/>
  <c r="BH149" i="3" a="1"/>
  <c r="BH149" i="3" s="1"/>
  <c r="BH127" i="3" a="1"/>
  <c r="BH127" i="3" s="1"/>
  <c r="BP140" i="3" a="1"/>
  <c r="BP140" i="3" s="1"/>
  <c r="BB146" i="3" a="1"/>
  <c r="BB146" i="3" s="1"/>
  <c r="BB159" i="3" a="1"/>
  <c r="BB159" i="3" s="1"/>
  <c r="BB107" i="3" a="1"/>
  <c r="BB107" i="3" s="1"/>
  <c r="BN155" i="3" a="1"/>
  <c r="BN155" i="3" s="1"/>
  <c r="BN135" i="3" a="1"/>
  <c r="BN135" i="3" s="1"/>
  <c r="AL102" i="3" a="1"/>
  <c r="AL102" i="3" s="1"/>
  <c r="AL103" i="3" a="1"/>
  <c r="AL103" i="3" s="1"/>
  <c r="O142" i="3" a="1"/>
  <c r="O142" i="3" s="1"/>
  <c r="AE108" i="3" a="1"/>
  <c r="AE108" i="3" s="1"/>
  <c r="BJ107" i="3" a="1"/>
  <c r="BJ107" i="3" s="1"/>
  <c r="BJ112" i="3" a="1"/>
  <c r="BJ112" i="3" s="1"/>
  <c r="BC109" i="3" a="1"/>
  <c r="BC109" i="3" s="1"/>
  <c r="BC154" i="3" a="1"/>
  <c r="BC154" i="3" s="1"/>
  <c r="AQ160" i="3" a="1"/>
  <c r="AQ160" i="3" s="1"/>
  <c r="AW164" i="3" a="1"/>
  <c r="AW164" i="3" s="1"/>
  <c r="AM107" i="3" a="1"/>
  <c r="AM107" i="3" s="1"/>
  <c r="AH152" i="3" a="1"/>
  <c r="AH152" i="3" s="1"/>
  <c r="AH107" i="3" a="1"/>
  <c r="AH107" i="3" s="1"/>
  <c r="AG131" i="3" a="1"/>
  <c r="AG131" i="3" s="1"/>
  <c r="Q105" i="3" a="1"/>
  <c r="Q105" i="3" s="1"/>
  <c r="D160" i="3" a="1"/>
  <c r="D160" i="3" s="1"/>
  <c r="F171" i="3" a="1"/>
  <c r="F171" i="3" s="1"/>
  <c r="F112" i="3" a="1"/>
  <c r="F112" i="3" s="1"/>
  <c r="X115" i="3" a="1"/>
  <c r="X115" i="3" s="1"/>
  <c r="AN112" i="3" a="1"/>
  <c r="AN112" i="3" s="1"/>
  <c r="G107" i="3" a="1"/>
  <c r="G107" i="3" s="1"/>
  <c r="AA160" i="3" a="1"/>
  <c r="AA160" i="3" s="1"/>
  <c r="AU139" i="3" a="1"/>
  <c r="AU139" i="3" s="1"/>
  <c r="J131" i="3" a="1"/>
  <c r="J131" i="3" s="1"/>
  <c r="AB113" i="3" a="1"/>
  <c r="AB113" i="3" s="1"/>
  <c r="M134" i="3" a="1"/>
  <c r="M134" i="3" s="1"/>
  <c r="BE131" i="3" a="1"/>
  <c r="BE131" i="3" s="1"/>
  <c r="N134" i="3" a="1"/>
  <c r="N134" i="3" s="1"/>
  <c r="R139" i="3" a="1"/>
  <c r="R139" i="3" s="1"/>
  <c r="BR136" i="3" a="1"/>
  <c r="BR136" i="3" s="1"/>
  <c r="AL114" i="3" a="1"/>
  <c r="AL114" i="3" s="1"/>
  <c r="AE148" i="3" a="1"/>
  <c r="AE148" i="3" s="1"/>
  <c r="AZ105" i="3" a="1"/>
  <c r="AZ105" i="3" s="1"/>
  <c r="AQ107" i="3" a="1"/>
  <c r="AQ107" i="3" s="1"/>
  <c r="AW161" i="3" a="1"/>
  <c r="AW161" i="3" s="1"/>
  <c r="AH145" i="3" a="1"/>
  <c r="AH145" i="3" s="1"/>
  <c r="AH108" i="3" a="1"/>
  <c r="AH108" i="3" s="1"/>
  <c r="AG127" i="3" a="1"/>
  <c r="AG127" i="3" s="1"/>
  <c r="C115" i="3" a="1"/>
  <c r="C115" i="3" s="1"/>
  <c r="V139" i="3" a="1"/>
  <c r="V139" i="3" s="1"/>
  <c r="V110" i="3" a="1"/>
  <c r="V110" i="3" s="1"/>
  <c r="I116" i="3" a="1"/>
  <c r="I116" i="3" s="1"/>
  <c r="D113" i="3" a="1"/>
  <c r="D113" i="3" s="1"/>
  <c r="F156" i="3" a="1"/>
  <c r="F156" i="3" s="1"/>
  <c r="F122" i="3" a="1"/>
  <c r="F122" i="3" s="1"/>
  <c r="AN109" i="3" a="1"/>
  <c r="AN109" i="3" s="1"/>
  <c r="AN115" i="3" a="1"/>
  <c r="AN115" i="3" s="1"/>
  <c r="AA156" i="3" a="1"/>
  <c r="AA156" i="3" s="1"/>
  <c r="AU156" i="3" a="1"/>
  <c r="AU156" i="3" s="1"/>
  <c r="BD134" i="3" a="1"/>
  <c r="BD134" i="3" s="1"/>
  <c r="BM152" i="3" a="1"/>
  <c r="BM152" i="3" s="1"/>
  <c r="J107" i="3" a="1"/>
  <c r="J107" i="3" s="1"/>
  <c r="AB146" i="3" a="1"/>
  <c r="AB146" i="3" s="1"/>
  <c r="M104" i="3" a="1"/>
  <c r="M104" i="3" s="1"/>
  <c r="E134" i="3" a="1"/>
  <c r="E134" i="3" s="1"/>
  <c r="AE109" i="3" a="1"/>
  <c r="AE109" i="3" s="1"/>
  <c r="BN160" i="3" a="1"/>
  <c r="BN160" i="3" s="1"/>
  <c r="BS153" i="3" a="1"/>
  <c r="BS153" i="3" s="1"/>
  <c r="BH151" i="3" a="1"/>
  <c r="BH151" i="3" s="1"/>
  <c r="BB112" i="3" a="1"/>
  <c r="BB112" i="3" s="1"/>
  <c r="AL164" i="3" a="1"/>
  <c r="AL164" i="3" s="1"/>
  <c r="U140" i="3" a="1"/>
  <c r="U140" i="3" s="1"/>
  <c r="AR142" i="3" a="1"/>
  <c r="AR142" i="3" s="1"/>
  <c r="AR118" i="3" a="1"/>
  <c r="AR118" i="3" s="1"/>
  <c r="BV109" i="3" a="1"/>
  <c r="BV109" i="3" s="1"/>
  <c r="AV141" i="3" a="1"/>
  <c r="AV141" i="3" s="1"/>
  <c r="BR107" i="3" a="1"/>
  <c r="BR107" i="3" s="1"/>
  <c r="BR121" i="3" a="1"/>
  <c r="BR121" i="3" s="1"/>
  <c r="BH138" i="3" a="1"/>
  <c r="BH138" i="3" s="1"/>
  <c r="BH116" i="3" a="1"/>
  <c r="BH116" i="3" s="1"/>
  <c r="BQ132" i="3" a="1"/>
  <c r="BQ132" i="3" s="1"/>
  <c r="BQ139" i="3" a="1"/>
  <c r="BQ139" i="3" s="1"/>
  <c r="BP156" i="3" a="1"/>
  <c r="BP156" i="3" s="1"/>
  <c r="BB121" i="3" a="1"/>
  <c r="BB121" i="3" s="1"/>
  <c r="BB108" i="3" a="1"/>
  <c r="BB108" i="3" s="1"/>
  <c r="BB116" i="3" a="1"/>
  <c r="BB116" i="3" s="1"/>
  <c r="BN158" i="3" a="1"/>
  <c r="BN158" i="3" s="1"/>
  <c r="BG153" i="3" a="1"/>
  <c r="BG153" i="3" s="1"/>
  <c r="AL138" i="3" a="1"/>
  <c r="AL138" i="3" s="1"/>
  <c r="AL112" i="3" a="1"/>
  <c r="AL112" i="3" s="1"/>
  <c r="O118" i="3" a="1"/>
  <c r="O118" i="3" s="1"/>
  <c r="O125" i="3" a="1"/>
  <c r="O125" i="3" s="1"/>
  <c r="AE132" i="3" a="1"/>
  <c r="AE132" i="3" s="1"/>
  <c r="BJ125" i="3" a="1"/>
  <c r="BJ125" i="3" s="1"/>
  <c r="BC121" i="3" a="1"/>
  <c r="BC121" i="3" s="1"/>
  <c r="BC152" i="3" a="1"/>
  <c r="BC152" i="3" s="1"/>
  <c r="AZ172" i="3" a="1"/>
  <c r="AZ172" i="3" s="1"/>
  <c r="AQ118" i="3" a="1"/>
  <c r="AQ118" i="3" s="1"/>
  <c r="AQ119" i="3" a="1"/>
  <c r="AQ119" i="3" s="1"/>
  <c r="AW109" i="3" a="1"/>
  <c r="AW109" i="3" s="1"/>
  <c r="AM152" i="3" a="1"/>
  <c r="AM152" i="3" s="1"/>
  <c r="AH146" i="3" a="1"/>
  <c r="AH146" i="3" s="1"/>
  <c r="AH121" i="3" a="1"/>
  <c r="AH121" i="3" s="1"/>
  <c r="AG144" i="3" a="1"/>
  <c r="AG144" i="3" s="1"/>
  <c r="AG134" i="3" a="1"/>
  <c r="AG134" i="3" s="1"/>
  <c r="V138" i="3" a="1"/>
  <c r="V138" i="3" s="1"/>
  <c r="D124" i="3" a="1"/>
  <c r="D124" i="3" s="1"/>
  <c r="F152" i="3" a="1"/>
  <c r="F152" i="3" s="1"/>
  <c r="F129" i="3" a="1"/>
  <c r="F129" i="3" s="1"/>
  <c r="AN144" i="3" a="1"/>
  <c r="AN144" i="3" s="1"/>
  <c r="AN106" i="3" a="1"/>
  <c r="AN106" i="3" s="1"/>
  <c r="AA139" i="3" a="1"/>
  <c r="AA139" i="3" s="1"/>
  <c r="AU152" i="3" a="1"/>
  <c r="AU152" i="3" s="1"/>
  <c r="BD149" i="3" a="1"/>
  <c r="BD149" i="3" s="1"/>
  <c r="BM160" i="3" a="1"/>
  <c r="BM160" i="3" s="1"/>
  <c r="J156" i="3" a="1"/>
  <c r="J156" i="3" s="1"/>
  <c r="AB104" i="3" a="1"/>
  <c r="AB104" i="3" s="1"/>
  <c r="BE144" i="3" a="1"/>
  <c r="BE144" i="3" s="1"/>
  <c r="S171" i="3" a="1"/>
  <c r="S171" i="3" s="1"/>
  <c r="AX134" i="3" a="1"/>
  <c r="AX134" i="3" s="1"/>
  <c r="AL104" i="3" a="1"/>
  <c r="AL104" i="3" s="1"/>
  <c r="AN149" i="3" a="1"/>
  <c r="AN149" i="3" s="1"/>
  <c r="BB144" i="3" a="1"/>
  <c r="BB144" i="3" s="1"/>
  <c r="AL121" i="3" a="1"/>
  <c r="AL121" i="3" s="1"/>
  <c r="AE139" i="3" a="1"/>
  <c r="AE139" i="3" s="1"/>
  <c r="AR124" i="3" a="1"/>
  <c r="AR124" i="3" s="1"/>
  <c r="AR158" i="3" a="1"/>
  <c r="AR158" i="3" s="1"/>
  <c r="AV140" i="3" a="1"/>
  <c r="AV140" i="3" s="1"/>
  <c r="BH153" i="3" a="1"/>
  <c r="BH153" i="3" s="1"/>
  <c r="BB156" i="3" a="1"/>
  <c r="BB156" i="3" s="1"/>
  <c r="BB118" i="3" a="1"/>
  <c r="BB118" i="3" s="1"/>
  <c r="AR164" i="3" a="1"/>
  <c r="AR164" i="3" s="1"/>
  <c r="AR107" i="3" a="1"/>
  <c r="AR107" i="3" s="1"/>
  <c r="BV103" i="3" a="1"/>
  <c r="BV103" i="3" s="1"/>
  <c r="BR131" i="3" a="1"/>
  <c r="BR131" i="3" s="1"/>
  <c r="BR111" i="3" a="1"/>
  <c r="BR111" i="3" s="1"/>
  <c r="BS136" i="3" a="1"/>
  <c r="BS136" i="3" s="1"/>
  <c r="BK165" i="3" a="1"/>
  <c r="BK165" i="3" s="1"/>
  <c r="BH124" i="3" a="1"/>
  <c r="BH124" i="3" s="1"/>
  <c r="BH132" i="3" a="1"/>
  <c r="BH132" i="3" s="1"/>
  <c r="R125" i="3" a="1"/>
  <c r="R125" i="3" s="1"/>
  <c r="BP118" i="3" a="1"/>
  <c r="BP118" i="3" s="1"/>
  <c r="BP103" i="3" a="1"/>
  <c r="BP103" i="3" s="1"/>
  <c r="BB132" i="3" a="1"/>
  <c r="BB132" i="3" s="1"/>
  <c r="BB126" i="3" a="1"/>
  <c r="BB126" i="3" s="1"/>
  <c r="BB164" i="3" a="1"/>
  <c r="BB164" i="3" s="1"/>
  <c r="BN134" i="3" a="1"/>
  <c r="BN134" i="3" s="1"/>
  <c r="AL126" i="3" a="1"/>
  <c r="AL126" i="3" s="1"/>
  <c r="AL107" i="3" a="1"/>
  <c r="AL107" i="3" s="1"/>
  <c r="O107" i="3" a="1"/>
  <c r="O107" i="3" s="1"/>
  <c r="O105" i="3" a="1"/>
  <c r="O105" i="3" s="1"/>
  <c r="AE134" i="3" a="1"/>
  <c r="AE134" i="3" s="1"/>
  <c r="BJ134" i="3" a="1"/>
  <c r="BJ134" i="3" s="1"/>
  <c r="BC119" i="3" a="1"/>
  <c r="BC119" i="3" s="1"/>
  <c r="BC124" i="3" a="1"/>
  <c r="BC124" i="3" s="1"/>
  <c r="AZ151" i="3" a="1"/>
  <c r="AZ151" i="3" s="1"/>
  <c r="AQ124" i="3" a="1"/>
  <c r="AQ124" i="3" s="1"/>
  <c r="AQ129" i="3" a="1"/>
  <c r="AQ129" i="3" s="1"/>
  <c r="AW107" i="3" a="1"/>
  <c r="AW107" i="3" s="1"/>
  <c r="AM102" i="3" a="1"/>
  <c r="AM102" i="3" s="1"/>
  <c r="AH155" i="3" a="1"/>
  <c r="AH155" i="3" s="1"/>
  <c r="AH122" i="3" a="1"/>
  <c r="AH122" i="3" s="1"/>
  <c r="AG107" i="3" a="1"/>
  <c r="AG107" i="3" s="1"/>
  <c r="V134" i="3" a="1"/>
  <c r="V134" i="3" s="1"/>
  <c r="V103" i="3" a="1"/>
  <c r="V103" i="3" s="1"/>
  <c r="K160" i="3" a="1"/>
  <c r="K160" i="3" s="1"/>
  <c r="I146" i="3" a="1"/>
  <c r="I146" i="3" s="1"/>
  <c r="D139" i="3" a="1"/>
  <c r="D139" i="3" s="1"/>
  <c r="D111" i="3" a="1"/>
  <c r="D111" i="3" s="1"/>
  <c r="F149" i="3" a="1"/>
  <c r="F149" i="3" s="1"/>
  <c r="F107" i="3" a="1"/>
  <c r="F107" i="3" s="1"/>
  <c r="AN122" i="3" a="1"/>
  <c r="AN122" i="3" s="1"/>
  <c r="AN104" i="3" a="1"/>
  <c r="AN104" i="3" s="1"/>
  <c r="AU155" i="3" a="1"/>
  <c r="AU155" i="3" s="1"/>
  <c r="BD164" i="3" a="1"/>
  <c r="BD164" i="3" s="1"/>
  <c r="BM127" i="3" a="1"/>
  <c r="BM127" i="3" s="1"/>
  <c r="AB107" i="3" a="1"/>
  <c r="AB107" i="3" s="1"/>
  <c r="S156" i="3" a="1"/>
  <c r="S156" i="3" s="1"/>
  <c r="E107" i="3" a="1"/>
  <c r="E107" i="3" s="1"/>
  <c r="S134" i="3" a="1"/>
  <c r="S134" i="3" s="1"/>
  <c r="BB137" i="3" a="1"/>
  <c r="BB137" i="3" s="1"/>
  <c r="BB129" i="3" a="1"/>
  <c r="BB129" i="3" s="1"/>
  <c r="BB161" i="3" a="1"/>
  <c r="BB161" i="3" s="1"/>
  <c r="AE103" i="3" a="1"/>
  <c r="AE103" i="3" s="1"/>
  <c r="D156" i="3" a="1"/>
  <c r="D156" i="3" s="1"/>
  <c r="D105" i="3" a="1"/>
  <c r="D105" i="3" s="1"/>
  <c r="F127" i="3" a="1"/>
  <c r="F127" i="3" s="1"/>
  <c r="F118" i="3" a="1"/>
  <c r="F118" i="3" s="1"/>
  <c r="AN127" i="3" a="1"/>
  <c r="AN127" i="3" s="1"/>
  <c r="AN118" i="3" a="1"/>
  <c r="AN118" i="3" s="1"/>
  <c r="Z125" i="3" a="1"/>
  <c r="Z125" i="3" s="1"/>
  <c r="AA129" i="3" a="1"/>
  <c r="AA129" i="3" s="1"/>
  <c r="AU146" i="3" a="1"/>
  <c r="AU146" i="3" s="1"/>
  <c r="BD146" i="3" a="1"/>
  <c r="BD146" i="3" s="1"/>
  <c r="BM104" i="3" a="1"/>
  <c r="BM104" i="3" s="1"/>
  <c r="AB172" i="3" a="1"/>
  <c r="AB172" i="3" s="1"/>
  <c r="AF115" i="3" a="1"/>
  <c r="AF115" i="3" s="1"/>
  <c r="BI144" i="3" a="1"/>
  <c r="BI144" i="3" s="1"/>
  <c r="E172" i="3" a="1"/>
  <c r="E172" i="3" s="1"/>
  <c r="S149" i="3" a="1"/>
  <c r="S149" i="3" s="1"/>
  <c r="AR130" i="3" a="1"/>
  <c r="AR130" i="3" s="1"/>
  <c r="BV108" i="3" a="1"/>
  <c r="BV108" i="3" s="1"/>
  <c r="AK158" i="3" a="1"/>
  <c r="AK158" i="3" s="1"/>
  <c r="BH137" i="3" a="1"/>
  <c r="BH137" i="3" s="1"/>
  <c r="AL134" i="3" a="1"/>
  <c r="AL134" i="3" s="1"/>
  <c r="AL127" i="3" a="1"/>
  <c r="AL127" i="3" s="1"/>
  <c r="AQ171" i="3" a="1"/>
  <c r="AQ171" i="3" s="1"/>
  <c r="AQ132" i="3" a="1"/>
  <c r="AQ132" i="3" s="1"/>
  <c r="AR123" i="3" a="1"/>
  <c r="AR123" i="3" s="1"/>
  <c r="BR133" i="3" a="1"/>
  <c r="BR133" i="3" s="1"/>
  <c r="BR115" i="3" a="1"/>
  <c r="BR115" i="3" s="1"/>
  <c r="AK152" i="3" a="1"/>
  <c r="AK152" i="3" s="1"/>
  <c r="BH146" i="3" a="1"/>
  <c r="BH146" i="3" s="1"/>
  <c r="BQ118" i="3" a="1"/>
  <c r="BQ118" i="3" s="1"/>
  <c r="BP138" i="3" a="1"/>
  <c r="BP138" i="3" s="1"/>
  <c r="BB168" i="3" a="1"/>
  <c r="BB168" i="3" s="1"/>
  <c r="BB172" i="3" a="1"/>
  <c r="BB172" i="3" s="1"/>
  <c r="AP159" i="3" a="1"/>
  <c r="AP159" i="3" s="1"/>
  <c r="AL142" i="3" a="1"/>
  <c r="AL142" i="3" s="1"/>
  <c r="AL109" i="3" a="1"/>
  <c r="AL109" i="3" s="1"/>
  <c r="O160" i="3" a="1"/>
  <c r="O160" i="3" s="1"/>
  <c r="BC151" i="3" a="1"/>
  <c r="BC151" i="3" s="1"/>
  <c r="AZ127" i="3" a="1"/>
  <c r="AZ127" i="3" s="1"/>
  <c r="AQ164" i="3" a="1"/>
  <c r="AQ164" i="3" s="1"/>
  <c r="AO133" i="3" a="1"/>
  <c r="AO133" i="3" s="1"/>
  <c r="AG171" i="3" a="1"/>
  <c r="AG171" i="3" s="1"/>
  <c r="AG139" i="3" a="1"/>
  <c r="AG139" i="3" s="1"/>
  <c r="V118" i="3" a="1"/>
  <c r="V118" i="3" s="1"/>
  <c r="D134" i="3" a="1"/>
  <c r="D134" i="3" s="1"/>
  <c r="F164" i="3" a="1"/>
  <c r="F164" i="3" s="1"/>
  <c r="AN155" i="3" a="1"/>
  <c r="AN155" i="3" s="1"/>
  <c r="U164" i="3" a="1"/>
  <c r="U164" i="3" s="1"/>
  <c r="U130" i="3" a="1"/>
  <c r="U130" i="3" s="1"/>
  <c r="U116" i="3" a="1"/>
  <c r="U116" i="3" s="1"/>
  <c r="U119" i="3" a="1"/>
  <c r="U119" i="3" s="1"/>
  <c r="U125" i="3" a="1"/>
  <c r="U125" i="3" s="1"/>
  <c r="BF133" i="3" a="1"/>
  <c r="BF133" i="3" s="1"/>
  <c r="BF117" i="3" a="1"/>
  <c r="BF117" i="3" s="1"/>
  <c r="BF118" i="3" a="1"/>
  <c r="BF118" i="3" s="1"/>
  <c r="BK140" i="3" a="1"/>
  <c r="BK140" i="3" s="1"/>
  <c r="C139" i="3" a="1"/>
  <c r="C139" i="3" s="1"/>
  <c r="U154" i="3" a="1"/>
  <c r="U154" i="3" s="1"/>
  <c r="U168" i="3" a="1"/>
  <c r="U168" i="3" s="1"/>
  <c r="BV141" i="3" a="1"/>
  <c r="BV141" i="3" s="1"/>
  <c r="BV137" i="3" a="1"/>
  <c r="BV137" i="3" s="1"/>
  <c r="AV102" i="3" a="1"/>
  <c r="AV102" i="3" s="1"/>
  <c r="BF159" i="3" a="1"/>
  <c r="BF159" i="3" s="1"/>
  <c r="BF170" i="3" a="1"/>
  <c r="BF170" i="3" s="1"/>
  <c r="BF125" i="3" a="1"/>
  <c r="BF125" i="3" s="1"/>
  <c r="BK132" i="3" a="1"/>
  <c r="BK132" i="3" s="1"/>
  <c r="AK102" i="3" a="1"/>
  <c r="AK102" i="3" s="1"/>
  <c r="AP107" i="3" a="1"/>
  <c r="AP107" i="3" s="1"/>
  <c r="AQ102" i="3" a="1"/>
  <c r="AQ102" i="3" s="1"/>
  <c r="AO118" i="3" a="1"/>
  <c r="AO118" i="3" s="1"/>
  <c r="C132" i="3" a="1"/>
  <c r="C132" i="3" s="1"/>
  <c r="BV131" i="3" a="1"/>
  <c r="BV131" i="3" s="1"/>
  <c r="BF156" i="3" a="1"/>
  <c r="BF156" i="3" s="1"/>
  <c r="BF166" i="3" a="1"/>
  <c r="BF166" i="3" s="1"/>
  <c r="BF106" i="3" a="1"/>
  <c r="BF106" i="3" s="1"/>
  <c r="BR102" i="3" a="1"/>
  <c r="BR102" i="3" s="1"/>
  <c r="BK161" i="3" a="1"/>
  <c r="BK161" i="3" s="1"/>
  <c r="AP103" i="3" a="1"/>
  <c r="AP103" i="3" s="1"/>
  <c r="BG170" i="3" a="1"/>
  <c r="BG170" i="3" s="1"/>
  <c r="BG129" i="3" a="1"/>
  <c r="BG129" i="3" s="1"/>
  <c r="BG102" i="3" a="1"/>
  <c r="BG102" i="3" s="1"/>
  <c r="BG158" i="3" a="1"/>
  <c r="BG158" i="3" s="1"/>
  <c r="C104" i="3" a="1"/>
  <c r="C104" i="3" s="1"/>
  <c r="M111" i="3" a="1"/>
  <c r="M111" i="3" s="1"/>
  <c r="L156" i="3" a="1"/>
  <c r="L156" i="3" s="1"/>
  <c r="L160" i="3" a="1"/>
  <c r="L160" i="3" s="1"/>
  <c r="L111" i="3" a="1"/>
  <c r="L111" i="3" s="1"/>
  <c r="Z111" i="3" a="1"/>
  <c r="Z111" i="3" s="1"/>
  <c r="AA111" i="3" a="1"/>
  <c r="AA111" i="3" s="1"/>
  <c r="L107" i="3" a="1"/>
  <c r="L107" i="3" s="1"/>
  <c r="BQ111" i="3" a="1"/>
  <c r="BQ111" i="3" s="1"/>
  <c r="L112" i="3" a="1"/>
  <c r="L112" i="3" s="1"/>
  <c r="AB111" i="3" a="1"/>
  <c r="AB111" i="3" s="1"/>
  <c r="V111" i="3" a="1"/>
  <c r="V111" i="3" s="1"/>
  <c r="BN111" i="3" a="1"/>
  <c r="BN111" i="3" s="1"/>
  <c r="L144" i="3" a="1"/>
  <c r="L144" i="3" s="1"/>
  <c r="BF132" i="3" a="1"/>
  <c r="BF132" i="3" s="1"/>
  <c r="U132" i="3" a="1"/>
  <c r="U132" i="3" s="1"/>
  <c r="BF129" i="3" a="1"/>
  <c r="BF129" i="3" s="1"/>
  <c r="BF126" i="3" a="1"/>
  <c r="BF126" i="3" s="1"/>
  <c r="BK128" i="3" a="1"/>
  <c r="BK128" i="3" s="1"/>
  <c r="AO108" i="3" a="1"/>
  <c r="AO108" i="3" s="1"/>
  <c r="AO105" i="3" a="1"/>
  <c r="AO105" i="3" s="1"/>
  <c r="AO149" i="3" a="1"/>
  <c r="AO149" i="3" s="1"/>
  <c r="AM140" i="3" a="1"/>
  <c r="AM140" i="3" s="1"/>
  <c r="AO171" i="3" a="1"/>
  <c r="AO171" i="3" s="1"/>
  <c r="AO122" i="3" a="1"/>
  <c r="AO122" i="3" s="1"/>
  <c r="AO111" i="3" a="1"/>
  <c r="AO111" i="3" s="1"/>
  <c r="T154" i="3" a="1"/>
  <c r="T154" i="3" s="1"/>
  <c r="K119" i="3" a="1"/>
  <c r="K119" i="3" s="1"/>
  <c r="V119" i="3" a="1"/>
  <c r="V119" i="3" s="1"/>
  <c r="M123" i="3" a="1"/>
  <c r="M123" i="3" s="1"/>
  <c r="X109" i="3" a="1"/>
  <c r="X109" i="3" s="1"/>
  <c r="X112" i="3" a="1"/>
  <c r="X112" i="3" s="1"/>
  <c r="X122" i="3" a="1"/>
  <c r="X122" i="3" s="1"/>
  <c r="X149" i="3" a="1"/>
  <c r="X149" i="3" s="1"/>
  <c r="X155" i="3" a="1"/>
  <c r="X155" i="3" s="1"/>
  <c r="X116" i="3" a="1"/>
  <c r="X116" i="3" s="1"/>
  <c r="X127" i="3" a="1"/>
  <c r="X127" i="3" s="1"/>
  <c r="X160" i="3" a="1"/>
  <c r="X160" i="3" s="1"/>
  <c r="F123" i="3" a="1"/>
  <c r="F123" i="3" s="1"/>
  <c r="X171" i="3" a="1"/>
  <c r="X171" i="3" s="1"/>
  <c r="X152" i="3" a="1"/>
  <c r="X152" i="3" s="1"/>
  <c r="V123" i="3" a="1"/>
  <c r="V123" i="3" s="1"/>
  <c r="X118" i="3" a="1"/>
  <c r="X118" i="3" s="1"/>
  <c r="X146" i="3" a="1"/>
  <c r="X146" i="3" s="1"/>
  <c r="BQ123" i="3" a="1"/>
  <c r="BQ123" i="3" s="1"/>
  <c r="X124" i="3" a="1"/>
  <c r="X124" i="3" s="1"/>
  <c r="X156" i="3" a="1"/>
  <c r="X156" i="3" s="1"/>
  <c r="D123" i="3" a="1"/>
  <c r="D123" i="3" s="1"/>
  <c r="AG123" i="3" a="1"/>
  <c r="AG123" i="3" s="1"/>
  <c r="X139" i="3" a="1"/>
  <c r="X139" i="3" s="1"/>
  <c r="BH157" i="3" a="1"/>
  <c r="BH157" i="3" s="1"/>
  <c r="BF142" i="3" a="1"/>
  <c r="BF142" i="3" s="1"/>
  <c r="BF103" i="3" a="1"/>
  <c r="BF103" i="3" s="1"/>
  <c r="BF164" i="3" a="1"/>
  <c r="BF164" i="3" s="1"/>
  <c r="AW157" i="3" a="1"/>
  <c r="AW157" i="3" s="1"/>
  <c r="C126" i="3" a="1"/>
  <c r="C126" i="3" s="1"/>
  <c r="C111" i="3" a="1"/>
  <c r="C111" i="3" s="1"/>
  <c r="C131" i="3" a="1"/>
  <c r="C131" i="3" s="1"/>
  <c r="C109" i="3" a="1"/>
  <c r="C109" i="3" s="1"/>
  <c r="C160" i="3" a="1"/>
  <c r="C160" i="3" s="1"/>
  <c r="C133" i="3" a="1"/>
  <c r="C133" i="3" s="1"/>
  <c r="C125" i="3" a="1"/>
  <c r="C125" i="3" s="1"/>
  <c r="C110" i="3" a="1"/>
  <c r="C110" i="3" s="1"/>
  <c r="C107" i="3" a="1"/>
  <c r="C107" i="3" s="1"/>
  <c r="C138" i="3" a="1"/>
  <c r="C138" i="3" s="1"/>
  <c r="V102" i="3" a="1"/>
  <c r="V102" i="3" s="1"/>
  <c r="C116" i="3" a="1"/>
  <c r="C116" i="3" s="1"/>
  <c r="C127" i="3" a="1"/>
  <c r="C127" i="3" s="1"/>
  <c r="C152" i="3" a="1"/>
  <c r="C152" i="3" s="1"/>
  <c r="C102" i="3" a="1"/>
  <c r="C102" i="3" s="1"/>
  <c r="C103" i="3" a="1"/>
  <c r="C103" i="3" s="1"/>
  <c r="C155" i="3" a="1"/>
  <c r="C155" i="3" s="1"/>
  <c r="AG102" i="3" a="1"/>
  <c r="AG102" i="3" s="1"/>
  <c r="BB102" i="3" a="1"/>
  <c r="BB102" i="3" s="1"/>
  <c r="C105" i="3" a="1"/>
  <c r="C105" i="3" s="1"/>
  <c r="C122" i="3" a="1"/>
  <c r="C122" i="3" s="1"/>
  <c r="C134" i="3" a="1"/>
  <c r="C134" i="3" s="1"/>
  <c r="U153" i="3" a="1"/>
  <c r="U153" i="3" s="1"/>
  <c r="U135" i="3" a="1"/>
  <c r="U135" i="3" s="1"/>
  <c r="U142" i="3" a="1"/>
  <c r="U142" i="3" s="1"/>
  <c r="U131" i="3" a="1"/>
  <c r="U131" i="3" s="1"/>
  <c r="BV134" i="3" a="1"/>
  <c r="BV134" i="3" s="1"/>
  <c r="BF152" i="3" a="1"/>
  <c r="BF152" i="3" s="1"/>
  <c r="BF105" i="3" a="1"/>
  <c r="BF105" i="3" s="1"/>
  <c r="BK138" i="3" a="1"/>
  <c r="BK138" i="3" s="1"/>
  <c r="AK130" i="3" a="1"/>
  <c r="AK130" i="3" s="1"/>
  <c r="AK106" i="3" a="1"/>
  <c r="AK106" i="3" s="1"/>
  <c r="AK127" i="3" a="1"/>
  <c r="AK127" i="3" s="1"/>
  <c r="AK162" i="3" a="1"/>
  <c r="AK162" i="3" s="1"/>
  <c r="BP102" i="3" a="1"/>
  <c r="BP102" i="3" s="1"/>
  <c r="X141" i="3" a="1"/>
  <c r="X141" i="3" s="1"/>
  <c r="AP130" i="3" a="1"/>
  <c r="AP130" i="3" s="1"/>
  <c r="AP140" i="3" a="1"/>
  <c r="AP140" i="3" s="1"/>
  <c r="AP172" i="3" a="1"/>
  <c r="AP172" i="3" s="1"/>
  <c r="AP155" i="3" a="1"/>
  <c r="AP155" i="3" s="1"/>
  <c r="AP113" i="3" a="1"/>
  <c r="AP113" i="3" s="1"/>
  <c r="AP133" i="3" a="1"/>
  <c r="AP133" i="3" s="1"/>
  <c r="AP126" i="3" a="1"/>
  <c r="AP126" i="3" s="1"/>
  <c r="C113" i="3" a="1"/>
  <c r="C113" i="3" s="1"/>
  <c r="AR120" i="3" a="1"/>
  <c r="AR120" i="3" s="1"/>
  <c r="U167" i="3" a="1"/>
  <c r="U167" i="3" s="1"/>
  <c r="BV159" i="3" a="1"/>
  <c r="BV159" i="3" s="1"/>
  <c r="U129" i="3" a="1"/>
  <c r="U129" i="3" s="1"/>
  <c r="U115" i="3" a="1"/>
  <c r="U115" i="3" s="1"/>
  <c r="BK143" i="3" a="1"/>
  <c r="BK143" i="3" s="1"/>
  <c r="AR172" i="3" a="1"/>
  <c r="AR172" i="3" s="1"/>
  <c r="AR139" i="3" a="1"/>
  <c r="AR139" i="3" s="1"/>
  <c r="AR173" i="3" a="1"/>
  <c r="AR173" i="3" s="1"/>
  <c r="AR154" i="3" a="1"/>
  <c r="AR154" i="3" s="1"/>
  <c r="BF137" i="3" a="1"/>
  <c r="BF137" i="3" s="1"/>
  <c r="U134" i="3" a="1"/>
  <c r="U134" i="3" s="1"/>
  <c r="U109" i="3" a="1"/>
  <c r="U109" i="3" s="1"/>
  <c r="U137" i="3" a="1"/>
  <c r="U137" i="3" s="1"/>
  <c r="U110" i="3" a="1"/>
  <c r="U110" i="3" s="1"/>
  <c r="AR169" i="3" a="1"/>
  <c r="AR169" i="3" s="1"/>
  <c r="AR113" i="3" a="1"/>
  <c r="AR113" i="3" s="1"/>
  <c r="AR155" i="3" a="1"/>
  <c r="AR155" i="3" s="1"/>
  <c r="AR166" i="3" a="1"/>
  <c r="AR166" i="3" s="1"/>
  <c r="BV154" i="3" a="1"/>
  <c r="BV154" i="3" s="1"/>
  <c r="AV165" i="3" a="1"/>
  <c r="AV165" i="3" s="1"/>
  <c r="AV131" i="3" a="1"/>
  <c r="AV131" i="3" s="1"/>
  <c r="BF154" i="3" a="1"/>
  <c r="BF154" i="3" s="1"/>
  <c r="BF140" i="3" a="1"/>
  <c r="BF140" i="3" s="1"/>
  <c r="BF114" i="3" a="1"/>
  <c r="BF114" i="3" s="1"/>
  <c r="BR145" i="3" a="1"/>
  <c r="BR145" i="3" s="1"/>
  <c r="BR138" i="3" a="1"/>
  <c r="BR138" i="3" s="1"/>
  <c r="BS162" i="3" a="1"/>
  <c r="BS162" i="3" s="1"/>
  <c r="BK102" i="3" a="1"/>
  <c r="BK102" i="3" s="1"/>
  <c r="BH145" i="3" a="1"/>
  <c r="BH145" i="3" s="1"/>
  <c r="BH158" i="3" a="1"/>
  <c r="BH158" i="3" s="1"/>
  <c r="BH141" i="3" a="1"/>
  <c r="BH141" i="3" s="1"/>
  <c r="BH144" i="3" a="1"/>
  <c r="BH144" i="3" s="1"/>
  <c r="BH148" i="3" a="1"/>
  <c r="BH148" i="3" s="1"/>
  <c r="BH117" i="3" a="1"/>
  <c r="BH117" i="3" s="1"/>
  <c r="BH162" i="3" a="1"/>
  <c r="BH162" i="3" s="1"/>
  <c r="BH160" i="3" a="1"/>
  <c r="BH160" i="3" s="1"/>
  <c r="AQ159" i="3" a="1"/>
  <c r="AQ159" i="3" s="1"/>
  <c r="BH110" i="3" a="1"/>
  <c r="BH110" i="3" s="1"/>
  <c r="BH161" i="3" a="1"/>
  <c r="BH161" i="3" s="1"/>
  <c r="BH165" i="3" a="1"/>
  <c r="BH165" i="3" s="1"/>
  <c r="BH103" i="3" a="1"/>
  <c r="BH103" i="3" s="1"/>
  <c r="BH154" i="3" a="1"/>
  <c r="BH154" i="3" s="1"/>
  <c r="BH118" i="3" a="1"/>
  <c r="BH118" i="3" s="1"/>
  <c r="BH111" i="3" a="1"/>
  <c r="BH111" i="3" s="1"/>
  <c r="BH119" i="3" a="1"/>
  <c r="BH119" i="3" s="1"/>
  <c r="BH131" i="3" a="1"/>
  <c r="BH131" i="3" s="1"/>
  <c r="AP117" i="3" a="1"/>
  <c r="AP117" i="3" s="1"/>
  <c r="Q137" i="3" a="1"/>
  <c r="Q137" i="3" s="1"/>
  <c r="AL137" i="3" a="1"/>
  <c r="AL137" i="3" s="1"/>
  <c r="AL135" i="3" a="1"/>
  <c r="AL135" i="3" s="1"/>
  <c r="AL131" i="3" a="1"/>
  <c r="AL131" i="3" s="1"/>
  <c r="AL155" i="3" a="1"/>
  <c r="AL155" i="3" s="1"/>
  <c r="AL167" i="3" a="1"/>
  <c r="AL167" i="3" s="1"/>
  <c r="AL123" i="3" a="1"/>
  <c r="AL123" i="3" s="1"/>
  <c r="AL154" i="3" a="1"/>
  <c r="AL154" i="3" s="1"/>
  <c r="AL110" i="3" a="1"/>
  <c r="AL110" i="3" s="1"/>
  <c r="AL115" i="3" a="1"/>
  <c r="AL115" i="3" s="1"/>
  <c r="AL124" i="3" a="1"/>
  <c r="AL124" i="3" s="1"/>
  <c r="AL171" i="3" a="1"/>
  <c r="AL171" i="3" s="1"/>
  <c r="AL108" i="3" a="1"/>
  <c r="AL108" i="3" s="1"/>
  <c r="AL151" i="3" a="1"/>
  <c r="AL151" i="3" s="1"/>
  <c r="AL148" i="3" a="1"/>
  <c r="AL148" i="3" s="1"/>
  <c r="AL105" i="3" a="1"/>
  <c r="AL105" i="3" s="1"/>
  <c r="AL129" i="3" a="1"/>
  <c r="AL129" i="3" s="1"/>
  <c r="AL144" i="3" a="1"/>
  <c r="AL144" i="3" s="1"/>
  <c r="BQ137" i="3" a="1"/>
  <c r="BQ137" i="3" s="1"/>
  <c r="O156" i="3" a="1"/>
  <c r="O156" i="3" s="1"/>
  <c r="AW140" i="3" a="1"/>
  <c r="AW140" i="3" s="1"/>
  <c r="C123" i="3" a="1"/>
  <c r="C123" i="3" s="1"/>
  <c r="G115" i="3" a="1"/>
  <c r="G115" i="3" s="1"/>
  <c r="G123" i="3" a="1"/>
  <c r="G123" i="3" s="1"/>
  <c r="G109" i="3" a="1"/>
  <c r="G109" i="3" s="1"/>
  <c r="G112" i="3" a="1"/>
  <c r="G112" i="3" s="1"/>
  <c r="G129" i="3" a="1"/>
  <c r="G129" i="3" s="1"/>
  <c r="G124" i="3" a="1"/>
  <c r="G124" i="3" s="1"/>
  <c r="AM106" i="3" a="1"/>
  <c r="AM106" i="3" s="1"/>
  <c r="G138" i="3" a="1"/>
  <c r="G138" i="3" s="1"/>
  <c r="G146" i="3" a="1"/>
  <c r="G146" i="3" s="1"/>
  <c r="G156" i="3" a="1"/>
  <c r="G156" i="3" s="1"/>
  <c r="G152" i="3" a="1"/>
  <c r="G152" i="3" s="1"/>
  <c r="D106" i="3" a="1"/>
  <c r="D106" i="3" s="1"/>
  <c r="G155" i="3" a="1"/>
  <c r="G155" i="3" s="1"/>
  <c r="G125" i="3" a="1"/>
  <c r="G125" i="3" s="1"/>
  <c r="G135" i="3" a="1"/>
  <c r="G135" i="3" s="1"/>
  <c r="V106" i="3" a="1"/>
  <c r="V106" i="3" s="1"/>
  <c r="BC106" i="3" a="1"/>
  <c r="BC106" i="3" s="1"/>
  <c r="AR102" i="3" a="1"/>
  <c r="AR102" i="3" s="1"/>
  <c r="U133" i="3" a="1"/>
  <c r="U133" i="3" s="1"/>
  <c r="U107" i="3" a="1"/>
  <c r="U107" i="3" s="1"/>
  <c r="U147" i="3" a="1"/>
  <c r="U147" i="3" s="1"/>
  <c r="U118" i="3" a="1"/>
  <c r="U118" i="3" s="1"/>
  <c r="U111" i="3" a="1"/>
  <c r="U111" i="3" s="1"/>
  <c r="BF151" i="3" a="1"/>
  <c r="BF151" i="3" s="1"/>
  <c r="BF147" i="3" a="1"/>
  <c r="BF147" i="3" s="1"/>
  <c r="BF109" i="3" a="1"/>
  <c r="BF109" i="3" s="1"/>
  <c r="BK142" i="3" a="1"/>
  <c r="BK142" i="3" s="1"/>
  <c r="BQ102" i="3" a="1"/>
  <c r="BQ102" i="3" s="1"/>
  <c r="AP158" i="3" a="1"/>
  <c r="AP158" i="3" s="1"/>
  <c r="C146" i="3" a="1"/>
  <c r="C146" i="3" s="1"/>
  <c r="Y104" i="3" a="1"/>
  <c r="Y104" i="3" s="1"/>
  <c r="Y107" i="3" a="1"/>
  <c r="Y107" i="3" s="1"/>
  <c r="Y115" i="3" a="1"/>
  <c r="Y115" i="3" s="1"/>
  <c r="Y106" i="3" a="1"/>
  <c r="Y106" i="3" s="1"/>
  <c r="AG124" i="3" a="1"/>
  <c r="AG124" i="3" s="1"/>
  <c r="BK158" i="3" a="1"/>
  <c r="BK158" i="3" s="1"/>
  <c r="U128" i="3" a="1"/>
  <c r="U128" i="3" s="1"/>
  <c r="U120" i="3" a="1"/>
  <c r="U120" i="3" s="1"/>
  <c r="U172" i="3" a="1"/>
  <c r="U172" i="3" s="1"/>
  <c r="AV163" i="3" a="1"/>
  <c r="AV163" i="3" s="1"/>
  <c r="BF141" i="3" a="1"/>
  <c r="BF141" i="3" s="1"/>
  <c r="BF162" i="3" a="1"/>
  <c r="BF162" i="3" s="1"/>
  <c r="BF113" i="3" a="1"/>
  <c r="BF113" i="3" s="1"/>
  <c r="BR127" i="3" a="1"/>
  <c r="BR127" i="3" s="1"/>
  <c r="BR110" i="3" a="1"/>
  <c r="BR110" i="3" s="1"/>
  <c r="BR157" i="3" a="1"/>
  <c r="BR157" i="3" s="1"/>
  <c r="BR169" i="3" a="1"/>
  <c r="BR169" i="3" s="1"/>
  <c r="BR128" i="3" a="1"/>
  <c r="BR128" i="3" s="1"/>
  <c r="BR125" i="3" a="1"/>
  <c r="BR125" i="3" s="1"/>
  <c r="BR151" i="3" a="1"/>
  <c r="BR151" i="3" s="1"/>
  <c r="BR109" i="3" a="1"/>
  <c r="BR109" i="3" s="1"/>
  <c r="BR119" i="3" a="1"/>
  <c r="BR119" i="3" s="1"/>
  <c r="BR144" i="3" a="1"/>
  <c r="BR144" i="3" s="1"/>
  <c r="BK109" i="3" a="1"/>
  <c r="BK109" i="3" s="1"/>
  <c r="AP128" i="3" a="1"/>
  <c r="AP128" i="3" s="1"/>
  <c r="BO124" i="3" a="1"/>
  <c r="BO124" i="3" s="1"/>
  <c r="BO130" i="3" a="1"/>
  <c r="BO130" i="3" s="1"/>
  <c r="BO158" i="3" a="1"/>
  <c r="BO158" i="3" s="1"/>
  <c r="BS166" i="3" a="1"/>
  <c r="BS166" i="3" s="1"/>
  <c r="C118" i="3" a="1"/>
  <c r="C118" i="3" s="1"/>
  <c r="C108" i="3" a="1"/>
  <c r="C108" i="3" s="1"/>
  <c r="U156" i="3" a="1"/>
  <c r="U156" i="3" s="1"/>
  <c r="BV145" i="3" a="1"/>
  <c r="BV145" i="3" s="1"/>
  <c r="U106" i="3" a="1"/>
  <c r="U106" i="3" s="1"/>
  <c r="BV116" i="3" a="1"/>
  <c r="BV116" i="3" s="1"/>
  <c r="U144" i="3" a="1"/>
  <c r="U144" i="3" s="1"/>
  <c r="U114" i="3" a="1"/>
  <c r="U114" i="3" s="1"/>
  <c r="AR140" i="3" a="1"/>
  <c r="AR140" i="3" s="1"/>
  <c r="AR108" i="3" a="1"/>
  <c r="AR108" i="3" s="1"/>
  <c r="AY127" i="3" a="1"/>
  <c r="AY127" i="3" s="1"/>
  <c r="BV114" i="3" a="1"/>
  <c r="BV114" i="3" s="1"/>
  <c r="AV162" i="3" a="1"/>
  <c r="AV162" i="3" s="1"/>
  <c r="BS147" i="3" a="1"/>
  <c r="BS147" i="3" s="1"/>
  <c r="AV106" i="3" a="1"/>
  <c r="AV106" i="3" s="1"/>
  <c r="AV142" i="3" a="1"/>
  <c r="AV142" i="3" s="1"/>
  <c r="AV159" i="3" a="1"/>
  <c r="AV159" i="3" s="1"/>
  <c r="AV137" i="3" a="1"/>
  <c r="AV137" i="3" s="1"/>
  <c r="BF104" i="3" a="1"/>
  <c r="BF104" i="3" s="1"/>
  <c r="BF128" i="3" a="1"/>
  <c r="BF128" i="3" s="1"/>
  <c r="BF144" i="3" a="1"/>
  <c r="BF144" i="3" s="1"/>
  <c r="BR139" i="3" a="1"/>
  <c r="BR139" i="3" s="1"/>
  <c r="BR162" i="3" a="1"/>
  <c r="BR162" i="3" s="1"/>
  <c r="AP144" i="3" a="1"/>
  <c r="AP144" i="3" s="1"/>
  <c r="BO151" i="3" a="1"/>
  <c r="BO151" i="3" s="1"/>
  <c r="Y114" i="3" a="1"/>
  <c r="Y114" i="3" s="1"/>
  <c r="O111" i="3" a="1"/>
  <c r="O111" i="3" s="1"/>
  <c r="O113" i="3" a="1"/>
  <c r="O113" i="3" s="1"/>
  <c r="O139" i="3" a="1"/>
  <c r="O139" i="3" s="1"/>
  <c r="O117" i="3" a="1"/>
  <c r="O117" i="3" s="1"/>
  <c r="O119" i="3" a="1"/>
  <c r="O119" i="3" s="1"/>
  <c r="O103" i="3" a="1"/>
  <c r="O103" i="3" s="1"/>
  <c r="O133" i="3" a="1"/>
  <c r="O133" i="3" s="1"/>
  <c r="O126" i="3" a="1"/>
  <c r="O126" i="3" s="1"/>
  <c r="O140" i="3" a="1"/>
  <c r="O140" i="3" s="1"/>
  <c r="O131" i="3" a="1"/>
  <c r="O131" i="3" s="1"/>
  <c r="O116" i="3" a="1"/>
  <c r="O116" i="3" s="1"/>
  <c r="O144" i="3" a="1"/>
  <c r="O144" i="3" s="1"/>
  <c r="O102" i="3" a="1"/>
  <c r="O102" i="3" s="1"/>
  <c r="BS114" i="3" a="1"/>
  <c r="BS114" i="3" s="1"/>
  <c r="O171" i="3" a="1"/>
  <c r="O171" i="3" s="1"/>
  <c r="O138" i="3" a="1"/>
  <c r="O138" i="3" s="1"/>
  <c r="O129" i="3" a="1"/>
  <c r="O129" i="3" s="1"/>
  <c r="O152" i="3" a="1"/>
  <c r="O152" i="3" s="1"/>
  <c r="BC140" i="3" a="1"/>
  <c r="BC140" i="3" s="1"/>
  <c r="AH102" i="3" a="1"/>
  <c r="AH102" i="3" s="1"/>
  <c r="C121" i="3" a="1"/>
  <c r="C121" i="3" s="1"/>
  <c r="C112" i="3" a="1"/>
  <c r="C112" i="3" s="1"/>
  <c r="F128" i="3" a="1"/>
  <c r="F128" i="3" s="1"/>
  <c r="AC122" i="3" a="1"/>
  <c r="AC122" i="3" s="1"/>
  <c r="AC164" i="3" a="1"/>
  <c r="AC164" i="3" s="1"/>
  <c r="AC172" i="3" a="1"/>
  <c r="AC172" i="3" s="1"/>
  <c r="AQ128" i="3" a="1"/>
  <c r="AQ128" i="3" s="1"/>
  <c r="AC113" i="3" a="1"/>
  <c r="AC113" i="3" s="1"/>
  <c r="AC134" i="3" a="1"/>
  <c r="AC134" i="3" s="1"/>
  <c r="BP128" i="3" a="1"/>
  <c r="BP128" i="3" s="1"/>
  <c r="AC149" i="3" a="1"/>
  <c r="AC149" i="3" s="1"/>
  <c r="AC135" i="3" a="1"/>
  <c r="AC135" i="3" s="1"/>
  <c r="X172" i="3" a="1"/>
  <c r="X172" i="3" s="1"/>
  <c r="AL162" i="3" a="1"/>
  <c r="AL162" i="3" s="1"/>
  <c r="BK166" i="3" a="1"/>
  <c r="BK166" i="3" s="1"/>
  <c r="BK114" i="3" a="1"/>
  <c r="BK114" i="3" s="1"/>
  <c r="BK106" i="3" a="1"/>
  <c r="BK106" i="3" s="1"/>
  <c r="BK159" i="3" a="1"/>
  <c r="BK159" i="3" s="1"/>
  <c r="BK116" i="3" a="1"/>
  <c r="BK116" i="3" s="1"/>
  <c r="BK146" i="3" a="1"/>
  <c r="BK146" i="3" s="1"/>
  <c r="BK160" i="3" a="1"/>
  <c r="BK160" i="3" s="1"/>
  <c r="U165" i="3" a="1"/>
  <c r="U165" i="3" s="1"/>
  <c r="U102" i="3" a="1"/>
  <c r="U102" i="3" s="1"/>
  <c r="U121" i="3" a="1"/>
  <c r="U121" i="3" s="1"/>
  <c r="U124" i="3" a="1"/>
  <c r="U124" i="3" s="1"/>
  <c r="AY136" i="3" a="1"/>
  <c r="AY136" i="3" s="1"/>
  <c r="U136" i="3" a="1"/>
  <c r="U136" i="3" s="1"/>
  <c r="U103" i="3" a="1"/>
  <c r="U103" i="3" s="1"/>
  <c r="AY147" i="3" a="1"/>
  <c r="AY147" i="3" s="1"/>
  <c r="U141" i="3" a="1"/>
  <c r="U141" i="3" s="1"/>
  <c r="U123" i="3" a="1"/>
  <c r="U123" i="3" s="1"/>
  <c r="AR147" i="3" a="1"/>
  <c r="AR147" i="3" s="1"/>
  <c r="U139" i="3" a="1"/>
  <c r="U139" i="3" s="1"/>
  <c r="U143" i="3" a="1"/>
  <c r="U143" i="3" s="1"/>
  <c r="U146" i="3" a="1"/>
  <c r="U146" i="3" s="1"/>
  <c r="U155" i="3" a="1"/>
  <c r="U155" i="3" s="1"/>
  <c r="AR162" i="3" a="1"/>
  <c r="AR162" i="3" s="1"/>
  <c r="AR161" i="3" a="1"/>
  <c r="AR161" i="3" s="1"/>
  <c r="AR115" i="3" a="1"/>
  <c r="AR115" i="3" s="1"/>
  <c r="BV122" i="3" a="1"/>
  <c r="BV122" i="3" s="1"/>
  <c r="AV149" i="3" a="1"/>
  <c r="AV149" i="3" s="1"/>
  <c r="AV155" i="3" a="1"/>
  <c r="AV155" i="3" s="1"/>
  <c r="AV115" i="3" a="1"/>
  <c r="AV115" i="3" s="1"/>
  <c r="BL167" i="3" a="1"/>
  <c r="BL167" i="3" s="1"/>
  <c r="BF135" i="3" a="1"/>
  <c r="BF135" i="3" s="1"/>
  <c r="BF116" i="3" a="1"/>
  <c r="BF116" i="3" s="1"/>
  <c r="BF138" i="3" a="1"/>
  <c r="BF138" i="3" s="1"/>
  <c r="BR153" i="3" a="1"/>
  <c r="BR153" i="3" s="1"/>
  <c r="BR120" i="3" a="1"/>
  <c r="BR120" i="3" s="1"/>
  <c r="BK119" i="3" a="1"/>
  <c r="BK119" i="3" s="1"/>
  <c r="BQ159" i="3" a="1"/>
  <c r="BQ159" i="3" s="1"/>
  <c r="BJ117" i="3" a="1"/>
  <c r="BJ117" i="3" s="1"/>
  <c r="R105" i="3" a="1"/>
  <c r="R105" i="3" s="1"/>
  <c r="R142" i="3" a="1"/>
  <c r="R142" i="3" s="1"/>
  <c r="R133" i="3" a="1"/>
  <c r="R133" i="3" s="1"/>
  <c r="R103" i="3" a="1"/>
  <c r="R103" i="3" s="1"/>
  <c r="R123" i="3" a="1"/>
  <c r="R123" i="3" s="1"/>
  <c r="R166" i="3" a="1"/>
  <c r="R166" i="3" s="1"/>
  <c r="R167" i="3" a="1"/>
  <c r="R167" i="3" s="1"/>
  <c r="R129" i="3" a="1"/>
  <c r="R129" i="3" s="1"/>
  <c r="R161" i="3" a="1"/>
  <c r="R161" i="3" s="1"/>
  <c r="R172" i="3" a="1"/>
  <c r="R172" i="3" s="1"/>
  <c r="R130" i="3" a="1"/>
  <c r="R130" i="3" s="1"/>
  <c r="R165" i="3" a="1"/>
  <c r="R165" i="3" s="1"/>
  <c r="R141" i="3" a="1"/>
  <c r="R141" i="3" s="1"/>
  <c r="R122" i="3" a="1"/>
  <c r="R122" i="3" s="1"/>
  <c r="R115" i="3" a="1"/>
  <c r="R115" i="3" s="1"/>
  <c r="AP145" i="3" a="1"/>
  <c r="AP145" i="3" s="1"/>
  <c r="AL116" i="3" a="1"/>
  <c r="AL116" i="3" s="1"/>
  <c r="O128" i="3" a="1"/>
  <c r="O128" i="3" s="1"/>
  <c r="O132" i="3" a="1"/>
  <c r="O132" i="3" s="1"/>
  <c r="BC130" i="3" a="1"/>
  <c r="BC130" i="3" s="1"/>
  <c r="AE126" i="3" a="1"/>
  <c r="AE126" i="3" s="1"/>
  <c r="AE154" i="3" a="1"/>
  <c r="AE154" i="3" s="1"/>
  <c r="AE117" i="3" a="1"/>
  <c r="AE117" i="3" s="1"/>
  <c r="AE151" i="3" a="1"/>
  <c r="AE151" i="3" s="1"/>
  <c r="AE114" i="3" a="1"/>
  <c r="AE114" i="3" s="1"/>
  <c r="AE105" i="3" a="1"/>
  <c r="AE105" i="3" s="1"/>
  <c r="AE122" i="3" a="1"/>
  <c r="AE122" i="3" s="1"/>
  <c r="AE149" i="3" a="1"/>
  <c r="AE149" i="3" s="1"/>
  <c r="AE140" i="3" a="1"/>
  <c r="AE140" i="3" s="1"/>
  <c r="AE133" i="3" a="1"/>
  <c r="AE133" i="3" s="1"/>
  <c r="BB130" i="3" a="1"/>
  <c r="BB130" i="3" s="1"/>
  <c r="AE171" i="3" a="1"/>
  <c r="AE171" i="3" s="1"/>
  <c r="AE156" i="3" a="1"/>
  <c r="AE156" i="3" s="1"/>
  <c r="BQ130" i="3" a="1"/>
  <c r="BQ130" i="3" s="1"/>
  <c r="C149" i="3" a="1"/>
  <c r="C149" i="3" s="1"/>
  <c r="C124" i="3" a="1"/>
  <c r="C124" i="3" s="1"/>
  <c r="Q124" i="3" a="1"/>
  <c r="Q124" i="3" s="1"/>
  <c r="X135" i="3" a="1"/>
  <c r="X135" i="3" s="1"/>
  <c r="AD144" i="3" a="1"/>
  <c r="AD144" i="3" s="1"/>
  <c r="AD172" i="3" a="1"/>
  <c r="AD172" i="3" s="1"/>
  <c r="AD129" i="3" a="1"/>
  <c r="AD129" i="3" s="1"/>
  <c r="AT154" i="3" a="1"/>
  <c r="AT154" i="3" s="1"/>
  <c r="BC105" i="3" a="1"/>
  <c r="BC105" i="3" s="1"/>
  <c r="BC135" i="3" a="1"/>
  <c r="BC135" i="3" s="1"/>
  <c r="BC115" i="3" a="1"/>
  <c r="BC115" i="3" s="1"/>
  <c r="K133" i="3" a="1"/>
  <c r="K133" i="3" s="1"/>
  <c r="AH111" i="3" a="1"/>
  <c r="AH111" i="3" s="1"/>
  <c r="AH149" i="3" a="1"/>
  <c r="AH149" i="3" s="1"/>
  <c r="BQ133" i="3" a="1"/>
  <c r="BQ133" i="3" s="1"/>
  <c r="Q129" i="3" a="1"/>
  <c r="Q129" i="3" s="1"/>
  <c r="D129" i="3" a="1"/>
  <c r="D129" i="3" s="1"/>
  <c r="F115" i="3" a="1"/>
  <c r="F115" i="3" s="1"/>
  <c r="P107" i="3" a="1"/>
  <c r="P107" i="3" s="1"/>
  <c r="P122" i="3" a="1"/>
  <c r="P122" i="3" s="1"/>
  <c r="P171" i="3" a="1"/>
  <c r="P171" i="3" s="1"/>
  <c r="P149" i="3" a="1"/>
  <c r="P149" i="3" s="1"/>
  <c r="BN169" i="3" a="1"/>
  <c r="BN169" i="3" s="1"/>
  <c r="BN106" i="3" a="1"/>
  <c r="BN106" i="3" s="1"/>
  <c r="BN165" i="3" a="1"/>
  <c r="BN165" i="3" s="1"/>
  <c r="BC137" i="3" a="1"/>
  <c r="BC137" i="3" s="1"/>
  <c r="BC127" i="3" a="1"/>
  <c r="BC127" i="3" s="1"/>
  <c r="BC138" i="3" a="1"/>
  <c r="BC138" i="3" s="1"/>
  <c r="AZ113" i="3" a="1"/>
  <c r="AZ113" i="3" s="1"/>
  <c r="AZ107" i="3" a="1"/>
  <c r="AZ107" i="3" s="1"/>
  <c r="AH127" i="3" a="1"/>
  <c r="AH127" i="3" s="1"/>
  <c r="AH112" i="3" a="1"/>
  <c r="AH112" i="3" s="1"/>
  <c r="AH164" i="3" a="1"/>
  <c r="AH164" i="3" s="1"/>
  <c r="I139" i="3" a="1"/>
  <c r="I139" i="3" s="1"/>
  <c r="BQ108" i="3" a="1"/>
  <c r="BQ108" i="3" s="1"/>
  <c r="I127" i="3" a="1"/>
  <c r="I127" i="3" s="1"/>
  <c r="BE155" i="3" a="1"/>
  <c r="BE155" i="3" s="1"/>
  <c r="BD152" i="3" a="1"/>
  <c r="BD152" i="3" s="1"/>
  <c r="BD127" i="3" a="1"/>
  <c r="BD127" i="3" s="1"/>
  <c r="BP155" i="3" a="1"/>
  <c r="BP155" i="3" s="1"/>
  <c r="AX155" i="3" a="1"/>
  <c r="AX155" i="3" s="1"/>
  <c r="BD160" i="3" a="1"/>
  <c r="BD160" i="3" s="1"/>
  <c r="BD156" i="3" a="1"/>
  <c r="BD156" i="3" s="1"/>
  <c r="BM155" i="3" a="1"/>
  <c r="BM155" i="3" s="1"/>
  <c r="BD122" i="3" a="1"/>
  <c r="BD122" i="3" s="1"/>
  <c r="M109" i="3" a="1"/>
  <c r="M109" i="3" s="1"/>
  <c r="J127" i="3" a="1"/>
  <c r="J127" i="3" s="1"/>
  <c r="J118" i="3" a="1"/>
  <c r="J118" i="3" s="1"/>
  <c r="J160" i="3" a="1"/>
  <c r="J160" i="3" s="1"/>
  <c r="J112" i="3" a="1"/>
  <c r="J112" i="3" s="1"/>
  <c r="J113" i="3" a="1"/>
  <c r="J113" i="3" s="1"/>
  <c r="BE112" i="3" a="1"/>
  <c r="BE112" i="3" s="1"/>
  <c r="M112" i="3" a="1"/>
  <c r="M112" i="3" s="1"/>
  <c r="M131" i="3" a="1"/>
  <c r="M131" i="3" s="1"/>
  <c r="M149" i="3" a="1"/>
  <c r="M149" i="3" s="1"/>
  <c r="M152" i="3" a="1"/>
  <c r="M152" i="3" s="1"/>
  <c r="M118" i="3" a="1"/>
  <c r="M118" i="3" s="1"/>
  <c r="AB112" i="3" a="1"/>
  <c r="AB112" i="3" s="1"/>
  <c r="S152" i="3" a="1"/>
  <c r="S152" i="3" s="1"/>
  <c r="BA144" i="3" a="1"/>
  <c r="BA144" i="3" s="1"/>
  <c r="BA149" i="3" a="1"/>
  <c r="BA149" i="3" s="1"/>
  <c r="BA129" i="3" a="1"/>
  <c r="BA129" i="3" s="1"/>
  <c r="BN126" i="3" a="1"/>
  <c r="BN126" i="3" s="1"/>
  <c r="BC134" i="3" a="1"/>
  <c r="BC134" i="3" s="1"/>
  <c r="BC125" i="3" a="1"/>
  <c r="BC125" i="3" s="1"/>
  <c r="BC110" i="3" a="1"/>
  <c r="BC110" i="3" s="1"/>
  <c r="AZ128" i="3" a="1"/>
  <c r="AZ128" i="3" s="1"/>
  <c r="AZ109" i="3" a="1"/>
  <c r="AZ109" i="3" s="1"/>
  <c r="AH128" i="3" a="1"/>
  <c r="AH128" i="3" s="1"/>
  <c r="AH139" i="3" a="1"/>
  <c r="AH139" i="3" s="1"/>
  <c r="K112" i="3" a="1"/>
  <c r="K112" i="3" s="1"/>
  <c r="F116" i="3" a="1"/>
  <c r="F116" i="3" s="1"/>
  <c r="Q102" i="3" a="1"/>
  <c r="Q102" i="3" s="1"/>
  <c r="Q149" i="3" a="1"/>
  <c r="Q149" i="3" s="1"/>
  <c r="Q133" i="3" a="1"/>
  <c r="Q133" i="3" s="1"/>
  <c r="D110" i="3" a="1"/>
  <c r="D110" i="3" s="1"/>
  <c r="AN113" i="3" a="1"/>
  <c r="AN113" i="3" s="1"/>
  <c r="AN172" i="3" a="1"/>
  <c r="AN172" i="3" s="1"/>
  <c r="AN123" i="3" a="1"/>
  <c r="AN123" i="3" s="1"/>
  <c r="AN124" i="3" a="1"/>
  <c r="AN124" i="3" s="1"/>
  <c r="AN107" i="3" a="1"/>
  <c r="AN107" i="3" s="1"/>
  <c r="AN152" i="3" a="1"/>
  <c r="AN152" i="3" s="1"/>
  <c r="AN164" i="3" a="1"/>
  <c r="AN164" i="3" s="1"/>
  <c r="BD144" i="3" a="1"/>
  <c r="BD144" i="3" s="1"/>
  <c r="BM112" i="3" a="1"/>
  <c r="BM112" i="3" s="1"/>
  <c r="AF152" i="3" a="1"/>
  <c r="AF152" i="3" s="1"/>
  <c r="E115" i="3" a="1"/>
  <c r="E115" i="3" s="1"/>
  <c r="BS151" i="3" a="1"/>
  <c r="BS151" i="3" s="1"/>
  <c r="AO170" i="3" a="1"/>
  <c r="AO170" i="3" s="1"/>
  <c r="BS137" i="3" a="1"/>
  <c r="BS137" i="3" s="1"/>
  <c r="O153" i="3" a="1"/>
  <c r="O153" i="3" s="1"/>
  <c r="BB124" i="3" a="1"/>
  <c r="BB124" i="3" s="1"/>
  <c r="BB138" i="3" a="1"/>
  <c r="BB138" i="3" s="1"/>
  <c r="BB148" i="3" a="1"/>
  <c r="BB148" i="3" s="1"/>
  <c r="BN146" i="3" a="1"/>
  <c r="BN146" i="3" s="1"/>
  <c r="BN159" i="3" a="1"/>
  <c r="BN159" i="3" s="1"/>
  <c r="BC126" i="3" a="1"/>
  <c r="BC126" i="3" s="1"/>
  <c r="BC170" i="3" a="1"/>
  <c r="BC170" i="3" s="1"/>
  <c r="BC102" i="3" a="1"/>
  <c r="BC102" i="3" s="1"/>
  <c r="AZ123" i="3" a="1"/>
  <c r="AZ123" i="3" s="1"/>
  <c r="AM129" i="3" a="1"/>
  <c r="AM129" i="3" s="1"/>
  <c r="AH135" i="3" a="1"/>
  <c r="AH135" i="3" s="1"/>
  <c r="AH131" i="3" a="1"/>
  <c r="AH131" i="3" s="1"/>
  <c r="G110" i="3" a="1"/>
  <c r="G110" i="3" s="1"/>
  <c r="K122" i="3" a="1"/>
  <c r="K122" i="3" s="1"/>
  <c r="K129" i="3" a="1"/>
  <c r="K129" i="3" s="1"/>
  <c r="I108" i="3" a="1"/>
  <c r="I108" i="3" s="1"/>
  <c r="BD111" i="3" a="1"/>
  <c r="BD111" i="3" s="1"/>
  <c r="J149" i="3" a="1"/>
  <c r="J149" i="3" s="1"/>
  <c r="AD111" i="3" a="1"/>
  <c r="AD111" i="3" s="1"/>
  <c r="M144" i="3" a="1"/>
  <c r="M144" i="3" s="1"/>
  <c r="Z115" i="3" a="1"/>
  <c r="Z115" i="3" s="1"/>
  <c r="BD112" i="3" a="1"/>
  <c r="BD112" i="3" s="1"/>
  <c r="J172" i="3" a="1"/>
  <c r="J172" i="3" s="1"/>
  <c r="AB152" i="3" a="1"/>
  <c r="AB152" i="3" s="1"/>
  <c r="AD152" i="3" a="1"/>
  <c r="AD152" i="3" s="1"/>
  <c r="M122" i="3" a="1"/>
  <c r="M122" i="3" s="1"/>
  <c r="AF126" i="3" a="1"/>
  <c r="AF126" i="3" s="1"/>
  <c r="AF112" i="3" a="1"/>
  <c r="AF112" i="3" s="1"/>
  <c r="AF118" i="3" a="1"/>
  <c r="AF118" i="3" s="1"/>
  <c r="AF104" i="3" a="1"/>
  <c r="AF104" i="3" s="1"/>
  <c r="AB160" i="3" a="1"/>
  <c r="AB160" i="3" s="1"/>
  <c r="BI107" i="3" a="1"/>
  <c r="BI107" i="3" s="1"/>
  <c r="BI152" i="3" a="1"/>
  <c r="BI152" i="3" s="1"/>
  <c r="AZ154" i="3" a="1"/>
  <c r="AZ154" i="3" s="1"/>
  <c r="AD160" i="3" a="1"/>
  <c r="AD160" i="3" s="1"/>
  <c r="M115" i="3" a="1"/>
  <c r="M115" i="3" s="1"/>
  <c r="AJ110" i="3" a="1"/>
  <c r="AJ110" i="3" s="1"/>
  <c r="P172" i="3" a="1"/>
  <c r="P172" i="3" s="1"/>
  <c r="BC118" i="3" a="1"/>
  <c r="BC118" i="3" s="1"/>
  <c r="AZ124" i="3" a="1"/>
  <c r="AZ124" i="3" s="1"/>
  <c r="AZ102" i="3" a="1"/>
  <c r="AZ102" i="3" s="1"/>
  <c r="BS169" i="3" a="1"/>
  <c r="BS169" i="3" s="1"/>
  <c r="BS158" i="3" a="1"/>
  <c r="BS158" i="3" s="1"/>
  <c r="BS117" i="3" a="1"/>
  <c r="BS117" i="3" s="1"/>
  <c r="BS110" i="3" a="1"/>
  <c r="BS110" i="3" s="1"/>
  <c r="BB111" i="3" a="1"/>
  <c r="BB111" i="3" s="1"/>
  <c r="BB155" i="3" a="1"/>
  <c r="BB155" i="3" s="1"/>
  <c r="BB140" i="3" a="1"/>
  <c r="BB140" i="3" s="1"/>
  <c r="BN156" i="3" a="1"/>
  <c r="BN156" i="3" s="1"/>
  <c r="BN124" i="3" a="1"/>
  <c r="BN124" i="3" s="1"/>
  <c r="BJ159" i="3" a="1"/>
  <c r="BJ159" i="3" s="1"/>
  <c r="AQ161" i="3" a="1"/>
  <c r="AQ161" i="3" s="1"/>
  <c r="BJ131" i="3" a="1"/>
  <c r="BJ131" i="3" s="1"/>
  <c r="BJ133" i="3" a="1"/>
  <c r="BJ133" i="3" s="1"/>
  <c r="BC144" i="3" a="1"/>
  <c r="BC144" i="3" s="1"/>
  <c r="BC116" i="3" a="1"/>
  <c r="BC116" i="3" s="1"/>
  <c r="BC112" i="3" a="1"/>
  <c r="BC112" i="3" s="1"/>
  <c r="AZ126" i="3" a="1"/>
  <c r="AZ126" i="3" s="1"/>
  <c r="AZ146" i="3" a="1"/>
  <c r="AZ146" i="3" s="1"/>
  <c r="AC138" i="3" a="1"/>
  <c r="AC138" i="3" s="1"/>
  <c r="AM121" i="3" a="1"/>
  <c r="AM121" i="3" s="1"/>
  <c r="AM119" i="3" a="1"/>
  <c r="AM119" i="3" s="1"/>
  <c r="AH118" i="3" a="1"/>
  <c r="AH118" i="3" s="1"/>
  <c r="AH105" i="3" a="1"/>
  <c r="AH105" i="3" s="1"/>
  <c r="G132" i="3" a="1"/>
  <c r="G132" i="3" s="1"/>
  <c r="AG106" i="3" a="1"/>
  <c r="AG106" i="3" s="1"/>
  <c r="AG135" i="3" a="1"/>
  <c r="AG135" i="3" s="1"/>
  <c r="AG119" i="3" a="1"/>
  <c r="AG119" i="3" s="1"/>
  <c r="K118" i="3" a="1"/>
  <c r="K118" i="3" s="1"/>
  <c r="I131" i="3" a="1"/>
  <c r="I131" i="3" s="1"/>
  <c r="Q127" i="3" a="1"/>
  <c r="Q127" i="3" s="1"/>
  <c r="AN134" i="3" a="1"/>
  <c r="AN134" i="3" s="1"/>
  <c r="AN135" i="3" a="1"/>
  <c r="AN135" i="3" s="1"/>
  <c r="Z104" i="3" a="1"/>
  <c r="Z104" i="3" s="1"/>
  <c r="Z134" i="3" a="1"/>
  <c r="Z134" i="3" s="1"/>
  <c r="Z118" i="3" a="1"/>
  <c r="Z118" i="3" s="1"/>
  <c r="Z152" i="3" a="1"/>
  <c r="Z152" i="3" s="1"/>
  <c r="Z149" i="3" a="1"/>
  <c r="Z149" i="3" s="1"/>
  <c r="M126" i="3" a="1"/>
  <c r="M126" i="3" s="1"/>
  <c r="AA112" i="3" a="1"/>
  <c r="AA112" i="3" s="1"/>
  <c r="AA115" i="3" a="1"/>
  <c r="AA115" i="3" s="1"/>
  <c r="AA127" i="3" a="1"/>
  <c r="AA127" i="3" s="1"/>
  <c r="D126" i="3" a="1"/>
  <c r="D126" i="3" s="1"/>
  <c r="AU109" i="3" a="1"/>
  <c r="AU109" i="3" s="1"/>
  <c r="BD131" i="3" a="1"/>
  <c r="BD131" i="3" s="1"/>
  <c r="J111" i="3" a="1"/>
  <c r="J111" i="3" s="1"/>
  <c r="AD156" i="3" a="1"/>
  <c r="AD156" i="3" s="1"/>
  <c r="M160" i="3" a="1"/>
  <c r="M160" i="3" s="1"/>
  <c r="BE152" i="3" a="1"/>
  <c r="BE152" i="3" s="1"/>
  <c r="AS115" i="3" a="1"/>
  <c r="AS115" i="3" s="1"/>
  <c r="P118" i="3" a="1"/>
  <c r="P118" i="3" s="1"/>
  <c r="BI146" i="3" a="1"/>
  <c r="BI146" i="3" s="1"/>
  <c r="AF121" i="3" a="1"/>
  <c r="AF121" i="3" s="1"/>
  <c r="D155" i="3" a="1"/>
  <c r="D155" i="3" s="1"/>
  <c r="F110" i="3" a="1"/>
  <c r="F110" i="3" s="1"/>
  <c r="AU160" i="3" a="1"/>
  <c r="AU160" i="3" s="1"/>
  <c r="AU118" i="3" a="1"/>
  <c r="AU118" i="3" s="1"/>
  <c r="BM144" i="3" a="1"/>
  <c r="BM144" i="3" s="1"/>
  <c r="BE113" i="3" a="1"/>
  <c r="BE113" i="3" s="1"/>
  <c r="BC168" i="3" a="1"/>
  <c r="BC168" i="3" s="1"/>
  <c r="V164" i="3" a="1"/>
  <c r="V164" i="3" s="1"/>
  <c r="V108" i="3" a="1"/>
  <c r="V108" i="3" s="1"/>
  <c r="V127" i="3" a="1"/>
  <c r="V127" i="3" s="1"/>
  <c r="D135" i="3" a="1"/>
  <c r="D135" i="3" s="1"/>
  <c r="D115" i="3" a="1"/>
  <c r="D115" i="3" s="1"/>
  <c r="F124" i="3" a="1"/>
  <c r="F124" i="3" s="1"/>
  <c r="F111" i="3" a="1"/>
  <c r="F111" i="3" s="1"/>
  <c r="AU134" i="3" a="1"/>
  <c r="AU134" i="3" s="1"/>
  <c r="AU144" i="3" a="1"/>
  <c r="AU144" i="3" s="1"/>
  <c r="BM115" i="3" a="1"/>
  <c r="BM115" i="3" s="1"/>
  <c r="AB156" i="3" a="1"/>
  <c r="AB156" i="3" s="1"/>
  <c r="BE118" i="3" a="1"/>
  <c r="BE118" i="3" s="1"/>
  <c r="AS172" i="3" a="1"/>
  <c r="AS172" i="3" s="1"/>
  <c r="E104" i="3" a="1"/>
  <c r="E104" i="3" s="1"/>
  <c r="S144" i="3" a="1"/>
  <c r="S144" i="3" s="1"/>
  <c r="AU104" i="3" a="1"/>
  <c r="AU104" i="3" s="1"/>
  <c r="AU149" i="3" a="1"/>
  <c r="AU149" i="3" s="1"/>
  <c r="AD164" i="3" a="1"/>
  <c r="AD164" i="3" s="1"/>
  <c r="E171" i="3" a="1"/>
  <c r="E171" i="3" s="1"/>
  <c r="AY116" i="3" a="1"/>
  <c r="AY116" i="3" s="1"/>
  <c r="AY158" i="3" a="1"/>
  <c r="AY158" i="3" s="1"/>
  <c r="AY106" i="3" a="1"/>
  <c r="AY106" i="3" s="1"/>
  <c r="AY172" i="3" a="1"/>
  <c r="AY172" i="3" s="1"/>
  <c r="AY143" i="3" a="1"/>
  <c r="AY143" i="3" s="1"/>
  <c r="AY135" i="3" a="1"/>
  <c r="AY135" i="3" s="1"/>
  <c r="W150" i="3" a="1"/>
  <c r="W150" i="3" s="1"/>
  <c r="BT150" i="3" a="1"/>
  <c r="BT150" i="3" s="1"/>
  <c r="AX150" i="3" a="1"/>
  <c r="AX150" i="3" s="1"/>
  <c r="AY160" i="3" a="1"/>
  <c r="AY160" i="3" s="1"/>
  <c r="BU150" i="3" a="1"/>
  <c r="BU150" i="3" s="1"/>
  <c r="H150" i="3" a="1"/>
  <c r="H150" i="3" s="1"/>
  <c r="BI150" i="3" a="1"/>
  <c r="BI150" i="3" s="1"/>
  <c r="AD150" i="3" a="1"/>
  <c r="AD150" i="3" s="1"/>
  <c r="M150" i="3" a="1"/>
  <c r="M150" i="3" s="1"/>
  <c r="AB150" i="3" a="1"/>
  <c r="AB150" i="3" s="1"/>
  <c r="AI150" i="3" a="1"/>
  <c r="AI150" i="3" s="1"/>
  <c r="Q150" i="3" a="1"/>
  <c r="Q150" i="3" s="1"/>
  <c r="AA150" i="3" a="1"/>
  <c r="AA150" i="3" s="1"/>
  <c r="AG150" i="3" a="1"/>
  <c r="AG150" i="3" s="1"/>
  <c r="AJ150" i="3" a="1"/>
  <c r="AJ150" i="3" s="1"/>
  <c r="Z150" i="3" a="1"/>
  <c r="Z150" i="3" s="1"/>
  <c r="D150" i="3" a="1"/>
  <c r="D150" i="3" s="1"/>
  <c r="AU150" i="3" a="1"/>
  <c r="AU150" i="3" s="1"/>
  <c r="AM150" i="3" a="1"/>
  <c r="AM150" i="3" s="1"/>
  <c r="BC150" i="3" a="1"/>
  <c r="BC150" i="3" s="1"/>
  <c r="BJ150" i="3" a="1"/>
  <c r="BJ150" i="3" s="1"/>
  <c r="C150" i="3" a="1"/>
  <c r="C150" i="3" s="1"/>
  <c r="BN150" i="3" a="1"/>
  <c r="BN150" i="3" s="1"/>
  <c r="O150" i="3" a="1"/>
  <c r="O150" i="3" s="1"/>
  <c r="T150" i="3" a="1"/>
  <c r="T150" i="3" s="1"/>
  <c r="AH150" i="3" a="1"/>
  <c r="AH150" i="3" s="1"/>
  <c r="AQ150" i="3" a="1"/>
  <c r="AQ150" i="3" s="1"/>
  <c r="BL158" i="3" a="1"/>
  <c r="BL158" i="3" s="1"/>
  <c r="BL131" i="3" a="1"/>
  <c r="BL131" i="3" s="1"/>
  <c r="BL150" i="3" a="1"/>
  <c r="BL150" i="3" s="1"/>
  <c r="BL165" i="3" a="1"/>
  <c r="BL165" i="3" s="1"/>
  <c r="BL163" i="3" a="1"/>
  <c r="BL163" i="3" s="1"/>
  <c r="BL147" i="3" a="1"/>
  <c r="BL147" i="3" s="1"/>
  <c r="BL162" i="3" a="1"/>
  <c r="BL162" i="3" s="1"/>
  <c r="BL134" i="3" a="1"/>
  <c r="BL134" i="3" s="1"/>
  <c r="BL160" i="3" a="1"/>
  <c r="BL160" i="3" s="1"/>
  <c r="BL128" i="3" a="1"/>
  <c r="BL128" i="3" s="1"/>
  <c r="W163" i="3" a="1"/>
  <c r="W163" i="3" s="1"/>
  <c r="BT163" i="3" a="1"/>
  <c r="BT163" i="3" s="1"/>
  <c r="BL141" i="3" a="1"/>
  <c r="BL141" i="3" s="1"/>
  <c r="S163" i="3" a="1"/>
  <c r="S163" i="3" s="1"/>
  <c r="P163" i="3" a="1"/>
  <c r="P163" i="3" s="1"/>
  <c r="AI163" i="3" a="1"/>
  <c r="AI163" i="3" s="1"/>
  <c r="M163" i="3" a="1"/>
  <c r="M163" i="3" s="1"/>
  <c r="AB163" i="3" a="1"/>
  <c r="AB163" i="3" s="1"/>
  <c r="AX163" i="3" a="1"/>
  <c r="AX163" i="3" s="1"/>
  <c r="BM163" i="3" a="1"/>
  <c r="BM163" i="3" s="1"/>
  <c r="AF163" i="3" a="1"/>
  <c r="AF163" i="3" s="1"/>
  <c r="AU163" i="3" a="1"/>
  <c r="AU163" i="3" s="1"/>
  <c r="D163" i="3" a="1"/>
  <c r="D163" i="3" s="1"/>
  <c r="C163" i="3" a="1"/>
  <c r="C163" i="3" s="1"/>
  <c r="AG163" i="3" a="1"/>
  <c r="AG163" i="3" s="1"/>
  <c r="AM163" i="3" a="1"/>
  <c r="AM163" i="3" s="1"/>
  <c r="I163" i="3" a="1"/>
  <c r="I163" i="3" s="1"/>
  <c r="AH163" i="3" a="1"/>
  <c r="AH163" i="3" s="1"/>
  <c r="AA163" i="3" a="1"/>
  <c r="AA163" i="3" s="1"/>
  <c r="AJ163" i="3" a="1"/>
  <c r="AJ163" i="3" s="1"/>
  <c r="Z163" i="3" a="1"/>
  <c r="Z163" i="3" s="1"/>
  <c r="AN163" i="3" a="1"/>
  <c r="AN163" i="3" s="1"/>
  <c r="O163" i="3" a="1"/>
  <c r="O163" i="3" s="1"/>
  <c r="V163" i="3" a="1"/>
  <c r="V163" i="3" s="1"/>
  <c r="BC163" i="3" a="1"/>
  <c r="BC163" i="3" s="1"/>
  <c r="BH163" i="3" a="1"/>
  <c r="BH163" i="3" s="1"/>
  <c r="BN163" i="3" a="1"/>
  <c r="BN163" i="3" s="1"/>
  <c r="BL109" i="3" a="1"/>
  <c r="BL109" i="3" s="1"/>
  <c r="BL105" i="3" a="1"/>
  <c r="BL105" i="3" s="1"/>
  <c r="BL155" i="3" a="1"/>
  <c r="BL155" i="3" s="1"/>
  <c r="BL138" i="3" a="1"/>
  <c r="BL138" i="3" s="1"/>
  <c r="BL146" i="3" a="1"/>
  <c r="BL146" i="3" s="1"/>
  <c r="T163" i="3" a="1"/>
  <c r="T163" i="3" s="1"/>
  <c r="AL163" i="3" a="1"/>
  <c r="AL163" i="3" s="1"/>
  <c r="BQ163" i="3" a="1"/>
  <c r="BQ163" i="3" s="1"/>
  <c r="BB163" i="3" a="1"/>
  <c r="BB163" i="3" s="1"/>
  <c r="BL169" i="3" a="1"/>
  <c r="BL169" i="3" s="1"/>
  <c r="BL118" i="3" a="1"/>
  <c r="BL118" i="3" s="1"/>
  <c r="BL123" i="3" a="1"/>
  <c r="BL123" i="3" s="1"/>
  <c r="AR150" i="3" a="1"/>
  <c r="AR150" i="3" s="1"/>
  <c r="AY157" i="3" a="1"/>
  <c r="AY157" i="3" s="1"/>
  <c r="AY159" i="3" a="1"/>
  <c r="AY159" i="3" s="1"/>
  <c r="AY163" i="3" a="1"/>
  <c r="AY163" i="3" s="1"/>
  <c r="AY112" i="3" a="1"/>
  <c r="AY112" i="3" s="1"/>
  <c r="AY103" i="3" a="1"/>
  <c r="AY103" i="3" s="1"/>
  <c r="AY168" i="3" a="1"/>
  <c r="AY168" i="3" s="1"/>
  <c r="BV164" i="3" a="1"/>
  <c r="BV164" i="3" s="1"/>
  <c r="BV113" i="3" a="1"/>
  <c r="BV113" i="3" s="1"/>
  <c r="BV102" i="3" a="1"/>
  <c r="BV102" i="3" s="1"/>
  <c r="BV110" i="3" a="1"/>
  <c r="BV110" i="3" s="1"/>
  <c r="BV168" i="3" a="1"/>
  <c r="BV168" i="3" s="1"/>
  <c r="BL153" i="3" a="1"/>
  <c r="BL153" i="3" s="1"/>
  <c r="BL171" i="3" a="1"/>
  <c r="BL171" i="3" s="1"/>
  <c r="BL145" i="3" a="1"/>
  <c r="BL145" i="3" s="1"/>
  <c r="BL126" i="3" a="1"/>
  <c r="BL126" i="3" s="1"/>
  <c r="BL172" i="3" a="1"/>
  <c r="BL172" i="3" s="1"/>
  <c r="BR173" i="3" a="1"/>
  <c r="BR173" i="3" s="1"/>
  <c r="AK170" i="3" a="1"/>
  <c r="AK170" i="3" s="1"/>
  <c r="AK149" i="3" a="1"/>
  <c r="AK149" i="3" s="1"/>
  <c r="AK109" i="3" a="1"/>
  <c r="AK109" i="3" s="1"/>
  <c r="U161" i="3" a="1"/>
  <c r="U161" i="3" s="1"/>
  <c r="U152" i="3" a="1"/>
  <c r="U152" i="3" s="1"/>
  <c r="U157" i="3" a="1"/>
  <c r="U157" i="3" s="1"/>
  <c r="U117" i="3" a="1"/>
  <c r="U117" i="3" s="1"/>
  <c r="U126" i="3" a="1"/>
  <c r="U126" i="3" s="1"/>
  <c r="AR128" i="3" a="1"/>
  <c r="AR128" i="3" s="1"/>
  <c r="AR167" i="3" a="1"/>
  <c r="AR167" i="3" s="1"/>
  <c r="AR168" i="3" a="1"/>
  <c r="AR168" i="3" s="1"/>
  <c r="AR137" i="3" a="1"/>
  <c r="AR137" i="3" s="1"/>
  <c r="AR111" i="3" a="1"/>
  <c r="AR111" i="3" s="1"/>
  <c r="AY122" i="3" a="1"/>
  <c r="AY122" i="3" s="1"/>
  <c r="AY145" i="3" a="1"/>
  <c r="AY145" i="3" s="1"/>
  <c r="AY142" i="3" a="1"/>
  <c r="AY142" i="3" s="1"/>
  <c r="AY131" i="3" a="1"/>
  <c r="AY131" i="3" s="1"/>
  <c r="AY109" i="3" a="1"/>
  <c r="AY109" i="3" s="1"/>
  <c r="BV169" i="3" a="1"/>
  <c r="BV169" i="3" s="1"/>
  <c r="BV133" i="3" a="1"/>
  <c r="BV133" i="3" s="1"/>
  <c r="BV150" i="3" a="1"/>
  <c r="BV150" i="3" s="1"/>
  <c r="BV119" i="3" a="1"/>
  <c r="BV119" i="3" s="1"/>
  <c r="BV106" i="3" a="1"/>
  <c r="BV106" i="3" s="1"/>
  <c r="BV147" i="3" a="1"/>
  <c r="BV147" i="3" s="1"/>
  <c r="AV154" i="3" a="1"/>
  <c r="AV154" i="3" s="1"/>
  <c r="AV120" i="3" a="1"/>
  <c r="AV120" i="3" s="1"/>
  <c r="AV145" i="3" a="1"/>
  <c r="AV145" i="3" s="1"/>
  <c r="AV111" i="3" a="1"/>
  <c r="AV111" i="3" s="1"/>
  <c r="AV105" i="3" a="1"/>
  <c r="AV105" i="3" s="1"/>
  <c r="BL119" i="3" a="1"/>
  <c r="BL119" i="3" s="1"/>
  <c r="BL156" i="3" a="1"/>
  <c r="BL156" i="3" s="1"/>
  <c r="BL148" i="3" a="1"/>
  <c r="BL148" i="3" s="1"/>
  <c r="BL115" i="3" a="1"/>
  <c r="BL115" i="3" s="1"/>
  <c r="BL173" i="3" a="1"/>
  <c r="BL173" i="3" s="1"/>
  <c r="BF119" i="3" a="1"/>
  <c r="BF119" i="3" s="1"/>
  <c r="BF171" i="3" a="1"/>
  <c r="BF171" i="3" s="1"/>
  <c r="BF169" i="3" a="1"/>
  <c r="BF169" i="3" s="1"/>
  <c r="BF102" i="3" a="1"/>
  <c r="BF102" i="3" s="1"/>
  <c r="BR130" i="3" a="1"/>
  <c r="BR130" i="3" s="1"/>
  <c r="BR141" i="3" a="1"/>
  <c r="BR141" i="3" s="1"/>
  <c r="BR149" i="3" a="1"/>
  <c r="BR149" i="3" s="1"/>
  <c r="BR116" i="3" a="1"/>
  <c r="BR116" i="3" s="1"/>
  <c r="BR165" i="3" a="1"/>
  <c r="BR165" i="3" s="1"/>
  <c r="BS139" i="3" a="1"/>
  <c r="BS139" i="3" s="1"/>
  <c r="BT170" i="3" a="1"/>
  <c r="BT170" i="3" s="1"/>
  <c r="BS127" i="3" a="1"/>
  <c r="BS127" i="3" s="1"/>
  <c r="BS118" i="3" a="1"/>
  <c r="BS118" i="3" s="1"/>
  <c r="BS131" i="3" a="1"/>
  <c r="BS131" i="3" s="1"/>
  <c r="AI170" i="3" a="1"/>
  <c r="AI170" i="3" s="1"/>
  <c r="BS149" i="3" a="1"/>
  <c r="BS149" i="3" s="1"/>
  <c r="BS142" i="3" a="1"/>
  <c r="BS142" i="3" s="1"/>
  <c r="W170" i="3" a="1"/>
  <c r="W170" i="3" s="1"/>
  <c r="AX170" i="3" a="1"/>
  <c r="AX170" i="3" s="1"/>
  <c r="BS128" i="3" a="1"/>
  <c r="BS128" i="3" s="1"/>
  <c r="AD170" i="3" a="1"/>
  <c r="AD170" i="3" s="1"/>
  <c r="M170" i="3" a="1"/>
  <c r="M170" i="3" s="1"/>
  <c r="J170" i="3" a="1"/>
  <c r="J170" i="3" s="1"/>
  <c r="BD170" i="3" a="1"/>
  <c r="BD170" i="3" s="1"/>
  <c r="BU170" i="3" a="1"/>
  <c r="BU170" i="3" s="1"/>
  <c r="BM170" i="3" a="1"/>
  <c r="BM170" i="3" s="1"/>
  <c r="AA170" i="3" a="1"/>
  <c r="AA170" i="3" s="1"/>
  <c r="AF170" i="3" a="1"/>
  <c r="AF170" i="3" s="1"/>
  <c r="V170" i="3" a="1"/>
  <c r="V170" i="3" s="1"/>
  <c r="X170" i="3" a="1"/>
  <c r="X170" i="3" s="1"/>
  <c r="C170" i="3" a="1"/>
  <c r="C170" i="3" s="1"/>
  <c r="F170" i="3" a="1"/>
  <c r="F170" i="3" s="1"/>
  <c r="Z170" i="3" a="1"/>
  <c r="Z170" i="3" s="1"/>
  <c r="D170" i="3" a="1"/>
  <c r="D170" i="3" s="1"/>
  <c r="AH170" i="3" a="1"/>
  <c r="AH170" i="3" s="1"/>
  <c r="BJ170" i="3" a="1"/>
  <c r="BJ170" i="3" s="1"/>
  <c r="O170" i="3" a="1"/>
  <c r="O170" i="3" s="1"/>
  <c r="BS165" i="3" a="1"/>
  <c r="BS165" i="3" s="1"/>
  <c r="BS103" i="3" a="1"/>
  <c r="BS103" i="3" s="1"/>
  <c r="BS111" i="3" a="1"/>
  <c r="BS111" i="3" s="1"/>
  <c r="BS125" i="3" a="1"/>
  <c r="BS125" i="3" s="1"/>
  <c r="BS168" i="3" a="1"/>
  <c r="BS168" i="3" s="1"/>
  <c r="BS154" i="3" a="1"/>
  <c r="BS154" i="3" s="1"/>
  <c r="BB170" i="3" a="1"/>
  <c r="BB170" i="3" s="1"/>
  <c r="BS102" i="3" a="1"/>
  <c r="BS102" i="3" s="1"/>
  <c r="BS160" i="3" a="1"/>
  <c r="BS160" i="3" s="1"/>
  <c r="BS113" i="3" a="1"/>
  <c r="BS113" i="3" s="1"/>
  <c r="BS159" i="3" a="1"/>
  <c r="BS159" i="3" s="1"/>
  <c r="BS164" i="3" a="1"/>
  <c r="BS164" i="3" s="1"/>
  <c r="BK153" i="3" a="1"/>
  <c r="BK153" i="3" s="1"/>
  <c r="BK124" i="3" a="1"/>
  <c r="BK124" i="3" s="1"/>
  <c r="BK108" i="3" a="1"/>
  <c r="BK108" i="3" s="1"/>
  <c r="AK119" i="3" a="1"/>
  <c r="AK119" i="3" s="1"/>
  <c r="AK145" i="3" a="1"/>
  <c r="AK145" i="3" s="1"/>
  <c r="AK113" i="3" a="1"/>
  <c r="AK113" i="3" s="1"/>
  <c r="BH170" i="3" a="1"/>
  <c r="BH170" i="3" s="1"/>
  <c r="BO156" i="3" a="1"/>
  <c r="BO156" i="3" s="1"/>
  <c r="BG167" i="3" a="1"/>
  <c r="BG167" i="3" s="1"/>
  <c r="U158" i="3" a="1"/>
  <c r="U158" i="3" s="1"/>
  <c r="U163" i="3" a="1"/>
  <c r="U163" i="3" s="1"/>
  <c r="BT120" i="3" a="1"/>
  <c r="BT120" i="3" s="1"/>
  <c r="U145" i="3" a="1"/>
  <c r="U145" i="3" s="1"/>
  <c r="U162" i="3" a="1"/>
  <c r="U162" i="3" s="1"/>
  <c r="U151" i="3" a="1"/>
  <c r="U151" i="3" s="1"/>
  <c r="W120" i="3" a="1"/>
  <c r="W120" i="3" s="1"/>
  <c r="U173" i="3" a="1"/>
  <c r="U173" i="3" s="1"/>
  <c r="U122" i="3" a="1"/>
  <c r="U122" i="3" s="1"/>
  <c r="U105" i="3" a="1"/>
  <c r="U105" i="3" s="1"/>
  <c r="U166" i="3" a="1"/>
  <c r="U166" i="3" s="1"/>
  <c r="U159" i="3" a="1"/>
  <c r="U159" i="3" s="1"/>
  <c r="BU120" i="3" a="1"/>
  <c r="BU120" i="3" s="1"/>
  <c r="S120" i="3" a="1"/>
  <c r="S120" i="3" s="1"/>
  <c r="AI120" i="3" a="1"/>
  <c r="AI120" i="3" s="1"/>
  <c r="BA120" i="3" a="1"/>
  <c r="BA120" i="3" s="1"/>
  <c r="U127" i="3" a="1"/>
  <c r="U127" i="3" s="1"/>
  <c r="E120" i="3" a="1"/>
  <c r="E120" i="3" s="1"/>
  <c r="AX120" i="3" a="1"/>
  <c r="AX120" i="3" s="1"/>
  <c r="BM120" i="3" a="1"/>
  <c r="BM120" i="3" s="1"/>
  <c r="J120" i="3" a="1"/>
  <c r="J120" i="3" s="1"/>
  <c r="AB120" i="3" a="1"/>
  <c r="AB120" i="3" s="1"/>
  <c r="L120" i="3" a="1"/>
  <c r="L120" i="3" s="1"/>
  <c r="AD120" i="3" a="1"/>
  <c r="AD120" i="3" s="1"/>
  <c r="M120" i="3" a="1"/>
  <c r="M120" i="3" s="1"/>
  <c r="X120" i="3" a="1"/>
  <c r="X120" i="3" s="1"/>
  <c r="AU120" i="3" a="1"/>
  <c r="AU120" i="3" s="1"/>
  <c r="G120" i="3" a="1"/>
  <c r="G120" i="3" s="1"/>
  <c r="F120" i="3" a="1"/>
  <c r="F120" i="3" s="1"/>
  <c r="V120" i="3" a="1"/>
  <c r="V120" i="3" s="1"/>
  <c r="AN120" i="3" a="1"/>
  <c r="AN120" i="3" s="1"/>
  <c r="C120" i="3" a="1"/>
  <c r="C120" i="3" s="1"/>
  <c r="AH120" i="3" a="1"/>
  <c r="AH120" i="3" s="1"/>
  <c r="AM120" i="3" a="1"/>
  <c r="AM120" i="3" s="1"/>
  <c r="AA120" i="3" a="1"/>
  <c r="AA120" i="3" s="1"/>
  <c r="AG120" i="3" a="1"/>
  <c r="AG120" i="3" s="1"/>
  <c r="BD120" i="3" a="1"/>
  <c r="BD120" i="3" s="1"/>
  <c r="D120" i="3" a="1"/>
  <c r="D120" i="3" s="1"/>
  <c r="BJ120" i="3" a="1"/>
  <c r="BJ120" i="3" s="1"/>
  <c r="AE120" i="3" a="1"/>
  <c r="AE120" i="3" s="1"/>
  <c r="AO120" i="3" a="1"/>
  <c r="AO120" i="3" s="1"/>
  <c r="AL120" i="3" a="1"/>
  <c r="AL120" i="3" s="1"/>
  <c r="AP120" i="3" a="1"/>
  <c r="AP120" i="3" s="1"/>
  <c r="Y120" i="3" a="1"/>
  <c r="Y120" i="3" s="1"/>
  <c r="BC120" i="3" a="1"/>
  <c r="BC120" i="3" s="1"/>
  <c r="BB120" i="3" a="1"/>
  <c r="BB120" i="3" s="1"/>
  <c r="BH120" i="3" a="1"/>
  <c r="BH120" i="3" s="1"/>
  <c r="AZ120" i="3" a="1"/>
  <c r="AZ120" i="3" s="1"/>
  <c r="O120" i="3" a="1"/>
  <c r="O120" i="3" s="1"/>
  <c r="AR165" i="3" a="1"/>
  <c r="AR165" i="3" s="1"/>
  <c r="AR138" i="3" a="1"/>
  <c r="AR138" i="3" s="1"/>
  <c r="AR156" i="3" a="1"/>
  <c r="AR156" i="3" s="1"/>
  <c r="AR127" i="3" a="1"/>
  <c r="AR127" i="3" s="1"/>
  <c r="AR125" i="3" a="1"/>
  <c r="AR125" i="3" s="1"/>
  <c r="AY166" i="3" a="1"/>
  <c r="AY166" i="3" s="1"/>
  <c r="AY169" i="3" a="1"/>
  <c r="AY169" i="3" s="1"/>
  <c r="AY156" i="3" a="1"/>
  <c r="AY156" i="3" s="1"/>
  <c r="AY141" i="3" a="1"/>
  <c r="AY141" i="3" s="1"/>
  <c r="AY113" i="3" a="1"/>
  <c r="AY113" i="3" s="1"/>
  <c r="BV173" i="3" a="1"/>
  <c r="BV173" i="3" s="1"/>
  <c r="BV143" i="3" a="1"/>
  <c r="BV143" i="3" s="1"/>
  <c r="BV146" i="3" a="1"/>
  <c r="BV146" i="3" s="1"/>
  <c r="BV161" i="3" a="1"/>
  <c r="BV161" i="3" s="1"/>
  <c r="BV107" i="3" a="1"/>
  <c r="BV107" i="3" s="1"/>
  <c r="BV136" i="3" a="1"/>
  <c r="BV136" i="3" s="1"/>
  <c r="AV169" i="3" a="1"/>
  <c r="AV169" i="3" s="1"/>
  <c r="AV146" i="3" a="1"/>
  <c r="AV146" i="3" s="1"/>
  <c r="AV138" i="3" a="1"/>
  <c r="AV138" i="3" s="1"/>
  <c r="AV112" i="3" a="1"/>
  <c r="AV112" i="3" s="1"/>
  <c r="AV170" i="3" a="1"/>
  <c r="AV170" i="3" s="1"/>
  <c r="BL157" i="3" a="1"/>
  <c r="BL157" i="3" s="1"/>
  <c r="BL168" i="3" a="1"/>
  <c r="BL168" i="3" s="1"/>
  <c r="BL152" i="3" a="1"/>
  <c r="BL152" i="3" s="1"/>
  <c r="BL124" i="3" a="1"/>
  <c r="BL124" i="3" s="1"/>
  <c r="BL161" i="3" a="1"/>
  <c r="BL161" i="3" s="1"/>
  <c r="BF143" i="3" a="1"/>
  <c r="BF143" i="3" s="1"/>
  <c r="BF131" i="3" a="1"/>
  <c r="BF131" i="3" s="1"/>
  <c r="BF123" i="3" a="1"/>
  <c r="BF123" i="3" s="1"/>
  <c r="BF110" i="3" a="1"/>
  <c r="BF110" i="3" s="1"/>
  <c r="BR161" i="3" a="1"/>
  <c r="BR161" i="3" s="1"/>
  <c r="BS173" i="3" a="1"/>
  <c r="BS173" i="3" s="1"/>
  <c r="BK163" i="3" a="1"/>
  <c r="BK163" i="3" s="1"/>
  <c r="BK162" i="3" a="1"/>
  <c r="BK162" i="3" s="1"/>
  <c r="BK157" i="3" a="1"/>
  <c r="BK157" i="3" s="1"/>
  <c r="BK111" i="3" a="1"/>
  <c r="BK111" i="3" s="1"/>
  <c r="AK115" i="3" a="1"/>
  <c r="AK115" i="3" s="1"/>
  <c r="AK140" i="3" a="1"/>
  <c r="AK140" i="3" s="1"/>
  <c r="AK167" i="3" a="1"/>
  <c r="AK167" i="3" s="1"/>
  <c r="BP173" i="3" a="1"/>
  <c r="BP173" i="3" s="1"/>
  <c r="BG147" i="3" a="1"/>
  <c r="BG147" i="3" s="1"/>
  <c r="U160" i="3" a="1"/>
  <c r="U160" i="3" s="1"/>
  <c r="U149" i="3" a="1"/>
  <c r="U149" i="3" s="1"/>
  <c r="U108" i="3" a="1"/>
  <c r="U108" i="3" s="1"/>
  <c r="U148" i="3" a="1"/>
  <c r="U148" i="3" s="1"/>
  <c r="U112" i="3" a="1"/>
  <c r="U112" i="3" s="1"/>
  <c r="AR112" i="3" a="1"/>
  <c r="AR112" i="3" s="1"/>
  <c r="AR126" i="3" a="1"/>
  <c r="AR126" i="3" s="1"/>
  <c r="AR122" i="3" a="1"/>
  <c r="AR122" i="3" s="1"/>
  <c r="AR121" i="3" a="1"/>
  <c r="AR121" i="3" s="1"/>
  <c r="AR104" i="3" a="1"/>
  <c r="AR104" i="3" s="1"/>
  <c r="AR157" i="3" a="1"/>
  <c r="AR157" i="3" s="1"/>
  <c r="AY134" i="3" a="1"/>
  <c r="AY134" i="3" s="1"/>
  <c r="AY164" i="3" a="1"/>
  <c r="AY164" i="3" s="1"/>
  <c r="AY140" i="3" a="1"/>
  <c r="AY140" i="3" s="1"/>
  <c r="AY108" i="3" a="1"/>
  <c r="AY108" i="3" s="1"/>
  <c r="AY104" i="3" a="1"/>
  <c r="AY104" i="3" s="1"/>
  <c r="BV124" i="3" a="1"/>
  <c r="BV124" i="3" s="1"/>
  <c r="BV123" i="3" a="1"/>
  <c r="BV123" i="3" s="1"/>
  <c r="BV167" i="3" a="1"/>
  <c r="BV167" i="3" s="1"/>
  <c r="BV115" i="3" a="1"/>
  <c r="BV115" i="3" s="1"/>
  <c r="BV104" i="3" a="1"/>
  <c r="BV104" i="3" s="1"/>
  <c r="AV144" i="3" a="1"/>
  <c r="AV144" i="3" s="1"/>
  <c r="AV164" i="3" a="1"/>
  <c r="AV164" i="3" s="1"/>
  <c r="AV150" i="3" a="1"/>
  <c r="AV150" i="3" s="1"/>
  <c r="AV107" i="3" a="1"/>
  <c r="AV107" i="3" s="1"/>
  <c r="AV168" i="3" a="1"/>
  <c r="AV168" i="3" s="1"/>
  <c r="BL120" i="3" a="1"/>
  <c r="BL120" i="3" s="1"/>
  <c r="BL108" i="3" a="1"/>
  <c r="BL108" i="3" s="1"/>
  <c r="BL144" i="3" a="1"/>
  <c r="BL144" i="3" s="1"/>
  <c r="BL127" i="3" a="1"/>
  <c r="BL127" i="3" s="1"/>
  <c r="BL170" i="3" a="1"/>
  <c r="BL170" i="3" s="1"/>
  <c r="BF157" i="3" a="1"/>
  <c r="BF157" i="3" s="1"/>
  <c r="BF112" i="3" a="1"/>
  <c r="BF112" i="3" s="1"/>
  <c r="BF115" i="3" a="1"/>
  <c r="BF115" i="3" s="1"/>
  <c r="BF146" i="3" a="1"/>
  <c r="BF146" i="3" s="1"/>
  <c r="BR172" i="3" a="1"/>
  <c r="BR172" i="3" s="1"/>
  <c r="BR118" i="3" a="1"/>
  <c r="BR118" i="3" s="1"/>
  <c r="BR106" i="3" a="1"/>
  <c r="BR106" i="3" s="1"/>
  <c r="BR156" i="3" a="1"/>
  <c r="BR156" i="3" s="1"/>
  <c r="BS120" i="3" a="1"/>
  <c r="BS120" i="3" s="1"/>
  <c r="BS126" i="3" a="1"/>
  <c r="BS126" i="3" s="1"/>
  <c r="BK144" i="3" a="1"/>
  <c r="BK144" i="3" s="1"/>
  <c r="BK137" i="3" a="1"/>
  <c r="BK137" i="3" s="1"/>
  <c r="BK149" i="3" a="1"/>
  <c r="BK149" i="3" s="1"/>
  <c r="BK169" i="3" a="1"/>
  <c r="BK169" i="3" s="1"/>
  <c r="AK148" i="3" a="1"/>
  <c r="AK148" i="3" s="1"/>
  <c r="AK125" i="3" a="1"/>
  <c r="AK125" i="3" s="1"/>
  <c r="R143" i="3" a="1"/>
  <c r="R143" i="3" s="1"/>
  <c r="R120" i="3" a="1"/>
  <c r="R120" i="3" s="1"/>
  <c r="BO115" i="3" a="1"/>
  <c r="BO115" i="3" s="1"/>
  <c r="AY139" i="3" a="1"/>
  <c r="AY139" i="3" s="1"/>
  <c r="AY171" i="3" a="1"/>
  <c r="AY171" i="3" s="1"/>
  <c r="AY110" i="3" a="1"/>
  <c r="AY110" i="3" s="1"/>
  <c r="AY102" i="3" a="1"/>
  <c r="AY102" i="3" s="1"/>
  <c r="AY105" i="3" a="1"/>
  <c r="AY105" i="3" s="1"/>
  <c r="W173" i="3" a="1"/>
  <c r="W173" i="3" s="1"/>
  <c r="BV125" i="3" a="1"/>
  <c r="BV125" i="3" s="1"/>
  <c r="BV132" i="3" a="1"/>
  <c r="BV132" i="3" s="1"/>
  <c r="BV149" i="3" a="1"/>
  <c r="BV149" i="3" s="1"/>
  <c r="BV130" i="3" a="1"/>
  <c r="BV130" i="3" s="1"/>
  <c r="BV127" i="3" a="1"/>
  <c r="BV127" i="3" s="1"/>
  <c r="BV166" i="3" a="1"/>
  <c r="BV166" i="3" s="1"/>
  <c r="BV165" i="3" a="1"/>
  <c r="BV165" i="3" s="1"/>
  <c r="BV142" i="3" a="1"/>
  <c r="BV142" i="3" s="1"/>
  <c r="BT173" i="3" a="1"/>
  <c r="BT173" i="3" s="1"/>
  <c r="BV139" i="3" a="1"/>
  <c r="BV139" i="3" s="1"/>
  <c r="S173" i="3" a="1"/>
  <c r="S173" i="3" s="1"/>
  <c r="E173" i="3" a="1"/>
  <c r="E173" i="3" s="1"/>
  <c r="AI173" i="3" a="1"/>
  <c r="AI173" i="3" s="1"/>
  <c r="AX173" i="3" a="1"/>
  <c r="AX173" i="3" s="1"/>
  <c r="M173" i="3" a="1"/>
  <c r="M173" i="3" s="1"/>
  <c r="BM173" i="3" a="1"/>
  <c r="BM173" i="3" s="1"/>
  <c r="BD173" i="3" a="1"/>
  <c r="BD173" i="3" s="1"/>
  <c r="J173" i="3" a="1"/>
  <c r="J173" i="3" s="1"/>
  <c r="BE173" i="3" a="1"/>
  <c r="BE173" i="3" s="1"/>
  <c r="L173" i="3" a="1"/>
  <c r="L173" i="3" s="1"/>
  <c r="BU173" i="3" a="1"/>
  <c r="BU173" i="3" s="1"/>
  <c r="AU173" i="3" a="1"/>
  <c r="AU173" i="3" s="1"/>
  <c r="F173" i="3" a="1"/>
  <c r="F173" i="3" s="1"/>
  <c r="C173" i="3" a="1"/>
  <c r="C173" i="3" s="1"/>
  <c r="I173" i="3" a="1"/>
  <c r="I173" i="3" s="1"/>
  <c r="V173" i="3" a="1"/>
  <c r="V173" i="3" s="1"/>
  <c r="X173" i="3" a="1"/>
  <c r="X173" i="3" s="1"/>
  <c r="D173" i="3" a="1"/>
  <c r="D173" i="3" s="1"/>
  <c r="AQ173" i="3" a="1"/>
  <c r="AQ173" i="3" s="1"/>
  <c r="AL173" i="3" a="1"/>
  <c r="AL173" i="3" s="1"/>
  <c r="AP173" i="3" a="1"/>
  <c r="AP173" i="3" s="1"/>
  <c r="BQ173" i="3" a="1"/>
  <c r="BQ173" i="3" s="1"/>
  <c r="BH173" i="3" a="1"/>
  <c r="BH173" i="3" s="1"/>
  <c r="BC173" i="3" a="1"/>
  <c r="BC173" i="3" s="1"/>
  <c r="O173" i="3" a="1"/>
  <c r="O173" i="3" s="1"/>
  <c r="AG173" i="3" a="1"/>
  <c r="AG173" i="3" s="1"/>
  <c r="BJ173" i="3" a="1"/>
  <c r="BJ173" i="3" s="1"/>
  <c r="BL139" i="3" a="1"/>
  <c r="BL139" i="3" s="1"/>
  <c r="BL159" i="3" a="1"/>
  <c r="BL159" i="3" s="1"/>
  <c r="BL102" i="3" a="1"/>
  <c r="BL102" i="3" s="1"/>
  <c r="BL112" i="3" a="1"/>
  <c r="BL112" i="3" s="1"/>
  <c r="BS150" i="3" a="1"/>
  <c r="BS150" i="3" s="1"/>
  <c r="AK163" i="3" a="1"/>
  <c r="AK163" i="3" s="1"/>
  <c r="W136" i="3" a="1"/>
  <c r="W136" i="3" s="1"/>
  <c r="AK138" i="3" a="1"/>
  <c r="AK138" i="3" s="1"/>
  <c r="AK120" i="3" a="1"/>
  <c r="AK120" i="3" s="1"/>
  <c r="AK151" i="3" a="1"/>
  <c r="AK151" i="3" s="1"/>
  <c r="BT136" i="3" a="1"/>
  <c r="BT136" i="3" s="1"/>
  <c r="P136" i="3" a="1"/>
  <c r="P136" i="3" s="1"/>
  <c r="BU136" i="3" a="1"/>
  <c r="BU136" i="3" s="1"/>
  <c r="AX136" i="3" a="1"/>
  <c r="AX136" i="3" s="1"/>
  <c r="AI136" i="3" a="1"/>
  <c r="AI136" i="3" s="1"/>
  <c r="AS136" i="3" a="1"/>
  <c r="AS136" i="3" s="1"/>
  <c r="M136" i="3" a="1"/>
  <c r="M136" i="3" s="1"/>
  <c r="L136" i="3" a="1"/>
  <c r="L136" i="3" s="1"/>
  <c r="J136" i="3" a="1"/>
  <c r="J136" i="3" s="1"/>
  <c r="BD136" i="3" a="1"/>
  <c r="BD136" i="3" s="1"/>
  <c r="AN136" i="3" a="1"/>
  <c r="AN136" i="3" s="1"/>
  <c r="AF136" i="3" a="1"/>
  <c r="AF136" i="3" s="1"/>
  <c r="AU136" i="3" a="1"/>
  <c r="AU136" i="3" s="1"/>
  <c r="Y136" i="3" a="1"/>
  <c r="Y136" i="3" s="1"/>
  <c r="Q136" i="3" a="1"/>
  <c r="Q136" i="3" s="1"/>
  <c r="K136" i="3" a="1"/>
  <c r="K136" i="3" s="1"/>
  <c r="AA136" i="3" a="1"/>
  <c r="AA136" i="3" s="1"/>
  <c r="BC136" i="3" a="1"/>
  <c r="BC136" i="3" s="1"/>
  <c r="BB136" i="3" a="1"/>
  <c r="BB136" i="3" s="1"/>
  <c r="AK160" i="3" a="1"/>
  <c r="AK160" i="3" s="1"/>
  <c r="AK135" i="3" a="1"/>
  <c r="AK135" i="3" s="1"/>
  <c r="AK104" i="3" a="1"/>
  <c r="AK104" i="3" s="1"/>
  <c r="AK166" i="3" a="1"/>
  <c r="AK166" i="3" s="1"/>
  <c r="AK141" i="3" a="1"/>
  <c r="AK141" i="3" s="1"/>
  <c r="AK159" i="3" a="1"/>
  <c r="AK159" i="3" s="1"/>
  <c r="AQ136" i="3" a="1"/>
  <c r="AQ136" i="3" s="1"/>
  <c r="AP136" i="3" a="1"/>
  <c r="AP136" i="3" s="1"/>
  <c r="BI136" i="3" a="1"/>
  <c r="BI136" i="3" s="1"/>
  <c r="AK173" i="3" a="1"/>
  <c r="AK173" i="3" s="1"/>
  <c r="AK103" i="3" a="1"/>
  <c r="AK103" i="3" s="1"/>
  <c r="AK122" i="3" a="1"/>
  <c r="AK122" i="3" s="1"/>
  <c r="AK131" i="3" a="1"/>
  <c r="AK131" i="3" s="1"/>
  <c r="AK165" i="3" a="1"/>
  <c r="AK165" i="3" s="1"/>
  <c r="AK154" i="3" a="1"/>
  <c r="AK154" i="3" s="1"/>
  <c r="R136" i="3" a="1"/>
  <c r="R136" i="3" s="1"/>
  <c r="AK156" i="3" a="1"/>
  <c r="AK156" i="3" s="1"/>
  <c r="AK136" i="3" a="1"/>
  <c r="AK136" i="3" s="1"/>
  <c r="AK139" i="3" a="1"/>
  <c r="AK139" i="3" s="1"/>
  <c r="AK118" i="3" a="1"/>
  <c r="AK118" i="3" s="1"/>
  <c r="AK142" i="3" a="1"/>
  <c r="AK142" i="3" s="1"/>
  <c r="AK143" i="3" a="1"/>
  <c r="AK143" i="3" s="1"/>
  <c r="AM136" i="3" a="1"/>
  <c r="AM136" i="3" s="1"/>
  <c r="AW136" i="3" a="1"/>
  <c r="AW136" i="3" s="1"/>
  <c r="BJ136" i="3" a="1"/>
  <c r="BJ136" i="3" s="1"/>
  <c r="AK172" i="3" a="1"/>
  <c r="AK172" i="3" s="1"/>
  <c r="AK105" i="3" a="1"/>
  <c r="AK105" i="3" s="1"/>
  <c r="AK133" i="3" a="1"/>
  <c r="AK133" i="3" s="1"/>
  <c r="AK137" i="3" a="1"/>
  <c r="AK137" i="3" s="1"/>
  <c r="AK161" i="3" a="1"/>
  <c r="AK161" i="3" s="1"/>
  <c r="AK168" i="3" a="1"/>
  <c r="AK168" i="3" s="1"/>
  <c r="AK171" i="3" a="1"/>
  <c r="AK171" i="3" s="1"/>
  <c r="AK124" i="3" a="1"/>
  <c r="AK124" i="3" s="1"/>
  <c r="AK110" i="3" a="1"/>
  <c r="AK110" i="3" s="1"/>
  <c r="AK134" i="3" a="1"/>
  <c r="AK134" i="3" s="1"/>
  <c r="AK132" i="3" a="1"/>
  <c r="AK132" i="3" s="1"/>
  <c r="AK147" i="3" a="1"/>
  <c r="AK147" i="3" s="1"/>
  <c r="AL136" i="3" a="1"/>
  <c r="AL136" i="3" s="1"/>
  <c r="AG136" i="3" a="1"/>
  <c r="AG136" i="3" s="1"/>
  <c r="AK128" i="3" a="1"/>
  <c r="AK128" i="3" s="1"/>
  <c r="AK123" i="3" a="1"/>
  <c r="AK123" i="3" s="1"/>
  <c r="AK164" i="3" a="1"/>
  <c r="AK164" i="3" s="1"/>
  <c r="AK121" i="3" a="1"/>
  <c r="AK121" i="3" s="1"/>
  <c r="AK146" i="3" a="1"/>
  <c r="AK146" i="3" s="1"/>
  <c r="BB162" i="3" a="1"/>
  <c r="BB162" i="3" s="1"/>
  <c r="BN136" i="3" a="1"/>
  <c r="BN136" i="3" s="1"/>
  <c r="O147" i="3" a="1"/>
  <c r="O147" i="3" s="1"/>
  <c r="BJ162" i="3" a="1"/>
  <c r="BJ162" i="3" s="1"/>
  <c r="AO173" i="3" a="1"/>
  <c r="AO173" i="3" s="1"/>
  <c r="AR160" i="3" a="1"/>
  <c r="AR160" i="3" s="1"/>
  <c r="AR143" i="3" a="1"/>
  <c r="AR143" i="3" s="1"/>
  <c r="AR103" i="3" a="1"/>
  <c r="AR103" i="3" s="1"/>
  <c r="AR152" i="3" a="1"/>
  <c r="AR152" i="3" s="1"/>
  <c r="AR170" i="3" a="1"/>
  <c r="AR170" i="3" s="1"/>
  <c r="AR163" i="3" a="1"/>
  <c r="AR163" i="3" s="1"/>
  <c r="W143" i="3" a="1"/>
  <c r="W143" i="3" s="1"/>
  <c r="AR131" i="3" a="1"/>
  <c r="AR131" i="3" s="1"/>
  <c r="AR171" i="3" a="1"/>
  <c r="AR171" i="3" s="1"/>
  <c r="AR159" i="3" a="1"/>
  <c r="AR159" i="3" s="1"/>
  <c r="BT143" i="3" a="1"/>
  <c r="BT143" i="3" s="1"/>
  <c r="AR146" i="3" a="1"/>
  <c r="AR146" i="3" s="1"/>
  <c r="P143" i="3" a="1"/>
  <c r="P143" i="3" s="1"/>
  <c r="AI143" i="3" a="1"/>
  <c r="AI143" i="3" s="1"/>
  <c r="AX143" i="3" a="1"/>
  <c r="AX143" i="3" s="1"/>
  <c r="AS143" i="3" a="1"/>
  <c r="AS143" i="3" s="1"/>
  <c r="M143" i="3" a="1"/>
  <c r="M143" i="3" s="1"/>
  <c r="BU143" i="3" a="1"/>
  <c r="BU143" i="3" s="1"/>
  <c r="AF143" i="3" a="1"/>
  <c r="AF143" i="3" s="1"/>
  <c r="AB143" i="3" a="1"/>
  <c r="AB143" i="3" s="1"/>
  <c r="AU143" i="3" a="1"/>
  <c r="AU143" i="3" s="1"/>
  <c r="BA143" i="3" a="1"/>
  <c r="BA143" i="3" s="1"/>
  <c r="AD143" i="3" a="1"/>
  <c r="AD143" i="3" s="1"/>
  <c r="H143" i="3" a="1"/>
  <c r="H143" i="3" s="1"/>
  <c r="AA143" i="3" a="1"/>
  <c r="AA143" i="3" s="1"/>
  <c r="V143" i="3" a="1"/>
  <c r="V143" i="3" s="1"/>
  <c r="AH143" i="3" a="1"/>
  <c r="AH143" i="3" s="1"/>
  <c r="C143" i="3" a="1"/>
  <c r="C143" i="3" s="1"/>
  <c r="D143" i="3" a="1"/>
  <c r="D143" i="3" s="1"/>
  <c r="X143" i="3" a="1"/>
  <c r="X143" i="3" s="1"/>
  <c r="J143" i="3" a="1"/>
  <c r="J143" i="3" s="1"/>
  <c r="AG143" i="3" a="1"/>
  <c r="AG143" i="3" s="1"/>
  <c r="Z143" i="3" a="1"/>
  <c r="Z143" i="3" s="1"/>
  <c r="O143" i="3" a="1"/>
  <c r="O143" i="3" s="1"/>
  <c r="AN143" i="3" a="1"/>
  <c r="AN143" i="3" s="1"/>
  <c r="AL143" i="3" a="1"/>
  <c r="AL143" i="3" s="1"/>
  <c r="AM143" i="3" a="1"/>
  <c r="AM143" i="3" s="1"/>
  <c r="AQ143" i="3" a="1"/>
  <c r="AQ143" i="3" s="1"/>
  <c r="BC143" i="3" a="1"/>
  <c r="BC143" i="3" s="1"/>
  <c r="AY114" i="3" a="1"/>
  <c r="AY114" i="3" s="1"/>
  <c r="AY118" i="3" a="1"/>
  <c r="AY118" i="3" s="1"/>
  <c r="AY115" i="3" a="1"/>
  <c r="AY115" i="3" s="1"/>
  <c r="AY117" i="3" a="1"/>
  <c r="AY117" i="3" s="1"/>
  <c r="AY170" i="3" a="1"/>
  <c r="AY170" i="3" s="1"/>
  <c r="BV162" i="3" a="1"/>
  <c r="BV162" i="3" s="1"/>
  <c r="BV151" i="3" a="1"/>
  <c r="BV151" i="3" s="1"/>
  <c r="BV160" i="3" a="1"/>
  <c r="BV160" i="3" s="1"/>
  <c r="BV135" i="3" a="1"/>
  <c r="BV135" i="3" s="1"/>
  <c r="BV129" i="3" a="1"/>
  <c r="BV129" i="3" s="1"/>
  <c r="AV157" i="3" a="1"/>
  <c r="AV157" i="3" s="1"/>
  <c r="AV109" i="3" a="1"/>
  <c r="AV109" i="3" s="1"/>
  <c r="AV158" i="3" a="1"/>
  <c r="AV158" i="3" s="1"/>
  <c r="BL129" i="3" a="1"/>
  <c r="BL129" i="3" s="1"/>
  <c r="BL135" i="3" a="1"/>
  <c r="BL135" i="3" s="1"/>
  <c r="BL116" i="3" a="1"/>
  <c r="BL116" i="3" s="1"/>
  <c r="BL114" i="3" a="1"/>
  <c r="BL114" i="3" s="1"/>
  <c r="BF163" i="3" a="1"/>
  <c r="BF163" i="3" s="1"/>
  <c r="BF111" i="3" a="1"/>
  <c r="BF111" i="3" s="1"/>
  <c r="BF172" i="3" a="1"/>
  <c r="BF172" i="3" s="1"/>
  <c r="BR147" i="3" a="1"/>
  <c r="BR147" i="3" s="1"/>
  <c r="BR167" i="3" a="1"/>
  <c r="BR167" i="3" s="1"/>
  <c r="BR124" i="3" a="1"/>
  <c r="BR124" i="3" s="1"/>
  <c r="BR122" i="3" a="1"/>
  <c r="BR122" i="3" s="1"/>
  <c r="BR171" i="3" a="1"/>
  <c r="BR171" i="3" s="1"/>
  <c r="BR134" i="3" a="1"/>
  <c r="BR134" i="3" s="1"/>
  <c r="BU169" i="3" a="1"/>
  <c r="BU169" i="3" s="1"/>
  <c r="S169" i="3" a="1"/>
  <c r="S169" i="3" s="1"/>
  <c r="BT169" i="3" a="1"/>
  <c r="BT169" i="3" s="1"/>
  <c r="AX169" i="3" a="1"/>
  <c r="AX169" i="3" s="1"/>
  <c r="E169" i="3" a="1"/>
  <c r="E169" i="3" s="1"/>
  <c r="AI169" i="3" a="1"/>
  <c r="AI169" i="3" s="1"/>
  <c r="BR158" i="3" a="1"/>
  <c r="BR158" i="3" s="1"/>
  <c r="BA169" i="3" a="1"/>
  <c r="BA169" i="3" s="1"/>
  <c r="AF169" i="3" a="1"/>
  <c r="AF169" i="3" s="1"/>
  <c r="H169" i="3" a="1"/>
  <c r="H169" i="3" s="1"/>
  <c r="J169" i="3" a="1"/>
  <c r="J169" i="3" s="1"/>
  <c r="BD169" i="3" a="1"/>
  <c r="BD169" i="3" s="1"/>
  <c r="AU169" i="3" a="1"/>
  <c r="AU169" i="3" s="1"/>
  <c r="L169" i="3" a="1"/>
  <c r="L169" i="3" s="1"/>
  <c r="BM169" i="3" a="1"/>
  <c r="BM169" i="3" s="1"/>
  <c r="M169" i="3" a="1"/>
  <c r="M169" i="3" s="1"/>
  <c r="BE169" i="3" a="1"/>
  <c r="BE169" i="3" s="1"/>
  <c r="BI169" i="3" a="1"/>
  <c r="BI169" i="3" s="1"/>
  <c r="AD169" i="3" a="1"/>
  <c r="AD169" i="3" s="1"/>
  <c r="AB169" i="3" a="1"/>
  <c r="AB169" i="3" s="1"/>
  <c r="AN169" i="3" a="1"/>
  <c r="AN169" i="3" s="1"/>
  <c r="D169" i="3" a="1"/>
  <c r="D169" i="3" s="1"/>
  <c r="Q169" i="3" a="1"/>
  <c r="Q169" i="3" s="1"/>
  <c r="AH169" i="3" a="1"/>
  <c r="AH169" i="3" s="1"/>
  <c r="I169" i="3" a="1"/>
  <c r="I169" i="3" s="1"/>
  <c r="AG169" i="3" a="1"/>
  <c r="AG169" i="3" s="1"/>
  <c r="AC169" i="3" a="1"/>
  <c r="AC169" i="3" s="1"/>
  <c r="AA169" i="3" a="1"/>
  <c r="AA169" i="3" s="1"/>
  <c r="X169" i="3" a="1"/>
  <c r="X169" i="3" s="1"/>
  <c r="G169" i="3" a="1"/>
  <c r="G169" i="3" s="1"/>
  <c r="BB169" i="3" a="1"/>
  <c r="BB169" i="3" s="1"/>
  <c r="AQ169" i="3" a="1"/>
  <c r="AQ169" i="3" s="1"/>
  <c r="V169" i="3" a="1"/>
  <c r="V169" i="3" s="1"/>
  <c r="BJ169" i="3" a="1"/>
  <c r="BJ169" i="3" s="1"/>
  <c r="O169" i="3" a="1"/>
  <c r="O169" i="3" s="1"/>
  <c r="BR132" i="3" a="1"/>
  <c r="BR132" i="3" s="1"/>
  <c r="BR146" i="3" a="1"/>
  <c r="BR146" i="3" s="1"/>
  <c r="BR142" i="3" a="1"/>
  <c r="BR142" i="3" s="1"/>
  <c r="BR150" i="3" a="1"/>
  <c r="BR150" i="3" s="1"/>
  <c r="BR166" i="3" a="1"/>
  <c r="BR166" i="3" s="1"/>
  <c r="Z169" i="3" a="1"/>
  <c r="Z169" i="3" s="1"/>
  <c r="AE169" i="3" a="1"/>
  <c r="AE169" i="3" s="1"/>
  <c r="BR123" i="3" a="1"/>
  <c r="BR123" i="3" s="1"/>
  <c r="BR112" i="3" a="1"/>
  <c r="BR112" i="3" s="1"/>
  <c r="BR105" i="3" a="1"/>
  <c r="BR105" i="3" s="1"/>
  <c r="BR160" i="3" a="1"/>
  <c r="BR160" i="3" s="1"/>
  <c r="BR143" i="3" a="1"/>
  <c r="BR143" i="3" s="1"/>
  <c r="BR113" i="3" a="1"/>
  <c r="BR113" i="3" s="1"/>
  <c r="BK164" i="3" a="1"/>
  <c r="BK164" i="3" s="1"/>
  <c r="BK122" i="3" a="1"/>
  <c r="BK122" i="3" s="1"/>
  <c r="BK129" i="3" a="1"/>
  <c r="BK129" i="3" s="1"/>
  <c r="BK156" i="3" a="1"/>
  <c r="BK156" i="3" s="1"/>
  <c r="AK144" i="3" a="1"/>
  <c r="AK144" i="3" s="1"/>
  <c r="AK153" i="3" a="1"/>
  <c r="AK153" i="3" s="1"/>
  <c r="BH143" i="3" a="1"/>
  <c r="BH143" i="3" s="1"/>
  <c r="BO169" i="3" a="1"/>
  <c r="BO169" i="3" s="1"/>
  <c r="AY173" i="3" a="1"/>
  <c r="AY173" i="3" s="1"/>
  <c r="AY120" i="3" a="1"/>
  <c r="AY120" i="3" s="1"/>
  <c r="AY111" i="3" a="1"/>
  <c r="AY111" i="3" s="1"/>
  <c r="AY129" i="3" a="1"/>
  <c r="AY129" i="3" s="1"/>
  <c r="AY153" i="3" a="1"/>
  <c r="AY153" i="3" s="1"/>
  <c r="BV156" i="3" a="1"/>
  <c r="BV156" i="3" s="1"/>
  <c r="BV126" i="3" a="1"/>
  <c r="BV126" i="3" s="1"/>
  <c r="BV121" i="3" a="1"/>
  <c r="BV121" i="3" s="1"/>
  <c r="BV128" i="3" a="1"/>
  <c r="BV128" i="3" s="1"/>
  <c r="BV117" i="3" a="1"/>
  <c r="BV117" i="3" s="1"/>
  <c r="BL110" i="3" a="1"/>
  <c r="BL110" i="3" s="1"/>
  <c r="BL154" i="3" a="1"/>
  <c r="BL154" i="3" s="1"/>
  <c r="BL133" i="3" a="1"/>
  <c r="BL133" i="3" s="1"/>
  <c r="BL103" i="3" a="1"/>
  <c r="BL103" i="3" s="1"/>
  <c r="BK105" i="3" a="1"/>
  <c r="BK105" i="3" s="1"/>
  <c r="BK151" i="3" a="1"/>
  <c r="BK151" i="3" s="1"/>
  <c r="BK131" i="3" a="1"/>
  <c r="BK131" i="3" s="1"/>
  <c r="BK123" i="3" a="1"/>
  <c r="BK123" i="3" s="1"/>
  <c r="BK170" i="3" a="1"/>
  <c r="BK170" i="3" s="1"/>
  <c r="BK141" i="3" a="1"/>
  <c r="BK141" i="3" s="1"/>
  <c r="BK171" i="3" a="1"/>
  <c r="BK171" i="3" s="1"/>
  <c r="BT162" i="3" a="1"/>
  <c r="BT162" i="3" s="1"/>
  <c r="BK154" i="3" a="1"/>
  <c r="BK154" i="3" s="1"/>
  <c r="BK134" i="3" a="1"/>
  <c r="BK134" i="3" s="1"/>
  <c r="S162" i="3" a="1"/>
  <c r="S162" i="3" s="1"/>
  <c r="E162" i="3" a="1"/>
  <c r="E162" i="3" s="1"/>
  <c r="BE162" i="3" a="1"/>
  <c r="BE162" i="3" s="1"/>
  <c r="BU162" i="3" a="1"/>
  <c r="BU162" i="3" s="1"/>
  <c r="AI162" i="3" a="1"/>
  <c r="AI162" i="3" s="1"/>
  <c r="AX162" i="3" a="1"/>
  <c r="AX162" i="3" s="1"/>
  <c r="J162" i="3" a="1"/>
  <c r="J162" i="3" s="1"/>
  <c r="N162" i="3" a="1"/>
  <c r="N162" i="3" s="1"/>
  <c r="AU162" i="3" a="1"/>
  <c r="AU162" i="3" s="1"/>
  <c r="AB162" i="3" a="1"/>
  <c r="AB162" i="3" s="1"/>
  <c r="Q162" i="3" a="1"/>
  <c r="Q162" i="3" s="1"/>
  <c r="AC162" i="3" a="1"/>
  <c r="AC162" i="3" s="1"/>
  <c r="AH162" i="3" a="1"/>
  <c r="AH162" i="3" s="1"/>
  <c r="BD162" i="3" a="1"/>
  <c r="BD162" i="3" s="1"/>
  <c r="V162" i="3" a="1"/>
  <c r="V162" i="3" s="1"/>
  <c r="F162" i="3" a="1"/>
  <c r="F162" i="3" s="1"/>
  <c r="AN162" i="3" a="1"/>
  <c r="AN162" i="3" s="1"/>
  <c r="C162" i="3" a="1"/>
  <c r="C162" i="3" s="1"/>
  <c r="AG162" i="3" a="1"/>
  <c r="AG162" i="3" s="1"/>
  <c r="K162" i="3" a="1"/>
  <c r="K162" i="3" s="1"/>
  <c r="R162" i="3" a="1"/>
  <c r="R162" i="3" s="1"/>
  <c r="BK172" i="3" a="1"/>
  <c r="BK172" i="3" s="1"/>
  <c r="BK113" i="3" a="1"/>
  <c r="BK113" i="3" s="1"/>
  <c r="BK126" i="3" a="1"/>
  <c r="BK126" i="3" s="1"/>
  <c r="BK173" i="3" a="1"/>
  <c r="BK173" i="3" s="1"/>
  <c r="BC162" i="3" a="1"/>
  <c r="BC162" i="3" s="1"/>
  <c r="BK120" i="3" a="1"/>
  <c r="BK120" i="3" s="1"/>
  <c r="O162" i="3" a="1"/>
  <c r="O162" i="3" s="1"/>
  <c r="BQ162" i="3" a="1"/>
  <c r="BQ162" i="3" s="1"/>
  <c r="BK103" i="3" a="1"/>
  <c r="BK103" i="3" s="1"/>
  <c r="BK125" i="3" a="1"/>
  <c r="BK125" i="3" s="1"/>
  <c r="BK155" i="3" a="1"/>
  <c r="BK155" i="3" s="1"/>
  <c r="BK127" i="3" a="1"/>
  <c r="BK127" i="3" s="1"/>
  <c r="BK135" i="3" a="1"/>
  <c r="BK135" i="3" s="1"/>
  <c r="BK152" i="3" a="1"/>
  <c r="BK152" i="3" s="1"/>
  <c r="BK117" i="3" a="1"/>
  <c r="BK117" i="3" s="1"/>
  <c r="AQ162" i="3" a="1"/>
  <c r="AQ162" i="3" s="1"/>
  <c r="BK104" i="3" a="1"/>
  <c r="BK104" i="3" s="1"/>
  <c r="BK148" i="3" a="1"/>
  <c r="BK148" i="3" s="1"/>
  <c r="BK167" i="3" a="1"/>
  <c r="BK167" i="3" s="1"/>
  <c r="BK112" i="3" a="1"/>
  <c r="BK112" i="3" s="1"/>
  <c r="BK110" i="3" a="1"/>
  <c r="BK110" i="3" s="1"/>
  <c r="BK133" i="3" a="1"/>
  <c r="BK133" i="3" s="1"/>
  <c r="BK107" i="3" a="1"/>
  <c r="BK107" i="3" s="1"/>
  <c r="BK121" i="3" a="1"/>
  <c r="BK121" i="3" s="1"/>
  <c r="BK168" i="3" a="1"/>
  <c r="BK168" i="3" s="1"/>
  <c r="BK147" i="3" a="1"/>
  <c r="BK147" i="3" s="1"/>
  <c r="BK145" i="3" a="1"/>
  <c r="BK145" i="3" s="1"/>
  <c r="AK157" i="3" a="1"/>
  <c r="AK157" i="3" s="1"/>
  <c r="AK107" i="3" a="1"/>
  <c r="AK107" i="3" s="1"/>
  <c r="BP163" i="3" a="1"/>
  <c r="BP163" i="3" s="1"/>
  <c r="AZ170" i="3" a="1"/>
  <c r="AZ170" i="3" s="1"/>
  <c r="AY165" i="3" a="1"/>
  <c r="AY165" i="3" s="1"/>
  <c r="AY152" i="3" a="1"/>
  <c r="AY152" i="3" s="1"/>
  <c r="AY138" i="3" a="1"/>
  <c r="AY138" i="3" s="1"/>
  <c r="AY126" i="3" a="1"/>
  <c r="AY126" i="3" s="1"/>
  <c r="AY151" i="3" a="1"/>
  <c r="AY151" i="3" s="1"/>
  <c r="AY107" i="3" a="1"/>
  <c r="AY107" i="3" s="1"/>
  <c r="BV163" i="3" a="1"/>
  <c r="BV163" i="3" s="1"/>
  <c r="BL151" i="3" a="1"/>
  <c r="BL151" i="3" s="1"/>
  <c r="BL117" i="3" a="1"/>
  <c r="BL117" i="3" s="1"/>
  <c r="BL121" i="3" a="1"/>
  <c r="BL121" i="3" s="1"/>
  <c r="BL113" i="3" a="1"/>
  <c r="BL113" i="3" s="1"/>
  <c r="BR163" i="3" a="1"/>
  <c r="BR163" i="3" s="1"/>
  <c r="BP120" i="3" a="1"/>
  <c r="BP120" i="3" s="1"/>
  <c r="U150" i="3" a="1"/>
  <c r="U150" i="3" s="1"/>
  <c r="AY137" i="3" a="1"/>
  <c r="AY137" i="3" s="1"/>
  <c r="AY144" i="3" a="1"/>
  <c r="AY144" i="3" s="1"/>
  <c r="AY149" i="3" a="1"/>
  <c r="AY149" i="3" s="1"/>
  <c r="AY119" i="3" a="1"/>
  <c r="AY119" i="3" s="1"/>
  <c r="AY124" i="3" a="1"/>
  <c r="AY124" i="3" s="1"/>
  <c r="AY132" i="3" a="1"/>
  <c r="AY132" i="3" s="1"/>
  <c r="BV172" i="3" a="1"/>
  <c r="BV172" i="3" s="1"/>
  <c r="BV157" i="3" a="1"/>
  <c r="BV157" i="3" s="1"/>
  <c r="BV155" i="3" a="1"/>
  <c r="BV155" i="3" s="1"/>
  <c r="BV118" i="3" a="1"/>
  <c r="BV118" i="3" s="1"/>
  <c r="BV105" i="3" a="1"/>
  <c r="BV105" i="3" s="1"/>
  <c r="BL137" i="3" a="1"/>
  <c r="BL137" i="3" s="1"/>
  <c r="BL166" i="3" a="1"/>
  <c r="BL166" i="3" s="1"/>
  <c r="BL106" i="3" a="1"/>
  <c r="BL106" i="3" s="1"/>
  <c r="BL107" i="3" a="1"/>
  <c r="BL107" i="3" s="1"/>
  <c r="BS163" i="3" a="1"/>
  <c r="BS163" i="3" s="1"/>
  <c r="BK130" i="3" a="1"/>
  <c r="BK130" i="3" s="1"/>
  <c r="BK118" i="3" a="1"/>
  <c r="BK118" i="3" s="1"/>
  <c r="AK111" i="3" a="1"/>
  <c r="AK111" i="3" s="1"/>
  <c r="AK117" i="3" a="1"/>
  <c r="AK117" i="3" s="1"/>
  <c r="AK116" i="3" a="1"/>
  <c r="AK116" i="3" s="1"/>
  <c r="BH150" i="3" a="1"/>
  <c r="BH150" i="3" s="1"/>
  <c r="BQ170" i="3" a="1"/>
  <c r="BQ170" i="3" s="1"/>
  <c r="BO122" i="3" a="1"/>
  <c r="BO122" i="3" s="1"/>
  <c r="BG148" i="3" a="1"/>
  <c r="BG148" i="3" s="1"/>
  <c r="BG149" i="3" a="1"/>
  <c r="BG149" i="3" s="1"/>
  <c r="W158" i="3" a="1"/>
  <c r="W158" i="3" s="1"/>
  <c r="BT158" i="3" a="1"/>
  <c r="BT158" i="3" s="1"/>
  <c r="BG163" i="3" a="1"/>
  <c r="BG163" i="3" s="1"/>
  <c r="BG165" i="3" a="1"/>
  <c r="BG165" i="3" s="1"/>
  <c r="BG136" i="3" a="1"/>
  <c r="BG136" i="3" s="1"/>
  <c r="BG146" i="3" a="1"/>
  <c r="BG146" i="3" s="1"/>
  <c r="BG159" i="3" a="1"/>
  <c r="BG159" i="3" s="1"/>
  <c r="BG118" i="3" a="1"/>
  <c r="BG118" i="3" s="1"/>
  <c r="BG157" i="3" a="1"/>
  <c r="BG157" i="3" s="1"/>
  <c r="BU158" i="3" a="1"/>
  <c r="BU158" i="3" s="1"/>
  <c r="BE158" i="3" a="1"/>
  <c r="BE158" i="3" s="1"/>
  <c r="BG106" i="3" a="1"/>
  <c r="BG106" i="3" s="1"/>
  <c r="H158" i="3" a="1"/>
  <c r="H158" i="3" s="1"/>
  <c r="E158" i="3" a="1"/>
  <c r="E158" i="3" s="1"/>
  <c r="AI158" i="3" a="1"/>
  <c r="AI158" i="3" s="1"/>
  <c r="BA158" i="3" a="1"/>
  <c r="BA158" i="3" s="1"/>
  <c r="AF158" i="3" a="1"/>
  <c r="AF158" i="3" s="1"/>
  <c r="BM158" i="3" a="1"/>
  <c r="BM158" i="3" s="1"/>
  <c r="L158" i="3" a="1"/>
  <c r="L158" i="3" s="1"/>
  <c r="M158" i="3" a="1"/>
  <c r="M158" i="3" s="1"/>
  <c r="J158" i="3" a="1"/>
  <c r="J158" i="3" s="1"/>
  <c r="AU158" i="3" a="1"/>
  <c r="AU158" i="3" s="1"/>
  <c r="AB158" i="3" a="1"/>
  <c r="AB158" i="3" s="1"/>
  <c r="AA158" i="3" a="1"/>
  <c r="AA158" i="3" s="1"/>
  <c r="C158" i="3" a="1"/>
  <c r="C158" i="3" s="1"/>
  <c r="AH158" i="3" a="1"/>
  <c r="AH158" i="3" s="1"/>
  <c r="AD158" i="3" a="1"/>
  <c r="AD158" i="3" s="1"/>
  <c r="AN158" i="3" a="1"/>
  <c r="AN158" i="3" s="1"/>
  <c r="I158" i="3" a="1"/>
  <c r="I158" i="3" s="1"/>
  <c r="X158" i="3" a="1"/>
  <c r="X158" i="3" s="1"/>
  <c r="D158" i="3" a="1"/>
  <c r="D158" i="3" s="1"/>
  <c r="G158" i="3" a="1"/>
  <c r="G158" i="3" s="1"/>
  <c r="V158" i="3" a="1"/>
  <c r="V158" i="3" s="1"/>
  <c r="BG124" i="3" a="1"/>
  <c r="BG124" i="3" s="1"/>
  <c r="BG111" i="3" a="1"/>
  <c r="BG111" i="3" s="1"/>
  <c r="BG108" i="3" a="1"/>
  <c r="BG108" i="3" s="1"/>
  <c r="BG164" i="3" a="1"/>
  <c r="BG164" i="3" s="1"/>
  <c r="BG173" i="3" a="1"/>
  <c r="BG173" i="3" s="1"/>
  <c r="BG171" i="3" a="1"/>
  <c r="BG171" i="3" s="1"/>
  <c r="AM158" i="3" a="1"/>
  <c r="AM158" i="3" s="1"/>
  <c r="BG145" i="3" a="1"/>
  <c r="BG145" i="3" s="1"/>
  <c r="BG115" i="3" a="1"/>
  <c r="BG115" i="3" s="1"/>
  <c r="BG139" i="3" a="1"/>
  <c r="BG139" i="3" s="1"/>
  <c r="BG128" i="3" a="1"/>
  <c r="BG128" i="3" s="1"/>
  <c r="BG172" i="3" a="1"/>
  <c r="BG172" i="3" s="1"/>
  <c r="O158" i="3" a="1"/>
  <c r="O158" i="3" s="1"/>
  <c r="BG109" i="3" a="1"/>
  <c r="BG109" i="3" s="1"/>
  <c r="BG132" i="3" a="1"/>
  <c r="BG132" i="3" s="1"/>
  <c r="BG121" i="3" a="1"/>
  <c r="BG121" i="3" s="1"/>
  <c r="BG135" i="3" a="1"/>
  <c r="BG135" i="3" s="1"/>
  <c r="BG152" i="3" a="1"/>
  <c r="BG152" i="3" s="1"/>
  <c r="BG117" i="3" a="1"/>
  <c r="BG117" i="3" s="1"/>
  <c r="BG141" i="3" a="1"/>
  <c r="BG141" i="3" s="1"/>
  <c r="BG107" i="3" a="1"/>
  <c r="BG107" i="3" s="1"/>
  <c r="BG151" i="3" a="1"/>
  <c r="BG151" i="3" s="1"/>
  <c r="BG137" i="3" a="1"/>
  <c r="BG137" i="3" s="1"/>
  <c r="BG143" i="3" a="1"/>
  <c r="BG143" i="3" s="1"/>
  <c r="BG150" i="3" a="1"/>
  <c r="BG150" i="3" s="1"/>
  <c r="BB158" i="3" a="1"/>
  <c r="BB158" i="3" s="1"/>
  <c r="BG131" i="3" a="1"/>
  <c r="BG131" i="3" s="1"/>
  <c r="BG125" i="3" a="1"/>
  <c r="BG125" i="3" s="1"/>
  <c r="BG166" i="3" a="1"/>
  <c r="BG166" i="3" s="1"/>
  <c r="BG120" i="3" a="1"/>
  <c r="BG120" i="3" s="1"/>
  <c r="BG103" i="3" a="1"/>
  <c r="BG103" i="3" s="1"/>
  <c r="BG123" i="3" a="1"/>
  <c r="BG123" i="3" s="1"/>
  <c r="BG116" i="3" a="1"/>
  <c r="BG116" i="3" s="1"/>
  <c r="BG119" i="3" a="1"/>
  <c r="BG119" i="3" s="1"/>
  <c r="BG154" i="3" a="1"/>
  <c r="BG154" i="3" s="1"/>
  <c r="BG127" i="3" a="1"/>
  <c r="BG127" i="3" s="1"/>
  <c r="BC158" i="3" a="1"/>
  <c r="BC158" i="3" s="1"/>
  <c r="AE158" i="3" a="1"/>
  <c r="AE158" i="3" s="1"/>
  <c r="BG110" i="3" a="1"/>
  <c r="BG110" i="3" s="1"/>
  <c r="BG112" i="3" a="1"/>
  <c r="BG112" i="3" s="1"/>
  <c r="BG140" i="3" a="1"/>
  <c r="BG140" i="3" s="1"/>
  <c r="BG169" i="3" a="1"/>
  <c r="BG169" i="3" s="1"/>
  <c r="BG168" i="3" a="1"/>
  <c r="BG168" i="3" s="1"/>
  <c r="BG122" i="3" a="1"/>
  <c r="BG122" i="3" s="1"/>
  <c r="BG126" i="3" a="1"/>
  <c r="BG126" i="3" s="1"/>
  <c r="BG144" i="3" a="1"/>
  <c r="BG144" i="3" s="1"/>
  <c r="BG156" i="3" a="1"/>
  <c r="BG156" i="3" s="1"/>
  <c r="BG142" i="3" a="1"/>
  <c r="BG142" i="3" s="1"/>
  <c r="AZ158" i="3" a="1"/>
  <c r="AZ158" i="3" s="1"/>
  <c r="BG134" i="3" a="1"/>
  <c r="BG134" i="3" s="1"/>
  <c r="BG104" i="3" a="1"/>
  <c r="BG104" i="3" s="1"/>
  <c r="BG130" i="3" a="1"/>
  <c r="BG130" i="3" s="1"/>
  <c r="BG114" i="3" a="1"/>
  <c r="BG114" i="3" s="1"/>
  <c r="BG162" i="3" a="1"/>
  <c r="BG162" i="3" s="1"/>
  <c r="Q158" i="3" a="1"/>
  <c r="Q158" i="3" s="1"/>
  <c r="AC158" i="3" a="1"/>
  <c r="AC158" i="3" s="1"/>
  <c r="AO158" i="3" a="1"/>
  <c r="AO158" i="3" s="1"/>
  <c r="AL158" i="3" a="1"/>
  <c r="AL158" i="3" s="1"/>
  <c r="BG155" i="3" a="1"/>
  <c r="BG155" i="3" s="1"/>
  <c r="BG105" i="3" a="1"/>
  <c r="BG105" i="3" s="1"/>
  <c r="BG133" i="3" a="1"/>
  <c r="BG133" i="3" s="1"/>
  <c r="BG161" i="3" a="1"/>
  <c r="BG161" i="3" s="1"/>
  <c r="BG160" i="3" a="1"/>
  <c r="BG160" i="3" s="1"/>
  <c r="BG138" i="3" a="1"/>
  <c r="BG138" i="3" s="1"/>
  <c r="AY154" i="3" a="1"/>
  <c r="AY154" i="3" s="1"/>
  <c r="AY150" i="3" a="1"/>
  <c r="AY150" i="3" s="1"/>
  <c r="AY162" i="3" a="1"/>
  <c r="AY162" i="3" s="1"/>
  <c r="AY130" i="3" a="1"/>
  <c r="AY130" i="3" s="1"/>
  <c r="AY133" i="3" a="1"/>
  <c r="AY133" i="3" s="1"/>
  <c r="AY161" i="3" a="1"/>
  <c r="AY161" i="3" s="1"/>
  <c r="BV120" i="3" a="1"/>
  <c r="BV120" i="3" s="1"/>
  <c r="BV144" i="3" a="1"/>
  <c r="BV144" i="3" s="1"/>
  <c r="BV112" i="3" a="1"/>
  <c r="BV112" i="3" s="1"/>
  <c r="BV152" i="3" a="1"/>
  <c r="BV152" i="3" s="1"/>
  <c r="BV171" i="3" a="1"/>
  <c r="BV171" i="3" s="1"/>
  <c r="AV147" i="3" a="1"/>
  <c r="AV147" i="3" s="1"/>
  <c r="BT147" i="3" a="1"/>
  <c r="BT147" i="3" s="1"/>
  <c r="AV123" i="3" a="1"/>
  <c r="AV123" i="3" s="1"/>
  <c r="AV171" i="3" a="1"/>
  <c r="AV171" i="3" s="1"/>
  <c r="AV160" i="3" a="1"/>
  <c r="AV160" i="3" s="1"/>
  <c r="AV173" i="3" a="1"/>
  <c r="AV173" i="3" s="1"/>
  <c r="AV136" i="3" a="1"/>
  <c r="AV136" i="3" s="1"/>
  <c r="AI147" i="3" a="1"/>
  <c r="AI147" i="3" s="1"/>
  <c r="AV143" i="3" a="1"/>
  <c r="AV143" i="3" s="1"/>
  <c r="AV133" i="3" a="1"/>
  <c r="AV133" i="3" s="1"/>
  <c r="AX147" i="3" a="1"/>
  <c r="AX147" i="3" s="1"/>
  <c r="E147" i="3" a="1"/>
  <c r="E147" i="3" s="1"/>
  <c r="BU147" i="3" a="1"/>
  <c r="BU147" i="3" s="1"/>
  <c r="S147" i="3" a="1"/>
  <c r="S147" i="3" s="1"/>
  <c r="M147" i="3" a="1"/>
  <c r="M147" i="3" s="1"/>
  <c r="BD147" i="3" a="1"/>
  <c r="BD147" i="3" s="1"/>
  <c r="L147" i="3" a="1"/>
  <c r="L147" i="3" s="1"/>
  <c r="J147" i="3" a="1"/>
  <c r="J147" i="3" s="1"/>
  <c r="AU147" i="3" a="1"/>
  <c r="AU147" i="3" s="1"/>
  <c r="AN147" i="3" a="1"/>
  <c r="AN147" i="3" s="1"/>
  <c r="AB147" i="3" a="1"/>
  <c r="AB147" i="3" s="1"/>
  <c r="AC147" i="3" a="1"/>
  <c r="AC147" i="3" s="1"/>
  <c r="G147" i="3" a="1"/>
  <c r="G147" i="3" s="1"/>
  <c r="Q147" i="3" a="1"/>
  <c r="Q147" i="3" s="1"/>
  <c r="X147" i="3" a="1"/>
  <c r="X147" i="3" s="1"/>
  <c r="D147" i="3" a="1"/>
  <c r="D147" i="3" s="1"/>
  <c r="C147" i="3" a="1"/>
  <c r="C147" i="3" s="1"/>
  <c r="V147" i="3" a="1"/>
  <c r="V147" i="3" s="1"/>
  <c r="K147" i="3" a="1"/>
  <c r="K147" i="3" s="1"/>
  <c r="F147" i="3" a="1"/>
  <c r="F147" i="3" s="1"/>
  <c r="AG147" i="3" a="1"/>
  <c r="AG147" i="3" s="1"/>
  <c r="BC147" i="3" a="1"/>
  <c r="BC147" i="3" s="1"/>
  <c r="AO147" i="3" a="1"/>
  <c r="AO147" i="3" s="1"/>
  <c r="AE147" i="3" a="1"/>
  <c r="AE147" i="3" s="1"/>
  <c r="AW147" i="3" a="1"/>
  <c r="AW147" i="3" s="1"/>
  <c r="BL140" i="3" a="1"/>
  <c r="BL140" i="3" s="1"/>
  <c r="BL122" i="3" a="1"/>
  <c r="BL122" i="3" s="1"/>
  <c r="BL125" i="3" a="1"/>
  <c r="BL125" i="3" s="1"/>
  <c r="BL104" i="3" a="1"/>
  <c r="BL104" i="3" s="1"/>
  <c r="BF150" i="3" a="1"/>
  <c r="BF150" i="3" s="1"/>
  <c r="BF148" i="3" a="1"/>
  <c r="BF148" i="3" s="1"/>
  <c r="BF145" i="3" a="1"/>
  <c r="BF145" i="3" s="1"/>
  <c r="BF120" i="3" a="1"/>
  <c r="BF120" i="3" s="1"/>
  <c r="BF160" i="3" a="1"/>
  <c r="BF160" i="3" s="1"/>
  <c r="BF167" i="3" a="1"/>
  <c r="BF167" i="3" s="1"/>
  <c r="BT157" i="3" a="1"/>
  <c r="BT157" i="3" s="1"/>
  <c r="BF127" i="3" a="1"/>
  <c r="BF127" i="3" s="1"/>
  <c r="BF161" i="3" a="1"/>
  <c r="BF161" i="3" s="1"/>
  <c r="BF168" i="3" a="1"/>
  <c r="BF168" i="3" s="1"/>
  <c r="BE157" i="3" a="1"/>
  <c r="BE157" i="3" s="1"/>
  <c r="AX157" i="3" a="1"/>
  <c r="AX157" i="3" s="1"/>
  <c r="M157" i="3" a="1"/>
  <c r="M157" i="3" s="1"/>
  <c r="BM157" i="3" a="1"/>
  <c r="BM157" i="3" s="1"/>
  <c r="AD157" i="3" a="1"/>
  <c r="AD157" i="3" s="1"/>
  <c r="J157" i="3" a="1"/>
  <c r="J157" i="3" s="1"/>
  <c r="AB157" i="3" a="1"/>
  <c r="AB157" i="3" s="1"/>
  <c r="AF157" i="3" a="1"/>
  <c r="AF157" i="3" s="1"/>
  <c r="AN157" i="3" a="1"/>
  <c r="AN157" i="3" s="1"/>
  <c r="AI157" i="3" a="1"/>
  <c r="AI157" i="3" s="1"/>
  <c r="Y157" i="3" a="1"/>
  <c r="Y157" i="3" s="1"/>
  <c r="F157" i="3" a="1"/>
  <c r="F157" i="3" s="1"/>
  <c r="AC157" i="3" a="1"/>
  <c r="AC157" i="3" s="1"/>
  <c r="AA157" i="3" a="1"/>
  <c r="AA157" i="3" s="1"/>
  <c r="Z157" i="3" a="1"/>
  <c r="Z157" i="3" s="1"/>
  <c r="E157" i="3" a="1"/>
  <c r="E157" i="3" s="1"/>
  <c r="D157" i="3" a="1"/>
  <c r="D157" i="3" s="1"/>
  <c r="K157" i="3" a="1"/>
  <c r="K157" i="3" s="1"/>
  <c r="V157" i="3" a="1"/>
  <c r="V157" i="3" s="1"/>
  <c r="AU157" i="3" a="1"/>
  <c r="AU157" i="3" s="1"/>
  <c r="X157" i="3" a="1"/>
  <c r="X157" i="3" s="1"/>
  <c r="AZ157" i="3" a="1"/>
  <c r="AZ157" i="3" s="1"/>
  <c r="BN157" i="3" a="1"/>
  <c r="BN157" i="3" s="1"/>
  <c r="R157" i="3" a="1"/>
  <c r="R157" i="3" s="1"/>
  <c r="AM157" i="3" a="1"/>
  <c r="AM157" i="3" s="1"/>
  <c r="BC157" i="3" a="1"/>
  <c r="BC157" i="3" s="1"/>
  <c r="BJ157" i="3" a="1"/>
  <c r="BJ157" i="3" s="1"/>
  <c r="AH157" i="3" a="1"/>
  <c r="AH157" i="3" s="1"/>
  <c r="AO157" i="3" a="1"/>
  <c r="AO157" i="3" s="1"/>
  <c r="AL157" i="3" a="1"/>
  <c r="AL157" i="3" s="1"/>
  <c r="BF155" i="3" a="1"/>
  <c r="BF155" i="3" s="1"/>
  <c r="BF108" i="3" a="1"/>
  <c r="BF108" i="3" s="1"/>
  <c r="BF134" i="3" a="1"/>
  <c r="BF134" i="3" s="1"/>
  <c r="BF121" i="3" a="1"/>
  <c r="BF121" i="3" s="1"/>
  <c r="BF165" i="3" a="1"/>
  <c r="BF165" i="3" s="1"/>
  <c r="BF124" i="3" a="1"/>
  <c r="BF124" i="3" s="1"/>
  <c r="AG157" i="3" a="1"/>
  <c r="AG157" i="3" s="1"/>
  <c r="I157" i="3" a="1"/>
  <c r="I157" i="3" s="1"/>
  <c r="BF136" i="3" a="1"/>
  <c r="BF136" i="3" s="1"/>
  <c r="BF130" i="3" a="1"/>
  <c r="BF130" i="3" s="1"/>
  <c r="BF122" i="3" a="1"/>
  <c r="BF122" i="3" s="1"/>
  <c r="BF149" i="3" a="1"/>
  <c r="BF149" i="3" s="1"/>
  <c r="BF158" i="3" a="1"/>
  <c r="BF158" i="3" s="1"/>
  <c r="BS157" i="3" a="1"/>
  <c r="BS157" i="3" s="1"/>
  <c r="BK150" i="3" a="1"/>
  <c r="BK150" i="3" s="1"/>
  <c r="BK139" i="3" a="1"/>
  <c r="BK139" i="3" s="1"/>
  <c r="BK115" i="3" a="1"/>
  <c r="BK115" i="3" s="1"/>
  <c r="AK155" i="3" a="1"/>
  <c r="AK155" i="3" s="1"/>
  <c r="AK150" i="3" a="1"/>
  <c r="AK150" i="3" s="1"/>
  <c r="AK112" i="3" a="1"/>
  <c r="AK112" i="3" s="1"/>
  <c r="AY155" i="3" a="1"/>
  <c r="AY155" i="3" s="1"/>
  <c r="AY146" i="3" a="1"/>
  <c r="AY146" i="3" s="1"/>
  <c r="AY123" i="3" a="1"/>
  <c r="AY123" i="3" s="1"/>
  <c r="AY167" i="3" a="1"/>
  <c r="AY167" i="3" s="1"/>
  <c r="AY128" i="3" a="1"/>
  <c r="AY128" i="3" s="1"/>
  <c r="AY148" i="3" a="1"/>
  <c r="AY148" i="3" s="1"/>
  <c r="BV140" i="3" a="1"/>
  <c r="BV140" i="3" s="1"/>
  <c r="BV148" i="3" a="1"/>
  <c r="BV148" i="3" s="1"/>
  <c r="BV170" i="3" a="1"/>
  <c r="BV170" i="3" s="1"/>
  <c r="BV138" i="3" a="1"/>
  <c r="BV138" i="3" s="1"/>
  <c r="BV153" i="3" a="1"/>
  <c r="BV153" i="3" s="1"/>
  <c r="BL149" i="3" a="1"/>
  <c r="BL149" i="3" s="1"/>
  <c r="BL142" i="3" a="1"/>
  <c r="BL142" i="3" s="1"/>
  <c r="BL143" i="3" a="1"/>
  <c r="BL143" i="3" s="1"/>
  <c r="BL136" i="3" a="1"/>
  <c r="BL136" i="3" s="1"/>
  <c r="BL111" i="3" a="1"/>
  <c r="BL111" i="3" s="1"/>
  <c r="BF173" i="3" a="1"/>
  <c r="BF173" i="3" s="1"/>
  <c r="BS143" i="3" a="1"/>
  <c r="BS143" i="3" s="1"/>
  <c r="BK136" i="3" a="1"/>
  <c r="BK136" i="3" s="1"/>
  <c r="AK169" i="3" a="1"/>
  <c r="AK169" i="3" s="1"/>
  <c r="AK129" i="3" a="1"/>
  <c r="AK129" i="3" s="1"/>
  <c r="AK126" i="3" a="1"/>
  <c r="AK126" i="3" s="1"/>
  <c r="R163" i="3" a="1"/>
  <c r="R163" i="3" s="1"/>
  <c r="AP157" i="3" a="1"/>
  <c r="AP157" i="3" s="1"/>
  <c r="BO161" i="3" a="1"/>
  <c r="BO161" i="3" s="1"/>
  <c r="BO118" i="3" a="1"/>
  <c r="BO118" i="3" s="1"/>
  <c r="BO163" i="3" a="1"/>
  <c r="BO163" i="3" s="1"/>
  <c r="BO144" i="3" a="1"/>
  <c r="BO144" i="3" s="1"/>
  <c r="BT166" i="3" a="1"/>
  <c r="BT166" i="3" s="1"/>
  <c r="BO131" i="3" a="1"/>
  <c r="BO131" i="3" s="1"/>
  <c r="BO142" i="3" a="1"/>
  <c r="BO142" i="3" s="1"/>
  <c r="AX166" i="3" a="1"/>
  <c r="AX166" i="3" s="1"/>
  <c r="BO134" i="3" a="1"/>
  <c r="BO134" i="3" s="1"/>
  <c r="BO148" i="3" a="1"/>
  <c r="BO148" i="3" s="1"/>
  <c r="BU166" i="3" a="1"/>
  <c r="BU166" i="3" s="1"/>
  <c r="E166" i="3" a="1"/>
  <c r="E166" i="3" s="1"/>
  <c r="AS166" i="3" a="1"/>
  <c r="AS166" i="3" s="1"/>
  <c r="AI166" i="3" a="1"/>
  <c r="AI166" i="3" s="1"/>
  <c r="J166" i="3" a="1"/>
  <c r="J166" i="3" s="1"/>
  <c r="BD166" i="3" a="1"/>
  <c r="BD166" i="3" s="1"/>
  <c r="AF166" i="3" a="1"/>
  <c r="AF166" i="3" s="1"/>
  <c r="BA166" i="3" a="1"/>
  <c r="BA166" i="3" s="1"/>
  <c r="BE166" i="3" a="1"/>
  <c r="BE166" i="3" s="1"/>
  <c r="M166" i="3" a="1"/>
  <c r="M166" i="3" s="1"/>
  <c r="AU166" i="3" a="1"/>
  <c r="AU166" i="3" s="1"/>
  <c r="C166" i="3" a="1"/>
  <c r="C166" i="3" s="1"/>
  <c r="AG166" i="3" a="1"/>
  <c r="AG166" i="3" s="1"/>
  <c r="G166" i="3" a="1"/>
  <c r="G166" i="3" s="1"/>
  <c r="AH166" i="3" a="1"/>
  <c r="AH166" i="3" s="1"/>
  <c r="AA166" i="3" a="1"/>
  <c r="AA166" i="3" s="1"/>
  <c r="V166" i="3" a="1"/>
  <c r="V166" i="3" s="1"/>
  <c r="Q166" i="3" a="1"/>
  <c r="Q166" i="3" s="1"/>
  <c r="AB166" i="3" a="1"/>
  <c r="AB166" i="3" s="1"/>
  <c r="AN166" i="3" a="1"/>
  <c r="AN166" i="3" s="1"/>
  <c r="BO140" i="3" a="1"/>
  <c r="BO140" i="3" s="1"/>
  <c r="BO106" i="3" a="1"/>
  <c r="BO106" i="3" s="1"/>
  <c r="BO110" i="3" a="1"/>
  <c r="BO110" i="3" s="1"/>
  <c r="BO138" i="3" a="1"/>
  <c r="BO138" i="3" s="1"/>
  <c r="BO171" i="3" a="1"/>
  <c r="BO171" i="3" s="1"/>
  <c r="BO139" i="3" a="1"/>
  <c r="BO139" i="3" s="1"/>
  <c r="BO162" i="3" a="1"/>
  <c r="BO162" i="3" s="1"/>
  <c r="BO143" i="3" a="1"/>
  <c r="BO143" i="3" s="1"/>
  <c r="BO128" i="3" a="1"/>
  <c r="BO128" i="3" s="1"/>
  <c r="BO155" i="3" a="1"/>
  <c r="BO155" i="3" s="1"/>
  <c r="BO164" i="3" a="1"/>
  <c r="BO164" i="3" s="1"/>
  <c r="BQ166" i="3" a="1"/>
  <c r="BQ166" i="3" s="1"/>
  <c r="AL166" i="3" a="1"/>
  <c r="AL166" i="3" s="1"/>
  <c r="BO108" i="3" a="1"/>
  <c r="BO108" i="3" s="1"/>
  <c r="BO111" i="3" a="1"/>
  <c r="BO111" i="3" s="1"/>
  <c r="BO116" i="3" a="1"/>
  <c r="BO116" i="3" s="1"/>
  <c r="BO168" i="3" a="1"/>
  <c r="BO168" i="3" s="1"/>
  <c r="BO136" i="3" a="1"/>
  <c r="BO136" i="3" s="1"/>
  <c r="AQ166" i="3" a="1"/>
  <c r="AQ166" i="3" s="1"/>
  <c r="BO167" i="3" a="1"/>
  <c r="BO167" i="3" s="1"/>
  <c r="BO104" i="3" a="1"/>
  <c r="BO104" i="3" s="1"/>
  <c r="BO117" i="3" a="1"/>
  <c r="BO117" i="3" s="1"/>
  <c r="BO157" i="3" a="1"/>
  <c r="BO157" i="3" s="1"/>
  <c r="BO159" i="3" a="1"/>
  <c r="BO159" i="3" s="1"/>
  <c r="D166" i="3" a="1"/>
  <c r="D166" i="3" s="1"/>
  <c r="BO103" i="3" a="1"/>
  <c r="BO103" i="3" s="1"/>
  <c r="BO119" i="3" a="1"/>
  <c r="BO119" i="3" s="1"/>
  <c r="BO153" i="3" a="1"/>
  <c r="BO153" i="3" s="1"/>
  <c r="BO170" i="3" a="1"/>
  <c r="BO170" i="3" s="1"/>
  <c r="BO127" i="3" a="1"/>
  <c r="BO127" i="3" s="1"/>
  <c r="BB166" i="3" a="1"/>
  <c r="BB166" i="3" s="1"/>
  <c r="O166" i="3" a="1"/>
  <c r="O166" i="3" s="1"/>
  <c r="BO105" i="3" a="1"/>
  <c r="BO105" i="3" s="1"/>
  <c r="BO123" i="3" a="1"/>
  <c r="BO123" i="3" s="1"/>
  <c r="BO149" i="3" a="1"/>
  <c r="BO149" i="3" s="1"/>
  <c r="BO152" i="3" a="1"/>
  <c r="BO152" i="3" s="1"/>
  <c r="BO150" i="3" a="1"/>
  <c r="BO150" i="3" s="1"/>
  <c r="BH166" i="3" a="1"/>
  <c r="BH166" i="3" s="1"/>
  <c r="BC166" i="3" a="1"/>
  <c r="BC166" i="3" s="1"/>
  <c r="BO114" i="3" a="1"/>
  <c r="BO114" i="3" s="1"/>
  <c r="BO129" i="3" a="1"/>
  <c r="BO129" i="3" s="1"/>
  <c r="BO133" i="3" a="1"/>
  <c r="BO133" i="3" s="1"/>
  <c r="BO147" i="3" a="1"/>
  <c r="BO147" i="3" s="1"/>
  <c r="BO146" i="3" a="1"/>
  <c r="BO146" i="3" s="1"/>
  <c r="BO141" i="3" a="1"/>
  <c r="BO141" i="3" s="1"/>
  <c r="BO113" i="3" a="1"/>
  <c r="BO113" i="3" s="1"/>
  <c r="BO121" i="3" a="1"/>
  <c r="BO121" i="3" s="1"/>
  <c r="BO112" i="3" a="1"/>
  <c r="BO112" i="3" s="1"/>
  <c r="BO160" i="3" a="1"/>
  <c r="BO160" i="3" s="1"/>
  <c r="BO126" i="3" a="1"/>
  <c r="BO126" i="3" s="1"/>
  <c r="AO166" i="3" a="1"/>
  <c r="AO166" i="3" s="1"/>
  <c r="BO172" i="3" a="1"/>
  <c r="BO172" i="3" s="1"/>
  <c r="BO107" i="3" a="1"/>
  <c r="BO107" i="3" s="1"/>
  <c r="BO109" i="3" a="1"/>
  <c r="BO109" i="3" s="1"/>
  <c r="BO135" i="3" a="1"/>
  <c r="BO135" i="3" s="1"/>
  <c r="BO173" i="3" a="1"/>
  <c r="BO173" i="3" s="1"/>
  <c r="BO125" i="3" a="1"/>
  <c r="BO125" i="3" s="1"/>
  <c r="BO137" i="3" a="1"/>
  <c r="BO137" i="3" s="1"/>
  <c r="BO132" i="3" a="1"/>
  <c r="BO132" i="3" s="1"/>
  <c r="BO120" i="3" a="1"/>
  <c r="BO120" i="3" s="1"/>
  <c r="BO166" i="3" a="1"/>
  <c r="BO166" i="3" s="1"/>
  <c r="BO154" i="3" a="1"/>
  <c r="BO154" i="3" s="1"/>
  <c r="BO102" i="3" a="1"/>
  <c r="BO102" i="3" s="1"/>
  <c r="BH171" i="3" a="1"/>
  <c r="BH171" i="3" s="1"/>
  <c r="BH109" i="3" a="1"/>
  <c r="BH109" i="3" s="1"/>
  <c r="BH106" i="3" a="1"/>
  <c r="BH106" i="3" s="1"/>
  <c r="BH104" i="3" a="1"/>
  <c r="BH104" i="3" s="1"/>
  <c r="BH105" i="3" a="1"/>
  <c r="BH105" i="3" s="1"/>
  <c r="BH169" i="3" a="1"/>
  <c r="BH169" i="3" s="1"/>
  <c r="BQ147" i="3" a="1"/>
  <c r="BQ147" i="3" s="1"/>
  <c r="BQ172" i="3" a="1"/>
  <c r="BQ172" i="3" s="1"/>
  <c r="BQ134" i="3" a="1"/>
  <c r="BQ134" i="3" s="1"/>
  <c r="BQ126" i="3" a="1"/>
  <c r="BQ126" i="3" s="1"/>
  <c r="BQ148" i="3" a="1"/>
  <c r="BQ148" i="3" s="1"/>
  <c r="R134" i="3" a="1"/>
  <c r="R134" i="3" s="1"/>
  <c r="R151" i="3" a="1"/>
  <c r="R151" i="3" s="1"/>
  <c r="R112" i="3" a="1"/>
  <c r="R112" i="3" s="1"/>
  <c r="R149" i="3" a="1"/>
  <c r="R149" i="3" s="1"/>
  <c r="R169" i="3" a="1"/>
  <c r="R169" i="3" s="1"/>
  <c r="BP144" i="3" a="1"/>
  <c r="BP144" i="3" s="1"/>
  <c r="BP168" i="3" a="1"/>
  <c r="BP168" i="3" s="1"/>
  <c r="BP150" i="3" a="1"/>
  <c r="BP150" i="3" s="1"/>
  <c r="BP125" i="3" a="1"/>
  <c r="BP125" i="3" s="1"/>
  <c r="BP117" i="3" a="1"/>
  <c r="BP117" i="3" s="1"/>
  <c r="BB115" i="3" a="1"/>
  <c r="BB115" i="3" s="1"/>
  <c r="BB119" i="3" a="1"/>
  <c r="BB119" i="3" s="1"/>
  <c r="BB173" i="3" a="1"/>
  <c r="BB173" i="3" s="1"/>
  <c r="AP137" i="3" a="1"/>
  <c r="AP137" i="3" s="1"/>
  <c r="AP170" i="3" a="1"/>
  <c r="AP170" i="3" s="1"/>
  <c r="AP122" i="3" a="1"/>
  <c r="AP122" i="3" s="1"/>
  <c r="AP142" i="3" a="1"/>
  <c r="AP142" i="3" s="1"/>
  <c r="AP104" i="3" a="1"/>
  <c r="AP104" i="3" s="1"/>
  <c r="BN140" i="3" a="1"/>
  <c r="BN140" i="3" s="1"/>
  <c r="BN148" i="3" a="1"/>
  <c r="BN148" i="3" s="1"/>
  <c r="BN153" i="3" a="1"/>
  <c r="BN153" i="3" s="1"/>
  <c r="BN147" i="3" a="1"/>
  <c r="BN147" i="3" s="1"/>
  <c r="BN107" i="3" a="1"/>
  <c r="BN107" i="3" s="1"/>
  <c r="AL141" i="3" a="1"/>
  <c r="AL141" i="3" s="1"/>
  <c r="O159" i="3" a="1"/>
  <c r="O159" i="3" s="1"/>
  <c r="AE129" i="3" a="1"/>
  <c r="AE129" i="3" s="1"/>
  <c r="AE150" i="3" a="1"/>
  <c r="AE150" i="3" s="1"/>
  <c r="AE128" i="3" a="1"/>
  <c r="AE128" i="3" s="1"/>
  <c r="AE107" i="3" a="1"/>
  <c r="AE107" i="3" s="1"/>
  <c r="BJ168" i="3" a="1"/>
  <c r="BJ168" i="3" s="1"/>
  <c r="BJ126" i="3" a="1"/>
  <c r="BJ126" i="3" s="1"/>
  <c r="BJ130" i="3" a="1"/>
  <c r="BJ130" i="3" s="1"/>
  <c r="AZ144" i="3" a="1"/>
  <c r="AZ144" i="3" s="1"/>
  <c r="AZ160" i="3" a="1"/>
  <c r="AZ160" i="3" s="1"/>
  <c r="AZ138" i="3" a="1"/>
  <c r="AZ138" i="3" s="1"/>
  <c r="W151" i="3" a="1"/>
  <c r="W151" i="3" s="1"/>
  <c r="AZ165" i="3" a="1"/>
  <c r="AZ165" i="3" s="1"/>
  <c r="AZ159" i="3" a="1"/>
  <c r="AZ159" i="3" s="1"/>
  <c r="AZ173" i="3" a="1"/>
  <c r="AZ173" i="3" s="1"/>
  <c r="AZ140" i="3" a="1"/>
  <c r="AZ140" i="3" s="1"/>
  <c r="AZ162" i="3" a="1"/>
  <c r="AZ162" i="3" s="1"/>
  <c r="AZ171" i="3" a="1"/>
  <c r="AZ171" i="3" s="1"/>
  <c r="AZ155" i="3" a="1"/>
  <c r="AZ155" i="3" s="1"/>
  <c r="BT151" i="3" a="1"/>
  <c r="BT151" i="3" s="1"/>
  <c r="AX151" i="3" a="1"/>
  <c r="AX151" i="3" s="1"/>
  <c r="P151" i="3" a="1"/>
  <c r="P151" i="3" s="1"/>
  <c r="H151" i="3" a="1"/>
  <c r="H151" i="3" s="1"/>
  <c r="AI151" i="3" a="1"/>
  <c r="AI151" i="3" s="1"/>
  <c r="L151" i="3" a="1"/>
  <c r="L151" i="3" s="1"/>
  <c r="AB151" i="3" a="1"/>
  <c r="AB151" i="3" s="1"/>
  <c r="BE151" i="3" a="1"/>
  <c r="BE151" i="3" s="1"/>
  <c r="AF151" i="3" a="1"/>
  <c r="AF151" i="3" s="1"/>
  <c r="V151" i="3" a="1"/>
  <c r="V151" i="3" s="1"/>
  <c r="AH151" i="3" a="1"/>
  <c r="AH151" i="3" s="1"/>
  <c r="F151" i="3" a="1"/>
  <c r="F151" i="3" s="1"/>
  <c r="D151" i="3" a="1"/>
  <c r="D151" i="3" s="1"/>
  <c r="AD151" i="3" a="1"/>
  <c r="AD151" i="3" s="1"/>
  <c r="G151" i="3" a="1"/>
  <c r="G151" i="3" s="1"/>
  <c r="AU151" i="3" a="1"/>
  <c r="AU151" i="3" s="1"/>
  <c r="M151" i="3" a="1"/>
  <c r="M151" i="3" s="1"/>
  <c r="AZ116" i="3" a="1"/>
  <c r="AZ116" i="3" s="1"/>
  <c r="AZ163" i="3" a="1"/>
  <c r="AZ163" i="3" s="1"/>
  <c r="AZ129" i="3" a="1"/>
  <c r="AZ129" i="3" s="1"/>
  <c r="AZ141" i="3" a="1"/>
  <c r="AZ141" i="3" s="1"/>
  <c r="AZ137" i="3" a="1"/>
  <c r="AZ137" i="3" s="1"/>
  <c r="X151" i="3" a="1"/>
  <c r="X151" i="3" s="1"/>
  <c r="AQ167" i="3" a="1"/>
  <c r="AQ167" i="3" s="1"/>
  <c r="AW133" i="3" a="1"/>
  <c r="AW133" i="3" s="1"/>
  <c r="AW139" i="3" a="1"/>
  <c r="AW139" i="3" s="1"/>
  <c r="AW162" i="3" a="1"/>
  <c r="AW162" i="3" s="1"/>
  <c r="AW115" i="3" a="1"/>
  <c r="AW115" i="3" s="1"/>
  <c r="AT116" i="3" a="1"/>
  <c r="AT116" i="3" s="1"/>
  <c r="AT143" i="3" a="1"/>
  <c r="AT143" i="3" s="1"/>
  <c r="AT166" i="3" a="1"/>
  <c r="AT166" i="3" s="1"/>
  <c r="AT162" i="3" a="1"/>
  <c r="AT162" i="3" s="1"/>
  <c r="AT136" i="3" a="1"/>
  <c r="AT136" i="3" s="1"/>
  <c r="W145" i="3" a="1"/>
  <c r="W145" i="3" s="1"/>
  <c r="AI145" i="3" a="1"/>
  <c r="AI145" i="3" s="1"/>
  <c r="AX145" i="3" a="1"/>
  <c r="AX145" i="3" s="1"/>
  <c r="S145" i="3" a="1"/>
  <c r="S145" i="3" s="1"/>
  <c r="BA145" i="3" a="1"/>
  <c r="BA145" i="3" s="1"/>
  <c r="E145" i="3" a="1"/>
  <c r="E145" i="3" s="1"/>
  <c r="BU145" i="3" a="1"/>
  <c r="BU145" i="3" s="1"/>
  <c r="AF145" i="3" a="1"/>
  <c r="AF145" i="3" s="1"/>
  <c r="M145" i="3" a="1"/>
  <c r="M145" i="3" s="1"/>
  <c r="J145" i="3" a="1"/>
  <c r="J145" i="3" s="1"/>
  <c r="V145" i="3" a="1"/>
  <c r="V145" i="3" s="1"/>
  <c r="C145" i="3" a="1"/>
  <c r="C145" i="3" s="1"/>
  <c r="AM145" i="3" a="1"/>
  <c r="AM145" i="3" s="1"/>
  <c r="AT150" i="3" a="1"/>
  <c r="AT150" i="3" s="1"/>
  <c r="AT118" i="3" a="1"/>
  <c r="AT118" i="3" s="1"/>
  <c r="AT132" i="3" a="1"/>
  <c r="AT132" i="3" s="1"/>
  <c r="AT124" i="3" a="1"/>
  <c r="AT124" i="3" s="1"/>
  <c r="AT107" i="3" a="1"/>
  <c r="AT107" i="3" s="1"/>
  <c r="AT130" i="3" a="1"/>
  <c r="AT130" i="3" s="1"/>
  <c r="AT163" i="3" a="1"/>
  <c r="AT163" i="3" s="1"/>
  <c r="AT105" i="3" a="1"/>
  <c r="AT105" i="3" s="1"/>
  <c r="AT158" i="3" a="1"/>
  <c r="AT158" i="3" s="1"/>
  <c r="AT156" i="3" a="1"/>
  <c r="AT156" i="3" s="1"/>
  <c r="AT159" i="3" a="1"/>
  <c r="AT159" i="3" s="1"/>
  <c r="AT144" i="3" a="1"/>
  <c r="AT144" i="3" s="1"/>
  <c r="D145" i="3" a="1"/>
  <c r="D145" i="3" s="1"/>
  <c r="AT139" i="3" a="1"/>
  <c r="AT139" i="3" s="1"/>
  <c r="AT110" i="3" a="1"/>
  <c r="AT110" i="3" s="1"/>
  <c r="AT120" i="3" a="1"/>
  <c r="AT120" i="3" s="1"/>
  <c r="AT152" i="3" a="1"/>
  <c r="AT152" i="3" s="1"/>
  <c r="AT138" i="3" a="1"/>
  <c r="AT138" i="3" s="1"/>
  <c r="AT148" i="3" a="1"/>
  <c r="AT148" i="3" s="1"/>
  <c r="Z145" i="3" a="1"/>
  <c r="Z145" i="3" s="1"/>
  <c r="AT147" i="3" a="1"/>
  <c r="AT147" i="3" s="1"/>
  <c r="AT108" i="3" a="1"/>
  <c r="AT108" i="3" s="1"/>
  <c r="AT129" i="3" a="1"/>
  <c r="AT129" i="3" s="1"/>
  <c r="AT119" i="3" a="1"/>
  <c r="AT119" i="3" s="1"/>
  <c r="AT167" i="3" a="1"/>
  <c r="AT167" i="3" s="1"/>
  <c r="AT134" i="3" a="1"/>
  <c r="AT134" i="3" s="1"/>
  <c r="AT168" i="3" a="1"/>
  <c r="AT168" i="3" s="1"/>
  <c r="AT137" i="3" a="1"/>
  <c r="AT137" i="3" s="1"/>
  <c r="AT153" i="3" a="1"/>
  <c r="AT153" i="3" s="1"/>
  <c r="AT133" i="3" a="1"/>
  <c r="AT133" i="3" s="1"/>
  <c r="AT169" i="3" a="1"/>
  <c r="AT169" i="3" s="1"/>
  <c r="AT173" i="3" a="1"/>
  <c r="AT173" i="3" s="1"/>
  <c r="AT170" i="3" a="1"/>
  <c r="AT170" i="3" s="1"/>
  <c r="AT113" i="3" a="1"/>
  <c r="AT113" i="3" s="1"/>
  <c r="AT122" i="3" a="1"/>
  <c r="AT122" i="3" s="1"/>
  <c r="AT146" i="3" a="1"/>
  <c r="AT146" i="3" s="1"/>
  <c r="AT171" i="3" a="1"/>
  <c r="AT171" i="3" s="1"/>
  <c r="AT102" i="3" a="1"/>
  <c r="AT102" i="3" s="1"/>
  <c r="AT111" i="3" a="1"/>
  <c r="AT111" i="3" s="1"/>
  <c r="AT141" i="3" a="1"/>
  <c r="AT141" i="3" s="1"/>
  <c r="AT106" i="3" a="1"/>
  <c r="AT106" i="3" s="1"/>
  <c r="AT104" i="3" a="1"/>
  <c r="AT104" i="3" s="1"/>
  <c r="AT117" i="3" a="1"/>
  <c r="AT117" i="3" s="1"/>
  <c r="AT109" i="3" a="1"/>
  <c r="AT109" i="3" s="1"/>
  <c r="G145" i="3" a="1"/>
  <c r="G145" i="3" s="1"/>
  <c r="AT112" i="3" a="1"/>
  <c r="AT112" i="3" s="1"/>
  <c r="AT126" i="3" a="1"/>
  <c r="AT126" i="3" s="1"/>
  <c r="AT123" i="3" a="1"/>
  <c r="AT123" i="3" s="1"/>
  <c r="AT157" i="3" a="1"/>
  <c r="AT157" i="3" s="1"/>
  <c r="AT145" i="3" a="1"/>
  <c r="AT145" i="3" s="1"/>
  <c r="AA145" i="3" a="1"/>
  <c r="AA145" i="3" s="1"/>
  <c r="Y145" i="3" a="1"/>
  <c r="Y145" i="3" s="1"/>
  <c r="BP149" i="3" a="1"/>
  <c r="BP149" i="3" s="1"/>
  <c r="BP152" i="3" a="1"/>
  <c r="BP152" i="3" s="1"/>
  <c r="BP107" i="3" a="1"/>
  <c r="BP107" i="3" s="1"/>
  <c r="BP121" i="3" a="1"/>
  <c r="BP121" i="3" s="1"/>
  <c r="BP136" i="3" a="1"/>
  <c r="BP136" i="3" s="1"/>
  <c r="AP167" i="3" a="1"/>
  <c r="AP167" i="3" s="1"/>
  <c r="AP124" i="3" a="1"/>
  <c r="AP124" i="3" s="1"/>
  <c r="AP125" i="3" a="1"/>
  <c r="AP125" i="3" s="1"/>
  <c r="AP106" i="3" a="1"/>
  <c r="AP106" i="3" s="1"/>
  <c r="AP169" i="3" a="1"/>
  <c r="AP169" i="3" s="1"/>
  <c r="BN170" i="3" a="1"/>
  <c r="BN170" i="3" s="1"/>
  <c r="BN172" i="3" a="1"/>
  <c r="BN172" i="3" s="1"/>
  <c r="BN138" i="3" a="1"/>
  <c r="BN138" i="3" s="1"/>
  <c r="BN116" i="3" a="1"/>
  <c r="BN116" i="3" s="1"/>
  <c r="BN105" i="3" a="1"/>
  <c r="BN105" i="3" s="1"/>
  <c r="BC167" i="3" a="1"/>
  <c r="BC167" i="3" s="1"/>
  <c r="AZ114" i="3" a="1"/>
  <c r="AZ114" i="3" s="1"/>
  <c r="AZ130" i="3" a="1"/>
  <c r="AZ130" i="3" s="1"/>
  <c r="AZ117" i="3" a="1"/>
  <c r="AZ117" i="3" s="1"/>
  <c r="AQ168" i="3" a="1"/>
  <c r="AQ168" i="3" s="1"/>
  <c r="AW154" i="3" a="1"/>
  <c r="AW154" i="3" s="1"/>
  <c r="AW129" i="3" a="1"/>
  <c r="AW129" i="3" s="1"/>
  <c r="AW126" i="3" a="1"/>
  <c r="AW126" i="3" s="1"/>
  <c r="AW105" i="3" a="1"/>
  <c r="AW105" i="3" s="1"/>
  <c r="AO152" i="3" a="1"/>
  <c r="AO152" i="3" s="1"/>
  <c r="AT160" i="3" a="1"/>
  <c r="AT160" i="3" s="1"/>
  <c r="X117" i="3" a="1"/>
  <c r="X117" i="3" s="1"/>
  <c r="BH159" i="3" a="1"/>
  <c r="BH159" i="3" s="1"/>
  <c r="BH125" i="3" a="1"/>
  <c r="BH125" i="3" s="1"/>
  <c r="BH126" i="3" a="1"/>
  <c r="BH126" i="3" s="1"/>
  <c r="BH107" i="3" a="1"/>
  <c r="BH107" i="3" s="1"/>
  <c r="BH133" i="3" a="1"/>
  <c r="BH133" i="3" s="1"/>
  <c r="BQ128" i="3" a="1"/>
  <c r="BQ128" i="3" s="1"/>
  <c r="BQ153" i="3" a="1"/>
  <c r="BQ153" i="3" s="1"/>
  <c r="BQ120" i="3" a="1"/>
  <c r="BQ120" i="3" s="1"/>
  <c r="BQ112" i="3" a="1"/>
  <c r="BQ112" i="3" s="1"/>
  <c r="BQ127" i="3" a="1"/>
  <c r="BQ127" i="3" s="1"/>
  <c r="R159" i="3" a="1"/>
  <c r="R159" i="3" s="1"/>
  <c r="R140" i="3" a="1"/>
  <c r="R140" i="3" s="1"/>
  <c r="R117" i="3" a="1"/>
  <c r="R117" i="3" s="1"/>
  <c r="R107" i="3" a="1"/>
  <c r="R107" i="3" s="1"/>
  <c r="R114" i="3" a="1"/>
  <c r="R114" i="3" s="1"/>
  <c r="BP162" i="3" a="1"/>
  <c r="BP162" i="3" s="1"/>
  <c r="BP147" i="3" a="1"/>
  <c r="BP147" i="3" s="1"/>
  <c r="BP112" i="3" a="1"/>
  <c r="BP112" i="3" s="1"/>
  <c r="BP114" i="3" a="1"/>
  <c r="BP114" i="3" s="1"/>
  <c r="BP132" i="3" a="1"/>
  <c r="BP132" i="3" s="1"/>
  <c r="BB150" i="3" a="1"/>
  <c r="BB150" i="3" s="1"/>
  <c r="BB157" i="3" a="1"/>
  <c r="BB157" i="3" s="1"/>
  <c r="BB134" i="3" a="1"/>
  <c r="BB134" i="3" s="1"/>
  <c r="BB125" i="3" a="1"/>
  <c r="BB125" i="3" s="1"/>
  <c r="BB123" i="3" a="1"/>
  <c r="BB123" i="3" s="1"/>
  <c r="BB133" i="3" a="1"/>
  <c r="BB133" i="3" s="1"/>
  <c r="AP151" i="3" a="1"/>
  <c r="AP151" i="3" s="1"/>
  <c r="AP164" i="3" a="1"/>
  <c r="AP164" i="3" s="1"/>
  <c r="AP162" i="3" a="1"/>
  <c r="AP162" i="3" s="1"/>
  <c r="AP154" i="3" a="1"/>
  <c r="AP154" i="3" s="1"/>
  <c r="AP163" i="3" a="1"/>
  <c r="AP163" i="3" s="1"/>
  <c r="BN119" i="3" a="1"/>
  <c r="BN119" i="3" s="1"/>
  <c r="BN129" i="3" a="1"/>
  <c r="BN129" i="3" s="1"/>
  <c r="BN131" i="3" a="1"/>
  <c r="BN131" i="3" s="1"/>
  <c r="BN120" i="3" a="1"/>
  <c r="BN120" i="3" s="1"/>
  <c r="BN102" i="3" a="1"/>
  <c r="BN102" i="3" s="1"/>
  <c r="O137" i="3" a="1"/>
  <c r="O137" i="3" s="1"/>
  <c r="AE173" i="3" a="1"/>
  <c r="AE173" i="3" s="1"/>
  <c r="AE159" i="3" a="1"/>
  <c r="AE159" i="3" s="1"/>
  <c r="AE138" i="3" a="1"/>
  <c r="AE138" i="3" s="1"/>
  <c r="AE116" i="3" a="1"/>
  <c r="AE116" i="3" s="1"/>
  <c r="AE102" i="3" a="1"/>
  <c r="AE102" i="3" s="1"/>
  <c r="BJ158" i="3" a="1"/>
  <c r="BJ158" i="3" s="1"/>
  <c r="BJ161" i="3" a="1"/>
  <c r="BJ161" i="3" s="1"/>
  <c r="BJ102" i="3" a="1"/>
  <c r="BJ102" i="3" s="1"/>
  <c r="BJ122" i="3" a="1"/>
  <c r="BJ122" i="3" s="1"/>
  <c r="BJ106" i="3" a="1"/>
  <c r="BJ106" i="3" s="1"/>
  <c r="AZ166" i="3" a="1"/>
  <c r="AZ166" i="3" s="1"/>
  <c r="AZ132" i="3" a="1"/>
  <c r="AZ132" i="3" s="1"/>
  <c r="AZ119" i="3" a="1"/>
  <c r="AZ119" i="3" s="1"/>
  <c r="AZ143" i="3" a="1"/>
  <c r="AZ143" i="3" s="1"/>
  <c r="AZ167" i="3" a="1"/>
  <c r="AZ167" i="3" s="1"/>
  <c r="AQ114" i="3" a="1"/>
  <c r="AQ114" i="3" s="1"/>
  <c r="AQ140" i="3" a="1"/>
  <c r="AQ140" i="3" s="1"/>
  <c r="AQ133" i="3" a="1"/>
  <c r="AQ133" i="3" s="1"/>
  <c r="AQ163" i="3" a="1"/>
  <c r="AQ163" i="3" s="1"/>
  <c r="AQ111" i="3" a="1"/>
  <c r="AQ111" i="3" s="1"/>
  <c r="W142" i="3" a="1"/>
  <c r="W142" i="3" s="1"/>
  <c r="AQ103" i="3" a="1"/>
  <c r="AQ103" i="3" s="1"/>
  <c r="AQ165" i="3" a="1"/>
  <c r="AQ165" i="3" s="1"/>
  <c r="AQ151" i="3" a="1"/>
  <c r="AQ151" i="3" s="1"/>
  <c r="AQ110" i="3" a="1"/>
  <c r="AQ110" i="3" s="1"/>
  <c r="AQ158" i="3" a="1"/>
  <c r="AQ158" i="3" s="1"/>
  <c r="AQ170" i="3" a="1"/>
  <c r="AQ170" i="3" s="1"/>
  <c r="AQ139" i="3" a="1"/>
  <c r="AQ139" i="3" s="1"/>
  <c r="AX142" i="3" a="1"/>
  <c r="AX142" i="3" s="1"/>
  <c r="AI142" i="3" a="1"/>
  <c r="AI142" i="3" s="1"/>
  <c r="S142" i="3" a="1"/>
  <c r="S142" i="3" s="1"/>
  <c r="AS142" i="3" a="1"/>
  <c r="AS142" i="3" s="1"/>
  <c r="AQ109" i="3" a="1"/>
  <c r="AQ109" i="3" s="1"/>
  <c r="BA142" i="3" a="1"/>
  <c r="BA142" i="3" s="1"/>
  <c r="BU142" i="3" a="1"/>
  <c r="BU142" i="3" s="1"/>
  <c r="H142" i="3" a="1"/>
  <c r="H142" i="3" s="1"/>
  <c r="BT142" i="3" a="1"/>
  <c r="BT142" i="3" s="1"/>
  <c r="M142" i="3" a="1"/>
  <c r="M142" i="3" s="1"/>
  <c r="BE142" i="3" a="1"/>
  <c r="BE142" i="3" s="1"/>
  <c r="BM142" i="3" a="1"/>
  <c r="BM142" i="3" s="1"/>
  <c r="BD142" i="3" a="1"/>
  <c r="BD142" i="3" s="1"/>
  <c r="AF142" i="3" a="1"/>
  <c r="AF142" i="3" s="1"/>
  <c r="AB142" i="3" a="1"/>
  <c r="AB142" i="3" s="1"/>
  <c r="AN142" i="3" a="1"/>
  <c r="AN142" i="3" s="1"/>
  <c r="F142" i="3" a="1"/>
  <c r="F142" i="3" s="1"/>
  <c r="Z142" i="3" a="1"/>
  <c r="Z142" i="3" s="1"/>
  <c r="G142" i="3" a="1"/>
  <c r="G142" i="3" s="1"/>
  <c r="X142" i="3" a="1"/>
  <c r="X142" i="3" s="1"/>
  <c r="I142" i="3" a="1"/>
  <c r="I142" i="3" s="1"/>
  <c r="Y142" i="3" a="1"/>
  <c r="Y142" i="3" s="1"/>
  <c r="AQ123" i="3" a="1"/>
  <c r="AQ123" i="3" s="1"/>
  <c r="AQ122" i="3" a="1"/>
  <c r="AQ122" i="3" s="1"/>
  <c r="AQ120" i="3" a="1"/>
  <c r="AQ120" i="3" s="1"/>
  <c r="AQ144" i="3" a="1"/>
  <c r="AQ144" i="3" s="1"/>
  <c r="AQ146" i="3" a="1"/>
  <c r="AQ146" i="3" s="1"/>
  <c r="AQ172" i="3" a="1"/>
  <c r="AQ172" i="3" s="1"/>
  <c r="C142" i="3" a="1"/>
  <c r="C142" i="3" s="1"/>
  <c r="K142" i="3" a="1"/>
  <c r="K142" i="3" s="1"/>
  <c r="AW137" i="3" a="1"/>
  <c r="AW137" i="3" s="1"/>
  <c r="AW125" i="3" a="1"/>
  <c r="AW125" i="3" s="1"/>
  <c r="AW103" i="3" a="1"/>
  <c r="AW103" i="3" s="1"/>
  <c r="AO141" i="3" a="1"/>
  <c r="AO141" i="3" s="1"/>
  <c r="AO124" i="3" a="1"/>
  <c r="AO124" i="3" s="1"/>
  <c r="AO142" i="3" a="1"/>
  <c r="AO142" i="3" s="1"/>
  <c r="AO115" i="3" a="1"/>
  <c r="AO115" i="3" s="1"/>
  <c r="AO161" i="3" a="1"/>
  <c r="AO161" i="3" s="1"/>
  <c r="AO168" i="3" a="1"/>
  <c r="AO168" i="3" s="1"/>
  <c r="AO139" i="3" a="1"/>
  <c r="AO139" i="3" s="1"/>
  <c r="W140" i="3" a="1"/>
  <c r="W140" i="3" s="1"/>
  <c r="AX140" i="3" a="1"/>
  <c r="AX140" i="3" s="1"/>
  <c r="M140" i="3" a="1"/>
  <c r="M140" i="3" s="1"/>
  <c r="S140" i="3" a="1"/>
  <c r="S140" i="3" s="1"/>
  <c r="AI140" i="3" a="1"/>
  <c r="AI140" i="3" s="1"/>
  <c r="BT140" i="3" a="1"/>
  <c r="BT140" i="3" s="1"/>
  <c r="AB140" i="3" a="1"/>
  <c r="AB140" i="3" s="1"/>
  <c r="BD140" i="3" a="1"/>
  <c r="BD140" i="3" s="1"/>
  <c r="J140" i="3" a="1"/>
  <c r="J140" i="3" s="1"/>
  <c r="AU140" i="3" a="1"/>
  <c r="AU140" i="3" s="1"/>
  <c r="AD140" i="3" a="1"/>
  <c r="AD140" i="3" s="1"/>
  <c r="BM140" i="3" a="1"/>
  <c r="BM140" i="3" s="1"/>
  <c r="BE140" i="3" a="1"/>
  <c r="BE140" i="3" s="1"/>
  <c r="AA140" i="3" a="1"/>
  <c r="AA140" i="3" s="1"/>
  <c r="AO107" i="3" a="1"/>
  <c r="AO107" i="3" s="1"/>
  <c r="AO127" i="3" a="1"/>
  <c r="AO127" i="3" s="1"/>
  <c r="Y140" i="3" a="1"/>
  <c r="Y140" i="3" s="1"/>
  <c r="AN140" i="3" a="1"/>
  <c r="AN140" i="3" s="1"/>
  <c r="V140" i="3" a="1"/>
  <c r="V140" i="3" s="1"/>
  <c r="AO110" i="3" a="1"/>
  <c r="AO110" i="3" s="1"/>
  <c r="AO131" i="3" a="1"/>
  <c r="AO131" i="3" s="1"/>
  <c r="AO145" i="3" a="1"/>
  <c r="AO145" i="3" s="1"/>
  <c r="D140" i="3" a="1"/>
  <c r="D140" i="3" s="1"/>
  <c r="AO103" i="3" a="1"/>
  <c r="AO103" i="3" s="1"/>
  <c r="AO104" i="3" a="1"/>
  <c r="AO104" i="3" s="1"/>
  <c r="AO125" i="3" a="1"/>
  <c r="AO125" i="3" s="1"/>
  <c r="AO148" i="3" a="1"/>
  <c r="AO148" i="3" s="1"/>
  <c r="AO146" i="3" a="1"/>
  <c r="AO146" i="3" s="1"/>
  <c r="AG140" i="3" a="1"/>
  <c r="AG140" i="3" s="1"/>
  <c r="AO113" i="3" a="1"/>
  <c r="AO113" i="3" s="1"/>
  <c r="AO136" i="3" a="1"/>
  <c r="AO136" i="3" s="1"/>
  <c r="AO159" i="3" a="1"/>
  <c r="AO159" i="3" s="1"/>
  <c r="AO135" i="3" a="1"/>
  <c r="AO135" i="3" s="1"/>
  <c r="AO172" i="3" a="1"/>
  <c r="AO172" i="3" s="1"/>
  <c r="AH140" i="3" a="1"/>
  <c r="AH140" i="3" s="1"/>
  <c r="AO130" i="3" a="1"/>
  <c r="AO130" i="3" s="1"/>
  <c r="AO121" i="3" a="1"/>
  <c r="AO121" i="3" s="1"/>
  <c r="AO154" i="3" a="1"/>
  <c r="AO154" i="3" s="1"/>
  <c r="AO126" i="3" a="1"/>
  <c r="AO126" i="3" s="1"/>
  <c r="AO164" i="3" a="1"/>
  <c r="AO164" i="3" s="1"/>
  <c r="L140" i="3" a="1"/>
  <c r="L140" i="3" s="1"/>
  <c r="Z140" i="3" a="1"/>
  <c r="Z140" i="3" s="1"/>
  <c r="F140" i="3" a="1"/>
  <c r="F140" i="3" s="1"/>
  <c r="AF140" i="3" a="1"/>
  <c r="AF140" i="3" s="1"/>
  <c r="AC140" i="3" a="1"/>
  <c r="AC140" i="3" s="1"/>
  <c r="AO129" i="3" a="1"/>
  <c r="AO129" i="3" s="1"/>
  <c r="AO119" i="3" a="1"/>
  <c r="AO119" i="3" s="1"/>
  <c r="AO109" i="3" a="1"/>
  <c r="AO109" i="3" s="1"/>
  <c r="AO163" i="3" a="1"/>
  <c r="AO163" i="3" s="1"/>
  <c r="AO140" i="3" a="1"/>
  <c r="AO140" i="3" s="1"/>
  <c r="AO165" i="3" a="1"/>
  <c r="AO165" i="3" s="1"/>
  <c r="AO143" i="3" a="1"/>
  <c r="AO143" i="3" s="1"/>
  <c r="AO123" i="3" a="1"/>
  <c r="AO123" i="3" s="1"/>
  <c r="AO134" i="3" a="1"/>
  <c r="AO134" i="3" s="1"/>
  <c r="AO156" i="3" a="1"/>
  <c r="AO156" i="3" s="1"/>
  <c r="AO137" i="3" a="1"/>
  <c r="AO137" i="3" s="1"/>
  <c r="AO167" i="3" a="1"/>
  <c r="AO167" i="3" s="1"/>
  <c r="AT164" i="3" a="1"/>
  <c r="AT164" i="3" s="1"/>
  <c r="AA165" i="3" a="1"/>
  <c r="AA165" i="3" s="1"/>
  <c r="BH152" i="3" a="1"/>
  <c r="BH152" i="3" s="1"/>
  <c r="BH134" i="3" a="1"/>
  <c r="BH134" i="3" s="1"/>
  <c r="BH155" i="3" a="1"/>
  <c r="BH155" i="3" s="1"/>
  <c r="BH123" i="3" a="1"/>
  <c r="BH123" i="3" s="1"/>
  <c r="W159" i="3" a="1"/>
  <c r="W159" i="3" s="1"/>
  <c r="BH139" i="3" a="1"/>
  <c r="BH139" i="3" s="1"/>
  <c r="BH147" i="3" a="1"/>
  <c r="BH147" i="3" s="1"/>
  <c r="BH136" i="3" a="1"/>
  <c r="BH136" i="3" s="1"/>
  <c r="AI159" i="3" a="1"/>
  <c r="AI159" i="3" s="1"/>
  <c r="BE159" i="3" a="1"/>
  <c r="BE159" i="3" s="1"/>
  <c r="S159" i="3" a="1"/>
  <c r="S159" i="3" s="1"/>
  <c r="BT159" i="3" a="1"/>
  <c r="BT159" i="3" s="1"/>
  <c r="AX159" i="3" a="1"/>
  <c r="AX159" i="3" s="1"/>
  <c r="P159" i="3" a="1"/>
  <c r="P159" i="3" s="1"/>
  <c r="L159" i="3" a="1"/>
  <c r="L159" i="3" s="1"/>
  <c r="AB159" i="3" a="1"/>
  <c r="AB159" i="3" s="1"/>
  <c r="M159" i="3" a="1"/>
  <c r="M159" i="3" s="1"/>
  <c r="BD159" i="3" a="1"/>
  <c r="BD159" i="3" s="1"/>
  <c r="BM159" i="3" a="1"/>
  <c r="BM159" i="3" s="1"/>
  <c r="AF159" i="3" a="1"/>
  <c r="AF159" i="3" s="1"/>
  <c r="AU159" i="3" a="1"/>
  <c r="AU159" i="3" s="1"/>
  <c r="D159" i="3" a="1"/>
  <c r="D159" i="3" s="1"/>
  <c r="Q159" i="3" a="1"/>
  <c r="Q159" i="3" s="1"/>
  <c r="C159" i="3" a="1"/>
  <c r="C159" i="3" s="1"/>
  <c r="G159" i="3" a="1"/>
  <c r="G159" i="3" s="1"/>
  <c r="AN159" i="3" a="1"/>
  <c r="AN159" i="3" s="1"/>
  <c r="BI159" i="3" a="1"/>
  <c r="BI159" i="3" s="1"/>
  <c r="X159" i="3" a="1"/>
  <c r="X159" i="3" s="1"/>
  <c r="AG159" i="3" a="1"/>
  <c r="AG159" i="3" s="1"/>
  <c r="BQ152" i="3" a="1"/>
  <c r="BQ152" i="3" s="1"/>
  <c r="BQ145" i="3" a="1"/>
  <c r="BQ145" i="3" s="1"/>
  <c r="BQ158" i="3" a="1"/>
  <c r="BQ158" i="3" s="1"/>
  <c r="BQ171" i="3" a="1"/>
  <c r="BQ171" i="3" s="1"/>
  <c r="BQ146" i="3" a="1"/>
  <c r="BQ146" i="3" s="1"/>
  <c r="BQ144" i="3" a="1"/>
  <c r="BQ144" i="3" s="1"/>
  <c r="BQ125" i="3" a="1"/>
  <c r="BQ125" i="3" s="1"/>
  <c r="W168" i="3" a="1"/>
  <c r="W168" i="3" s="1"/>
  <c r="BQ169" i="3" a="1"/>
  <c r="BQ169" i="3" s="1"/>
  <c r="BQ110" i="3" a="1"/>
  <c r="BQ110" i="3" s="1"/>
  <c r="BQ136" i="3" a="1"/>
  <c r="BQ136" i="3" s="1"/>
  <c r="BQ165" i="3" a="1"/>
  <c r="BQ165" i="3" s="1"/>
  <c r="BQ129" i="3" a="1"/>
  <c r="BQ129" i="3" s="1"/>
  <c r="BQ143" i="3" a="1"/>
  <c r="BQ143" i="3" s="1"/>
  <c r="BE168" i="3" a="1"/>
  <c r="BE168" i="3" s="1"/>
  <c r="AX168" i="3" a="1"/>
  <c r="AX168" i="3" s="1"/>
  <c r="P168" i="3" a="1"/>
  <c r="P168" i="3" s="1"/>
  <c r="BT168" i="3" a="1"/>
  <c r="BT168" i="3" s="1"/>
  <c r="AI168" i="3" a="1"/>
  <c r="AI168" i="3" s="1"/>
  <c r="E168" i="3" a="1"/>
  <c r="E168" i="3" s="1"/>
  <c r="J168" i="3" a="1"/>
  <c r="J168" i="3" s="1"/>
  <c r="AU168" i="3" a="1"/>
  <c r="AU168" i="3" s="1"/>
  <c r="L168" i="3" a="1"/>
  <c r="L168" i="3" s="1"/>
  <c r="BM168" i="3" a="1"/>
  <c r="BM168" i="3" s="1"/>
  <c r="AD168" i="3" a="1"/>
  <c r="AD168" i="3" s="1"/>
  <c r="AS168" i="3" a="1"/>
  <c r="AS168" i="3" s="1"/>
  <c r="Q168" i="3" a="1"/>
  <c r="Q168" i="3" s="1"/>
  <c r="AB168" i="3" a="1"/>
  <c r="AB168" i="3" s="1"/>
  <c r="AG168" i="3" a="1"/>
  <c r="AG168" i="3" s="1"/>
  <c r="AC168" i="3" a="1"/>
  <c r="AC168" i="3" s="1"/>
  <c r="G168" i="3" a="1"/>
  <c r="G168" i="3" s="1"/>
  <c r="AN168" i="3" a="1"/>
  <c r="AN168" i="3" s="1"/>
  <c r="K168" i="3" a="1"/>
  <c r="K168" i="3" s="1"/>
  <c r="M168" i="3" a="1"/>
  <c r="M168" i="3" s="1"/>
  <c r="V168" i="3" a="1"/>
  <c r="V168" i="3" s="1"/>
  <c r="BP166" i="3" a="1"/>
  <c r="BP166" i="3" s="1"/>
  <c r="BP134" i="3" a="1"/>
  <c r="BP134" i="3" s="1"/>
  <c r="BP133" i="3" a="1"/>
  <c r="BP133" i="3" s="1"/>
  <c r="BP106" i="3" a="1"/>
  <c r="BP106" i="3" s="1"/>
  <c r="BP130" i="3" a="1"/>
  <c r="BP130" i="3" s="1"/>
  <c r="AP152" i="3" a="1"/>
  <c r="AP152" i="3" s="1"/>
  <c r="AP160" i="3" a="1"/>
  <c r="AP160" i="3" s="1"/>
  <c r="AP110" i="3" a="1"/>
  <c r="AP110" i="3" s="1"/>
  <c r="AP138" i="3" a="1"/>
  <c r="AP138" i="3" s="1"/>
  <c r="AP147" i="3" a="1"/>
  <c r="AP147" i="3" s="1"/>
  <c r="BN168" i="3" a="1"/>
  <c r="BN168" i="3" s="1"/>
  <c r="AL159" i="3" a="1"/>
  <c r="AL159" i="3" s="1"/>
  <c r="AL165" i="3" a="1"/>
  <c r="AL165" i="3" s="1"/>
  <c r="AQ137" i="3" a="1"/>
  <c r="AQ137" i="3" s="1"/>
  <c r="AQ141" i="3" a="1"/>
  <c r="AQ141" i="3" s="1"/>
  <c r="AW116" i="3" a="1"/>
  <c r="AW116" i="3" s="1"/>
  <c r="W148" i="3" a="1"/>
  <c r="W148" i="3" s="1"/>
  <c r="AW158" i="3" a="1"/>
  <c r="AW158" i="3" s="1"/>
  <c r="AW163" i="3" a="1"/>
  <c r="AW163" i="3" s="1"/>
  <c r="AW170" i="3" a="1"/>
  <c r="AW170" i="3" s="1"/>
  <c r="AW165" i="3" a="1"/>
  <c r="AW165" i="3" s="1"/>
  <c r="AW173" i="3" a="1"/>
  <c r="AW173" i="3" s="1"/>
  <c r="AW152" i="3" a="1"/>
  <c r="AW152" i="3" s="1"/>
  <c r="BU148" i="3" a="1"/>
  <c r="BU148" i="3" s="1"/>
  <c r="S148" i="3" a="1"/>
  <c r="S148" i="3" s="1"/>
  <c r="AI148" i="3" a="1"/>
  <c r="AI148" i="3" s="1"/>
  <c r="BA148" i="3" a="1"/>
  <c r="BA148" i="3" s="1"/>
  <c r="BT148" i="3" a="1"/>
  <c r="BT148" i="3" s="1"/>
  <c r="M148" i="3" a="1"/>
  <c r="M148" i="3" s="1"/>
  <c r="AW150" i="3" a="1"/>
  <c r="AW150" i="3" s="1"/>
  <c r="BM148" i="3" a="1"/>
  <c r="BM148" i="3" s="1"/>
  <c r="AA148" i="3" a="1"/>
  <c r="AA148" i="3" s="1"/>
  <c r="AU148" i="3" a="1"/>
  <c r="AU148" i="3" s="1"/>
  <c r="AD148" i="3" a="1"/>
  <c r="AD148" i="3" s="1"/>
  <c r="BE148" i="3" a="1"/>
  <c r="BE148" i="3" s="1"/>
  <c r="BD148" i="3" a="1"/>
  <c r="BD148" i="3" s="1"/>
  <c r="AG148" i="3" a="1"/>
  <c r="AG148" i="3" s="1"/>
  <c r="AW143" i="3" a="1"/>
  <c r="AW143" i="3" s="1"/>
  <c r="AW106" i="3" a="1"/>
  <c r="AW106" i="3" s="1"/>
  <c r="AW119" i="3" a="1"/>
  <c r="AW119" i="3" s="1"/>
  <c r="AW135" i="3" a="1"/>
  <c r="AW135" i="3" s="1"/>
  <c r="AW138" i="3" a="1"/>
  <c r="AW138" i="3" s="1"/>
  <c r="AW131" i="3" a="1"/>
  <c r="AW131" i="3" s="1"/>
  <c r="AW120" i="3" a="1"/>
  <c r="AW120" i="3" s="1"/>
  <c r="AW168" i="3" a="1"/>
  <c r="AW168" i="3" s="1"/>
  <c r="D148" i="3" a="1"/>
  <c r="D148" i="3" s="1"/>
  <c r="V148" i="3" a="1"/>
  <c r="V148" i="3" s="1"/>
  <c r="F148" i="3" a="1"/>
  <c r="F148" i="3" s="1"/>
  <c r="AN148" i="3" a="1"/>
  <c r="AN148" i="3" s="1"/>
  <c r="K148" i="3" a="1"/>
  <c r="K148" i="3" s="1"/>
  <c r="AW114" i="3" a="1"/>
  <c r="AW114" i="3" s="1"/>
  <c r="AW132" i="3" a="1"/>
  <c r="AW132" i="3" s="1"/>
  <c r="AW145" i="3" a="1"/>
  <c r="AW145" i="3" s="1"/>
  <c r="AW104" i="3" a="1"/>
  <c r="AW104" i="3" s="1"/>
  <c r="AW148" i="3" a="1"/>
  <c r="AW148" i="3" s="1"/>
  <c r="AH148" i="3" a="1"/>
  <c r="AH148" i="3" s="1"/>
  <c r="AW102" i="3" a="1"/>
  <c r="AW102" i="3" s="1"/>
  <c r="AW167" i="3" a="1"/>
  <c r="AW167" i="3" s="1"/>
  <c r="AW144" i="3" a="1"/>
  <c r="AW144" i="3" s="1"/>
  <c r="AW134" i="3" a="1"/>
  <c r="AW134" i="3" s="1"/>
  <c r="AT165" i="3" a="1"/>
  <c r="AT165" i="3" s="1"/>
  <c r="AT161" i="3" a="1"/>
  <c r="AT161" i="3" s="1"/>
  <c r="AG151" i="3" a="1"/>
  <c r="AG151" i="3" s="1"/>
  <c r="C157" i="3" a="1"/>
  <c r="C157" i="3" s="1"/>
  <c r="T142" i="3" a="1"/>
  <c r="T142" i="3" s="1"/>
  <c r="AC130" i="3" a="1"/>
  <c r="AC130" i="3" s="1"/>
  <c r="BH128" i="3" a="1"/>
  <c r="BH128" i="3" s="1"/>
  <c r="BH112" i="3" a="1"/>
  <c r="BH112" i="3" s="1"/>
  <c r="BQ142" i="3" a="1"/>
  <c r="BQ142" i="3" s="1"/>
  <c r="BQ167" i="3" a="1"/>
  <c r="BQ167" i="3" s="1"/>
  <c r="BQ104" i="3" a="1"/>
  <c r="BQ104" i="3" s="1"/>
  <c r="R147" i="3" a="1"/>
  <c r="R147" i="3" s="1"/>
  <c r="R173" i="3" a="1"/>
  <c r="R173" i="3" s="1"/>
  <c r="R150" i="3" a="1"/>
  <c r="R150" i="3" s="1"/>
  <c r="R127" i="3" a="1"/>
  <c r="R127" i="3" s="1"/>
  <c r="R137" i="3" a="1"/>
  <c r="R137" i="3" s="1"/>
  <c r="R156" i="3" a="1"/>
  <c r="R156" i="3" s="1"/>
  <c r="R102" i="3" a="1"/>
  <c r="R102" i="3" s="1"/>
  <c r="R154" i="3" a="1"/>
  <c r="R154" i="3" s="1"/>
  <c r="R146" i="3" a="1"/>
  <c r="R146" i="3" s="1"/>
  <c r="R164" i="3" a="1"/>
  <c r="R164" i="3" s="1"/>
  <c r="R158" i="3" a="1"/>
  <c r="R158" i="3" s="1"/>
  <c r="W117" i="3" a="1"/>
  <c r="W117" i="3" s="1"/>
  <c r="BT117" i="3" a="1"/>
  <c r="BT117" i="3" s="1"/>
  <c r="AS117" i="3" a="1"/>
  <c r="AS117" i="3" s="1"/>
  <c r="H117" i="3" a="1"/>
  <c r="H117" i="3" s="1"/>
  <c r="E117" i="3" a="1"/>
  <c r="E117" i="3" s="1"/>
  <c r="R155" i="3" a="1"/>
  <c r="R155" i="3" s="1"/>
  <c r="AX117" i="3" a="1"/>
  <c r="AX117" i="3" s="1"/>
  <c r="S117" i="3" a="1"/>
  <c r="S117" i="3" s="1"/>
  <c r="AB117" i="3" a="1"/>
  <c r="AB117" i="3" s="1"/>
  <c r="L117" i="3" a="1"/>
  <c r="L117" i="3" s="1"/>
  <c r="AD117" i="3" a="1"/>
  <c r="AD117" i="3" s="1"/>
  <c r="BI117" i="3" a="1"/>
  <c r="BI117" i="3" s="1"/>
  <c r="J117" i="3" a="1"/>
  <c r="J117" i="3" s="1"/>
  <c r="BM117" i="3" a="1"/>
  <c r="BM117" i="3" s="1"/>
  <c r="BD117" i="3" a="1"/>
  <c r="BD117" i="3" s="1"/>
  <c r="M117" i="3" a="1"/>
  <c r="M117" i="3" s="1"/>
  <c r="AU117" i="3" a="1"/>
  <c r="AU117" i="3" s="1"/>
  <c r="AI117" i="3" a="1"/>
  <c r="AI117" i="3" s="1"/>
  <c r="C117" i="3" a="1"/>
  <c r="C117" i="3" s="1"/>
  <c r="F117" i="3" a="1"/>
  <c r="F117" i="3" s="1"/>
  <c r="AG117" i="3" a="1"/>
  <c r="AG117" i="3" s="1"/>
  <c r="AC117" i="3" a="1"/>
  <c r="AC117" i="3" s="1"/>
  <c r="D117" i="3" a="1"/>
  <c r="D117" i="3" s="1"/>
  <c r="AM117" i="3" a="1"/>
  <c r="AM117" i="3" s="1"/>
  <c r="G117" i="3" a="1"/>
  <c r="G117" i="3" s="1"/>
  <c r="AN117" i="3" a="1"/>
  <c r="AN117" i="3" s="1"/>
  <c r="V117" i="3" a="1"/>
  <c r="V117" i="3" s="1"/>
  <c r="AA117" i="3" a="1"/>
  <c r="AA117" i="3" s="1"/>
  <c r="BP153" i="3" a="1"/>
  <c r="BP153" i="3" s="1"/>
  <c r="BP141" i="3" a="1"/>
  <c r="BP141" i="3" s="1"/>
  <c r="BP105" i="3" a="1"/>
  <c r="BP105" i="3" s="1"/>
  <c r="BP108" i="3" a="1"/>
  <c r="BP108" i="3" s="1"/>
  <c r="BP171" i="3" a="1"/>
  <c r="BP171" i="3" s="1"/>
  <c r="AP171" i="3" a="1"/>
  <c r="AP171" i="3" s="1"/>
  <c r="AP143" i="3" a="1"/>
  <c r="AP143" i="3" s="1"/>
  <c r="AP168" i="3" a="1"/>
  <c r="AP168" i="3" s="1"/>
  <c r="AP123" i="3" a="1"/>
  <c r="AP123" i="3" s="1"/>
  <c r="AP134" i="3" a="1"/>
  <c r="AP134" i="3" s="1"/>
  <c r="AP166" i="3" a="1"/>
  <c r="AP166" i="3" s="1"/>
  <c r="BN110" i="3" a="1"/>
  <c r="BN110" i="3" s="1"/>
  <c r="BN143" i="3" a="1"/>
  <c r="BN143" i="3" s="1"/>
  <c r="BN166" i="3" a="1"/>
  <c r="BN166" i="3" s="1"/>
  <c r="BN121" i="3" a="1"/>
  <c r="BN121" i="3" s="1"/>
  <c r="BN117" i="3" a="1"/>
  <c r="BN117" i="3" s="1"/>
  <c r="BN149" i="3" a="1"/>
  <c r="BN149" i="3" s="1"/>
  <c r="AL153" i="3" a="1"/>
  <c r="AL153" i="3" s="1"/>
  <c r="AE155" i="3" a="1"/>
  <c r="AE155" i="3" s="1"/>
  <c r="AE112" i="3" a="1"/>
  <c r="AE112" i="3" s="1"/>
  <c r="AE160" i="3" a="1"/>
  <c r="AE160" i="3" s="1"/>
  <c r="AE130" i="3" a="1"/>
  <c r="AE130" i="3" s="1"/>
  <c r="AE166" i="3" a="1"/>
  <c r="AE166" i="3" s="1"/>
  <c r="BJ140" i="3" a="1"/>
  <c r="BJ140" i="3" s="1"/>
  <c r="BJ166" i="3" a="1"/>
  <c r="BJ166" i="3" s="1"/>
  <c r="BJ129" i="3" a="1"/>
  <c r="BJ129" i="3" s="1"/>
  <c r="BJ139" i="3" a="1"/>
  <c r="BJ139" i="3" s="1"/>
  <c r="BJ172" i="3" a="1"/>
  <c r="BJ172" i="3" s="1"/>
  <c r="BC153" i="3" a="1"/>
  <c r="BC153" i="3" s="1"/>
  <c r="BC165" i="3" a="1"/>
  <c r="BC165" i="3" s="1"/>
  <c r="AZ122" i="3" a="1"/>
  <c r="AZ122" i="3" s="1"/>
  <c r="AZ161" i="3" a="1"/>
  <c r="AZ161" i="3" s="1"/>
  <c r="AZ110" i="3" a="1"/>
  <c r="AZ110" i="3" s="1"/>
  <c r="AZ135" i="3" a="1"/>
  <c r="AZ135" i="3" s="1"/>
  <c r="AZ147" i="3" a="1"/>
  <c r="AZ147" i="3" s="1"/>
  <c r="AQ108" i="3" a="1"/>
  <c r="AQ108" i="3" s="1"/>
  <c r="AQ135" i="3" a="1"/>
  <c r="AQ135" i="3" s="1"/>
  <c r="AQ116" i="3" a="1"/>
  <c r="AQ116" i="3" s="1"/>
  <c r="AQ112" i="3" a="1"/>
  <c r="AQ112" i="3" s="1"/>
  <c r="AW159" i="3" a="1"/>
  <c r="AW159" i="3" s="1"/>
  <c r="AW118" i="3" a="1"/>
  <c r="AW118" i="3" s="1"/>
  <c r="AW156" i="3" a="1"/>
  <c r="AW156" i="3" s="1"/>
  <c r="AW111" i="3" a="1"/>
  <c r="AW111" i="3" s="1"/>
  <c r="AO112" i="3" a="1"/>
  <c r="AO112" i="3" s="1"/>
  <c r="AO162" i="3" a="1"/>
  <c r="AO162" i="3" s="1"/>
  <c r="AO106" i="3" a="1"/>
  <c r="AO106" i="3" s="1"/>
  <c r="AT142" i="3" a="1"/>
  <c r="AT142" i="3" s="1"/>
  <c r="AT131" i="3" a="1"/>
  <c r="AT131" i="3" s="1"/>
  <c r="AM153" i="3" a="1"/>
  <c r="AM153" i="3" s="1"/>
  <c r="AH159" i="3" a="1"/>
  <c r="AH159" i="3" s="1"/>
  <c r="W119" i="3" a="1"/>
  <c r="W119" i="3" s="1"/>
  <c r="T172" i="3" a="1"/>
  <c r="T172" i="3" s="1"/>
  <c r="T161" i="3" a="1"/>
  <c r="T161" i="3" s="1"/>
  <c r="T170" i="3" a="1"/>
  <c r="T170" i="3" s="1"/>
  <c r="T139" i="3" a="1"/>
  <c r="T139" i="3" s="1"/>
  <c r="T122" i="3" a="1"/>
  <c r="T122" i="3" s="1"/>
  <c r="BT119" i="3" a="1"/>
  <c r="BT119" i="3" s="1"/>
  <c r="T171" i="3" a="1"/>
  <c r="T171" i="3" s="1"/>
  <c r="T162" i="3" a="1"/>
  <c r="T162" i="3" s="1"/>
  <c r="AI119" i="3" a="1"/>
  <c r="AI119" i="3" s="1"/>
  <c r="E119" i="3" a="1"/>
  <c r="E119" i="3" s="1"/>
  <c r="BA119" i="3" a="1"/>
  <c r="BA119" i="3" s="1"/>
  <c r="T169" i="3" a="1"/>
  <c r="T169" i="3" s="1"/>
  <c r="AX119" i="3" a="1"/>
  <c r="AX119" i="3" s="1"/>
  <c r="BU119" i="3" a="1"/>
  <c r="BU119" i="3" s="1"/>
  <c r="T155" i="3" a="1"/>
  <c r="T155" i="3" s="1"/>
  <c r="AA119" i="3" a="1"/>
  <c r="AA119" i="3" s="1"/>
  <c r="J119" i="3" a="1"/>
  <c r="J119" i="3" s="1"/>
  <c r="AB119" i="3" a="1"/>
  <c r="AB119" i="3" s="1"/>
  <c r="BD119" i="3" a="1"/>
  <c r="BD119" i="3" s="1"/>
  <c r="L119" i="3" a="1"/>
  <c r="L119" i="3" s="1"/>
  <c r="AD119" i="3" a="1"/>
  <c r="AD119" i="3" s="1"/>
  <c r="AU119" i="3" a="1"/>
  <c r="AU119" i="3" s="1"/>
  <c r="BI119" i="3" a="1"/>
  <c r="BI119" i="3" s="1"/>
  <c r="M119" i="3" a="1"/>
  <c r="M119" i="3" s="1"/>
  <c r="Y119" i="3" a="1"/>
  <c r="Y119" i="3" s="1"/>
  <c r="T106" i="3" a="1"/>
  <c r="T106" i="3" s="1"/>
  <c r="T132" i="3" a="1"/>
  <c r="T132" i="3" s="1"/>
  <c r="T125" i="3" a="1"/>
  <c r="T125" i="3" s="1"/>
  <c r="T141" i="3" a="1"/>
  <c r="T141" i="3" s="1"/>
  <c r="T129" i="3" a="1"/>
  <c r="T129" i="3" s="1"/>
  <c r="G119" i="3" a="1"/>
  <c r="G119" i="3" s="1"/>
  <c r="T164" i="3" a="1"/>
  <c r="T164" i="3" s="1"/>
  <c r="T123" i="3" a="1"/>
  <c r="T123" i="3" s="1"/>
  <c r="T116" i="3" a="1"/>
  <c r="T116" i="3" s="1"/>
  <c r="T111" i="3" a="1"/>
  <c r="T111" i="3" s="1"/>
  <c r="T124" i="3" a="1"/>
  <c r="T124" i="3" s="1"/>
  <c r="T103" i="3" a="1"/>
  <c r="T103" i="3" s="1"/>
  <c r="C119" i="3" a="1"/>
  <c r="C119" i="3" s="1"/>
  <c r="T165" i="3" a="1"/>
  <c r="T165" i="3" s="1"/>
  <c r="T102" i="3" a="1"/>
  <c r="T102" i="3" s="1"/>
  <c r="T145" i="3" a="1"/>
  <c r="T145" i="3" s="1"/>
  <c r="T117" i="3" a="1"/>
  <c r="T117" i="3" s="1"/>
  <c r="T131" i="3" a="1"/>
  <c r="T131" i="3" s="1"/>
  <c r="T159" i="3" a="1"/>
  <c r="T159" i="3" s="1"/>
  <c r="F119" i="3" a="1"/>
  <c r="F119" i="3" s="1"/>
  <c r="T157" i="3" a="1"/>
  <c r="T157" i="3" s="1"/>
  <c r="T108" i="3" a="1"/>
  <c r="T108" i="3" s="1"/>
  <c r="T130" i="3" a="1"/>
  <c r="T130" i="3" s="1"/>
  <c r="T148" i="3" a="1"/>
  <c r="T148" i="3" s="1"/>
  <c r="T158" i="3" a="1"/>
  <c r="T158" i="3" s="1"/>
  <c r="T160" i="3" a="1"/>
  <c r="T160" i="3" s="1"/>
  <c r="Q119" i="3" a="1"/>
  <c r="Q119" i="3" s="1"/>
  <c r="T138" i="3" a="1"/>
  <c r="T138" i="3" s="1"/>
  <c r="T115" i="3" a="1"/>
  <c r="T115" i="3" s="1"/>
  <c r="T144" i="3" a="1"/>
  <c r="T144" i="3" s="1"/>
  <c r="T135" i="3" a="1"/>
  <c r="T135" i="3" s="1"/>
  <c r="T119" i="3" a="1"/>
  <c r="T119" i="3" s="1"/>
  <c r="T151" i="3" a="1"/>
  <c r="T151" i="3" s="1"/>
  <c r="AN119" i="3" a="1"/>
  <c r="AN119" i="3" s="1"/>
  <c r="D119" i="3" a="1"/>
  <c r="D119" i="3" s="1"/>
  <c r="T109" i="3" a="1"/>
  <c r="T109" i="3" s="1"/>
  <c r="T127" i="3" a="1"/>
  <c r="T127" i="3" s="1"/>
  <c r="T104" i="3" a="1"/>
  <c r="T104" i="3" s="1"/>
  <c r="T167" i="3" a="1"/>
  <c r="T167" i="3" s="1"/>
  <c r="T147" i="3" a="1"/>
  <c r="T147" i="3" s="1"/>
  <c r="AH119" i="3" a="1"/>
  <c r="AH119" i="3" s="1"/>
  <c r="X119" i="3" a="1"/>
  <c r="X119" i="3" s="1"/>
  <c r="T128" i="3" a="1"/>
  <c r="T128" i="3" s="1"/>
  <c r="T118" i="3" a="1"/>
  <c r="T118" i="3" s="1"/>
  <c r="T105" i="3" a="1"/>
  <c r="T105" i="3" s="1"/>
  <c r="T152" i="3" a="1"/>
  <c r="T152" i="3" s="1"/>
  <c r="T136" i="3" a="1"/>
  <c r="T136" i="3" s="1"/>
  <c r="T166" i="3" a="1"/>
  <c r="T166" i="3" s="1"/>
  <c r="T126" i="3" a="1"/>
  <c r="T126" i="3" s="1"/>
  <c r="T110" i="3" a="1"/>
  <c r="T110" i="3" s="1"/>
  <c r="T146" i="3" a="1"/>
  <c r="T146" i="3" s="1"/>
  <c r="T140" i="3" a="1"/>
  <c r="T140" i="3" s="1"/>
  <c r="T149" i="3" a="1"/>
  <c r="T149" i="3" s="1"/>
  <c r="T120" i="3" a="1"/>
  <c r="T120" i="3" s="1"/>
  <c r="T114" i="3" a="1"/>
  <c r="T114" i="3" s="1"/>
  <c r="T143" i="3" a="1"/>
  <c r="T143" i="3" s="1"/>
  <c r="T121" i="3" a="1"/>
  <c r="T121" i="3" s="1"/>
  <c r="T133" i="3" a="1"/>
  <c r="T133" i="3" s="1"/>
  <c r="T112" i="3" a="1"/>
  <c r="T112" i="3" s="1"/>
  <c r="T153" i="3" a="1"/>
  <c r="T153" i="3" s="1"/>
  <c r="T107" i="3" a="1"/>
  <c r="T107" i="3" s="1"/>
  <c r="T168" i="3" a="1"/>
  <c r="T168" i="3" s="1"/>
  <c r="T113" i="3" a="1"/>
  <c r="T113" i="3" s="1"/>
  <c r="T137" i="3" a="1"/>
  <c r="T137" i="3" s="1"/>
  <c r="T134" i="3" a="1"/>
  <c r="T134" i="3" s="1"/>
  <c r="T173" i="3" a="1"/>
  <c r="T173" i="3" s="1"/>
  <c r="T156" i="3" a="1"/>
  <c r="T156" i="3" s="1"/>
  <c r="BQ124" i="3" a="1"/>
  <c r="BQ124" i="3" s="1"/>
  <c r="BQ117" i="3" a="1"/>
  <c r="BQ117" i="3" s="1"/>
  <c r="R168" i="3" a="1"/>
  <c r="R168" i="3" s="1"/>
  <c r="BP154" i="3" a="1"/>
  <c r="BP154" i="3" s="1"/>
  <c r="BP165" i="3" a="1"/>
  <c r="BP165" i="3" s="1"/>
  <c r="BP109" i="3" a="1"/>
  <c r="BP109" i="3" s="1"/>
  <c r="BP159" i="3" a="1"/>
  <c r="BP159" i="3" s="1"/>
  <c r="BP119" i="3" a="1"/>
  <c r="BP119" i="3" s="1"/>
  <c r="BP170" i="3" a="1"/>
  <c r="BP170" i="3" s="1"/>
  <c r="AP148" i="3" a="1"/>
  <c r="AP148" i="3" s="1"/>
  <c r="AP141" i="3" a="1"/>
  <c r="AP141" i="3" s="1"/>
  <c r="AP118" i="3" a="1"/>
  <c r="AP118" i="3" s="1"/>
  <c r="AP108" i="3" a="1"/>
  <c r="AP108" i="3" s="1"/>
  <c r="AP116" i="3" a="1"/>
  <c r="AP116" i="3" s="1"/>
  <c r="AP129" i="3" a="1"/>
  <c r="AP129" i="3" s="1"/>
  <c r="BN164" i="3" a="1"/>
  <c r="BN164" i="3" s="1"/>
  <c r="BN141" i="3" a="1"/>
  <c r="BN141" i="3" s="1"/>
  <c r="BN161" i="3" a="1"/>
  <c r="BN161" i="3" s="1"/>
  <c r="BN142" i="3" a="1"/>
  <c r="BN142" i="3" s="1"/>
  <c r="BN103" i="3" a="1"/>
  <c r="BN103" i="3" s="1"/>
  <c r="BN132" i="3" a="1"/>
  <c r="BN132" i="3" s="1"/>
  <c r="O141" i="3" a="1"/>
  <c r="O141" i="3" s="1"/>
  <c r="AE167" i="3" a="1"/>
  <c r="AE167" i="3" s="1"/>
  <c r="AE143" i="3" a="1"/>
  <c r="AE143" i="3" s="1"/>
  <c r="AE115" i="3" a="1"/>
  <c r="AE115" i="3" s="1"/>
  <c r="AE123" i="3" a="1"/>
  <c r="AE123" i="3" s="1"/>
  <c r="AE136" i="3" a="1"/>
  <c r="AE136" i="3" s="1"/>
  <c r="BJ167" i="3" a="1"/>
  <c r="BJ167" i="3" s="1"/>
  <c r="BJ116" i="3" a="1"/>
  <c r="BJ116" i="3" s="1"/>
  <c r="BJ141" i="3" a="1"/>
  <c r="BJ141" i="3" s="1"/>
  <c r="BJ118" i="3" a="1"/>
  <c r="BJ118" i="3" s="1"/>
  <c r="AZ164" i="3" a="1"/>
  <c r="AZ164" i="3" s="1"/>
  <c r="AZ134" i="3" a="1"/>
  <c r="AZ134" i="3" s="1"/>
  <c r="AZ142" i="3" a="1"/>
  <c r="AZ142" i="3" s="1"/>
  <c r="AZ139" i="3" a="1"/>
  <c r="AZ139" i="3" s="1"/>
  <c r="AZ148" i="3" a="1"/>
  <c r="AZ148" i="3" s="1"/>
  <c r="AQ147" i="3" a="1"/>
  <c r="AQ147" i="3" s="1"/>
  <c r="AQ138" i="3" a="1"/>
  <c r="AQ138" i="3" s="1"/>
  <c r="AQ130" i="3" a="1"/>
  <c r="AQ130" i="3" s="1"/>
  <c r="AW172" i="3" a="1"/>
  <c r="AW172" i="3" s="1"/>
  <c r="AW155" i="3" a="1"/>
  <c r="AW155" i="3" s="1"/>
  <c r="AW171" i="3" a="1"/>
  <c r="AW171" i="3" s="1"/>
  <c r="AW124" i="3" a="1"/>
  <c r="AW124" i="3" s="1"/>
  <c r="AO128" i="3" a="1"/>
  <c r="AO128" i="3" s="1"/>
  <c r="AO150" i="3" a="1"/>
  <c r="AO150" i="3" s="1"/>
  <c r="AO151" i="3" a="1"/>
  <c r="AO151" i="3" s="1"/>
  <c r="AT149" i="3" a="1"/>
  <c r="AT149" i="3" s="1"/>
  <c r="AT125" i="3" a="1"/>
  <c r="AT125" i="3" s="1"/>
  <c r="V142" i="3" a="1"/>
  <c r="V142" i="3" s="1"/>
  <c r="AE153" i="3" a="1"/>
  <c r="AE153" i="3" s="1"/>
  <c r="AE142" i="3" a="1"/>
  <c r="AE142" i="3" s="1"/>
  <c r="AE163" i="3" a="1"/>
  <c r="AE163" i="3" s="1"/>
  <c r="AE145" i="3" a="1"/>
  <c r="AE145" i="3" s="1"/>
  <c r="W130" i="3" a="1"/>
  <c r="W130" i="3" s="1"/>
  <c r="AE152" i="3" a="1"/>
  <c r="AE152" i="3" s="1"/>
  <c r="AE141" i="3" a="1"/>
  <c r="AE141" i="3" s="1"/>
  <c r="AE124" i="3" a="1"/>
  <c r="AE124" i="3" s="1"/>
  <c r="AE125" i="3" a="1"/>
  <c r="AE125" i="3" s="1"/>
  <c r="AE161" i="3" a="1"/>
  <c r="AE161" i="3" s="1"/>
  <c r="AE164" i="3" a="1"/>
  <c r="AE164" i="3" s="1"/>
  <c r="AE157" i="3" a="1"/>
  <c r="AE157" i="3" s="1"/>
  <c r="BU130" i="3" a="1"/>
  <c r="BU130" i="3" s="1"/>
  <c r="AX130" i="3" a="1"/>
  <c r="AX130" i="3" s="1"/>
  <c r="P130" i="3" a="1"/>
  <c r="P130" i="3" s="1"/>
  <c r="S130" i="3" a="1"/>
  <c r="S130" i="3" s="1"/>
  <c r="AI130" i="3" a="1"/>
  <c r="AI130" i="3" s="1"/>
  <c r="BT130" i="3" a="1"/>
  <c r="BT130" i="3" s="1"/>
  <c r="M130" i="3" a="1"/>
  <c r="M130" i="3" s="1"/>
  <c r="E130" i="3" a="1"/>
  <c r="E130" i="3" s="1"/>
  <c r="AD130" i="3" a="1"/>
  <c r="AD130" i="3" s="1"/>
  <c r="BD130" i="3" a="1"/>
  <c r="BD130" i="3" s="1"/>
  <c r="AB130" i="3" a="1"/>
  <c r="AB130" i="3" s="1"/>
  <c r="BM130" i="3" a="1"/>
  <c r="BM130" i="3" s="1"/>
  <c r="AU130" i="3" a="1"/>
  <c r="AU130" i="3" s="1"/>
  <c r="Q130" i="3" a="1"/>
  <c r="Q130" i="3" s="1"/>
  <c r="AH130" i="3" a="1"/>
  <c r="AH130" i="3" s="1"/>
  <c r="D130" i="3" a="1"/>
  <c r="D130" i="3" s="1"/>
  <c r="Z130" i="3" a="1"/>
  <c r="Z130" i="3" s="1"/>
  <c r="AG130" i="3" a="1"/>
  <c r="AG130" i="3" s="1"/>
  <c r="C130" i="3" a="1"/>
  <c r="C130" i="3" s="1"/>
  <c r="K130" i="3" a="1"/>
  <c r="K130" i="3" s="1"/>
  <c r="AE106" i="3" a="1"/>
  <c r="AE106" i="3" s="1"/>
  <c r="AE127" i="3" a="1"/>
  <c r="AE127" i="3" s="1"/>
  <c r="AE131" i="3" a="1"/>
  <c r="AE131" i="3" s="1"/>
  <c r="AE104" i="3" a="1"/>
  <c r="AE104" i="3" s="1"/>
  <c r="AE165" i="3" a="1"/>
  <c r="AE165" i="3" s="1"/>
  <c r="AN130" i="3" a="1"/>
  <c r="AN130" i="3" s="1"/>
  <c r="BJ108" i="3" a="1"/>
  <c r="BJ108" i="3" s="1"/>
  <c r="BJ163" i="3" a="1"/>
  <c r="BJ163" i="3" s="1"/>
  <c r="BJ124" i="3" a="1"/>
  <c r="BJ124" i="3" s="1"/>
  <c r="BJ164" i="3" a="1"/>
  <c r="BJ164" i="3" s="1"/>
  <c r="BJ165" i="3" a="1"/>
  <c r="BJ165" i="3" s="1"/>
  <c r="BJ155" i="3" a="1"/>
  <c r="BJ155" i="3" s="1"/>
  <c r="BJ110" i="3" a="1"/>
  <c r="BJ110" i="3" s="1"/>
  <c r="BJ123" i="3" a="1"/>
  <c r="BJ123" i="3" s="1"/>
  <c r="BJ145" i="3" a="1"/>
  <c r="BJ145" i="3" s="1"/>
  <c r="W161" i="3" a="1"/>
  <c r="W161" i="3" s="1"/>
  <c r="BU161" i="3" a="1"/>
  <c r="BU161" i="3" s="1"/>
  <c r="P161" i="3" a="1"/>
  <c r="P161" i="3" s="1"/>
  <c r="BT161" i="3" a="1"/>
  <c r="BT161" i="3" s="1"/>
  <c r="AI161" i="3" a="1"/>
  <c r="AI161" i="3" s="1"/>
  <c r="AX161" i="3" a="1"/>
  <c r="AX161" i="3" s="1"/>
  <c r="BM161" i="3" a="1"/>
  <c r="BM161" i="3" s="1"/>
  <c r="AU161" i="3" a="1"/>
  <c r="AU161" i="3" s="1"/>
  <c r="BE161" i="3" a="1"/>
  <c r="BE161" i="3" s="1"/>
  <c r="BJ171" i="3" a="1"/>
  <c r="BJ171" i="3" s="1"/>
  <c r="M161" i="3" a="1"/>
  <c r="M161" i="3" s="1"/>
  <c r="AG161" i="3" a="1"/>
  <c r="AG161" i="3" s="1"/>
  <c r="AH161" i="3" a="1"/>
  <c r="AH161" i="3" s="1"/>
  <c r="D161" i="3" a="1"/>
  <c r="D161" i="3" s="1"/>
  <c r="AN161" i="3" a="1"/>
  <c r="AN161" i="3" s="1"/>
  <c r="F161" i="3" a="1"/>
  <c r="F161" i="3" s="1"/>
  <c r="C161" i="3" a="1"/>
  <c r="C161" i="3" s="1"/>
  <c r="K161" i="3" a="1"/>
  <c r="K161" i="3" s="1"/>
  <c r="V161" i="3" a="1"/>
  <c r="V161" i="3" s="1"/>
  <c r="Z161" i="3" a="1"/>
  <c r="Z161" i="3" s="1"/>
  <c r="BJ156" i="3" a="1"/>
  <c r="BJ156" i="3" s="1"/>
  <c r="BJ111" i="3" a="1"/>
  <c r="BJ111" i="3" s="1"/>
  <c r="BJ137" i="3" a="1"/>
  <c r="BJ137" i="3" s="1"/>
  <c r="BJ160" i="3" a="1"/>
  <c r="BJ160" i="3" s="1"/>
  <c r="BJ143" i="3" a="1"/>
  <c r="BJ143" i="3" s="1"/>
  <c r="BJ142" i="3" a="1"/>
  <c r="BJ142" i="3" s="1"/>
  <c r="AZ103" i="3" a="1"/>
  <c r="AZ103" i="3" s="1"/>
  <c r="AZ131" i="3" a="1"/>
  <c r="AZ131" i="3" s="1"/>
  <c r="AW166" i="3" a="1"/>
  <c r="AW166" i="3" s="1"/>
  <c r="AW123" i="3" a="1"/>
  <c r="AW123" i="3" s="1"/>
  <c r="AW142" i="3" a="1"/>
  <c r="AW142" i="3" s="1"/>
  <c r="AW121" i="3" a="1"/>
  <c r="AW121" i="3" s="1"/>
  <c r="AO132" i="3" a="1"/>
  <c r="AO132" i="3" s="1"/>
  <c r="AT140" i="3" a="1"/>
  <c r="AT140" i="3" s="1"/>
  <c r="AT103" i="3" a="1"/>
  <c r="AT103" i="3" s="1"/>
  <c r="Y147" i="3" a="1"/>
  <c r="Y147" i="3" s="1"/>
  <c r="AZ168" i="3" a="1"/>
  <c r="AZ168" i="3" s="1"/>
  <c r="AZ111" i="3" a="1"/>
  <c r="AZ111" i="3" s="1"/>
  <c r="AQ148" i="3" a="1"/>
  <c r="AQ148" i="3" s="1"/>
  <c r="AW149" i="3" a="1"/>
  <c r="AW149" i="3" s="1"/>
  <c r="AW160" i="3" a="1"/>
  <c r="AW160" i="3" s="1"/>
  <c r="AW108" i="3" a="1"/>
  <c r="AW108" i="3" s="1"/>
  <c r="AW113" i="3" a="1"/>
  <c r="AW113" i="3" s="1"/>
  <c r="AO114" i="3" a="1"/>
  <c r="AO114" i="3" s="1"/>
  <c r="AO116" i="3" a="1"/>
  <c r="AO116" i="3" s="1"/>
  <c r="AT172" i="3" a="1"/>
  <c r="AT172" i="3" s="1"/>
  <c r="AT114" i="3" a="1"/>
  <c r="AT114" i="3" s="1"/>
  <c r="AM151" i="3" a="1"/>
  <c r="AM151" i="3" s="1"/>
  <c r="BH156" i="3" a="1"/>
  <c r="BH156" i="3" s="1"/>
  <c r="BH102" i="3" a="1"/>
  <c r="BH102" i="3" s="1"/>
  <c r="BH121" i="3" a="1"/>
  <c r="BH121" i="3" s="1"/>
  <c r="BQ154" i="3" a="1"/>
  <c r="BQ154" i="3" s="1"/>
  <c r="BQ164" i="3" a="1"/>
  <c r="BQ164" i="3" s="1"/>
  <c r="BQ150" i="3" a="1"/>
  <c r="BQ150" i="3" s="1"/>
  <c r="BQ106" i="3" a="1"/>
  <c r="BQ106" i="3" s="1"/>
  <c r="R131" i="3" a="1"/>
  <c r="R131" i="3" s="1"/>
  <c r="BP137" i="3" a="1"/>
  <c r="BP137" i="3" s="1"/>
  <c r="BP143" i="3" a="1"/>
  <c r="BP143" i="3" s="1"/>
  <c r="BP172" i="3" a="1"/>
  <c r="BP172" i="3" s="1"/>
  <c r="BP124" i="3" a="1"/>
  <c r="BP124" i="3" s="1"/>
  <c r="BP110" i="3" a="1"/>
  <c r="BP110" i="3" s="1"/>
  <c r="AP121" i="3" a="1"/>
  <c r="AP121" i="3" s="1"/>
  <c r="AP105" i="3" a="1"/>
  <c r="AP105" i="3" s="1"/>
  <c r="AP139" i="3" a="1"/>
  <c r="AP139" i="3" s="1"/>
  <c r="AP150" i="3" a="1"/>
  <c r="AP150" i="3" s="1"/>
  <c r="AP102" i="3" a="1"/>
  <c r="AP102" i="3" s="1"/>
  <c r="AP119" i="3" a="1"/>
  <c r="AP119" i="3" s="1"/>
  <c r="BN128" i="3" a="1"/>
  <c r="BN128" i="3" s="1"/>
  <c r="BN122" i="3" a="1"/>
  <c r="BN122" i="3" s="1"/>
  <c r="BN113" i="3" a="1"/>
  <c r="BN113" i="3" s="1"/>
  <c r="BN123" i="3" a="1"/>
  <c r="BN123" i="3" s="1"/>
  <c r="BN114" i="3" a="1"/>
  <c r="BN114" i="3" s="1"/>
  <c r="AL172" i="3" a="1"/>
  <c r="AL172" i="3" s="1"/>
  <c r="AL122" i="3" a="1"/>
  <c r="AL122" i="3" s="1"/>
  <c r="AL130" i="3" a="1"/>
  <c r="AL130" i="3" s="1"/>
  <c r="AL169" i="3" a="1"/>
  <c r="AL169" i="3" s="1"/>
  <c r="AL150" i="3" a="1"/>
  <c r="AL150" i="3" s="1"/>
  <c r="AL170" i="3" a="1"/>
  <c r="AL170" i="3" s="1"/>
  <c r="W137" i="3" a="1"/>
  <c r="W137" i="3" s="1"/>
  <c r="AL149" i="3" a="1"/>
  <c r="AL149" i="3" s="1"/>
  <c r="AL119" i="3" a="1"/>
  <c r="AL119" i="3" s="1"/>
  <c r="AL147" i="3" a="1"/>
  <c r="AL147" i="3" s="1"/>
  <c r="BT137" i="3" a="1"/>
  <c r="BT137" i="3" s="1"/>
  <c r="H137" i="3" a="1"/>
  <c r="H137" i="3" s="1"/>
  <c r="E137" i="3" a="1"/>
  <c r="E137" i="3" s="1"/>
  <c r="P137" i="3" a="1"/>
  <c r="P137" i="3" s="1"/>
  <c r="AX137" i="3" a="1"/>
  <c r="AX137" i="3" s="1"/>
  <c r="AD137" i="3" a="1"/>
  <c r="AD137" i="3" s="1"/>
  <c r="BM137" i="3" a="1"/>
  <c r="BM137" i="3" s="1"/>
  <c r="BE137" i="3" a="1"/>
  <c r="BE137" i="3" s="1"/>
  <c r="AU137" i="3" a="1"/>
  <c r="AU137" i="3" s="1"/>
  <c r="M137" i="3" a="1"/>
  <c r="M137" i="3" s="1"/>
  <c r="D137" i="3" a="1"/>
  <c r="D137" i="3" s="1"/>
  <c r="F137" i="3" a="1"/>
  <c r="F137" i="3" s="1"/>
  <c r="C137" i="3" a="1"/>
  <c r="C137" i="3" s="1"/>
  <c r="Z137" i="3" a="1"/>
  <c r="Z137" i="3" s="1"/>
  <c r="G137" i="3" a="1"/>
  <c r="G137" i="3" s="1"/>
  <c r="AH137" i="3" a="1"/>
  <c r="AH137" i="3" s="1"/>
  <c r="AM137" i="3" a="1"/>
  <c r="AM137" i="3" s="1"/>
  <c r="BD137" i="3" a="1"/>
  <c r="BD137" i="3" s="1"/>
  <c r="AG137" i="3" a="1"/>
  <c r="AG137" i="3" s="1"/>
  <c r="AA137" i="3" a="1"/>
  <c r="AA137" i="3" s="1"/>
  <c r="AN137" i="3" a="1"/>
  <c r="AN137" i="3" s="1"/>
  <c r="X137" i="3" a="1"/>
  <c r="X137" i="3" s="1"/>
  <c r="AL160" i="3" a="1"/>
  <c r="AL160" i="3" s="1"/>
  <c r="AL117" i="3" a="1"/>
  <c r="AL117" i="3" s="1"/>
  <c r="AL113" i="3" a="1"/>
  <c r="AL113" i="3" s="1"/>
  <c r="AL152" i="3" a="1"/>
  <c r="AL152" i="3" s="1"/>
  <c r="L137" i="3" a="1"/>
  <c r="L137" i="3" s="1"/>
  <c r="AE146" i="3" a="1"/>
  <c r="AE146" i="3" s="1"/>
  <c r="AE144" i="3" a="1"/>
  <c r="AE144" i="3" s="1"/>
  <c r="AE168" i="3" a="1"/>
  <c r="AE168" i="3" s="1"/>
  <c r="AE110" i="3" a="1"/>
  <c r="AE110" i="3" s="1"/>
  <c r="AE162" i="3" a="1"/>
  <c r="AE162" i="3" s="1"/>
  <c r="BJ152" i="3" a="1"/>
  <c r="BJ152" i="3" s="1"/>
  <c r="BJ151" i="3" a="1"/>
  <c r="BJ151" i="3" s="1"/>
  <c r="BJ128" i="3" a="1"/>
  <c r="BJ128" i="3" s="1"/>
  <c r="BJ114" i="3" a="1"/>
  <c r="BJ114" i="3" s="1"/>
  <c r="BC159" i="3" a="1"/>
  <c r="BC159" i="3" s="1"/>
  <c r="BC164" i="3" a="1"/>
  <c r="BC164" i="3" s="1"/>
  <c r="BC149" i="3" a="1"/>
  <c r="BC149" i="3" s="1"/>
  <c r="BC139" i="3" a="1"/>
  <c r="BC139" i="3" s="1"/>
  <c r="BC132" i="3" a="1"/>
  <c r="BC132" i="3" s="1"/>
  <c r="BC169" i="3" a="1"/>
  <c r="BC169" i="3" s="1"/>
  <c r="W154" i="3" a="1"/>
  <c r="W154" i="3" s="1"/>
  <c r="BT154" i="3" a="1"/>
  <c r="BT154" i="3" s="1"/>
  <c r="BC122" i="3" a="1"/>
  <c r="BC122" i="3" s="1"/>
  <c r="BC172" i="3" a="1"/>
  <c r="BC172" i="3" s="1"/>
  <c r="AI154" i="3" a="1"/>
  <c r="AI154" i="3" s="1"/>
  <c r="S154" i="3" a="1"/>
  <c r="S154" i="3" s="1"/>
  <c r="H154" i="3" a="1"/>
  <c r="H154" i="3" s="1"/>
  <c r="BA154" i="3" a="1"/>
  <c r="BA154" i="3" s="1"/>
  <c r="AX154" i="3" a="1"/>
  <c r="AX154" i="3" s="1"/>
  <c r="BM154" i="3" a="1"/>
  <c r="BM154" i="3" s="1"/>
  <c r="AD154" i="3" a="1"/>
  <c r="AD154" i="3" s="1"/>
  <c r="AB154" i="3" a="1"/>
  <c r="AB154" i="3" s="1"/>
  <c r="BD154" i="3" a="1"/>
  <c r="BD154" i="3" s="1"/>
  <c r="AU154" i="3" a="1"/>
  <c r="AU154" i="3" s="1"/>
  <c r="BE154" i="3" a="1"/>
  <c r="BE154" i="3" s="1"/>
  <c r="X154" i="3" a="1"/>
  <c r="X154" i="3" s="1"/>
  <c r="AG154" i="3" a="1"/>
  <c r="AG154" i="3" s="1"/>
  <c r="M154" i="3" a="1"/>
  <c r="M154" i="3" s="1"/>
  <c r="Q154" i="3" a="1"/>
  <c r="Q154" i="3" s="1"/>
  <c r="D154" i="3" a="1"/>
  <c r="D154" i="3" s="1"/>
  <c r="BC103" i="3" a="1"/>
  <c r="BC103" i="3" s="1"/>
  <c r="BC145" i="3" a="1"/>
  <c r="BC145" i="3" s="1"/>
  <c r="BC161" i="3" a="1"/>
  <c r="BC161" i="3" s="1"/>
  <c r="BC117" i="3" a="1"/>
  <c r="BC117" i="3" s="1"/>
  <c r="BC142" i="3" a="1"/>
  <c r="BC142" i="3" s="1"/>
  <c r="AZ169" i="3" a="1"/>
  <c r="AZ169" i="3" s="1"/>
  <c r="AZ150" i="3" a="1"/>
  <c r="AZ150" i="3" s="1"/>
  <c r="AZ136" i="3" a="1"/>
  <c r="AZ136" i="3" s="1"/>
  <c r="AZ118" i="3" a="1"/>
  <c r="AZ118" i="3" s="1"/>
  <c r="AQ157" i="3" a="1"/>
  <c r="AQ157" i="3" s="1"/>
  <c r="AQ153" i="3" a="1"/>
  <c r="AQ153" i="3" s="1"/>
  <c r="AQ126" i="3" a="1"/>
  <c r="AQ126" i="3" s="1"/>
  <c r="AQ131" i="3" a="1"/>
  <c r="AQ131" i="3" s="1"/>
  <c r="AW146" i="3" a="1"/>
  <c r="AW146" i="3" s="1"/>
  <c r="AW153" i="3" a="1"/>
  <c r="AW153" i="3" s="1"/>
  <c r="AW151" i="3" a="1"/>
  <c r="AW151" i="3" s="1"/>
  <c r="AW128" i="3" a="1"/>
  <c r="AW128" i="3" s="1"/>
  <c r="AO153" i="3" a="1"/>
  <c r="AO153" i="3" s="1"/>
  <c r="AO169" i="3" a="1"/>
  <c r="AO169" i="3" s="1"/>
  <c r="AO117" i="3" a="1"/>
  <c r="AO117" i="3" s="1"/>
  <c r="AT135" i="3" a="1"/>
  <c r="AT135" i="3" s="1"/>
  <c r="AT115" i="3" a="1"/>
  <c r="AT115" i="3" s="1"/>
  <c r="BP169" i="3" a="1"/>
  <c r="BP169" i="3" s="1"/>
  <c r="BT167" i="3" a="1"/>
  <c r="BT167" i="3" s="1"/>
  <c r="BP146" i="3" a="1"/>
  <c r="BP146" i="3" s="1"/>
  <c r="BP127" i="3" a="1"/>
  <c r="BP127" i="3" s="1"/>
  <c r="BP158" i="3" a="1"/>
  <c r="BP158" i="3" s="1"/>
  <c r="BP160" i="3" a="1"/>
  <c r="BP160" i="3" s="1"/>
  <c r="W167" i="3" a="1"/>
  <c r="W167" i="3" s="1"/>
  <c r="BP148" i="3" a="1"/>
  <c r="BP148" i="3" s="1"/>
  <c r="BP157" i="3" a="1"/>
  <c r="BP157" i="3" s="1"/>
  <c r="P167" i="3" a="1"/>
  <c r="P167" i="3" s="1"/>
  <c r="E167" i="3" a="1"/>
  <c r="E167" i="3" s="1"/>
  <c r="AX167" i="3" a="1"/>
  <c r="AX167" i="3" s="1"/>
  <c r="M167" i="3" a="1"/>
  <c r="M167" i="3" s="1"/>
  <c r="J167" i="3" a="1"/>
  <c r="J167" i="3" s="1"/>
  <c r="AU167" i="3" a="1"/>
  <c r="AU167" i="3" s="1"/>
  <c r="BE167" i="3" a="1"/>
  <c r="BE167" i="3" s="1"/>
  <c r="AD167" i="3" a="1"/>
  <c r="AD167" i="3" s="1"/>
  <c r="AB167" i="3" a="1"/>
  <c r="AB167" i="3" s="1"/>
  <c r="AH167" i="3" a="1"/>
  <c r="AH167" i="3" s="1"/>
  <c r="AN167" i="3" a="1"/>
  <c r="AN167" i="3" s="1"/>
  <c r="C167" i="3" a="1"/>
  <c r="C167" i="3" s="1"/>
  <c r="AA167" i="3" a="1"/>
  <c r="AA167" i="3" s="1"/>
  <c r="G167" i="3" a="1"/>
  <c r="G167" i="3" s="1"/>
  <c r="X167" i="3" a="1"/>
  <c r="X167" i="3" s="1"/>
  <c r="Q167" i="3" a="1"/>
  <c r="Q167" i="3" s="1"/>
  <c r="BM167" i="3" a="1"/>
  <c r="BM167" i="3" s="1"/>
  <c r="V167" i="3" a="1"/>
  <c r="V167" i="3" s="1"/>
  <c r="AM167" i="3" a="1"/>
  <c r="AM167" i="3" s="1"/>
  <c r="AG167" i="3" a="1"/>
  <c r="AG167" i="3" s="1"/>
  <c r="D167" i="3" a="1"/>
  <c r="D167" i="3" s="1"/>
  <c r="BT141" i="3" a="1"/>
  <c r="BT141" i="3" s="1"/>
  <c r="W141" i="3" a="1"/>
  <c r="W141" i="3" s="1"/>
  <c r="AP165" i="3" a="1"/>
  <c r="AP165" i="3" s="1"/>
  <c r="AP153" i="3" a="1"/>
  <c r="AP153" i="3" s="1"/>
  <c r="AP114" i="3" a="1"/>
  <c r="AP114" i="3" s="1"/>
  <c r="AP127" i="3" a="1"/>
  <c r="AP127" i="3" s="1"/>
  <c r="AP161" i="3" a="1"/>
  <c r="AP161" i="3" s="1"/>
  <c r="AP135" i="3" a="1"/>
  <c r="AP135" i="3" s="1"/>
  <c r="AI141" i="3" a="1"/>
  <c r="AI141" i="3" s="1"/>
  <c r="AX141" i="3" a="1"/>
  <c r="AX141" i="3" s="1"/>
  <c r="AS141" i="3" a="1"/>
  <c r="AS141" i="3" s="1"/>
  <c r="S141" i="3" a="1"/>
  <c r="S141" i="3" s="1"/>
  <c r="AP149" i="3" a="1"/>
  <c r="AP149" i="3" s="1"/>
  <c r="P141" i="3" a="1"/>
  <c r="P141" i="3" s="1"/>
  <c r="M141" i="3" a="1"/>
  <c r="M141" i="3" s="1"/>
  <c r="AU141" i="3" a="1"/>
  <c r="AU141" i="3" s="1"/>
  <c r="L141" i="3" a="1"/>
  <c r="L141" i="3" s="1"/>
  <c r="BD141" i="3" a="1"/>
  <c r="BD141" i="3" s="1"/>
  <c r="H141" i="3" a="1"/>
  <c r="H141" i="3" s="1"/>
  <c r="Z141" i="3" a="1"/>
  <c r="Z141" i="3" s="1"/>
  <c r="V141" i="3" a="1"/>
  <c r="V141" i="3" s="1"/>
  <c r="Q141" i="3" a="1"/>
  <c r="Q141" i="3" s="1"/>
  <c r="AH141" i="3" a="1"/>
  <c r="AH141" i="3" s="1"/>
  <c r="BM141" i="3" a="1"/>
  <c r="BM141" i="3" s="1"/>
  <c r="J141" i="3" a="1"/>
  <c r="J141" i="3" s="1"/>
  <c r="AG141" i="3" a="1"/>
  <c r="AG141" i="3" s="1"/>
  <c r="AA141" i="3" a="1"/>
  <c r="AA141" i="3" s="1"/>
  <c r="D141" i="3" a="1"/>
  <c r="D141" i="3" s="1"/>
  <c r="C141" i="3" a="1"/>
  <c r="C141" i="3" s="1"/>
  <c r="BN167" i="3" a="1"/>
  <c r="BN167" i="3" s="1"/>
  <c r="BN137" i="3" a="1"/>
  <c r="BN137" i="3" s="1"/>
  <c r="BN162" i="3" a="1"/>
  <c r="BN162" i="3" s="1"/>
  <c r="BN154" i="3" a="1"/>
  <c r="BN154" i="3" s="1"/>
  <c r="BN139" i="3" a="1"/>
  <c r="BN139" i="3" s="1"/>
  <c r="BN144" i="3" a="1"/>
  <c r="BN144" i="3" s="1"/>
  <c r="BN108" i="3" a="1"/>
  <c r="BN108" i="3" s="1"/>
  <c r="W165" i="3" a="1"/>
  <c r="W165" i="3" s="1"/>
  <c r="BU165" i="3" a="1"/>
  <c r="BU165" i="3" s="1"/>
  <c r="BN151" i="3" a="1"/>
  <c r="BN151" i="3" s="1"/>
  <c r="AI165" i="3" a="1"/>
  <c r="AI165" i="3" s="1"/>
  <c r="AX165" i="3" a="1"/>
  <c r="AX165" i="3" s="1"/>
  <c r="P165" i="3" a="1"/>
  <c r="P165" i="3" s="1"/>
  <c r="J165" i="3" a="1"/>
  <c r="J165" i="3" s="1"/>
  <c r="BE165" i="3" a="1"/>
  <c r="BE165" i="3" s="1"/>
  <c r="M165" i="3" a="1"/>
  <c r="M165" i="3" s="1"/>
  <c r="L165" i="3" a="1"/>
  <c r="L165" i="3" s="1"/>
  <c r="AS165" i="3" a="1"/>
  <c r="AS165" i="3" s="1"/>
  <c r="AH165" i="3" a="1"/>
  <c r="AH165" i="3" s="1"/>
  <c r="AN165" i="3" a="1"/>
  <c r="AN165" i="3" s="1"/>
  <c r="D165" i="3" a="1"/>
  <c r="D165" i="3" s="1"/>
  <c r="C165" i="3" a="1"/>
  <c r="C165" i="3" s="1"/>
  <c r="Z165" i="3" a="1"/>
  <c r="Z165" i="3" s="1"/>
  <c r="AG165" i="3" a="1"/>
  <c r="AG165" i="3" s="1"/>
  <c r="Y165" i="3" a="1"/>
  <c r="Y165" i="3" s="1"/>
  <c r="F165" i="3" a="1"/>
  <c r="F165" i="3" s="1"/>
  <c r="I165" i="3" a="1"/>
  <c r="I165" i="3" s="1"/>
  <c r="O165" i="3" a="1"/>
  <c r="O165" i="3" s="1"/>
  <c r="BC141" i="3" a="1"/>
  <c r="BC141" i="3" s="1"/>
  <c r="AW122" i="3" a="1"/>
  <c r="AW122" i="3" s="1"/>
  <c r="AW169" i="3" a="1"/>
  <c r="AW169" i="3" s="1"/>
  <c r="AW127" i="3" a="1"/>
  <c r="AW127" i="3" s="1"/>
  <c r="AW117" i="3" a="1"/>
  <c r="AW117" i="3" s="1"/>
  <c r="AT151" i="3" a="1"/>
  <c r="AT151" i="3" s="1"/>
  <c r="AT128" i="3" a="1"/>
  <c r="AT128" i="3" s="1"/>
  <c r="I137" i="3" a="1"/>
  <c r="I137" i="3" s="1"/>
  <c r="Q140" i="3" a="1"/>
  <c r="Q140" i="3" s="1"/>
  <c r="BQ157" i="3" a="1"/>
  <c r="BQ157" i="3" s="1"/>
  <c r="BQ113" i="3" a="1"/>
  <c r="BQ113" i="3" s="1"/>
  <c r="BQ121" i="3" a="1"/>
  <c r="BQ121" i="3" s="1"/>
  <c r="R135" i="3" a="1"/>
  <c r="R135" i="3" s="1"/>
  <c r="R152" i="3" a="1"/>
  <c r="R152" i="3" s="1"/>
  <c r="R109" i="3" a="1"/>
  <c r="R109" i="3" s="1"/>
  <c r="BP139" i="3" a="1"/>
  <c r="BP139" i="3" s="1"/>
  <c r="BP142" i="3" a="1"/>
  <c r="BP142" i="3" s="1"/>
  <c r="BP131" i="3" a="1"/>
  <c r="BP131" i="3" s="1"/>
  <c r="BP111" i="3" a="1"/>
  <c r="BP111" i="3" s="1"/>
  <c r="BP115" i="3" a="1"/>
  <c r="BP115" i="3" s="1"/>
  <c r="BP167" i="3" a="1"/>
  <c r="BP167" i="3" s="1"/>
  <c r="BB117" i="3" a="1"/>
  <c r="BB117" i="3" s="1"/>
  <c r="BT153" i="3" a="1"/>
  <c r="BT153" i="3" s="1"/>
  <c r="W153" i="3" a="1"/>
  <c r="W153" i="3" s="1"/>
  <c r="BB143" i="3" a="1"/>
  <c r="BB143" i="3" s="1"/>
  <c r="BB171" i="3" a="1"/>
  <c r="BB171" i="3" s="1"/>
  <c r="BB114" i="3" a="1"/>
  <c r="BB114" i="3" s="1"/>
  <c r="BB141" i="3" a="1"/>
  <c r="BB141" i="3" s="1"/>
  <c r="BB167" i="3" a="1"/>
  <c r="BB167" i="3" s="1"/>
  <c r="BB154" i="3" a="1"/>
  <c r="BB154" i="3" s="1"/>
  <c r="BB122" i="3" a="1"/>
  <c r="BB122" i="3" s="1"/>
  <c r="BB127" i="3" a="1"/>
  <c r="BB127" i="3" s="1"/>
  <c r="BB131" i="3" a="1"/>
  <c r="BB131" i="3" s="1"/>
  <c r="BB147" i="3" a="1"/>
  <c r="BB147" i="3" s="1"/>
  <c r="E153" i="3" a="1"/>
  <c r="E153" i="3" s="1"/>
  <c r="S153" i="3" a="1"/>
  <c r="S153" i="3" s="1"/>
  <c r="H153" i="3" a="1"/>
  <c r="H153" i="3" s="1"/>
  <c r="BA153" i="3" a="1"/>
  <c r="BA153" i="3" s="1"/>
  <c r="AS153" i="3" a="1"/>
  <c r="AS153" i="3" s="1"/>
  <c r="BU153" i="3" a="1"/>
  <c r="BU153" i="3" s="1"/>
  <c r="AB153" i="3" a="1"/>
  <c r="AB153" i="3" s="1"/>
  <c r="AU153" i="3" a="1"/>
  <c r="AU153" i="3" s="1"/>
  <c r="AA153" i="3" a="1"/>
  <c r="AA153" i="3" s="1"/>
  <c r="D153" i="3" a="1"/>
  <c r="D153" i="3" s="1"/>
  <c r="V153" i="3" a="1"/>
  <c r="V153" i="3" s="1"/>
  <c r="BI153" i="3" a="1"/>
  <c r="BI153" i="3" s="1"/>
  <c r="AG153" i="3" a="1"/>
  <c r="AG153" i="3" s="1"/>
  <c r="Z153" i="3" a="1"/>
  <c r="Z153" i="3" s="1"/>
  <c r="AN153" i="3" a="1"/>
  <c r="AN153" i="3" s="1"/>
  <c r="X153" i="3" a="1"/>
  <c r="X153" i="3" s="1"/>
  <c r="I153" i="3" a="1"/>
  <c r="I153" i="3" s="1"/>
  <c r="C153" i="3" a="1"/>
  <c r="C153" i="3" s="1"/>
  <c r="BD153" i="3" a="1"/>
  <c r="BD153" i="3" s="1"/>
  <c r="L153" i="3" a="1"/>
  <c r="L153" i="3" s="1"/>
  <c r="AP146" i="3" a="1"/>
  <c r="AP146" i="3" s="1"/>
  <c r="AP115" i="3" a="1"/>
  <c r="AP115" i="3" s="1"/>
  <c r="AP132" i="3" a="1"/>
  <c r="AP132" i="3" s="1"/>
  <c r="AP112" i="3" a="1"/>
  <c r="AP112" i="3" s="1"/>
  <c r="AP109" i="3" a="1"/>
  <c r="AP109" i="3" s="1"/>
  <c r="BN173" i="3" a="1"/>
  <c r="BN173" i="3" s="1"/>
  <c r="BN171" i="3" a="1"/>
  <c r="BN171" i="3" s="1"/>
  <c r="BN145" i="3" a="1"/>
  <c r="BN145" i="3" s="1"/>
  <c r="BN104" i="3" a="1"/>
  <c r="BN104" i="3" s="1"/>
  <c r="AL106" i="3" a="1"/>
  <c r="AL106" i="3" s="1"/>
  <c r="W114" i="3" a="1"/>
  <c r="W114" i="3" s="1"/>
  <c r="O149" i="3" a="1"/>
  <c r="O149" i="3" s="1"/>
  <c r="O157" i="3" a="1"/>
  <c r="O157" i="3" s="1"/>
  <c r="O168" i="3" a="1"/>
  <c r="O168" i="3" s="1"/>
  <c r="O130" i="3" a="1"/>
  <c r="O130" i="3" s="1"/>
  <c r="BT114" i="3" a="1"/>
  <c r="BT114" i="3" s="1"/>
  <c r="O148" i="3" a="1"/>
  <c r="O148" i="3" s="1"/>
  <c r="O124" i="3" a="1"/>
  <c r="O124" i="3" s="1"/>
  <c r="O136" i="3" a="1"/>
  <c r="O136" i="3" s="1"/>
  <c r="BE114" i="3" a="1"/>
  <c r="BE114" i="3" s="1"/>
  <c r="O110" i="3" a="1"/>
  <c r="O110" i="3" s="1"/>
  <c r="S114" i="3" a="1"/>
  <c r="S114" i="3" s="1"/>
  <c r="AX114" i="3" a="1"/>
  <c r="AX114" i="3" s="1"/>
  <c r="AI114" i="3" a="1"/>
  <c r="AI114" i="3" s="1"/>
  <c r="E114" i="3" a="1"/>
  <c r="E114" i="3" s="1"/>
  <c r="O134" i="3" a="1"/>
  <c r="O134" i="3" s="1"/>
  <c r="O164" i="3" a="1"/>
  <c r="O164" i="3" s="1"/>
  <c r="BU114" i="3" a="1"/>
  <c r="BU114" i="3" s="1"/>
  <c r="M114" i="3" a="1"/>
  <c r="M114" i="3" s="1"/>
  <c r="BM114" i="3" a="1"/>
  <c r="BM114" i="3" s="1"/>
  <c r="AF114" i="3" a="1"/>
  <c r="AF114" i="3" s="1"/>
  <c r="AB114" i="3" a="1"/>
  <c r="AB114" i="3" s="1"/>
  <c r="BD114" i="3" a="1"/>
  <c r="BD114" i="3" s="1"/>
  <c r="AU114" i="3" a="1"/>
  <c r="AU114" i="3" s="1"/>
  <c r="AC114" i="3" a="1"/>
  <c r="AC114" i="3" s="1"/>
  <c r="AN114" i="3" a="1"/>
  <c r="AN114" i="3" s="1"/>
  <c r="AG114" i="3" a="1"/>
  <c r="AG114" i="3" s="1"/>
  <c r="D114" i="3" a="1"/>
  <c r="D114" i="3" s="1"/>
  <c r="K114" i="3" a="1"/>
  <c r="K114" i="3" s="1"/>
  <c r="V114" i="3" a="1"/>
  <c r="V114" i="3" s="1"/>
  <c r="Z114" i="3" a="1"/>
  <c r="Z114" i="3" s="1"/>
  <c r="X114" i="3" a="1"/>
  <c r="X114" i="3" s="1"/>
  <c r="O167" i="3" a="1"/>
  <c r="O167" i="3" s="1"/>
  <c r="O106" i="3" a="1"/>
  <c r="O106" i="3" s="1"/>
  <c r="O122" i="3" a="1"/>
  <c r="O122" i="3" s="1"/>
  <c r="O161" i="3" a="1"/>
  <c r="O161" i="3" s="1"/>
  <c r="O108" i="3" a="1"/>
  <c r="O108" i="3" s="1"/>
  <c r="G114" i="3" a="1"/>
  <c r="G114" i="3" s="1"/>
  <c r="C114" i="3" a="1"/>
  <c r="C114" i="3" s="1"/>
  <c r="AE113" i="3" a="1"/>
  <c r="AE113" i="3" s="1"/>
  <c r="AE137" i="3" a="1"/>
  <c r="AE137" i="3" s="1"/>
  <c r="AE170" i="3" a="1"/>
  <c r="AE170" i="3" s="1"/>
  <c r="AE111" i="3" a="1"/>
  <c r="AE111" i="3" s="1"/>
  <c r="BJ154" i="3" a="1"/>
  <c r="BJ154" i="3" s="1"/>
  <c r="BJ147" i="3" a="1"/>
  <c r="BJ147" i="3" s="1"/>
  <c r="BJ153" i="3" a="1"/>
  <c r="BJ153" i="3" s="1"/>
  <c r="BJ146" i="3" a="1"/>
  <c r="BJ146" i="3" s="1"/>
  <c r="BJ119" i="3" a="1"/>
  <c r="BJ119" i="3" s="1"/>
  <c r="BC114" i="3" a="1"/>
  <c r="BC114" i="3" s="1"/>
  <c r="AZ153" i="3" a="1"/>
  <c r="AZ153" i="3" s="1"/>
  <c r="AZ145" i="3" a="1"/>
  <c r="AZ145" i="3" s="1"/>
  <c r="AZ115" i="3" a="1"/>
  <c r="AZ115" i="3" s="1"/>
  <c r="AZ106" i="3" a="1"/>
  <c r="AZ106" i="3" s="1"/>
  <c r="AZ104" i="3" a="1"/>
  <c r="AZ104" i="3" s="1"/>
  <c r="AQ127" i="3" a="1"/>
  <c r="AQ127" i="3" s="1"/>
  <c r="AQ117" i="3" a="1"/>
  <c r="AQ117" i="3" s="1"/>
  <c r="AQ149" i="3" a="1"/>
  <c r="AQ149" i="3" s="1"/>
  <c r="AQ142" i="3" a="1"/>
  <c r="AQ142" i="3" s="1"/>
  <c r="AQ152" i="3" a="1"/>
  <c r="AQ152" i="3" s="1"/>
  <c r="AW130" i="3" a="1"/>
  <c r="AW130" i="3" s="1"/>
  <c r="AW141" i="3" a="1"/>
  <c r="AW141" i="3" s="1"/>
  <c r="AW112" i="3" a="1"/>
  <c r="AW112" i="3" s="1"/>
  <c r="AO155" i="3" a="1"/>
  <c r="AO155" i="3" s="1"/>
  <c r="AO138" i="3" a="1"/>
  <c r="AO138" i="3" s="1"/>
  <c r="AO102" i="3" a="1"/>
  <c r="AO102" i="3" s="1"/>
  <c r="AT127" i="3" a="1"/>
  <c r="AT127" i="3" s="1"/>
  <c r="AT155" i="3" a="1"/>
  <c r="AT155" i="3" s="1"/>
  <c r="G136" i="3" a="1"/>
  <c r="G136" i="3" s="1"/>
  <c r="AC139" i="3" a="1"/>
  <c r="AC139" i="3" s="1"/>
  <c r="AC167" i="3" a="1"/>
  <c r="AC167" i="3" s="1"/>
  <c r="AC165" i="3" a="1"/>
  <c r="AC165" i="3" s="1"/>
  <c r="AC156" i="3" a="1"/>
  <c r="AC156" i="3" s="1"/>
  <c r="AC118" i="3" a="1"/>
  <c r="AC118" i="3" s="1"/>
  <c r="I141" i="3" a="1"/>
  <c r="I141" i="3" s="1"/>
  <c r="I150" i="3" a="1"/>
  <c r="I150" i="3" s="1"/>
  <c r="I135" i="3" a="1"/>
  <c r="I135" i="3" s="1"/>
  <c r="I105" i="3" a="1"/>
  <c r="I105" i="3" s="1"/>
  <c r="I130" i="3" a="1"/>
  <c r="I130" i="3" s="1"/>
  <c r="I170" i="3" a="1"/>
  <c r="I170" i="3" s="1"/>
  <c r="Q146" i="3" a="1"/>
  <c r="Q146" i="3" s="1"/>
  <c r="Q165" i="3" a="1"/>
  <c r="Q165" i="3" s="1"/>
  <c r="Q139" i="3" a="1"/>
  <c r="Q139" i="3" s="1"/>
  <c r="Q125" i="3" a="1"/>
  <c r="Q125" i="3" s="1"/>
  <c r="Q104" i="3" a="1"/>
  <c r="Q104" i="3" s="1"/>
  <c r="D121" i="3" a="1"/>
  <c r="D121" i="3" s="1"/>
  <c r="F158" i="3" a="1"/>
  <c r="F158" i="3" s="1"/>
  <c r="F144" i="3" a="1"/>
  <c r="F144" i="3" s="1"/>
  <c r="F153" i="3" a="1"/>
  <c r="F153" i="3" s="1"/>
  <c r="F139" i="3" a="1"/>
  <c r="F139" i="3" s="1"/>
  <c r="AN110" i="3" a="1"/>
  <c r="AN110" i="3" s="1"/>
  <c r="Y160" i="3" a="1"/>
  <c r="Y160" i="3" s="1"/>
  <c r="Y133" i="3" a="1"/>
  <c r="Y133" i="3" s="1"/>
  <c r="Y122" i="3" a="1"/>
  <c r="Y122" i="3" s="1"/>
  <c r="Y141" i="3" a="1"/>
  <c r="Y141" i="3" s="1"/>
  <c r="AM172" i="3" a="1"/>
  <c r="AM172" i="3" s="1"/>
  <c r="AM170" i="3" a="1"/>
  <c r="AM170" i="3" s="1"/>
  <c r="AM173" i="3" a="1"/>
  <c r="AM173" i="3" s="1"/>
  <c r="AM115" i="3" a="1"/>
  <c r="AM115" i="3" s="1"/>
  <c r="AM126" i="3" a="1"/>
  <c r="AM126" i="3" s="1"/>
  <c r="AM139" i="3" a="1"/>
  <c r="AM139" i="3" s="1"/>
  <c r="AH134" i="3" a="1"/>
  <c r="AH134" i="3" s="1"/>
  <c r="AH103" i="3" a="1"/>
  <c r="AH103" i="3" s="1"/>
  <c r="AH104" i="3" a="1"/>
  <c r="AH104" i="3" s="1"/>
  <c r="C140" i="3" a="1"/>
  <c r="C140" i="3" s="1"/>
  <c r="V130" i="3" a="1"/>
  <c r="V130" i="3" s="1"/>
  <c r="V159" i="3" a="1"/>
  <c r="V159" i="3" s="1"/>
  <c r="V136" i="3" a="1"/>
  <c r="V136" i="3" s="1"/>
  <c r="V156" i="3" a="1"/>
  <c r="V156" i="3" s="1"/>
  <c r="V137" i="3" a="1"/>
  <c r="V137" i="3" s="1"/>
  <c r="V149" i="3" a="1"/>
  <c r="V149" i="3" s="1"/>
  <c r="V131" i="3" a="1"/>
  <c r="V131" i="3" s="1"/>
  <c r="AI121" i="3" a="1"/>
  <c r="AI121" i="3" s="1"/>
  <c r="V165" i="3" a="1"/>
  <c r="V165" i="3" s="1"/>
  <c r="W121" i="3" a="1"/>
  <c r="W121" i="3" s="1"/>
  <c r="V122" i="3" a="1"/>
  <c r="V122" i="3" s="1"/>
  <c r="E121" i="3" a="1"/>
  <c r="E121" i="3" s="1"/>
  <c r="BT121" i="3" a="1"/>
  <c r="BT121" i="3" s="1"/>
  <c r="H121" i="3" a="1"/>
  <c r="H121" i="3" s="1"/>
  <c r="P121" i="3" a="1"/>
  <c r="P121" i="3" s="1"/>
  <c r="AS121" i="3" a="1"/>
  <c r="AS121" i="3" s="1"/>
  <c r="AX121" i="3" a="1"/>
  <c r="AX121" i="3" s="1"/>
  <c r="BI121" i="3" a="1"/>
  <c r="BI121" i="3" s="1"/>
  <c r="BE121" i="3" a="1"/>
  <c r="BE121" i="3" s="1"/>
  <c r="BD121" i="3" a="1"/>
  <c r="BD121" i="3" s="1"/>
  <c r="AD121" i="3" a="1"/>
  <c r="AD121" i="3" s="1"/>
  <c r="AB121" i="3" a="1"/>
  <c r="AB121" i="3" s="1"/>
  <c r="BM121" i="3" a="1"/>
  <c r="BM121" i="3" s="1"/>
  <c r="AU121" i="3" a="1"/>
  <c r="AU121" i="3" s="1"/>
  <c r="M121" i="3" a="1"/>
  <c r="M121" i="3" s="1"/>
  <c r="K172" i="3" a="1"/>
  <c r="K172" i="3" s="1"/>
  <c r="K117" i="3" a="1"/>
  <c r="K117" i="3" s="1"/>
  <c r="K123" i="3" a="1"/>
  <c r="K123" i="3" s="1"/>
  <c r="K156" i="3" a="1"/>
  <c r="K156" i="3" s="1"/>
  <c r="K170" i="3" a="1"/>
  <c r="K170" i="3" s="1"/>
  <c r="AC154" i="3" a="1"/>
  <c r="AC154" i="3" s="1"/>
  <c r="AC166" i="3" a="1"/>
  <c r="AC166" i="3" s="1"/>
  <c r="AC152" i="3" a="1"/>
  <c r="AC152" i="3" s="1"/>
  <c r="AC127" i="3" a="1"/>
  <c r="AC127" i="3" s="1"/>
  <c r="AC108" i="3" a="1"/>
  <c r="AC108" i="3" s="1"/>
  <c r="I161" i="3" a="1"/>
  <c r="I161" i="3" s="1"/>
  <c r="I147" i="3" a="1"/>
  <c r="I147" i="3" s="1"/>
  <c r="I160" i="3" a="1"/>
  <c r="I160" i="3" s="1"/>
  <c r="I104" i="3" a="1"/>
  <c r="I104" i="3" s="1"/>
  <c r="I115" i="3" a="1"/>
  <c r="I115" i="3" s="1"/>
  <c r="I134" i="3" a="1"/>
  <c r="I134" i="3" s="1"/>
  <c r="Q128" i="3" a="1"/>
  <c r="Q128" i="3" s="1"/>
  <c r="Q132" i="3" a="1"/>
  <c r="Q132" i="3" s="1"/>
  <c r="Q145" i="3" a="1"/>
  <c r="Q145" i="3" s="1"/>
  <c r="Q117" i="3" a="1"/>
  <c r="Q117" i="3" s="1"/>
  <c r="Q114" i="3" a="1"/>
  <c r="Q114" i="3" s="1"/>
  <c r="D128" i="3" a="1"/>
  <c r="D128" i="3" s="1"/>
  <c r="F160" i="3" a="1"/>
  <c r="F160" i="3" s="1"/>
  <c r="F138" i="3" a="1"/>
  <c r="F138" i="3" s="1"/>
  <c r="F154" i="3" a="1"/>
  <c r="F154" i="3" s="1"/>
  <c r="F135" i="3" a="1"/>
  <c r="F135" i="3" s="1"/>
  <c r="F145" i="3" a="1"/>
  <c r="F145" i="3" s="1"/>
  <c r="W105" i="3" a="1"/>
  <c r="W105" i="3" s="1"/>
  <c r="F109" i="3" a="1"/>
  <c r="F109" i="3" s="1"/>
  <c r="F143" i="3" a="1"/>
  <c r="F143" i="3" s="1"/>
  <c r="F168" i="3" a="1"/>
  <c r="F168" i="3" s="1"/>
  <c r="F141" i="3" a="1"/>
  <c r="F141" i="3" s="1"/>
  <c r="F103" i="3" a="1"/>
  <c r="F103" i="3" s="1"/>
  <c r="BT105" i="3" a="1"/>
  <c r="BT105" i="3" s="1"/>
  <c r="AX105" i="3" a="1"/>
  <c r="AX105" i="3" s="1"/>
  <c r="E105" i="3" a="1"/>
  <c r="E105" i="3" s="1"/>
  <c r="S105" i="3" a="1"/>
  <c r="S105" i="3" s="1"/>
  <c r="AI105" i="3" a="1"/>
  <c r="AI105" i="3" s="1"/>
  <c r="BD105" i="3" a="1"/>
  <c r="BD105" i="3" s="1"/>
  <c r="BU105" i="3" a="1"/>
  <c r="BU105" i="3" s="1"/>
  <c r="P105" i="3" a="1"/>
  <c r="P105" i="3" s="1"/>
  <c r="AF105" i="3" a="1"/>
  <c r="AF105" i="3" s="1"/>
  <c r="AB105" i="3" a="1"/>
  <c r="AB105" i="3" s="1"/>
  <c r="F102" i="3" a="1"/>
  <c r="F102" i="3" s="1"/>
  <c r="F130" i="3" a="1"/>
  <c r="F130" i="3" s="1"/>
  <c r="F166" i="3" a="1"/>
  <c r="F166" i="3" s="1"/>
  <c r="M105" i="3" a="1"/>
  <c r="M105" i="3" s="1"/>
  <c r="F146" i="3" a="1"/>
  <c r="F146" i="3" s="1"/>
  <c r="AN121" i="3" a="1"/>
  <c r="AN121" i="3" s="1"/>
  <c r="G105" i="3" a="1"/>
  <c r="G105" i="3" s="1"/>
  <c r="Y149" i="3" a="1"/>
  <c r="Y149" i="3" s="1"/>
  <c r="Y130" i="3" a="1"/>
  <c r="Y130" i="3" s="1"/>
  <c r="Y109" i="3" a="1"/>
  <c r="Y109" i="3" s="1"/>
  <c r="Y173" i="3" a="1"/>
  <c r="Y173" i="3" s="1"/>
  <c r="Z159" i="3" a="1"/>
  <c r="Z159" i="3" s="1"/>
  <c r="Z168" i="3" a="1"/>
  <c r="Z168" i="3" s="1"/>
  <c r="Z167" i="3" a="1"/>
  <c r="Z167" i="3" s="1"/>
  <c r="Z148" i="3" a="1"/>
  <c r="Z148" i="3" s="1"/>
  <c r="Z147" i="3" a="1"/>
  <c r="Z147" i="3" s="1"/>
  <c r="Z162" i="3" a="1"/>
  <c r="Z162" i="3" s="1"/>
  <c r="Z131" i="3" a="1"/>
  <c r="Z131" i="3" s="1"/>
  <c r="W125" i="3" a="1"/>
  <c r="W125" i="3" s="1"/>
  <c r="AX125" i="3" a="1"/>
  <c r="AX125" i="3" s="1"/>
  <c r="Z164" i="3" a="1"/>
  <c r="Z164" i="3" s="1"/>
  <c r="E125" i="3" a="1"/>
  <c r="E125" i="3" s="1"/>
  <c r="AI125" i="3" a="1"/>
  <c r="AI125" i="3" s="1"/>
  <c r="BU125" i="3" a="1"/>
  <c r="BU125" i="3" s="1"/>
  <c r="BA125" i="3" a="1"/>
  <c r="BA125" i="3" s="1"/>
  <c r="BI125" i="3" a="1"/>
  <c r="BI125" i="3" s="1"/>
  <c r="BE125" i="3" a="1"/>
  <c r="BE125" i="3" s="1"/>
  <c r="M125" i="3" a="1"/>
  <c r="M125" i="3" s="1"/>
  <c r="AD125" i="3" a="1"/>
  <c r="AD125" i="3" s="1"/>
  <c r="J125" i="3" a="1"/>
  <c r="J125" i="3" s="1"/>
  <c r="Z113" i="3" a="1"/>
  <c r="Z113" i="3" s="1"/>
  <c r="BD125" i="3" a="1"/>
  <c r="BD125" i="3" s="1"/>
  <c r="BM125" i="3" a="1"/>
  <c r="BM125" i="3" s="1"/>
  <c r="AA125" i="3" a="1"/>
  <c r="AA125" i="3" s="1"/>
  <c r="AF125" i="3" a="1"/>
  <c r="AF125" i="3" s="1"/>
  <c r="AB125" i="3" a="1"/>
  <c r="AB125" i="3" s="1"/>
  <c r="Z166" i="3" a="1"/>
  <c r="Z166" i="3" s="1"/>
  <c r="Z109" i="3" a="1"/>
  <c r="Z109" i="3" s="1"/>
  <c r="Z158" i="3" a="1"/>
  <c r="Z158" i="3" s="1"/>
  <c r="Z151" i="3" a="1"/>
  <c r="Z151" i="3" s="1"/>
  <c r="Z129" i="3" a="1"/>
  <c r="Z129" i="3" s="1"/>
  <c r="Z139" i="3" a="1"/>
  <c r="Z139" i="3" s="1"/>
  <c r="Z156" i="3" a="1"/>
  <c r="Z156" i="3" s="1"/>
  <c r="Z122" i="3" a="1"/>
  <c r="Z122" i="3" s="1"/>
  <c r="Z119" i="3" a="1"/>
  <c r="Z119" i="3" s="1"/>
  <c r="Z107" i="3" a="1"/>
  <c r="Z107" i="3" s="1"/>
  <c r="Z173" i="3" a="1"/>
  <c r="Z173" i="3" s="1"/>
  <c r="Z136" i="3" a="1"/>
  <c r="Z136" i="3" s="1"/>
  <c r="L125" i="3" a="1"/>
  <c r="L125" i="3" s="1"/>
  <c r="Z144" i="3" a="1"/>
  <c r="Z144" i="3" s="1"/>
  <c r="Z128" i="3" a="1"/>
  <c r="Z128" i="3" s="1"/>
  <c r="Z120" i="3" a="1"/>
  <c r="Z120" i="3" s="1"/>
  <c r="Z105" i="3" a="1"/>
  <c r="Z105" i="3" s="1"/>
  <c r="Z132" i="3" a="1"/>
  <c r="Z132" i="3" s="1"/>
  <c r="Z127" i="3" a="1"/>
  <c r="Z127" i="3" s="1"/>
  <c r="Z160" i="3" a="1"/>
  <c r="Z160" i="3" s="1"/>
  <c r="AA121" i="3" a="1"/>
  <c r="AA121" i="3" s="1"/>
  <c r="AM144" i="3" a="1"/>
  <c r="AM144" i="3" s="1"/>
  <c r="AM131" i="3" a="1"/>
  <c r="AM131" i="3" s="1"/>
  <c r="AM147" i="3" a="1"/>
  <c r="AM147" i="3" s="1"/>
  <c r="AM114" i="3" a="1"/>
  <c r="AM114" i="3" s="1"/>
  <c r="AM111" i="3" a="1"/>
  <c r="AM111" i="3" s="1"/>
  <c r="AM171" i="3" a="1"/>
  <c r="AM171" i="3" s="1"/>
  <c r="AH147" i="3" a="1"/>
  <c r="AH147" i="3" s="1"/>
  <c r="AH109" i="3" a="1"/>
  <c r="AH109" i="3" s="1"/>
  <c r="AH132" i="3" a="1"/>
  <c r="AH132" i="3" s="1"/>
  <c r="AH115" i="3" a="1"/>
  <c r="AH115" i="3" s="1"/>
  <c r="AH113" i="3" a="1"/>
  <c r="AH113" i="3" s="1"/>
  <c r="AG121" i="3" a="1"/>
  <c r="AG121" i="3" s="1"/>
  <c r="AG164" i="3" a="1"/>
  <c r="AG164" i="3" s="1"/>
  <c r="AG158" i="3" a="1"/>
  <c r="AG158" i="3" s="1"/>
  <c r="AG128" i="3" a="1"/>
  <c r="AG128" i="3" s="1"/>
  <c r="AG170" i="3" a="1"/>
  <c r="AG170" i="3" s="1"/>
  <c r="AG142" i="3" a="1"/>
  <c r="AG142" i="3" s="1"/>
  <c r="AG116" i="3" a="1"/>
  <c r="AG116" i="3" s="1"/>
  <c r="AG152" i="3" a="1"/>
  <c r="AG152" i="3" s="1"/>
  <c r="AG160" i="3" a="1"/>
  <c r="AG160" i="3" s="1"/>
  <c r="W132" i="3" a="1"/>
  <c r="W132" i="3" s="1"/>
  <c r="AI132" i="3" a="1"/>
  <c r="AI132" i="3" s="1"/>
  <c r="AG105" i="3" a="1"/>
  <c r="AG105" i="3" s="1"/>
  <c r="AG145" i="3" a="1"/>
  <c r="AG145" i="3" s="1"/>
  <c r="AG122" i="3" a="1"/>
  <c r="AG122" i="3" s="1"/>
  <c r="S132" i="3" a="1"/>
  <c r="S132" i="3" s="1"/>
  <c r="P132" i="3" a="1"/>
  <c r="P132" i="3" s="1"/>
  <c r="AX132" i="3" a="1"/>
  <c r="AX132" i="3" s="1"/>
  <c r="BT132" i="3" a="1"/>
  <c r="BT132" i="3" s="1"/>
  <c r="AF132" i="3" a="1"/>
  <c r="AF132" i="3" s="1"/>
  <c r="AU132" i="3" a="1"/>
  <c r="AU132" i="3" s="1"/>
  <c r="L132" i="3" a="1"/>
  <c r="L132" i="3" s="1"/>
  <c r="J132" i="3" a="1"/>
  <c r="J132" i="3" s="1"/>
  <c r="BD132" i="3" a="1"/>
  <c r="BD132" i="3" s="1"/>
  <c r="M132" i="3" a="1"/>
  <c r="M132" i="3" s="1"/>
  <c r="AB132" i="3" a="1"/>
  <c r="AB132" i="3" s="1"/>
  <c r="C168" i="3" a="1"/>
  <c r="C168" i="3" s="1"/>
  <c r="C171" i="3" a="1"/>
  <c r="C171" i="3" s="1"/>
  <c r="C136" i="3" a="1"/>
  <c r="C136" i="3" s="1"/>
  <c r="C154" i="3" a="1"/>
  <c r="C154" i="3" s="1"/>
  <c r="C164" i="3" a="1"/>
  <c r="C164" i="3" s="1"/>
  <c r="V152" i="3" a="1"/>
  <c r="V152" i="3" s="1"/>
  <c r="V150" i="3" a="1"/>
  <c r="V150" i="3" s="1"/>
  <c r="V133" i="3" a="1"/>
  <c r="V133" i="3" s="1"/>
  <c r="V154" i="3" a="1"/>
  <c r="V154" i="3" s="1"/>
  <c r="V105" i="3" a="1"/>
  <c r="V105" i="3" s="1"/>
  <c r="K145" i="3" a="1"/>
  <c r="K145" i="3" s="1"/>
  <c r="K137" i="3" a="1"/>
  <c r="K137" i="3" s="1"/>
  <c r="K141" i="3" a="1"/>
  <c r="K141" i="3" s="1"/>
  <c r="K126" i="3" a="1"/>
  <c r="K126" i="3" s="1"/>
  <c r="K163" i="3" a="1"/>
  <c r="K163" i="3" s="1"/>
  <c r="K116" i="3" a="1"/>
  <c r="K116" i="3" s="1"/>
  <c r="AC146" i="3" a="1"/>
  <c r="AC146" i="3" s="1"/>
  <c r="AC125" i="3" a="1"/>
  <c r="AC125" i="3" s="1"/>
  <c r="AC105" i="3" a="1"/>
  <c r="AC105" i="3" s="1"/>
  <c r="AC153" i="3" a="1"/>
  <c r="AC153" i="3" s="1"/>
  <c r="AC103" i="3" a="1"/>
  <c r="AC103" i="3" s="1"/>
  <c r="I156" i="3" a="1"/>
  <c r="I156" i="3" s="1"/>
  <c r="I136" i="3" a="1"/>
  <c r="I136" i="3" s="1"/>
  <c r="I171" i="3" a="1"/>
  <c r="I171" i="3" s="1"/>
  <c r="I132" i="3" a="1"/>
  <c r="I132" i="3" s="1"/>
  <c r="I106" i="3" a="1"/>
  <c r="I106" i="3" s="1"/>
  <c r="I119" i="3" a="1"/>
  <c r="I119" i="3" s="1"/>
  <c r="Q160" i="3" a="1"/>
  <c r="Q160" i="3" s="1"/>
  <c r="Q143" i="3" a="1"/>
  <c r="Q143" i="3" s="1"/>
  <c r="Q142" i="3" a="1"/>
  <c r="Q142" i="3" s="1"/>
  <c r="Q106" i="3" a="1"/>
  <c r="Q106" i="3" s="1"/>
  <c r="Q108" i="3" a="1"/>
  <c r="Q108" i="3" s="1"/>
  <c r="D168" i="3" a="1"/>
  <c r="D168" i="3" s="1"/>
  <c r="D127" i="3" a="1"/>
  <c r="D127" i="3" s="1"/>
  <c r="D142" i="3" a="1"/>
  <c r="D142" i="3" s="1"/>
  <c r="D108" i="3" a="1"/>
  <c r="D108" i="3" s="1"/>
  <c r="F150" i="3" a="1"/>
  <c r="F150" i="3" s="1"/>
  <c r="F163" i="3" a="1"/>
  <c r="F163" i="3" s="1"/>
  <c r="F106" i="3" a="1"/>
  <c r="F106" i="3" s="1"/>
  <c r="F114" i="3" a="1"/>
  <c r="F114" i="3" s="1"/>
  <c r="F169" i="3" a="1"/>
  <c r="F169" i="3" s="1"/>
  <c r="X132" i="3" a="1"/>
  <c r="X132" i="3" s="1"/>
  <c r="X165" i="3" a="1"/>
  <c r="X165" i="3" s="1"/>
  <c r="X163" i="3" a="1"/>
  <c r="X163" i="3" s="1"/>
  <c r="BT123" i="3" a="1"/>
  <c r="BT123" i="3" s="1"/>
  <c r="X123" i="3" a="1"/>
  <c r="X123" i="3" s="1"/>
  <c r="X161" i="3" a="1"/>
  <c r="X161" i="3" s="1"/>
  <c r="X130" i="3" a="1"/>
  <c r="X130" i="3" s="1"/>
  <c r="X164" i="3" a="1"/>
  <c r="X164" i="3" s="1"/>
  <c r="X148" i="3" a="1"/>
  <c r="X148" i="3" s="1"/>
  <c r="X134" i="3" a="1"/>
  <c r="X134" i="3" s="1"/>
  <c r="X128" i="3" a="1"/>
  <c r="X128" i="3" s="1"/>
  <c r="X166" i="3" a="1"/>
  <c r="X166" i="3" s="1"/>
  <c r="X131" i="3" a="1"/>
  <c r="X131" i="3" s="1"/>
  <c r="AX123" i="3" a="1"/>
  <c r="AX123" i="3" s="1"/>
  <c r="AI123" i="3" a="1"/>
  <c r="AI123" i="3" s="1"/>
  <c r="AS123" i="3" a="1"/>
  <c r="AS123" i="3" s="1"/>
  <c r="W123" i="3" a="1"/>
  <c r="W123" i="3" s="1"/>
  <c r="AD123" i="3" a="1"/>
  <c r="AD123" i="3" s="1"/>
  <c r="BD123" i="3" a="1"/>
  <c r="BD123" i="3" s="1"/>
  <c r="AU123" i="3" a="1"/>
  <c r="AU123" i="3" s="1"/>
  <c r="X106" i="3" a="1"/>
  <c r="X106" i="3" s="1"/>
  <c r="X113" i="3" a="1"/>
  <c r="X113" i="3" s="1"/>
  <c r="X111" i="3" a="1"/>
  <c r="X111" i="3" s="1"/>
  <c r="X162" i="3" a="1"/>
  <c r="X162" i="3" s="1"/>
  <c r="X103" i="3" a="1"/>
  <c r="X103" i="3" s="1"/>
  <c r="X102" i="3" a="1"/>
  <c r="X102" i="3" s="1"/>
  <c r="X168" i="3" a="1"/>
  <c r="X168" i="3" s="1"/>
  <c r="X150" i="3" a="1"/>
  <c r="X150" i="3" s="1"/>
  <c r="X121" i="3" a="1"/>
  <c r="X121" i="3" s="1"/>
  <c r="BE123" i="3" a="1"/>
  <c r="BE123" i="3" s="1"/>
  <c r="AB123" i="3" a="1"/>
  <c r="AB123" i="3" s="1"/>
  <c r="X145" i="3" a="1"/>
  <c r="X145" i="3" s="1"/>
  <c r="X126" i="3" a="1"/>
  <c r="X126" i="3" s="1"/>
  <c r="X140" i="3" a="1"/>
  <c r="X140" i="3" s="1"/>
  <c r="X136" i="3" a="1"/>
  <c r="X136" i="3" s="1"/>
  <c r="X129" i="3" a="1"/>
  <c r="X129" i="3" s="1"/>
  <c r="AN173" i="3" a="1"/>
  <c r="AN173" i="3" s="1"/>
  <c r="G150" i="3" a="1"/>
  <c r="G150" i="3" s="1"/>
  <c r="G128" i="3" a="1"/>
  <c r="G128" i="3" s="1"/>
  <c r="G130" i="3" a="1"/>
  <c r="G130" i="3" s="1"/>
  <c r="Y153" i="3" a="1"/>
  <c r="Y153" i="3" s="1"/>
  <c r="Y151" i="3" a="1"/>
  <c r="Y151" i="3" s="1"/>
  <c r="Y112" i="3" a="1"/>
  <c r="Y112" i="3" s="1"/>
  <c r="Y167" i="3" a="1"/>
  <c r="Y167" i="3" s="1"/>
  <c r="Z154" i="3" a="1"/>
  <c r="Z154" i="3" s="1"/>
  <c r="Z117" i="3" a="1"/>
  <c r="Z117" i="3" s="1"/>
  <c r="Z112" i="3" a="1"/>
  <c r="Z112" i="3" s="1"/>
  <c r="AA132" i="3" a="1"/>
  <c r="AA132" i="3" s="1"/>
  <c r="J138" i="3" a="1"/>
  <c r="J138" i="3" s="1"/>
  <c r="P124" i="3" a="1"/>
  <c r="P124" i="3" s="1"/>
  <c r="AC120" i="3" a="1"/>
  <c r="AC120" i="3" s="1"/>
  <c r="AC102" i="3" a="1"/>
  <c r="AC102" i="3" s="1"/>
  <c r="AC159" i="3" a="1"/>
  <c r="AC159" i="3" s="1"/>
  <c r="AC107" i="3" a="1"/>
  <c r="AC107" i="3" s="1"/>
  <c r="AC171" i="3" a="1"/>
  <c r="AC171" i="3" s="1"/>
  <c r="I140" i="3" a="1"/>
  <c r="I140" i="3" s="1"/>
  <c r="I102" i="3" a="1"/>
  <c r="I102" i="3" s="1"/>
  <c r="I168" i="3" a="1"/>
  <c r="I168" i="3" s="1"/>
  <c r="I162" i="3" a="1"/>
  <c r="I162" i="3" s="1"/>
  <c r="I118" i="3" a="1"/>
  <c r="I118" i="3" s="1"/>
  <c r="Q123" i="3" a="1"/>
  <c r="Q123" i="3" s="1"/>
  <c r="Q156" i="3" a="1"/>
  <c r="Q156" i="3" s="1"/>
  <c r="Q152" i="3" a="1"/>
  <c r="Q152" i="3" s="1"/>
  <c r="Q120" i="3" a="1"/>
  <c r="Q120" i="3" s="1"/>
  <c r="Q116" i="3" a="1"/>
  <c r="Q116" i="3" s="1"/>
  <c r="D152" i="3" a="1"/>
  <c r="D152" i="3" s="1"/>
  <c r="D136" i="3" a="1"/>
  <c r="D136" i="3" s="1"/>
  <c r="W103" i="3" a="1"/>
  <c r="W103" i="3" s="1"/>
  <c r="D131" i="3" a="1"/>
  <c r="D131" i="3" s="1"/>
  <c r="D144" i="3" a="1"/>
  <c r="D144" i="3" s="1"/>
  <c r="D162" i="3" a="1"/>
  <c r="D162" i="3" s="1"/>
  <c r="D104" i="3" a="1"/>
  <c r="D104" i="3" s="1"/>
  <c r="D116" i="3" a="1"/>
  <c r="D116" i="3" s="1"/>
  <c r="D133" i="3" a="1"/>
  <c r="D133" i="3" s="1"/>
  <c r="AX103" i="3" a="1"/>
  <c r="AX103" i="3" s="1"/>
  <c r="AI103" i="3" a="1"/>
  <c r="AI103" i="3" s="1"/>
  <c r="BT103" i="3" a="1"/>
  <c r="BT103" i="3" s="1"/>
  <c r="M103" i="3" a="1"/>
  <c r="M103" i="3" s="1"/>
  <c r="BA103" i="3" a="1"/>
  <c r="BA103" i="3" s="1"/>
  <c r="AF103" i="3" a="1"/>
  <c r="AF103" i="3" s="1"/>
  <c r="BM103" i="3" a="1"/>
  <c r="BM103" i="3" s="1"/>
  <c r="J103" i="3" a="1"/>
  <c r="J103" i="3" s="1"/>
  <c r="AU103" i="3" a="1"/>
  <c r="AU103" i="3" s="1"/>
  <c r="BD103" i="3" a="1"/>
  <c r="BD103" i="3" s="1"/>
  <c r="BI103" i="3" a="1"/>
  <c r="BI103" i="3" s="1"/>
  <c r="F172" i="3" a="1"/>
  <c r="F172" i="3" s="1"/>
  <c r="F167" i="3" a="1"/>
  <c r="F167" i="3" s="1"/>
  <c r="F155" i="3" a="1"/>
  <c r="F155" i="3" s="1"/>
  <c r="F136" i="3" a="1"/>
  <c r="F136" i="3" s="1"/>
  <c r="F159" i="3" a="1"/>
  <c r="F159" i="3" s="1"/>
  <c r="X133" i="3" a="1"/>
  <c r="X133" i="3" s="1"/>
  <c r="W106" i="3" a="1"/>
  <c r="W106" i="3" s="1"/>
  <c r="G141" i="3" a="1"/>
  <c r="G141" i="3" s="1"/>
  <c r="G153" i="3" a="1"/>
  <c r="G153" i="3" s="1"/>
  <c r="G140" i="3" a="1"/>
  <c r="G140" i="3" s="1"/>
  <c r="G173" i="3" a="1"/>
  <c r="G173" i="3" s="1"/>
  <c r="G172" i="3" a="1"/>
  <c r="G172" i="3" s="1"/>
  <c r="G148" i="3" a="1"/>
  <c r="G148" i="3" s="1"/>
  <c r="G149" i="3" a="1"/>
  <c r="G149" i="3" s="1"/>
  <c r="G157" i="3" a="1"/>
  <c r="G157" i="3" s="1"/>
  <c r="G170" i="3" a="1"/>
  <c r="G170" i="3" s="1"/>
  <c r="AX106" i="3" a="1"/>
  <c r="AX106" i="3" s="1"/>
  <c r="G160" i="3" a="1"/>
  <c r="G160" i="3" s="1"/>
  <c r="G139" i="3" a="1"/>
  <c r="G139" i="3" s="1"/>
  <c r="G162" i="3" a="1"/>
  <c r="G162" i="3" s="1"/>
  <c r="BE106" i="3" a="1"/>
  <c r="BE106" i="3" s="1"/>
  <c r="AI106" i="3" a="1"/>
  <c r="AI106" i="3" s="1"/>
  <c r="AS106" i="3" a="1"/>
  <c r="AS106" i="3" s="1"/>
  <c r="BT106" i="3" a="1"/>
  <c r="BT106" i="3" s="1"/>
  <c r="BU106" i="3" a="1"/>
  <c r="BU106" i="3" s="1"/>
  <c r="E106" i="3" a="1"/>
  <c r="E106" i="3" s="1"/>
  <c r="BI106" i="3" a="1"/>
  <c r="BI106" i="3" s="1"/>
  <c r="AF106" i="3" a="1"/>
  <c r="AF106" i="3" s="1"/>
  <c r="M106" i="3" a="1"/>
  <c r="M106" i="3" s="1"/>
  <c r="BM106" i="3" a="1"/>
  <c r="BM106" i="3" s="1"/>
  <c r="AD106" i="3" a="1"/>
  <c r="AD106" i="3" s="1"/>
  <c r="AB106" i="3" a="1"/>
  <c r="AB106" i="3" s="1"/>
  <c r="AU106" i="3" a="1"/>
  <c r="AU106" i="3" s="1"/>
  <c r="J106" i="3" a="1"/>
  <c r="J106" i="3" s="1"/>
  <c r="BD106" i="3" a="1"/>
  <c r="BD106" i="3" s="1"/>
  <c r="H106" i="3" a="1"/>
  <c r="H106" i="3" s="1"/>
  <c r="G171" i="3" a="1"/>
  <c r="G171" i="3" s="1"/>
  <c r="G154" i="3" a="1"/>
  <c r="G154" i="3" s="1"/>
  <c r="G131" i="3" a="1"/>
  <c r="G131" i="3" s="1"/>
  <c r="G126" i="3" a="1"/>
  <c r="G126" i="3" s="1"/>
  <c r="G118" i="3" a="1"/>
  <c r="G118" i="3" s="1"/>
  <c r="G161" i="3" a="1"/>
  <c r="G161" i="3" s="1"/>
  <c r="G116" i="3" a="1"/>
  <c r="G116" i="3" s="1"/>
  <c r="G165" i="3" a="1"/>
  <c r="G165" i="3" s="1"/>
  <c r="G134" i="3" a="1"/>
  <c r="G134" i="3" s="1"/>
  <c r="G143" i="3" a="1"/>
  <c r="G143" i="3" s="1"/>
  <c r="G102" i="3" a="1"/>
  <c r="G102" i="3" s="1"/>
  <c r="G113" i="3" a="1"/>
  <c r="G113" i="3" s="1"/>
  <c r="G163" i="3" a="1"/>
  <c r="G163" i="3" s="1"/>
  <c r="G111" i="3" a="1"/>
  <c r="G111" i="3" s="1"/>
  <c r="G122" i="3" a="1"/>
  <c r="G122" i="3" s="1"/>
  <c r="Y139" i="3" a="1"/>
  <c r="Y139" i="3" s="1"/>
  <c r="Y162" i="3" a="1"/>
  <c r="Y162" i="3" s="1"/>
  <c r="Y111" i="3" a="1"/>
  <c r="Y111" i="3" s="1"/>
  <c r="AH138" i="3" a="1"/>
  <c r="AH138" i="3" s="1"/>
  <c r="K139" i="3" a="1"/>
  <c r="K139" i="3" s="1"/>
  <c r="I124" i="3" a="1"/>
  <c r="I124" i="3" s="1"/>
  <c r="W108" i="3" a="1"/>
  <c r="W108" i="3" s="1"/>
  <c r="I151" i="3" a="1"/>
  <c r="I151" i="3" s="1"/>
  <c r="I172" i="3" a="1"/>
  <c r="I172" i="3" s="1"/>
  <c r="BT108" i="3" a="1"/>
  <c r="BT108" i="3" s="1"/>
  <c r="I159" i="3" a="1"/>
  <c r="I159" i="3" s="1"/>
  <c r="I152" i="3" a="1"/>
  <c r="I152" i="3" s="1"/>
  <c r="I154" i="3" a="1"/>
  <c r="I154" i="3" s="1"/>
  <c r="I123" i="3" a="1"/>
  <c r="I123" i="3" s="1"/>
  <c r="BA108" i="3" a="1"/>
  <c r="BA108" i="3" s="1"/>
  <c r="AS108" i="3" a="1"/>
  <c r="AS108" i="3" s="1"/>
  <c r="AX108" i="3" a="1"/>
  <c r="AX108" i="3" s="1"/>
  <c r="H108" i="3" a="1"/>
  <c r="H108" i="3" s="1"/>
  <c r="BU108" i="3" a="1"/>
  <c r="BU108" i="3" s="1"/>
  <c r="BI108" i="3" a="1"/>
  <c r="BI108" i="3" s="1"/>
  <c r="J108" i="3" a="1"/>
  <c r="J108" i="3" s="1"/>
  <c r="AU108" i="3" a="1"/>
  <c r="AU108" i="3" s="1"/>
  <c r="M108" i="3" a="1"/>
  <c r="M108" i="3" s="1"/>
  <c r="AF108" i="3" a="1"/>
  <c r="AF108" i="3" s="1"/>
  <c r="L108" i="3" a="1"/>
  <c r="L108" i="3" s="1"/>
  <c r="BM108" i="3" a="1"/>
  <c r="BM108" i="3" s="1"/>
  <c r="AB108" i="3" a="1"/>
  <c r="AB108" i="3" s="1"/>
  <c r="F108" i="3" a="1"/>
  <c r="F108" i="3" s="1"/>
  <c r="Y164" i="3" a="1"/>
  <c r="Y164" i="3" s="1"/>
  <c r="Y150" i="3" a="1"/>
  <c r="Y150" i="3" s="1"/>
  <c r="Y172" i="3" a="1"/>
  <c r="Y172" i="3" s="1"/>
  <c r="W124" i="3" a="1"/>
  <c r="W124" i="3" s="1"/>
  <c r="Y121" i="3" a="1"/>
  <c r="Y121" i="3" s="1"/>
  <c r="Y132" i="3" a="1"/>
  <c r="Y132" i="3" s="1"/>
  <c r="Y171" i="3" a="1"/>
  <c r="Y171" i="3" s="1"/>
  <c r="Y163" i="3" a="1"/>
  <c r="Y163" i="3" s="1"/>
  <c r="BT124" i="3" a="1"/>
  <c r="BT124" i="3" s="1"/>
  <c r="Y152" i="3" a="1"/>
  <c r="Y152" i="3" s="1"/>
  <c r="Y168" i="3" a="1"/>
  <c r="Y168" i="3" s="1"/>
  <c r="AI124" i="3" a="1"/>
  <c r="AI124" i="3" s="1"/>
  <c r="Y158" i="3" a="1"/>
  <c r="Y158" i="3" s="1"/>
  <c r="E124" i="3" a="1"/>
  <c r="E124" i="3" s="1"/>
  <c r="AX124" i="3" a="1"/>
  <c r="AX124" i="3" s="1"/>
  <c r="Y127" i="3" a="1"/>
  <c r="Y127" i="3" s="1"/>
  <c r="BU124" i="3" a="1"/>
  <c r="BU124" i="3" s="1"/>
  <c r="BA124" i="3" a="1"/>
  <c r="BA124" i="3" s="1"/>
  <c r="AF124" i="3" a="1"/>
  <c r="AF124" i="3" s="1"/>
  <c r="L124" i="3" a="1"/>
  <c r="L124" i="3" s="1"/>
  <c r="BD124" i="3" a="1"/>
  <c r="BD124" i="3" s="1"/>
  <c r="BE124" i="3" a="1"/>
  <c r="BE124" i="3" s="1"/>
  <c r="AU124" i="3" a="1"/>
  <c r="AU124" i="3" s="1"/>
  <c r="Y169" i="3" a="1"/>
  <c r="Y169" i="3" s="1"/>
  <c r="Y159" i="3" a="1"/>
  <c r="Y159" i="3" s="1"/>
  <c r="Y129" i="3" a="1"/>
  <c r="Y129" i="3" s="1"/>
  <c r="Y123" i="3" a="1"/>
  <c r="Y123" i="3" s="1"/>
  <c r="Y170" i="3" a="1"/>
  <c r="Y170" i="3" s="1"/>
  <c r="Y135" i="3" a="1"/>
  <c r="Y135" i="3" s="1"/>
  <c r="Y110" i="3" a="1"/>
  <c r="Y110" i="3" s="1"/>
  <c r="Y124" i="3" a="1"/>
  <c r="Y124" i="3" s="1"/>
  <c r="Y146" i="3" a="1"/>
  <c r="Y146" i="3" s="1"/>
  <c r="Y137" i="3" a="1"/>
  <c r="Y137" i="3" s="1"/>
  <c r="J124" i="3" a="1"/>
  <c r="J124" i="3" s="1"/>
  <c r="Y154" i="3" a="1"/>
  <c r="Y154" i="3" s="1"/>
  <c r="Y118" i="3" a="1"/>
  <c r="Y118" i="3" s="1"/>
  <c r="Y134" i="3" a="1"/>
  <c r="Y134" i="3" s="1"/>
  <c r="Y113" i="3" a="1"/>
  <c r="Y113" i="3" s="1"/>
  <c r="Y138" i="3" a="1"/>
  <c r="Y138" i="3" s="1"/>
  <c r="Y161" i="3" a="1"/>
  <c r="Y161" i="3" s="1"/>
  <c r="Z116" i="3" a="1"/>
  <c r="Z116" i="3" s="1"/>
  <c r="Z124" i="3" a="1"/>
  <c r="Z124" i="3" s="1"/>
  <c r="AA108" i="3" a="1"/>
  <c r="AA108" i="3" s="1"/>
  <c r="AA102" i="3" a="1"/>
  <c r="AA102" i="3" s="1"/>
  <c r="S121" i="3" a="1"/>
  <c r="S121" i="3" s="1"/>
  <c r="BT125" i="3" a="1"/>
  <c r="BT125" i="3" s="1"/>
  <c r="AM127" i="3" a="1"/>
  <c r="AM127" i="3" s="1"/>
  <c r="AM168" i="3" a="1"/>
  <c r="AM168" i="3" s="1"/>
  <c r="AM104" i="3" a="1"/>
  <c r="AM104" i="3" s="1"/>
  <c r="AM162" i="3" a="1"/>
  <c r="AM162" i="3" s="1"/>
  <c r="AM141" i="3" a="1"/>
  <c r="AM141" i="3" s="1"/>
  <c r="AM159" i="3" a="1"/>
  <c r="AM159" i="3" s="1"/>
  <c r="AM133" i="3" a="1"/>
  <c r="AM133" i="3" s="1"/>
  <c r="W138" i="3" a="1"/>
  <c r="W138" i="3" s="1"/>
  <c r="BU138" i="3" a="1"/>
  <c r="BU138" i="3" s="1"/>
  <c r="AI138" i="3" a="1"/>
  <c r="AI138" i="3" s="1"/>
  <c r="H138" i="3" a="1"/>
  <c r="H138" i="3" s="1"/>
  <c r="E138" i="3" a="1"/>
  <c r="E138" i="3" s="1"/>
  <c r="BA138" i="3" a="1"/>
  <c r="BA138" i="3" s="1"/>
  <c r="AM166" i="3" a="1"/>
  <c r="AM166" i="3" s="1"/>
  <c r="BT138" i="3" a="1"/>
  <c r="BT138" i="3" s="1"/>
  <c r="AS138" i="3" a="1"/>
  <c r="AS138" i="3" s="1"/>
  <c r="BI138" i="3" a="1"/>
  <c r="BI138" i="3" s="1"/>
  <c r="BE138" i="3" a="1"/>
  <c r="BE138" i="3" s="1"/>
  <c r="BD138" i="3" a="1"/>
  <c r="BD138" i="3" s="1"/>
  <c r="AD138" i="3" a="1"/>
  <c r="AD138" i="3" s="1"/>
  <c r="BM138" i="3" a="1"/>
  <c r="BM138" i="3" s="1"/>
  <c r="M138" i="3" a="1"/>
  <c r="M138" i="3" s="1"/>
  <c r="AN138" i="3" a="1"/>
  <c r="AN138" i="3" s="1"/>
  <c r="K166" i="3" a="1"/>
  <c r="K166" i="3" s="1"/>
  <c r="K158" i="3" a="1"/>
  <c r="K158" i="3" s="1"/>
  <c r="K154" i="3" a="1"/>
  <c r="K154" i="3" s="1"/>
  <c r="K169" i="3" a="1"/>
  <c r="K169" i="3" s="1"/>
  <c r="K152" i="3" a="1"/>
  <c r="K152" i="3" s="1"/>
  <c r="K132" i="3" a="1"/>
  <c r="K132" i="3" s="1"/>
  <c r="K120" i="3" a="1"/>
  <c r="K120" i="3" s="1"/>
  <c r="K124" i="3" a="1"/>
  <c r="K124" i="3" s="1"/>
  <c r="K153" i="3" a="1"/>
  <c r="K153" i="3" s="1"/>
  <c r="BE110" i="3" a="1"/>
  <c r="BE110" i="3" s="1"/>
  <c r="BT110" i="3" a="1"/>
  <c r="BT110" i="3" s="1"/>
  <c r="AX110" i="3" a="1"/>
  <c r="AX110" i="3" s="1"/>
  <c r="S110" i="3" a="1"/>
  <c r="S110" i="3" s="1"/>
  <c r="M110" i="3" a="1"/>
  <c r="M110" i="3" s="1"/>
  <c r="W110" i="3" a="1"/>
  <c r="W110" i="3" s="1"/>
  <c r="BU110" i="3" a="1"/>
  <c r="BU110" i="3" s="1"/>
  <c r="AI110" i="3" a="1"/>
  <c r="AI110" i="3" s="1"/>
  <c r="AF110" i="3" a="1"/>
  <c r="AF110" i="3" s="1"/>
  <c r="BD110" i="3" a="1"/>
  <c r="BD110" i="3" s="1"/>
  <c r="E110" i="3" a="1"/>
  <c r="E110" i="3" s="1"/>
  <c r="AB110" i="3" a="1"/>
  <c r="AB110" i="3" s="1"/>
  <c r="AC110" i="3" a="1"/>
  <c r="AC110" i="3" s="1"/>
  <c r="I110" i="3" a="1"/>
  <c r="I110" i="3" s="1"/>
  <c r="Q121" i="3" a="1"/>
  <c r="Q121" i="3" s="1"/>
  <c r="G108" i="3" a="1"/>
  <c r="G108" i="3" s="1"/>
  <c r="Y128" i="3" a="1"/>
  <c r="Y128" i="3" s="1"/>
  <c r="AU110" i="3" a="1"/>
  <c r="AU110" i="3" s="1"/>
  <c r="AM146" i="3" a="1"/>
  <c r="AM146" i="3" s="1"/>
  <c r="AM123" i="3" a="1"/>
  <c r="AM123" i="3" s="1"/>
  <c r="AM148" i="3" a="1"/>
  <c r="AM148" i="3" s="1"/>
  <c r="AM118" i="3" a="1"/>
  <c r="AM118" i="3" s="1"/>
  <c r="AM108" i="3" a="1"/>
  <c r="AM108" i="3" s="1"/>
  <c r="AH173" i="3" a="1"/>
  <c r="AH173" i="3" s="1"/>
  <c r="AH153" i="3" a="1"/>
  <c r="AH153" i="3" s="1"/>
  <c r="AH114" i="3" a="1"/>
  <c r="AH114" i="3" s="1"/>
  <c r="AH133" i="3" a="1"/>
  <c r="AH133" i="3" s="1"/>
  <c r="W133" i="3" a="1"/>
  <c r="W133" i="3" s="1"/>
  <c r="AH129" i="3" a="1"/>
  <c r="AH129" i="3" s="1"/>
  <c r="AH168" i="3" a="1"/>
  <c r="AH168" i="3" s="1"/>
  <c r="AI133" i="3" a="1"/>
  <c r="AI133" i="3" s="1"/>
  <c r="P133" i="3" a="1"/>
  <c r="P133" i="3" s="1"/>
  <c r="AX133" i="3" a="1"/>
  <c r="AX133" i="3" s="1"/>
  <c r="S133" i="3" a="1"/>
  <c r="S133" i="3" s="1"/>
  <c r="E133" i="3" a="1"/>
  <c r="E133" i="3" s="1"/>
  <c r="AS133" i="3" a="1"/>
  <c r="AS133" i="3" s="1"/>
  <c r="BT133" i="3" a="1"/>
  <c r="BT133" i="3" s="1"/>
  <c r="L133" i="3" a="1"/>
  <c r="L133" i="3" s="1"/>
  <c r="J133" i="3" a="1"/>
  <c r="J133" i="3" s="1"/>
  <c r="BD133" i="3" a="1"/>
  <c r="BD133" i="3" s="1"/>
  <c r="M133" i="3" a="1"/>
  <c r="M133" i="3" s="1"/>
  <c r="AD133" i="3" a="1"/>
  <c r="AD133" i="3" s="1"/>
  <c r="AB133" i="3" a="1"/>
  <c r="AB133" i="3" s="1"/>
  <c r="BE133" i="3" a="1"/>
  <c r="BE133" i="3" s="1"/>
  <c r="K110" i="3" a="1"/>
  <c r="K110" i="3" s="1"/>
  <c r="K140" i="3" a="1"/>
  <c r="K140" i="3" s="1"/>
  <c r="K173" i="3" a="1"/>
  <c r="K173" i="3" s="1"/>
  <c r="K128" i="3" a="1"/>
  <c r="K128" i="3" s="1"/>
  <c r="K106" i="3" a="1"/>
  <c r="K106" i="3" s="1"/>
  <c r="AC141" i="3" a="1"/>
  <c r="AC141" i="3" s="1"/>
  <c r="AC131" i="3" a="1"/>
  <c r="AC131" i="3" s="1"/>
  <c r="AC126" i="3" a="1"/>
  <c r="AC126" i="3" s="1"/>
  <c r="AC112" i="3" a="1"/>
  <c r="AC112" i="3" s="1"/>
  <c r="I129" i="3" a="1"/>
  <c r="I129" i="3" s="1"/>
  <c r="I138" i="3" a="1"/>
  <c r="I138" i="3" s="1"/>
  <c r="I122" i="3" a="1"/>
  <c r="I122" i="3" s="1"/>
  <c r="I117" i="3" a="1"/>
  <c r="I117" i="3" s="1"/>
  <c r="Q155" i="3" a="1"/>
  <c r="Q155" i="3" s="1"/>
  <c r="Q122" i="3" a="1"/>
  <c r="Q122" i="3" s="1"/>
  <c r="Q107" i="3" a="1"/>
  <c r="Q107" i="3" s="1"/>
  <c r="D138" i="3" a="1"/>
  <c r="D138" i="3" s="1"/>
  <c r="D102" i="3" a="1"/>
  <c r="D102" i="3" s="1"/>
  <c r="F132" i="3" a="1"/>
  <c r="F132" i="3" s="1"/>
  <c r="X110" i="3" a="1"/>
  <c r="X110" i="3" s="1"/>
  <c r="AN102" i="3" a="1"/>
  <c r="AN102" i="3" s="1"/>
  <c r="G121" i="3" a="1"/>
  <c r="G121" i="3" s="1"/>
  <c r="Y166" i="3" a="1"/>
  <c r="Y166" i="3" s="1"/>
  <c r="Y103" i="3" a="1"/>
  <c r="Y103" i="3" s="1"/>
  <c r="Y108" i="3" a="1"/>
  <c r="Y108" i="3" s="1"/>
  <c r="J121" i="3" a="1"/>
  <c r="J121" i="3" s="1"/>
  <c r="AM154" i="3" a="1"/>
  <c r="AM154" i="3" s="1"/>
  <c r="AM128" i="3" a="1"/>
  <c r="AM128" i="3" s="1"/>
  <c r="AM112" i="3" a="1"/>
  <c r="AM112" i="3" s="1"/>
  <c r="AM130" i="3" a="1"/>
  <c r="AM130" i="3" s="1"/>
  <c r="AM110" i="3" a="1"/>
  <c r="AM110" i="3" s="1"/>
  <c r="AH172" i="3" a="1"/>
  <c r="AH172" i="3" s="1"/>
  <c r="AH117" i="3" a="1"/>
  <c r="AH117" i="3" s="1"/>
  <c r="AH110" i="3" a="1"/>
  <c r="AH110" i="3" s="1"/>
  <c r="AH125" i="3" a="1"/>
  <c r="AH125" i="3" s="1"/>
  <c r="K149" i="3" a="1"/>
  <c r="K149" i="3" s="1"/>
  <c r="K138" i="3" a="1"/>
  <c r="K138" i="3" s="1"/>
  <c r="K171" i="3" a="1"/>
  <c r="K171" i="3" s="1"/>
  <c r="K150" i="3" a="1"/>
  <c r="K150" i="3" s="1"/>
  <c r="K107" i="3" a="1"/>
  <c r="K107" i="3" s="1"/>
  <c r="AC142" i="3" a="1"/>
  <c r="AC142" i="3" s="1"/>
  <c r="AC136" i="3" a="1"/>
  <c r="AC136" i="3" s="1"/>
  <c r="AC132" i="3" a="1"/>
  <c r="AC132" i="3" s="1"/>
  <c r="AC115" i="3" a="1"/>
  <c r="AC115" i="3" s="1"/>
  <c r="AC148" i="3" a="1"/>
  <c r="AC148" i="3" s="1"/>
  <c r="I125" i="3" a="1"/>
  <c r="I125" i="3" s="1"/>
  <c r="I166" i="3" a="1"/>
  <c r="I166" i="3" s="1"/>
  <c r="I126" i="3" a="1"/>
  <c r="I126" i="3" s="1"/>
  <c r="I109" i="3" a="1"/>
  <c r="I109" i="3" s="1"/>
  <c r="I107" i="3" a="1"/>
  <c r="I107" i="3" s="1"/>
  <c r="Q151" i="3" a="1"/>
  <c r="Q151" i="3" s="1"/>
  <c r="Q138" i="3" a="1"/>
  <c r="Q138" i="3" s="1"/>
  <c r="Q135" i="3" a="1"/>
  <c r="Q135" i="3" s="1"/>
  <c r="Q112" i="3" a="1"/>
  <c r="Q112" i="3" s="1"/>
  <c r="Q170" i="3" a="1"/>
  <c r="Q170" i="3" s="1"/>
  <c r="X105" i="3" a="1"/>
  <c r="X105" i="3" s="1"/>
  <c r="AN132" i="3" a="1"/>
  <c r="AN132" i="3" s="1"/>
  <c r="G103" i="3" a="1"/>
  <c r="G103" i="3" s="1"/>
  <c r="Y143" i="3" a="1"/>
  <c r="Y143" i="3" s="1"/>
  <c r="Y148" i="3" a="1"/>
  <c r="Y148" i="3" s="1"/>
  <c r="Y117" i="3" a="1"/>
  <c r="Y117" i="3" s="1"/>
  <c r="Y105" i="3" a="1"/>
  <c r="Y105" i="3" s="1"/>
  <c r="Z110" i="3" a="1"/>
  <c r="Z110" i="3" s="1"/>
  <c r="Z121" i="3" a="1"/>
  <c r="Z121" i="3" s="1"/>
  <c r="AA105" i="3" a="1"/>
  <c r="AA105" i="3" s="1"/>
  <c r="BD108" i="3" a="1"/>
  <c r="BD108" i="3" s="1"/>
  <c r="AM155" i="3" a="1"/>
  <c r="AM155" i="3" s="1"/>
  <c r="AM138" i="3" a="1"/>
  <c r="AM138" i="3" s="1"/>
  <c r="AM142" i="3" a="1"/>
  <c r="AM142" i="3" s="1"/>
  <c r="AM105" i="3" a="1"/>
  <c r="AM105" i="3" s="1"/>
  <c r="AM169" i="3" a="1"/>
  <c r="AM169" i="3" s="1"/>
  <c r="AH136" i="3" a="1"/>
  <c r="AH136" i="3" s="1"/>
  <c r="AH123" i="3" a="1"/>
  <c r="AH123" i="3" s="1"/>
  <c r="AH142" i="3" a="1"/>
  <c r="AH142" i="3" s="1"/>
  <c r="C151" i="3" a="1"/>
  <c r="C151" i="3" s="1"/>
  <c r="C144" i="3" a="1"/>
  <c r="C144" i="3" s="1"/>
  <c r="C128" i="3" a="1"/>
  <c r="C128" i="3" s="1"/>
  <c r="W102" i="3" a="1"/>
  <c r="W102" i="3" s="1"/>
  <c r="BT102" i="3" a="1"/>
  <c r="BT102" i="3" s="1"/>
  <c r="C172" i="3" a="1"/>
  <c r="C172" i="3" s="1"/>
  <c r="C169" i="3" a="1"/>
  <c r="C169" i="3" s="1"/>
  <c r="AX102" i="3" a="1"/>
  <c r="AX102" i="3" s="1"/>
  <c r="C129" i="3" a="1"/>
  <c r="C129" i="3" s="1"/>
  <c r="E102" i="3" a="1"/>
  <c r="E102" i="3" s="1"/>
  <c r="AI102" i="3" a="1"/>
  <c r="AI102" i="3" s="1"/>
  <c r="C148" i="3" a="1"/>
  <c r="C148" i="3" s="1"/>
  <c r="S102" i="3" a="1"/>
  <c r="S102" i="3" s="1"/>
  <c r="P102" i="3" a="1"/>
  <c r="P102" i="3" s="1"/>
  <c r="BU102" i="3" a="1"/>
  <c r="BU102" i="3" s="1"/>
  <c r="BE102" i="3" a="1"/>
  <c r="BE102" i="3" s="1"/>
  <c r="AF102" i="3" a="1"/>
  <c r="AF102" i="3" s="1"/>
  <c r="M102" i="3" a="1"/>
  <c r="M102" i="3" s="1"/>
  <c r="BM102" i="3" a="1"/>
  <c r="BM102" i="3" s="1"/>
  <c r="AU102" i="3" a="1"/>
  <c r="AU102" i="3" s="1"/>
  <c r="AB102" i="3" a="1"/>
  <c r="AB102" i="3" s="1"/>
  <c r="K143" i="3" a="1"/>
  <c r="K143" i="3" s="1"/>
  <c r="K134" i="3" a="1"/>
  <c r="K134" i="3" s="1"/>
  <c r="K151" i="3" a="1"/>
  <c r="K151" i="3" s="1"/>
  <c r="K144" i="3" a="1"/>
  <c r="K144" i="3" s="1"/>
  <c r="K104" i="3" a="1"/>
  <c r="K104" i="3" s="1"/>
  <c r="AC163" i="3" a="1"/>
  <c r="AC163" i="3" s="1"/>
  <c r="AC150" i="3" a="1"/>
  <c r="AC150" i="3" s="1"/>
  <c r="AC128" i="3" a="1"/>
  <c r="AC128" i="3" s="1"/>
  <c r="AC104" i="3" a="1"/>
  <c r="AC104" i="3" s="1"/>
  <c r="AC170" i="3" a="1"/>
  <c r="AC170" i="3" s="1"/>
  <c r="I133" i="3" a="1"/>
  <c r="I133" i="3" s="1"/>
  <c r="I145" i="3" a="1"/>
  <c r="I145" i="3" s="1"/>
  <c r="I143" i="3" a="1"/>
  <c r="I143" i="3" s="1"/>
  <c r="I128" i="3" a="1"/>
  <c r="I128" i="3" s="1"/>
  <c r="I103" i="3" a="1"/>
  <c r="I103" i="3" s="1"/>
  <c r="Q126" i="3" a="1"/>
  <c r="Q126" i="3" s="1"/>
  <c r="Q161" i="3" a="1"/>
  <c r="Q161" i="3" s="1"/>
  <c r="Q110" i="3" a="1"/>
  <c r="Q110" i="3" s="1"/>
  <c r="Q111" i="3" a="1"/>
  <c r="Q111" i="3" s="1"/>
  <c r="Q172" i="3" a="1"/>
  <c r="Q172" i="3" s="1"/>
  <c r="X138" i="3" a="1"/>
  <c r="X138" i="3" s="1"/>
  <c r="Y155" i="3" a="1"/>
  <c r="Y155" i="3" s="1"/>
  <c r="Y144" i="3" a="1"/>
  <c r="Y144" i="3" s="1"/>
  <c r="Y116" i="3" a="1"/>
  <c r="Y116" i="3" s="1"/>
  <c r="Y102" i="3" a="1"/>
  <c r="Y102" i="3" s="1"/>
  <c r="Z138" i="3" a="1"/>
  <c r="Z138" i="3" s="1"/>
  <c r="Z103" i="3" a="1"/>
  <c r="Z103" i="3" s="1"/>
  <c r="Z108" i="3" a="1"/>
  <c r="Z108" i="3" s="1"/>
  <c r="AB137" i="3" a="1"/>
  <c r="AB137" i="3" s="1"/>
  <c r="AD105" i="3" a="1"/>
  <c r="AD105" i="3" s="1"/>
  <c r="L106" i="3" a="1"/>
  <c r="L106" i="3" s="1"/>
  <c r="AJ130" i="3" a="1"/>
  <c r="AJ130" i="3" s="1"/>
  <c r="AJ154" i="3" a="1"/>
  <c r="AJ154" i="3" s="1"/>
  <c r="AJ123" i="3" a="1"/>
  <c r="AJ123" i="3" s="1"/>
  <c r="AJ167" i="3" a="1"/>
  <c r="AJ167" i="3" s="1"/>
  <c r="AJ166" i="3" a="1"/>
  <c r="AJ166" i="3" s="1"/>
  <c r="AJ131" i="3" a="1"/>
  <c r="AJ131" i="3" s="1"/>
  <c r="AJ172" i="3" a="1"/>
  <c r="AJ172" i="3" s="1"/>
  <c r="AJ148" i="3" a="1"/>
  <c r="AJ148" i="3" s="1"/>
  <c r="AJ138" i="3" a="1"/>
  <c r="AJ138" i="3" s="1"/>
  <c r="AJ162" i="3" a="1"/>
  <c r="AJ162" i="3" s="1"/>
  <c r="BU135" i="3" a="1"/>
  <c r="BU135" i="3" s="1"/>
  <c r="AJ135" i="3" a="1"/>
  <c r="AJ135" i="3" s="1"/>
  <c r="BT135" i="3" a="1"/>
  <c r="BT135" i="3" s="1"/>
  <c r="AX135" i="3" a="1"/>
  <c r="AX135" i="3" s="1"/>
  <c r="AJ102" i="3" a="1"/>
  <c r="AJ102" i="3" s="1"/>
  <c r="AJ124" i="3" a="1"/>
  <c r="AJ124" i="3" s="1"/>
  <c r="AJ125" i="3" a="1"/>
  <c r="AJ125" i="3" s="1"/>
  <c r="AJ152" i="3" a="1"/>
  <c r="AJ152" i="3" s="1"/>
  <c r="AJ115" i="3" a="1"/>
  <c r="AJ115" i="3" s="1"/>
  <c r="AJ105" i="3" a="1"/>
  <c r="AJ105" i="3" s="1"/>
  <c r="AJ128" i="3" a="1"/>
  <c r="AJ128" i="3" s="1"/>
  <c r="AJ155" i="3" a="1"/>
  <c r="AJ155" i="3" s="1"/>
  <c r="AJ145" i="3" a="1"/>
  <c r="AJ145" i="3" s="1"/>
  <c r="AJ171" i="3" a="1"/>
  <c r="AJ171" i="3" s="1"/>
  <c r="AJ104" i="3" a="1"/>
  <c r="AJ104" i="3" s="1"/>
  <c r="AJ121" i="3" a="1"/>
  <c r="AJ121" i="3" s="1"/>
  <c r="AJ143" i="3" a="1"/>
  <c r="AJ143" i="3" s="1"/>
  <c r="AJ151" i="3" a="1"/>
  <c r="AJ151" i="3" s="1"/>
  <c r="AJ146" i="3" a="1"/>
  <c r="AJ146" i="3" s="1"/>
  <c r="AJ173" i="3" a="1"/>
  <c r="AJ173" i="3" s="1"/>
  <c r="AJ120" i="3" a="1"/>
  <c r="AJ120" i="3" s="1"/>
  <c r="AJ140" i="3" a="1"/>
  <c r="AJ140" i="3" s="1"/>
  <c r="AJ147" i="3" a="1"/>
  <c r="AJ147" i="3" s="1"/>
  <c r="BD135" i="3" a="1"/>
  <c r="BD135" i="3" s="1"/>
  <c r="AJ170" i="3" a="1"/>
  <c r="AJ170" i="3" s="1"/>
  <c r="AJ157" i="3" a="1"/>
  <c r="AJ157" i="3" s="1"/>
  <c r="AJ142" i="3" a="1"/>
  <c r="AJ142" i="3" s="1"/>
  <c r="AJ168" i="3" a="1"/>
  <c r="AJ168" i="3" s="1"/>
  <c r="AJ113" i="3" a="1"/>
  <c r="AJ113" i="3" s="1"/>
  <c r="AJ122" i="3" a="1"/>
  <c r="AJ122" i="3" s="1"/>
  <c r="AJ119" i="3" a="1"/>
  <c r="AJ119" i="3" s="1"/>
  <c r="AJ164" i="3" a="1"/>
  <c r="AJ164" i="3" s="1"/>
  <c r="M135" i="3" a="1"/>
  <c r="M135" i="3" s="1"/>
  <c r="AJ109" i="3" a="1"/>
  <c r="AJ109" i="3" s="1"/>
  <c r="AJ139" i="3" a="1"/>
  <c r="AJ139" i="3" s="1"/>
  <c r="AJ127" i="3" a="1"/>
  <c r="AJ127" i="3" s="1"/>
  <c r="AJ141" i="3" a="1"/>
  <c r="AJ141" i="3" s="1"/>
  <c r="AJ116" i="3" a="1"/>
  <c r="AJ116" i="3" s="1"/>
  <c r="AJ107" i="3" a="1"/>
  <c r="AJ107" i="3" s="1"/>
  <c r="AJ111" i="3" a="1"/>
  <c r="AJ111" i="3" s="1"/>
  <c r="AJ117" i="3" a="1"/>
  <c r="AJ117" i="3" s="1"/>
  <c r="AB135" i="3" a="1"/>
  <c r="AB135" i="3" s="1"/>
  <c r="AJ118" i="3" a="1"/>
  <c r="AJ118" i="3" s="1"/>
  <c r="AJ136" i="3" a="1"/>
  <c r="AJ136" i="3" s="1"/>
  <c r="AJ158" i="3" a="1"/>
  <c r="AJ158" i="3" s="1"/>
  <c r="AJ153" i="3" a="1"/>
  <c r="AJ153" i="3" s="1"/>
  <c r="BM135" i="3" a="1"/>
  <c r="BM135" i="3" s="1"/>
  <c r="AJ112" i="3" a="1"/>
  <c r="AJ112" i="3" s="1"/>
  <c r="AJ129" i="3" a="1"/>
  <c r="AJ129" i="3" s="1"/>
  <c r="AJ165" i="3" a="1"/>
  <c r="AJ165" i="3" s="1"/>
  <c r="AJ134" i="3" a="1"/>
  <c r="AJ134" i="3" s="1"/>
  <c r="BI135" i="3" a="1"/>
  <c r="BI135" i="3" s="1"/>
  <c r="AJ103" i="3" a="1"/>
  <c r="AJ103" i="3" s="1"/>
  <c r="AJ144" i="3" a="1"/>
  <c r="AJ144" i="3" s="1"/>
  <c r="AJ161" i="3" a="1"/>
  <c r="AJ161" i="3" s="1"/>
  <c r="AJ126" i="3" a="1"/>
  <c r="AJ126" i="3" s="1"/>
  <c r="AF135" i="3" a="1"/>
  <c r="AF135" i="3" s="1"/>
  <c r="AJ108" i="3" a="1"/>
  <c r="AJ108" i="3" s="1"/>
  <c r="AJ159" i="3" a="1"/>
  <c r="AJ159" i="3" s="1"/>
  <c r="AJ132" i="3" a="1"/>
  <c r="AJ132" i="3" s="1"/>
  <c r="AJ133" i="3" a="1"/>
  <c r="AJ133" i="3" s="1"/>
  <c r="AU135" i="3" a="1"/>
  <c r="AU135" i="3" s="1"/>
  <c r="AJ114" i="3" a="1"/>
  <c r="AJ114" i="3" s="1"/>
  <c r="AJ137" i="3" a="1"/>
  <c r="AJ137" i="3" s="1"/>
  <c r="AJ160" i="3" a="1"/>
  <c r="AJ160" i="3" s="1"/>
  <c r="AJ149" i="3" a="1"/>
  <c r="AJ149" i="3" s="1"/>
  <c r="AJ106" i="3" a="1"/>
  <c r="AJ106" i="3" s="1"/>
  <c r="AJ169" i="3" a="1"/>
  <c r="AJ169" i="3" s="1"/>
  <c r="AJ156" i="3" a="1"/>
  <c r="AJ156" i="3" s="1"/>
  <c r="AM160" i="3" a="1"/>
  <c r="AM160" i="3" s="1"/>
  <c r="AM124" i="3" a="1"/>
  <c r="AM124" i="3" s="1"/>
  <c r="AM103" i="3" a="1"/>
  <c r="AM103" i="3" s="1"/>
  <c r="AM122" i="3" a="1"/>
  <c r="AM122" i="3" s="1"/>
  <c r="K167" i="3" a="1"/>
  <c r="K167" i="3" s="1"/>
  <c r="K125" i="3" a="1"/>
  <c r="K125" i="3" s="1"/>
  <c r="K115" i="3" a="1"/>
  <c r="K115" i="3" s="1"/>
  <c r="K105" i="3" a="1"/>
  <c r="K105" i="3" s="1"/>
  <c r="K103" i="3" a="1"/>
  <c r="K103" i="3" s="1"/>
  <c r="BT128" i="3" a="1"/>
  <c r="BT128" i="3" s="1"/>
  <c r="AC161" i="3" a="1"/>
  <c r="AC161" i="3" s="1"/>
  <c r="AC124" i="3" a="1"/>
  <c r="AC124" i="3" s="1"/>
  <c r="AC116" i="3" a="1"/>
  <c r="AC116" i="3" s="1"/>
  <c r="AC173" i="3" a="1"/>
  <c r="AC173" i="3" s="1"/>
  <c r="W128" i="3" a="1"/>
  <c r="W128" i="3" s="1"/>
  <c r="AC155" i="3" a="1"/>
  <c r="AC155" i="3" s="1"/>
  <c r="AC145" i="3" a="1"/>
  <c r="AC145" i="3" s="1"/>
  <c r="AC109" i="3" a="1"/>
  <c r="AC109" i="3" s="1"/>
  <c r="AC143" i="3" a="1"/>
  <c r="AC143" i="3" s="1"/>
  <c r="AC160" i="3" a="1"/>
  <c r="AC160" i="3" s="1"/>
  <c r="AC121" i="3" a="1"/>
  <c r="AC121" i="3" s="1"/>
  <c r="AC119" i="3" a="1"/>
  <c r="AC119" i="3" s="1"/>
  <c r="AI128" i="3" a="1"/>
  <c r="AI128" i="3" s="1"/>
  <c r="AC144" i="3" a="1"/>
  <c r="AC144" i="3" s="1"/>
  <c r="AC151" i="3" a="1"/>
  <c r="AC151" i="3" s="1"/>
  <c r="AC137" i="3" a="1"/>
  <c r="AC137" i="3" s="1"/>
  <c r="E128" i="3" a="1"/>
  <c r="E128" i="3" s="1"/>
  <c r="P128" i="3" a="1"/>
  <c r="P128" i="3" s="1"/>
  <c r="M128" i="3" a="1"/>
  <c r="M128" i="3" s="1"/>
  <c r="L128" i="3" a="1"/>
  <c r="L128" i="3" s="1"/>
  <c r="J128" i="3" a="1"/>
  <c r="J128" i="3" s="1"/>
  <c r="BM128" i="3" a="1"/>
  <c r="BM128" i="3" s="1"/>
  <c r="AF128" i="3" a="1"/>
  <c r="AF128" i="3" s="1"/>
  <c r="BD128" i="3" a="1"/>
  <c r="BD128" i="3" s="1"/>
  <c r="BE128" i="3" a="1"/>
  <c r="BE128" i="3" s="1"/>
  <c r="AD128" i="3" a="1"/>
  <c r="AD128" i="3" s="1"/>
  <c r="S128" i="3" a="1"/>
  <c r="S128" i="3" s="1"/>
  <c r="AN128" i="3" a="1"/>
  <c r="AN128" i="3" s="1"/>
  <c r="I144" i="3" a="1"/>
  <c r="I144" i="3" s="1"/>
  <c r="I167" i="3" a="1"/>
  <c r="I167" i="3" s="1"/>
  <c r="I111" i="3" a="1"/>
  <c r="I111" i="3" s="1"/>
  <c r="I121" i="3" a="1"/>
  <c r="I121" i="3" s="1"/>
  <c r="D132" i="3" a="1"/>
  <c r="D132" i="3" s="1"/>
  <c r="F121" i="3" a="1"/>
  <c r="F121" i="3" s="1"/>
  <c r="X108" i="3" a="1"/>
  <c r="X108" i="3" s="1"/>
  <c r="G133" i="3" a="1"/>
  <c r="G133" i="3" s="1"/>
  <c r="Y131" i="3" a="1"/>
  <c r="Y131" i="3" s="1"/>
  <c r="Y126" i="3" a="1"/>
  <c r="Y126" i="3" s="1"/>
  <c r="Z133" i="3" a="1"/>
  <c r="Z133" i="3" s="1"/>
  <c r="Z106" i="3" a="1"/>
  <c r="Z106" i="3" s="1"/>
  <c r="AA124" i="3" a="1"/>
  <c r="AA124" i="3" s="1"/>
  <c r="AU133" i="3" a="1"/>
  <c r="AU133" i="3" s="1"/>
  <c r="AB128" i="3" a="1"/>
  <c r="AB128" i="3" s="1"/>
  <c r="AM165" i="3" a="1"/>
  <c r="AM165" i="3" s="1"/>
  <c r="AM156" i="3" a="1"/>
  <c r="AM156" i="3" s="1"/>
  <c r="AM161" i="3" a="1"/>
  <c r="AM161" i="3" s="1"/>
  <c r="K102" i="3" a="1"/>
  <c r="K102" i="3" s="1"/>
  <c r="K159" i="3" a="1"/>
  <c r="K159" i="3" s="1"/>
  <c r="K109" i="3" a="1"/>
  <c r="K109" i="3" s="1"/>
  <c r="K113" i="3" a="1"/>
  <c r="K113" i="3" s="1"/>
  <c r="K165" i="3" a="1"/>
  <c r="K165" i="3" s="1"/>
  <c r="AC133" i="3" a="1"/>
  <c r="AC133" i="3" s="1"/>
  <c r="I149" i="3" a="1"/>
  <c r="I149" i="3" s="1"/>
  <c r="I148" i="3" a="1"/>
  <c r="I148" i="3" s="1"/>
  <c r="I120" i="3" a="1"/>
  <c r="I120" i="3" s="1"/>
  <c r="I114" i="3" a="1"/>
  <c r="I114" i="3" s="1"/>
  <c r="Q164" i="3" a="1"/>
  <c r="Q164" i="3" s="1"/>
  <c r="Q173" i="3" a="1"/>
  <c r="Q173" i="3" s="1"/>
  <c r="Q153" i="3" a="1"/>
  <c r="Q153" i="3" s="1"/>
  <c r="Q144" i="3" a="1"/>
  <c r="Q144" i="3" s="1"/>
  <c r="Q163" i="3" a="1"/>
  <c r="Q163" i="3" s="1"/>
  <c r="Q157" i="3" a="1"/>
  <c r="Q157" i="3" s="1"/>
  <c r="W116" i="3" a="1"/>
  <c r="W116" i="3" s="1"/>
  <c r="E116" i="3" a="1"/>
  <c r="E116" i="3" s="1"/>
  <c r="BT116" i="3" a="1"/>
  <c r="BT116" i="3" s="1"/>
  <c r="Q148" i="3" a="1"/>
  <c r="Q148" i="3" s="1"/>
  <c r="AI116" i="3" a="1"/>
  <c r="AI116" i="3" s="1"/>
  <c r="AB116" i="3" a="1"/>
  <c r="AB116" i="3" s="1"/>
  <c r="S116" i="3" a="1"/>
  <c r="S116" i="3" s="1"/>
  <c r="BI116" i="3" a="1"/>
  <c r="BI116" i="3" s="1"/>
  <c r="AD116" i="3" a="1"/>
  <c r="AD116" i="3" s="1"/>
  <c r="BE116" i="3" a="1"/>
  <c r="BE116" i="3" s="1"/>
  <c r="BD116" i="3" a="1"/>
  <c r="BD116" i="3" s="1"/>
  <c r="AN116" i="3" a="1"/>
  <c r="AN116" i="3" s="1"/>
  <c r="M116" i="3" a="1"/>
  <c r="M116" i="3" s="1"/>
  <c r="AN108" i="3" a="1"/>
  <c r="AN108" i="3" s="1"/>
  <c r="AN105" i="3" a="1"/>
  <c r="AN105" i="3" s="1"/>
  <c r="Y125" i="3" a="1"/>
  <c r="Y125" i="3" s="1"/>
  <c r="Y156" i="3" a="1"/>
  <c r="Y156" i="3" s="1"/>
  <c r="Z102" i="3" a="1"/>
  <c r="Z102" i="3" s="1"/>
  <c r="AA106" i="3" a="1"/>
  <c r="AA106" i="3" s="1"/>
  <c r="J116" i="3" a="1"/>
  <c r="J116" i="3" s="1"/>
  <c r="AD102" i="3" a="1"/>
  <c r="AD102" i="3" s="1"/>
  <c r="AN103" i="3" a="1"/>
  <c r="AN103" i="3" s="1"/>
  <c r="AN111" i="3" a="1"/>
  <c r="AN111" i="3" s="1"/>
  <c r="AA142" i="3" a="1"/>
  <c r="AA142" i="3" s="1"/>
  <c r="AA122" i="3" a="1"/>
  <c r="AA122" i="3" s="1"/>
  <c r="AA114" i="3" a="1"/>
  <c r="AA114" i="3" s="1"/>
  <c r="AA113" i="3" a="1"/>
  <c r="AA113" i="3" s="1"/>
  <c r="AA116" i="3" a="1"/>
  <c r="AA116" i="3" s="1"/>
  <c r="AU113" i="3" a="1"/>
  <c r="AU113" i="3" s="1"/>
  <c r="AU170" i="3" a="1"/>
  <c r="AU170" i="3" s="1"/>
  <c r="BD163" i="3" a="1"/>
  <c r="BD163" i="3" s="1"/>
  <c r="BD129" i="3" a="1"/>
  <c r="BD129" i="3" s="1"/>
  <c r="BD165" i="3" a="1"/>
  <c r="BD165" i="3" s="1"/>
  <c r="BD102" i="3" a="1"/>
  <c r="BD102" i="3" s="1"/>
  <c r="BD115" i="3" a="1"/>
  <c r="BD115" i="3" s="1"/>
  <c r="BD168" i="3" a="1"/>
  <c r="BD168" i="3" s="1"/>
  <c r="BM165" i="3" a="1"/>
  <c r="BM165" i="3" s="1"/>
  <c r="BM147" i="3" a="1"/>
  <c r="BM147" i="3" s="1"/>
  <c r="BM105" i="3" a="1"/>
  <c r="BM105" i="3" s="1"/>
  <c r="BM145" i="3" a="1"/>
  <c r="BM145" i="3" s="1"/>
  <c r="BM107" i="3" a="1"/>
  <c r="BM107" i="3" s="1"/>
  <c r="J161" i="3" a="1"/>
  <c r="J161" i="3" s="1"/>
  <c r="J164" i="3" a="1"/>
  <c r="J164" i="3" s="1"/>
  <c r="J135" i="3" a="1"/>
  <c r="J135" i="3" s="1"/>
  <c r="J155" i="3" a="1"/>
  <c r="J155" i="3" s="1"/>
  <c r="J139" i="3" a="1"/>
  <c r="J139" i="3" s="1"/>
  <c r="AB141" i="3" a="1"/>
  <c r="AB141" i="3" s="1"/>
  <c r="AB103" i="3" a="1"/>
  <c r="AB103" i="3" s="1"/>
  <c r="AB165" i="3" a="1"/>
  <c r="AB165" i="3" s="1"/>
  <c r="AD149" i="3" a="1"/>
  <c r="AD149" i="3" s="1"/>
  <c r="AD162" i="3" a="1"/>
  <c r="AD162" i="3" s="1"/>
  <c r="AD131" i="3" a="1"/>
  <c r="AD131" i="3" s="1"/>
  <c r="AD124" i="3" a="1"/>
  <c r="AD124" i="3" s="1"/>
  <c r="AD114" i="3" a="1"/>
  <c r="AD114" i="3" s="1"/>
  <c r="AD163" i="3" a="1"/>
  <c r="AD163" i="3" s="1"/>
  <c r="L157" i="3" a="1"/>
  <c r="L157" i="3" s="1"/>
  <c r="L114" i="3" a="1"/>
  <c r="L114" i="3" s="1"/>
  <c r="L121" i="3" a="1"/>
  <c r="L121" i="3" s="1"/>
  <c r="L123" i="3" a="1"/>
  <c r="L123" i="3" s="1"/>
  <c r="AF160" i="3" a="1"/>
  <c r="AF160" i="3" s="1"/>
  <c r="AF111" i="3" a="1"/>
  <c r="AF111" i="3" s="1"/>
  <c r="AF141" i="3" a="1"/>
  <c r="AF141" i="3" s="1"/>
  <c r="AF146" i="3" a="1"/>
  <c r="AF146" i="3" s="1"/>
  <c r="N157" i="3" a="1"/>
  <c r="N157" i="3" s="1"/>
  <c r="N107" i="3" a="1"/>
  <c r="N107" i="3" s="1"/>
  <c r="N140" i="3" a="1"/>
  <c r="N140" i="3" s="1"/>
  <c r="N146" i="3" a="1"/>
  <c r="N146" i="3" s="1"/>
  <c r="N158" i="3" a="1"/>
  <c r="N158" i="3" s="1"/>
  <c r="AX113" i="3" a="1"/>
  <c r="AX113" i="3" s="1"/>
  <c r="N161" i="3" a="1"/>
  <c r="N161" i="3" s="1"/>
  <c r="W113" i="3" a="1"/>
  <c r="W113" i="3" s="1"/>
  <c r="BT113" i="3" a="1"/>
  <c r="BT113" i="3" s="1"/>
  <c r="N163" i="3" a="1"/>
  <c r="N163" i="3" s="1"/>
  <c r="N104" i="3" a="1"/>
  <c r="N104" i="3" s="1"/>
  <c r="N123" i="3" a="1"/>
  <c r="N123" i="3" s="1"/>
  <c r="N132" i="3" a="1"/>
  <c r="N132" i="3" s="1"/>
  <c r="N152" i="3" a="1"/>
  <c r="N152" i="3" s="1"/>
  <c r="AI113" i="3" a="1"/>
  <c r="AI113" i="3" s="1"/>
  <c r="N131" i="3" a="1"/>
  <c r="N131" i="3" s="1"/>
  <c r="N114" i="3" a="1"/>
  <c r="N114" i="3" s="1"/>
  <c r="N124" i="3" a="1"/>
  <c r="N124" i="3" s="1"/>
  <c r="N147" i="3" a="1"/>
  <c r="N147" i="3" s="1"/>
  <c r="N129" i="3" a="1"/>
  <c r="N129" i="3" s="1"/>
  <c r="N150" i="3" a="1"/>
  <c r="N150" i="3" s="1"/>
  <c r="N126" i="3" a="1"/>
  <c r="N126" i="3" s="1"/>
  <c r="N128" i="3" a="1"/>
  <c r="N128" i="3" s="1"/>
  <c r="N116" i="3" a="1"/>
  <c r="N116" i="3" s="1"/>
  <c r="N153" i="3" a="1"/>
  <c r="N153" i="3" s="1"/>
  <c r="N105" i="3" a="1"/>
  <c r="N105" i="3" s="1"/>
  <c r="N144" i="3" a="1"/>
  <c r="N144" i="3" s="1"/>
  <c r="N164" i="3" a="1"/>
  <c r="N164" i="3" s="1"/>
  <c r="N142" i="3" a="1"/>
  <c r="N142" i="3" s="1"/>
  <c r="N133" i="3" a="1"/>
  <c r="N133" i="3" s="1"/>
  <c r="N155" i="3" a="1"/>
  <c r="N155" i="3" s="1"/>
  <c r="N102" i="3" a="1"/>
  <c r="N102" i="3" s="1"/>
  <c r="N151" i="3" a="1"/>
  <c r="N151" i="3" s="1"/>
  <c r="N119" i="3" a="1"/>
  <c r="N119" i="3" s="1"/>
  <c r="N122" i="3" a="1"/>
  <c r="N122" i="3" s="1"/>
  <c r="N120" i="3" a="1"/>
  <c r="N120" i="3" s="1"/>
  <c r="N112" i="3" a="1"/>
  <c r="N112" i="3" s="1"/>
  <c r="N136" i="3" a="1"/>
  <c r="N136" i="3" s="1"/>
  <c r="N138" i="3" a="1"/>
  <c r="N138" i="3" s="1"/>
  <c r="N148" i="3" a="1"/>
  <c r="N148" i="3" s="1"/>
  <c r="N137" i="3" a="1"/>
  <c r="N137" i="3" s="1"/>
  <c r="N130" i="3" a="1"/>
  <c r="N130" i="3" s="1"/>
  <c r="S113" i="3" a="1"/>
  <c r="S113" i="3" s="1"/>
  <c r="N106" i="3" a="1"/>
  <c r="N106" i="3" s="1"/>
  <c r="N111" i="3" a="1"/>
  <c r="N111" i="3" s="1"/>
  <c r="N160" i="3" a="1"/>
  <c r="N160" i="3" s="1"/>
  <c r="N141" i="3" a="1"/>
  <c r="N141" i="3" s="1"/>
  <c r="N172" i="3" a="1"/>
  <c r="N172" i="3" s="1"/>
  <c r="P113" i="3" a="1"/>
  <c r="P113" i="3" s="1"/>
  <c r="N166" i="3" a="1"/>
  <c r="N166" i="3" s="1"/>
  <c r="N110" i="3" a="1"/>
  <c r="N110" i="3" s="1"/>
  <c r="N168" i="3" a="1"/>
  <c r="N168" i="3" s="1"/>
  <c r="N145" i="3" a="1"/>
  <c r="N145" i="3" s="1"/>
  <c r="N170" i="3" a="1"/>
  <c r="N170" i="3" s="1"/>
  <c r="N143" i="3" a="1"/>
  <c r="N143" i="3" s="1"/>
  <c r="N167" i="3" a="1"/>
  <c r="N167" i="3" s="1"/>
  <c r="N109" i="3" a="1"/>
  <c r="N109" i="3" s="1"/>
  <c r="N115" i="3" a="1"/>
  <c r="N115" i="3" s="1"/>
  <c r="N149" i="3" a="1"/>
  <c r="N149" i="3" s="1"/>
  <c r="N173" i="3" a="1"/>
  <c r="N173" i="3" s="1"/>
  <c r="N156" i="3" a="1"/>
  <c r="N156" i="3" s="1"/>
  <c r="BU113" i="3" a="1"/>
  <c r="BU113" i="3" s="1"/>
  <c r="N171" i="3" a="1"/>
  <c r="N171" i="3" s="1"/>
  <c r="N108" i="3" a="1"/>
  <c r="N108" i="3" s="1"/>
  <c r="N139" i="3" a="1"/>
  <c r="N139" i="3" s="1"/>
  <c r="N154" i="3" a="1"/>
  <c r="N154" i="3" s="1"/>
  <c r="N125" i="3" a="1"/>
  <c r="N125" i="3" s="1"/>
  <c r="N121" i="3" a="1"/>
  <c r="N121" i="3" s="1"/>
  <c r="E113" i="3" a="1"/>
  <c r="E113" i="3" s="1"/>
  <c r="N169" i="3" a="1"/>
  <c r="N169" i="3" s="1"/>
  <c r="N117" i="3" a="1"/>
  <c r="N117" i="3" s="1"/>
  <c r="N113" i="3" a="1"/>
  <c r="N113" i="3" s="1"/>
  <c r="N165" i="3" a="1"/>
  <c r="N165" i="3" s="1"/>
  <c r="N135" i="3" a="1"/>
  <c r="N135" i="3" s="1"/>
  <c r="N127" i="3" a="1"/>
  <c r="N127" i="3" s="1"/>
  <c r="M113" i="3" a="1"/>
  <c r="M113" i="3" s="1"/>
  <c r="AA159" i="3" a="1"/>
  <c r="AA159" i="3" s="1"/>
  <c r="AA107" i="3" a="1"/>
  <c r="AA107" i="3" s="1"/>
  <c r="AA171" i="3" a="1"/>
  <c r="AA171" i="3" s="1"/>
  <c r="BD150" i="3" a="1"/>
  <c r="BD150" i="3" s="1"/>
  <c r="AI155" i="3" a="1"/>
  <c r="AI155" i="3" s="1"/>
  <c r="BD167" i="3" a="1"/>
  <c r="BD167" i="3" s="1"/>
  <c r="W155" i="3" a="1"/>
  <c r="W155" i="3" s="1"/>
  <c r="BD172" i="3" a="1"/>
  <c r="BD172" i="3" s="1"/>
  <c r="BU155" i="3" a="1"/>
  <c r="BU155" i="3" s="1"/>
  <c r="P155" i="3" a="1"/>
  <c r="P155" i="3" s="1"/>
  <c r="E155" i="3" a="1"/>
  <c r="E155" i="3" s="1"/>
  <c r="BD157" i="3" a="1"/>
  <c r="BD157" i="3" s="1"/>
  <c r="BT155" i="3" a="1"/>
  <c r="BT155" i="3" s="1"/>
  <c r="BM139" i="3" a="1"/>
  <c r="BM139" i="3" s="1"/>
  <c r="BM136" i="3" a="1"/>
  <c r="BM136" i="3" s="1"/>
  <c r="BM113" i="3" a="1"/>
  <c r="BM113" i="3" s="1"/>
  <c r="J102" i="3" a="1"/>
  <c r="J102" i="3" s="1"/>
  <c r="AD112" i="3" a="1"/>
  <c r="AD112" i="3" s="1"/>
  <c r="AD173" i="3" a="1"/>
  <c r="AD173" i="3" s="1"/>
  <c r="AD146" i="3" a="1"/>
  <c r="AD146" i="3" s="1"/>
  <c r="AD108" i="3" a="1"/>
  <c r="AD108" i="3" s="1"/>
  <c r="AD109" i="3" a="1"/>
  <c r="AD109" i="3" s="1"/>
  <c r="L142" i="3" a="1"/>
  <c r="L142" i="3" s="1"/>
  <c r="L122" i="3" a="1"/>
  <c r="L122" i="3" s="1"/>
  <c r="L113" i="3" a="1"/>
  <c r="L113" i="3" s="1"/>
  <c r="AF155" i="3" a="1"/>
  <c r="AF155" i="3" s="1"/>
  <c r="BE129" i="3" a="1"/>
  <c r="BE129" i="3" s="1"/>
  <c r="BI123" i="3" a="1"/>
  <c r="BI123" i="3" s="1"/>
  <c r="BI141" i="3" a="1"/>
  <c r="BI141" i="3" s="1"/>
  <c r="BT160" i="3" a="1"/>
  <c r="BT160" i="3" s="1"/>
  <c r="BI158" i="3" a="1"/>
  <c r="BI158" i="3" s="1"/>
  <c r="AX160" i="3" a="1"/>
  <c r="AX160" i="3" s="1"/>
  <c r="BI132" i="3" a="1"/>
  <c r="BI132" i="3" s="1"/>
  <c r="W160" i="3" a="1"/>
  <c r="W160" i="3" s="1"/>
  <c r="BI166" i="3" a="1"/>
  <c r="BI166" i="3" s="1"/>
  <c r="BI110" i="3" a="1"/>
  <c r="BI110" i="3" s="1"/>
  <c r="BI137" i="3" a="1"/>
  <c r="BI137" i="3" s="1"/>
  <c r="BI109" i="3" a="1"/>
  <c r="BI109" i="3" s="1"/>
  <c r="BI115" i="3" a="1"/>
  <c r="BI115" i="3" s="1"/>
  <c r="BI145" i="3" a="1"/>
  <c r="BI145" i="3" s="1"/>
  <c r="BU160" i="3" a="1"/>
  <c r="BU160" i="3" s="1"/>
  <c r="BI172" i="3" a="1"/>
  <c r="BI172" i="3" s="1"/>
  <c r="BI131" i="3" a="1"/>
  <c r="BI131" i="3" s="1"/>
  <c r="BI160" i="3" a="1"/>
  <c r="BI160" i="3" s="1"/>
  <c r="BI124" i="3" a="1"/>
  <c r="BI124" i="3" s="1"/>
  <c r="BI167" i="3" a="1"/>
  <c r="BI167" i="3" s="1"/>
  <c r="BI163" i="3" a="1"/>
  <c r="BI163" i="3" s="1"/>
  <c r="BI157" i="3" a="1"/>
  <c r="BI157" i="3" s="1"/>
  <c r="BI130" i="3" a="1"/>
  <c r="BI130" i="3" s="1"/>
  <c r="BI164" i="3" a="1"/>
  <c r="BI164" i="3" s="1"/>
  <c r="BI133" i="3" a="1"/>
  <c r="BI133" i="3" s="1"/>
  <c r="BI165" i="3" a="1"/>
  <c r="BI165" i="3" s="1"/>
  <c r="AI160" i="3" a="1"/>
  <c r="AI160" i="3" s="1"/>
  <c r="BI173" i="3" a="1"/>
  <c r="BI173" i="3" s="1"/>
  <c r="BI128" i="3" a="1"/>
  <c r="BI128" i="3" s="1"/>
  <c r="BI143" i="3" a="1"/>
  <c r="BI143" i="3" s="1"/>
  <c r="BI114" i="3" a="1"/>
  <c r="BI114" i="3" s="1"/>
  <c r="BI122" i="3" a="1"/>
  <c r="BI122" i="3" s="1"/>
  <c r="BI140" i="3" a="1"/>
  <c r="BI140" i="3" s="1"/>
  <c r="BI171" i="3" a="1"/>
  <c r="BI171" i="3" s="1"/>
  <c r="BI112" i="3" a="1"/>
  <c r="BI112" i="3" s="1"/>
  <c r="BI129" i="3" a="1"/>
  <c r="BI129" i="3" s="1"/>
  <c r="BI154" i="3" a="1"/>
  <c r="BI154" i="3" s="1"/>
  <c r="BI134" i="3" a="1"/>
  <c r="BI134" i="3" s="1"/>
  <c r="BI149" i="3" a="1"/>
  <c r="BI149" i="3" s="1"/>
  <c r="BI162" i="3" a="1"/>
  <c r="BI162" i="3" s="1"/>
  <c r="BI113" i="3" a="1"/>
  <c r="BI113" i="3" s="1"/>
  <c r="BI111" i="3" a="1"/>
  <c r="BI111" i="3" s="1"/>
  <c r="BI151" i="3" a="1"/>
  <c r="BI151" i="3" s="1"/>
  <c r="BI161" i="3" a="1"/>
  <c r="BI161" i="3" s="1"/>
  <c r="BI168" i="3" a="1"/>
  <c r="BI168" i="3" s="1"/>
  <c r="H160" i="3" a="1"/>
  <c r="H160" i="3" s="1"/>
  <c r="E160" i="3" a="1"/>
  <c r="E160" i="3" s="1"/>
  <c r="BI120" i="3" a="1"/>
  <c r="BI120" i="3" s="1"/>
  <c r="BI104" i="3" a="1"/>
  <c r="BI104" i="3" s="1"/>
  <c r="BI142" i="3" a="1"/>
  <c r="BI142" i="3" s="1"/>
  <c r="BI102" i="3" a="1"/>
  <c r="BI102" i="3" s="1"/>
  <c r="BI127" i="3" a="1"/>
  <c r="BI127" i="3" s="1"/>
  <c r="BI170" i="3" a="1"/>
  <c r="BI170" i="3" s="1"/>
  <c r="BI147" i="3" a="1"/>
  <c r="BI147" i="3" s="1"/>
  <c r="BI148" i="3" a="1"/>
  <c r="BI148" i="3" s="1"/>
  <c r="AN145" i="3" a="1"/>
  <c r="AN145" i="3" s="1"/>
  <c r="AN133" i="3" a="1"/>
  <c r="AN133" i="3" s="1"/>
  <c r="AN141" i="3" a="1"/>
  <c r="AN141" i="3" s="1"/>
  <c r="AA154" i="3" a="1"/>
  <c r="AA154" i="3" s="1"/>
  <c r="AA109" i="3" a="1"/>
  <c r="AA109" i="3" s="1"/>
  <c r="AA130" i="3" a="1"/>
  <c r="AA130" i="3" s="1"/>
  <c r="AA133" i="3" a="1"/>
  <c r="AA133" i="3" s="1"/>
  <c r="AA172" i="3" a="1"/>
  <c r="AA172" i="3" s="1"/>
  <c r="AU107" i="3" a="1"/>
  <c r="AU107" i="3" s="1"/>
  <c r="AU125" i="3" a="1"/>
  <c r="AU125" i="3" s="1"/>
  <c r="AU112" i="3" a="1"/>
  <c r="AU112" i="3" s="1"/>
  <c r="AU116" i="3" a="1"/>
  <c r="AU116" i="3" s="1"/>
  <c r="AU126" i="3" a="1"/>
  <c r="AU126" i="3" s="1"/>
  <c r="BD151" i="3" a="1"/>
  <c r="BD151" i="3" s="1"/>
  <c r="BD109" i="3" a="1"/>
  <c r="BD109" i="3" s="1"/>
  <c r="BD158" i="3" a="1"/>
  <c r="BD158" i="3" s="1"/>
  <c r="BD104" i="3" a="1"/>
  <c r="BD104" i="3" s="1"/>
  <c r="BM149" i="3" a="1"/>
  <c r="BM149" i="3" s="1"/>
  <c r="BM132" i="3" a="1"/>
  <c r="BM132" i="3" s="1"/>
  <c r="BM151" i="3" a="1"/>
  <c r="BM151" i="3" s="1"/>
  <c r="BM166" i="3" a="1"/>
  <c r="BM166" i="3" s="1"/>
  <c r="BM143" i="3" a="1"/>
  <c r="BM143" i="3" s="1"/>
  <c r="BM110" i="3" a="1"/>
  <c r="BM110" i="3" s="1"/>
  <c r="J148" i="3" a="1"/>
  <c r="J148" i="3" s="1"/>
  <c r="J150" i="3" a="1"/>
  <c r="J150" i="3" s="1"/>
  <c r="J129" i="3" a="1"/>
  <c r="J129" i="3" s="1"/>
  <c r="J123" i="3" a="1"/>
  <c r="J123" i="3" s="1"/>
  <c r="J115" i="3" a="1"/>
  <c r="J115" i="3" s="1"/>
  <c r="AB161" i="3" a="1"/>
  <c r="AB161" i="3" s="1"/>
  <c r="AB136" i="3" a="1"/>
  <c r="AB136" i="3" s="1"/>
  <c r="AB145" i="3" a="1"/>
  <c r="AB145" i="3" s="1"/>
  <c r="AB124" i="3" a="1"/>
  <c r="AB124" i="3" s="1"/>
  <c r="AB115" i="3" a="1"/>
  <c r="AB115" i="3" s="1"/>
  <c r="AD126" i="3" a="1"/>
  <c r="AD126" i="3" s="1"/>
  <c r="AD161" i="3" a="1"/>
  <c r="AD161" i="3" s="1"/>
  <c r="AD110" i="3" a="1"/>
  <c r="AD110" i="3" s="1"/>
  <c r="AD127" i="3" a="1"/>
  <c r="AD127" i="3" s="1"/>
  <c r="AD107" i="3" a="1"/>
  <c r="AD107" i="3" s="1"/>
  <c r="L116" i="3" a="1"/>
  <c r="L116" i="3" s="1"/>
  <c r="L167" i="3" a="1"/>
  <c r="L167" i="3" s="1"/>
  <c r="L118" i="3" a="1"/>
  <c r="L118" i="3" s="1"/>
  <c r="L104" i="3" a="1"/>
  <c r="L104" i="3" s="1"/>
  <c r="L109" i="3" a="1"/>
  <c r="L109" i="3" s="1"/>
  <c r="M146" i="3" a="1"/>
  <c r="M146" i="3" s="1"/>
  <c r="AF131" i="3" a="1"/>
  <c r="AF131" i="3" s="1"/>
  <c r="AF134" i="3" a="1"/>
  <c r="AF134" i="3" s="1"/>
  <c r="BI105" i="3" a="1"/>
  <c r="BI105" i="3" s="1"/>
  <c r="AN129" i="3" a="1"/>
  <c r="AN129" i="3" s="1"/>
  <c r="AN150" i="3" a="1"/>
  <c r="AN150" i="3" s="1"/>
  <c r="W139" i="3" a="1"/>
  <c r="W139" i="3" s="1"/>
  <c r="AN170" i="3" a="1"/>
  <c r="AN170" i="3" s="1"/>
  <c r="AN131" i="3" a="1"/>
  <c r="AN131" i="3" s="1"/>
  <c r="AN151" i="3" a="1"/>
  <c r="AN151" i="3" s="1"/>
  <c r="AN154" i="3" a="1"/>
  <c r="AN154" i="3" s="1"/>
  <c r="BT139" i="3" a="1"/>
  <c r="BT139" i="3" s="1"/>
  <c r="BE139" i="3" a="1"/>
  <c r="BE139" i="3" s="1"/>
  <c r="E139" i="3" a="1"/>
  <c r="E139" i="3" s="1"/>
  <c r="AI139" i="3" a="1"/>
  <c r="AI139" i="3" s="1"/>
  <c r="P139" i="3" a="1"/>
  <c r="P139" i="3" s="1"/>
  <c r="BA139" i="3" a="1"/>
  <c r="BA139" i="3" s="1"/>
  <c r="M139" i="3" a="1"/>
  <c r="M139" i="3" s="1"/>
  <c r="AA138" i="3" a="1"/>
  <c r="AA138" i="3" s="1"/>
  <c r="AA149" i="3" a="1"/>
  <c r="AA149" i="3" s="1"/>
  <c r="AA123" i="3" a="1"/>
  <c r="AA123" i="3" s="1"/>
  <c r="AA128" i="3" a="1"/>
  <c r="AA128" i="3" s="1"/>
  <c r="AA173" i="3" a="1"/>
  <c r="AA173" i="3" s="1"/>
  <c r="AU145" i="3" a="1"/>
  <c r="AU145" i="3" s="1"/>
  <c r="AU128" i="3" a="1"/>
  <c r="AU128" i="3" s="1"/>
  <c r="BT146" i="3" a="1"/>
  <c r="BT146" i="3" s="1"/>
  <c r="AU165" i="3" a="1"/>
  <c r="AU165" i="3" s="1"/>
  <c r="AU142" i="3" a="1"/>
  <c r="AU142" i="3" s="1"/>
  <c r="W146" i="3" a="1"/>
  <c r="W146" i="3" s="1"/>
  <c r="AU105" i="3" a="1"/>
  <c r="AU105" i="3" s="1"/>
  <c r="AU138" i="3" a="1"/>
  <c r="AU138" i="3" s="1"/>
  <c r="AI146" i="3" a="1"/>
  <c r="AI146" i="3" s="1"/>
  <c r="S146" i="3" a="1"/>
  <c r="S146" i="3" s="1"/>
  <c r="BD155" i="3" a="1"/>
  <c r="BD155" i="3" s="1"/>
  <c r="BD161" i="3" a="1"/>
  <c r="BD161" i="3" s="1"/>
  <c r="BD145" i="3" a="1"/>
  <c r="BD145" i="3" s="1"/>
  <c r="BD143" i="3" a="1"/>
  <c r="BD143" i="3" s="1"/>
  <c r="BD118" i="3" a="1"/>
  <c r="BD118" i="3" s="1"/>
  <c r="BM146" i="3" a="1"/>
  <c r="BM146" i="3" s="1"/>
  <c r="BM153" i="3" a="1"/>
  <c r="BM153" i="3" s="1"/>
  <c r="BM129" i="3" a="1"/>
  <c r="BM129" i="3" s="1"/>
  <c r="BM124" i="3" a="1"/>
  <c r="BM124" i="3" s="1"/>
  <c r="BM123" i="3" a="1"/>
  <c r="BM123" i="3" s="1"/>
  <c r="BM164" i="3" a="1"/>
  <c r="BM164" i="3" s="1"/>
  <c r="J154" i="3" a="1"/>
  <c r="J154" i="3" s="1"/>
  <c r="J105" i="3" a="1"/>
  <c r="J105" i="3" s="1"/>
  <c r="J137" i="3" a="1"/>
  <c r="J137" i="3" s="1"/>
  <c r="J114" i="3" a="1"/>
  <c r="J114" i="3" s="1"/>
  <c r="J110" i="3" a="1"/>
  <c r="J110" i="3" s="1"/>
  <c r="AB129" i="3" a="1"/>
  <c r="AB129" i="3" s="1"/>
  <c r="AB126" i="3" a="1"/>
  <c r="AB126" i="3" s="1"/>
  <c r="AB170" i="3" a="1"/>
  <c r="AB170" i="3" s="1"/>
  <c r="AB173" i="3" a="1"/>
  <c r="AB173" i="3" s="1"/>
  <c r="AB131" i="3" a="1"/>
  <c r="AB131" i="3" s="1"/>
  <c r="W127" i="3" a="1"/>
  <c r="W127" i="3" s="1"/>
  <c r="AB138" i="3" a="1"/>
  <c r="AB138" i="3" s="1"/>
  <c r="BT127" i="3" a="1"/>
  <c r="BT127" i="3" s="1"/>
  <c r="AB118" i="3" a="1"/>
  <c r="AB118" i="3" s="1"/>
  <c r="AX127" i="3" a="1"/>
  <c r="AX127" i="3" s="1"/>
  <c r="AI127" i="3" a="1"/>
  <c r="AI127" i="3" s="1"/>
  <c r="AB148" i="3" a="1"/>
  <c r="AB148" i="3" s="1"/>
  <c r="P127" i="3" a="1"/>
  <c r="P127" i="3" s="1"/>
  <c r="AB139" i="3" a="1"/>
  <c r="AB139" i="3" s="1"/>
  <c r="AB164" i="3" a="1"/>
  <c r="AB164" i="3" s="1"/>
  <c r="AD145" i="3" a="1"/>
  <c r="AD145" i="3" s="1"/>
  <c r="AD142" i="3" a="1"/>
  <c r="AD142" i="3" s="1"/>
  <c r="AD103" i="3" a="1"/>
  <c r="AD103" i="3" s="1"/>
  <c r="L134" i="3" a="1"/>
  <c r="L134" i="3" s="1"/>
  <c r="L161" i="3" a="1"/>
  <c r="L161" i="3" s="1"/>
  <c r="L162" i="3" a="1"/>
  <c r="L162" i="3" s="1"/>
  <c r="L163" i="3" a="1"/>
  <c r="L163" i="3" s="1"/>
  <c r="L105" i="3" a="1"/>
  <c r="L105" i="3" s="1"/>
  <c r="BE146" i="3" a="1"/>
  <c r="BE146" i="3" s="1"/>
  <c r="BI126" i="3" a="1"/>
  <c r="BI126" i="3" s="1"/>
  <c r="AD134" i="3" a="1"/>
  <c r="AD134" i="3" s="1"/>
  <c r="AD153" i="3" a="1"/>
  <c r="AD153" i="3" s="1"/>
  <c r="AD139" i="3" a="1"/>
  <c r="AD139" i="3" s="1"/>
  <c r="AD165" i="3" a="1"/>
  <c r="AD165" i="3" s="1"/>
  <c r="AD141" i="3" a="1"/>
  <c r="AD141" i="3" s="1"/>
  <c r="W129" i="3" a="1"/>
  <c r="W129" i="3" s="1"/>
  <c r="AD155" i="3" a="1"/>
  <c r="AD155" i="3" s="1"/>
  <c r="BT129" i="3" a="1"/>
  <c r="BT129" i="3" s="1"/>
  <c r="BU129" i="3" a="1"/>
  <c r="BU129" i="3" s="1"/>
  <c r="E129" i="3" a="1"/>
  <c r="E129" i="3" s="1"/>
  <c r="AI129" i="3" a="1"/>
  <c r="AI129" i="3" s="1"/>
  <c r="AS129" i="3" a="1"/>
  <c r="AS129" i="3" s="1"/>
  <c r="AX129" i="3" a="1"/>
  <c r="AX129" i="3" s="1"/>
  <c r="AF109" i="3" a="1"/>
  <c r="AF109" i="3" s="1"/>
  <c r="BI139" i="3" a="1"/>
  <c r="BI139" i="3" s="1"/>
  <c r="H109" i="3" a="1"/>
  <c r="H109" i="3" s="1"/>
  <c r="L146" i="3" a="1"/>
  <c r="L146" i="3" s="1"/>
  <c r="M164" i="3" a="1"/>
  <c r="M164" i="3" s="1"/>
  <c r="AF139" i="3" a="1"/>
  <c r="AF139" i="3" s="1"/>
  <c r="AS127" i="3" a="1"/>
  <c r="AS127" i="3" s="1"/>
  <c r="H102" i="3" a="1"/>
  <c r="H102" i="3" s="1"/>
  <c r="AB155" i="3" a="1"/>
  <c r="AB155" i="3" s="1"/>
  <c r="AD147" i="3" a="1"/>
  <c r="AD147" i="3" s="1"/>
  <c r="L129" i="3" a="1"/>
  <c r="L129" i="3" s="1"/>
  <c r="M127" i="3" a="1"/>
  <c r="M127" i="3" s="1"/>
  <c r="AF127" i="3" a="1"/>
  <c r="AF127" i="3" s="1"/>
  <c r="BI155" i="3" a="1"/>
  <c r="BI155" i="3" s="1"/>
  <c r="AD132" i="3" a="1"/>
  <c r="AD132" i="3" s="1"/>
  <c r="L138" i="3" a="1"/>
  <c r="L138" i="3" s="1"/>
  <c r="L155" i="3" a="1"/>
  <c r="L155" i="3" s="1"/>
  <c r="W111" i="3" a="1"/>
  <c r="W111" i="3" s="1"/>
  <c r="L154" i="3" a="1"/>
  <c r="L154" i="3" s="1"/>
  <c r="L166" i="3" a="1"/>
  <c r="L166" i="3" s="1"/>
  <c r="L170" i="3" a="1"/>
  <c r="L170" i="3" s="1"/>
  <c r="L172" i="3" a="1"/>
  <c r="L172" i="3" s="1"/>
  <c r="L145" i="3" a="1"/>
  <c r="L145" i="3" s="1"/>
  <c r="L149" i="3" a="1"/>
  <c r="L149" i="3" s="1"/>
  <c r="AX111" i="3" a="1"/>
  <c r="AX111" i="3" s="1"/>
  <c r="BT111" i="3" a="1"/>
  <c r="BT111" i="3" s="1"/>
  <c r="E111" i="3" a="1"/>
  <c r="E111" i="3" s="1"/>
  <c r="BE111" i="3" a="1"/>
  <c r="BE111" i="3" s="1"/>
  <c r="BA111" i="3" a="1"/>
  <c r="BA111" i="3" s="1"/>
  <c r="L127" i="3" a="1"/>
  <c r="L127" i="3" s="1"/>
  <c r="AS111" i="3" a="1"/>
  <c r="AS111" i="3" s="1"/>
  <c r="L148" i="3" a="1"/>
  <c r="L148" i="3" s="1"/>
  <c r="L152" i="3" a="1"/>
  <c r="L152" i="3" s="1"/>
  <c r="L103" i="3" a="1"/>
  <c r="L103" i="3" s="1"/>
  <c r="L115" i="3" a="1"/>
  <c r="L115" i="3" s="1"/>
  <c r="L143" i="3" a="1"/>
  <c r="L143" i="3" s="1"/>
  <c r="L131" i="3" a="1"/>
  <c r="L131" i="3" s="1"/>
  <c r="L110" i="3" a="1"/>
  <c r="L110" i="3" s="1"/>
  <c r="L150" i="3" a="1"/>
  <c r="L150" i="3" s="1"/>
  <c r="AF129" i="3" a="1"/>
  <c r="AF129" i="3" s="1"/>
  <c r="AS139" i="3" a="1"/>
  <c r="AS139" i="3" s="1"/>
  <c r="E170" i="3" a="1"/>
  <c r="E170" i="3" s="1"/>
  <c r="N159" i="3" a="1"/>
  <c r="N159" i="3" s="1"/>
  <c r="S161" i="3" a="1"/>
  <c r="S161" i="3" s="1"/>
  <c r="BU133" i="3" a="1"/>
  <c r="BU133" i="3" s="1"/>
  <c r="AA146" i="3" a="1"/>
  <c r="AA146" i="3" s="1"/>
  <c r="AA103" i="3" a="1"/>
  <c r="AA103" i="3" s="1"/>
  <c r="AA152" i="3" a="1"/>
  <c r="AA152" i="3" s="1"/>
  <c r="AA164" i="3" a="1"/>
  <c r="AA164" i="3" s="1"/>
  <c r="AA151" i="3" a="1"/>
  <c r="AA151" i="3" s="1"/>
  <c r="AA144" i="3" a="1"/>
  <c r="AA144" i="3" s="1"/>
  <c r="AA147" i="3" a="1"/>
  <c r="AA147" i="3" s="1"/>
  <c r="AA161" i="3" a="1"/>
  <c r="AA161" i="3" s="1"/>
  <c r="W126" i="3" a="1"/>
  <c r="W126" i="3" s="1"/>
  <c r="AA168" i="3" a="1"/>
  <c r="AA168" i="3" s="1"/>
  <c r="AA155" i="3" a="1"/>
  <c r="AA155" i="3" s="1"/>
  <c r="AI126" i="3" a="1"/>
  <c r="AI126" i="3" s="1"/>
  <c r="E126" i="3" a="1"/>
  <c r="E126" i="3" s="1"/>
  <c r="BE126" i="3" a="1"/>
  <c r="BE126" i="3" s="1"/>
  <c r="H126" i="3" a="1"/>
  <c r="H126" i="3" s="1"/>
  <c r="AX126" i="3" a="1"/>
  <c r="AX126" i="3" s="1"/>
  <c r="BM133" i="3" a="1"/>
  <c r="BM133" i="3" s="1"/>
  <c r="BM126" i="3" a="1"/>
  <c r="BM126" i="3" s="1"/>
  <c r="BM150" i="3" a="1"/>
  <c r="BM150" i="3" s="1"/>
  <c r="BM119" i="3" a="1"/>
  <c r="BM119" i="3" s="1"/>
  <c r="AI164" i="3" a="1"/>
  <c r="AI164" i="3" s="1"/>
  <c r="BM116" i="3" a="1"/>
  <c r="BM116" i="3" s="1"/>
  <c r="BM162" i="3" a="1"/>
  <c r="BM162" i="3" s="1"/>
  <c r="BT164" i="3" a="1"/>
  <c r="BT164" i="3" s="1"/>
  <c r="E164" i="3" a="1"/>
  <c r="E164" i="3" s="1"/>
  <c r="BU164" i="3" a="1"/>
  <c r="BU164" i="3" s="1"/>
  <c r="P164" i="3" a="1"/>
  <c r="P164" i="3" s="1"/>
  <c r="AX164" i="3" a="1"/>
  <c r="AX164" i="3" s="1"/>
  <c r="AS164" i="3" a="1"/>
  <c r="AS164" i="3" s="1"/>
  <c r="AD135" i="3" a="1"/>
  <c r="AD135" i="3" s="1"/>
  <c r="AD118" i="3" a="1"/>
  <c r="AD118" i="3" s="1"/>
  <c r="AD122" i="3" a="1"/>
  <c r="AD122" i="3" s="1"/>
  <c r="AD159" i="3" a="1"/>
  <c r="AD159" i="3" s="1"/>
  <c r="L135" i="3" a="1"/>
  <c r="L135" i="3" s="1"/>
  <c r="L130" i="3" a="1"/>
  <c r="L130" i="3" s="1"/>
  <c r="P148" i="3" a="1"/>
  <c r="P148" i="3" s="1"/>
  <c r="N118" i="3" a="1"/>
  <c r="N118" i="3" s="1"/>
  <c r="L164" i="3" a="1"/>
  <c r="L164" i="3" s="1"/>
  <c r="M155" i="3" a="1"/>
  <c r="M155" i="3" s="1"/>
  <c r="AX146" i="3" a="1"/>
  <c r="AX146" i="3" s="1"/>
  <c r="AA162" i="3" a="1"/>
  <c r="AA162" i="3" s="1"/>
  <c r="AA118" i="3" a="1"/>
  <c r="AA118" i="3" s="1"/>
  <c r="BD139" i="3" a="1"/>
  <c r="BD139" i="3" s="1"/>
  <c r="BD126" i="3" a="1"/>
  <c r="BD126" i="3" s="1"/>
  <c r="BM111" i="3" a="1"/>
  <c r="BM111" i="3" s="1"/>
  <c r="J146" i="3" a="1"/>
  <c r="J146" i="3" s="1"/>
  <c r="J151" i="3" a="1"/>
  <c r="J151" i="3" s="1"/>
  <c r="W109" i="3" a="1"/>
  <c r="W109" i="3" s="1"/>
  <c r="BT109" i="3" a="1"/>
  <c r="BT109" i="3" s="1"/>
  <c r="J142" i="3" a="1"/>
  <c r="J142" i="3" s="1"/>
  <c r="J153" i="3" a="1"/>
  <c r="J153" i="3" s="1"/>
  <c r="J159" i="3" a="1"/>
  <c r="J159" i="3" s="1"/>
  <c r="J134" i="3" a="1"/>
  <c r="J134" i="3" s="1"/>
  <c r="J163" i="3" a="1"/>
  <c r="J163" i="3" s="1"/>
  <c r="J144" i="3" a="1"/>
  <c r="J144" i="3" s="1"/>
  <c r="J171" i="3" a="1"/>
  <c r="J171" i="3" s="1"/>
  <c r="AX109" i="3" a="1"/>
  <c r="AX109" i="3" s="1"/>
  <c r="E109" i="3" a="1"/>
  <c r="E109" i="3" s="1"/>
  <c r="J126" i="3" a="1"/>
  <c r="J126" i="3" s="1"/>
  <c r="AI109" i="3" a="1"/>
  <c r="AI109" i="3" s="1"/>
  <c r="P109" i="3" a="1"/>
  <c r="P109" i="3" s="1"/>
  <c r="BA109" i="3" a="1"/>
  <c r="BA109" i="3" s="1"/>
  <c r="J130" i="3" a="1"/>
  <c r="J130" i="3" s="1"/>
  <c r="BU109" i="3" a="1"/>
  <c r="BU109" i="3" s="1"/>
  <c r="AD166" i="3" a="1"/>
  <c r="AD166" i="3" s="1"/>
  <c r="AD136" i="3" a="1"/>
  <c r="AD136" i="3" s="1"/>
  <c r="AD104" i="3" a="1"/>
  <c r="AD104" i="3" s="1"/>
  <c r="AD171" i="3" a="1"/>
  <c r="AD171" i="3" s="1"/>
  <c r="L126" i="3" a="1"/>
  <c r="L126" i="3" s="1"/>
  <c r="L139" i="3" a="1"/>
  <c r="L139" i="3" s="1"/>
  <c r="L102" i="3" a="1"/>
  <c r="L102" i="3" s="1"/>
  <c r="M129" i="3" a="1"/>
  <c r="M129" i="3" s="1"/>
  <c r="AF149" i="3" a="1"/>
  <c r="AF149" i="3" s="1"/>
  <c r="AF161" i="3" a="1"/>
  <c r="AF161" i="3" s="1"/>
  <c r="AF154" i="3" a="1"/>
  <c r="AF154" i="3" s="1"/>
  <c r="AF123" i="3" a="1"/>
  <c r="AF123" i="3" s="1"/>
  <c r="BT131" i="3" a="1"/>
  <c r="BT131" i="3" s="1"/>
  <c r="AF147" i="3" a="1"/>
  <c r="AF147" i="3" s="1"/>
  <c r="W131" i="3" a="1"/>
  <c r="W131" i="3" s="1"/>
  <c r="AF156" i="3" a="1"/>
  <c r="AF156" i="3" s="1"/>
  <c r="AF153" i="3" a="1"/>
  <c r="AF153" i="3" s="1"/>
  <c r="AF122" i="3" a="1"/>
  <c r="AF122" i="3" s="1"/>
  <c r="AF162" i="3" a="1"/>
  <c r="AF162" i="3" s="1"/>
  <c r="AF164" i="3" a="1"/>
  <c r="AF164" i="3" s="1"/>
  <c r="AI131" i="3" a="1"/>
  <c r="AI131" i="3" s="1"/>
  <c r="AX131" i="3" a="1"/>
  <c r="AX131" i="3" s="1"/>
  <c r="S131" i="3" a="1"/>
  <c r="S131" i="3" s="1"/>
  <c r="AS131" i="3" a="1"/>
  <c r="AS131" i="3" s="1"/>
  <c r="AF165" i="3" a="1"/>
  <c r="AF165" i="3" s="1"/>
  <c r="AF117" i="3" a="1"/>
  <c r="AF117" i="3" s="1"/>
  <c r="AF120" i="3" a="1"/>
  <c r="AF120" i="3" s="1"/>
  <c r="AF148" i="3" a="1"/>
  <c r="AF148" i="3" s="1"/>
  <c r="AF171" i="3" a="1"/>
  <c r="AF171" i="3" s="1"/>
  <c r="AF133" i="3" a="1"/>
  <c r="AF133" i="3" s="1"/>
  <c r="AF167" i="3" a="1"/>
  <c r="AF167" i="3" s="1"/>
  <c r="AF116" i="3" a="1"/>
  <c r="AF116" i="3" s="1"/>
  <c r="AF138" i="3" a="1"/>
  <c r="AF138" i="3" s="1"/>
  <c r="AF173" i="3" a="1"/>
  <c r="AF173" i="3" s="1"/>
  <c r="AF130" i="3" a="1"/>
  <c r="AF130" i="3" s="1"/>
  <c r="AF144" i="3" a="1"/>
  <c r="AF144" i="3" s="1"/>
  <c r="AF119" i="3" a="1"/>
  <c r="AF119" i="3" s="1"/>
  <c r="AF137" i="3" a="1"/>
  <c r="AF137" i="3" s="1"/>
  <c r="AF150" i="3" a="1"/>
  <c r="AF150" i="3" s="1"/>
  <c r="AF168" i="3" a="1"/>
  <c r="AF168" i="3" s="1"/>
  <c r="BE109" i="3" a="1"/>
  <c r="BE109" i="3" s="1"/>
  <c r="BA126" i="3" a="1"/>
  <c r="BA126" i="3" s="1"/>
  <c r="N103" i="3" a="1"/>
  <c r="N103" i="3" s="1"/>
  <c r="BE164" i="3" a="1"/>
  <c r="BE164" i="3" s="1"/>
  <c r="BE170" i="3" a="1"/>
  <c r="BE170" i="3" s="1"/>
  <c r="BE149" i="3" a="1"/>
  <c r="BE149" i="3" s="1"/>
  <c r="BE153" i="3" a="1"/>
  <c r="BE153" i="3" s="1"/>
  <c r="BE117" i="3" a="1"/>
  <c r="BE117" i="3" s="1"/>
  <c r="AS167" i="3" a="1"/>
  <c r="AS167" i="3" s="1"/>
  <c r="AS130" i="3" a="1"/>
  <c r="AS130" i="3" s="1"/>
  <c r="AS110" i="3" a="1"/>
  <c r="AS110" i="3" s="1"/>
  <c r="AS128" i="3" a="1"/>
  <c r="AS128" i="3" s="1"/>
  <c r="AS105" i="3" a="1"/>
  <c r="AS105" i="3" s="1"/>
  <c r="BA164" i="3" a="1"/>
  <c r="BA164" i="3" s="1"/>
  <c r="BA160" i="3" a="1"/>
  <c r="BA160" i="3" s="1"/>
  <c r="BA105" i="3" a="1"/>
  <c r="BA105" i="3" s="1"/>
  <c r="BA150" i="3" a="1"/>
  <c r="BA150" i="3" s="1"/>
  <c r="BA155" i="3" a="1"/>
  <c r="BA155" i="3" s="1"/>
  <c r="BA107" i="3" a="1"/>
  <c r="BA107" i="3" s="1"/>
  <c r="E143" i="3" a="1"/>
  <c r="E143" i="3" s="1"/>
  <c r="E140" i="3" a="1"/>
  <c r="E140" i="3" s="1"/>
  <c r="E103" i="3" a="1"/>
  <c r="E103" i="3" s="1"/>
  <c r="E123" i="3" a="1"/>
  <c r="E123" i="3" s="1"/>
  <c r="E112" i="3" a="1"/>
  <c r="E112" i="3" s="1"/>
  <c r="P129" i="3" a="1"/>
  <c r="P129" i="3" s="1"/>
  <c r="P138" i="3" a="1"/>
  <c r="P138" i="3" s="1"/>
  <c r="P123" i="3" a="1"/>
  <c r="P123" i="3" s="1"/>
  <c r="P125" i="3" a="1"/>
  <c r="P125" i="3" s="1"/>
  <c r="P131" i="3" a="1"/>
  <c r="P131" i="3" s="1"/>
  <c r="H168" i="3" a="1"/>
  <c r="H168" i="3" s="1"/>
  <c r="H111" i="3" a="1"/>
  <c r="H111" i="3" s="1"/>
  <c r="H133" i="3" a="1"/>
  <c r="H133" i="3" s="1"/>
  <c r="H122" i="3" a="1"/>
  <c r="H122" i="3" s="1"/>
  <c r="H129" i="3" a="1"/>
  <c r="H129" i="3" s="1"/>
  <c r="S158" i="3" a="1"/>
  <c r="S158" i="3" s="1"/>
  <c r="S151" i="3" a="1"/>
  <c r="S151" i="3" s="1"/>
  <c r="S106" i="3" a="1"/>
  <c r="S106" i="3" s="1"/>
  <c r="S111" i="3" a="1"/>
  <c r="S111" i="3" s="1"/>
  <c r="S172" i="3" a="1"/>
  <c r="S172" i="3" s="1"/>
  <c r="AS109" i="3" a="1"/>
  <c r="AS109" i="3" s="1"/>
  <c r="BA136" i="3" a="1"/>
  <c r="BA136" i="3" s="1"/>
  <c r="BA167" i="3" a="1"/>
  <c r="BA167" i="3" s="1"/>
  <c r="H128" i="3" a="1"/>
  <c r="H128" i="3" s="1"/>
  <c r="AI115" i="3" a="1"/>
  <c r="AI115" i="3" s="1"/>
  <c r="BT144" i="3" a="1"/>
  <c r="BT144" i="3" s="1"/>
  <c r="BE145" i="3" a="1"/>
  <c r="BE145" i="3" s="1"/>
  <c r="M172" i="3" a="1"/>
  <c r="M172" i="3" s="1"/>
  <c r="BT112" i="3" a="1"/>
  <c r="BT112" i="3" s="1"/>
  <c r="M124" i="3" a="1"/>
  <c r="M124" i="3" s="1"/>
  <c r="M153" i="3" a="1"/>
  <c r="M153" i="3" s="1"/>
  <c r="M162" i="3" a="1"/>
  <c r="M162" i="3" s="1"/>
  <c r="M156" i="3" a="1"/>
  <c r="M156" i="3" s="1"/>
  <c r="W112" i="3" a="1"/>
  <c r="W112" i="3" s="1"/>
  <c r="BE172" i="3" a="1"/>
  <c r="BE172" i="3" s="1"/>
  <c r="BE108" i="3" a="1"/>
  <c r="BE108" i="3" s="1"/>
  <c r="BE141" i="3" a="1"/>
  <c r="BE141" i="3" s="1"/>
  <c r="BE132" i="3" a="1"/>
  <c r="BE132" i="3" s="1"/>
  <c r="BE105" i="3" a="1"/>
  <c r="BE105" i="3" s="1"/>
  <c r="AS155" i="3" a="1"/>
  <c r="AS155" i="3" s="1"/>
  <c r="AS147" i="3" a="1"/>
  <c r="AS147" i="3" s="1"/>
  <c r="AS116" i="3" a="1"/>
  <c r="AS116" i="3" s="1"/>
  <c r="AS118" i="3" a="1"/>
  <c r="AS118" i="3" s="1"/>
  <c r="AS104" i="3" a="1"/>
  <c r="AS104" i="3" s="1"/>
  <c r="BA102" i="3" a="1"/>
  <c r="BA102" i="3" s="1"/>
  <c r="BA151" i="3" a="1"/>
  <c r="BA151" i="3" s="1"/>
  <c r="BA135" i="3" a="1"/>
  <c r="BA135" i="3" s="1"/>
  <c r="BA113" i="3" a="1"/>
  <c r="BA113" i="3" s="1"/>
  <c r="BA128" i="3" a="1"/>
  <c r="BA128" i="3" s="1"/>
  <c r="BA171" i="3" a="1"/>
  <c r="BA171" i="3" s="1"/>
  <c r="E165" i="3" a="1"/>
  <c r="E165" i="3" s="1"/>
  <c r="E154" i="3" a="1"/>
  <c r="E154" i="3" s="1"/>
  <c r="E127" i="3" a="1"/>
  <c r="E127" i="3" s="1"/>
  <c r="E150" i="3" a="1"/>
  <c r="E150" i="3" s="1"/>
  <c r="E108" i="3" a="1"/>
  <c r="E108" i="3" s="1"/>
  <c r="P150" i="3" a="1"/>
  <c r="P150" i="3" s="1"/>
  <c r="P135" i="3" a="1"/>
  <c r="P135" i="3" s="1"/>
  <c r="P117" i="3" a="1"/>
  <c r="P117" i="3" s="1"/>
  <c r="P120" i="3" a="1"/>
  <c r="P120" i="3" s="1"/>
  <c r="P106" i="3" a="1"/>
  <c r="P106" i="3" s="1"/>
  <c r="H131" i="3" a="1"/>
  <c r="H131" i="3" s="1"/>
  <c r="H136" i="3" a="1"/>
  <c r="H136" i="3" s="1"/>
  <c r="H124" i="3" a="1"/>
  <c r="H124" i="3" s="1"/>
  <c r="H125" i="3" a="1"/>
  <c r="H125" i="3" s="1"/>
  <c r="H107" i="3" a="1"/>
  <c r="H107" i="3" s="1"/>
  <c r="S168" i="3" a="1"/>
  <c r="S168" i="3" s="1"/>
  <c r="S129" i="3" a="1"/>
  <c r="S129" i="3" s="1"/>
  <c r="S135" i="3" a="1"/>
  <c r="S135" i="3" s="1"/>
  <c r="S124" i="3" a="1"/>
  <c r="S124" i="3" s="1"/>
  <c r="S143" i="3" a="1"/>
  <c r="S143" i="3" s="1"/>
  <c r="AI107" i="3" a="1"/>
  <c r="AI107" i="3" s="1"/>
  <c r="AI153" i="3" a="1"/>
  <c r="AI153" i="3" s="1"/>
  <c r="BU156" i="3" a="1"/>
  <c r="BU156" i="3" s="1"/>
  <c r="BU144" i="3" a="1"/>
  <c r="BU144" i="3" s="1"/>
  <c r="BU167" i="3" a="1"/>
  <c r="BU167" i="3" s="1"/>
  <c r="BU111" i="3" a="1"/>
  <c r="BU111" i="3" s="1"/>
  <c r="BU116" i="3" a="1"/>
  <c r="BU116" i="3" s="1"/>
  <c r="BU131" i="3" a="1"/>
  <c r="BU131" i="3" s="1"/>
  <c r="BU126" i="3" a="1"/>
  <c r="BU126" i="3" s="1"/>
  <c r="BU154" i="3" a="1"/>
  <c r="BU154" i="3" s="1"/>
  <c r="BU146" i="3" a="1"/>
  <c r="BU146" i="3" s="1"/>
  <c r="W172" i="3" a="1"/>
  <c r="W172" i="3" s="1"/>
  <c r="BU163" i="3" a="1"/>
  <c r="BU163" i="3" s="1"/>
  <c r="BU172" i="3" a="1"/>
  <c r="BU172" i="3" s="1"/>
  <c r="BU171" i="3" a="1"/>
  <c r="BU171" i="3" s="1"/>
  <c r="BU141" i="3" a="1"/>
  <c r="BU141" i="3" s="1"/>
  <c r="BU140" i="3" a="1"/>
  <c r="BU140" i="3" s="1"/>
  <c r="BU115" i="3" a="1"/>
  <c r="BU115" i="3" s="1"/>
  <c r="BU139" i="3" a="1"/>
  <c r="BU139" i="3" s="1"/>
  <c r="BU159" i="3" a="1"/>
  <c r="BU159" i="3" s="1"/>
  <c r="BU121" i="3" a="1"/>
  <c r="BU121" i="3" s="1"/>
  <c r="BU137" i="3" a="1"/>
  <c r="BU137" i="3" s="1"/>
  <c r="BU151" i="3" a="1"/>
  <c r="BU151" i="3" s="1"/>
  <c r="BT172" i="3" a="1"/>
  <c r="BT172" i="3" s="1"/>
  <c r="BU157" i="3" a="1"/>
  <c r="BU157" i="3" s="1"/>
  <c r="BU127" i="3" a="1"/>
  <c r="BU127" i="3" s="1"/>
  <c r="BU132" i="3" a="1"/>
  <c r="BU132" i="3" s="1"/>
  <c r="BU107" i="3" a="1"/>
  <c r="BU107" i="3" s="1"/>
  <c r="BU168" i="3" a="1"/>
  <c r="BU168" i="3" s="1"/>
  <c r="BU152" i="3" a="1"/>
  <c r="BU152" i="3" s="1"/>
  <c r="BU117" i="3" a="1"/>
  <c r="BU117" i="3" s="1"/>
  <c r="BU103" i="3" a="1"/>
  <c r="BU103" i="3" s="1"/>
  <c r="BU128" i="3" a="1"/>
  <c r="BU128" i="3" s="1"/>
  <c r="BU123" i="3" a="1"/>
  <c r="BU123" i="3" s="1"/>
  <c r="BU122" i="3" a="1"/>
  <c r="BU122" i="3" s="1"/>
  <c r="BU134" i="3" a="1"/>
  <c r="BU134" i="3" s="1"/>
  <c r="BE156" i="3" a="1"/>
  <c r="BE156" i="3" s="1"/>
  <c r="BE103" i="3" a="1"/>
  <c r="BE103" i="3" s="1"/>
  <c r="BE147" i="3" a="1"/>
  <c r="BE147" i="3" s="1"/>
  <c r="BE143" i="3" a="1"/>
  <c r="BE143" i="3" s="1"/>
  <c r="BE115" i="3" a="1"/>
  <c r="BE115" i="3" s="1"/>
  <c r="AS146" i="3" a="1"/>
  <c r="AS146" i="3" s="1"/>
  <c r="AS137" i="3" a="1"/>
  <c r="AS137" i="3" s="1"/>
  <c r="AS102" i="3" a="1"/>
  <c r="AS102" i="3" s="1"/>
  <c r="AS161" i="3" a="1"/>
  <c r="AS161" i="3" s="1"/>
  <c r="AS114" i="3" a="1"/>
  <c r="AS114" i="3" s="1"/>
  <c r="BA146" i="3" a="1"/>
  <c r="BA146" i="3" s="1"/>
  <c r="BA162" i="3" a="1"/>
  <c r="BA162" i="3" s="1"/>
  <c r="BA117" i="3" a="1"/>
  <c r="BA117" i="3" s="1"/>
  <c r="BA114" i="3" a="1"/>
  <c r="BA114" i="3" s="1"/>
  <c r="BA106" i="3" a="1"/>
  <c r="BA106" i="3" s="1"/>
  <c r="BA147" i="3" a="1"/>
  <c r="BA147" i="3" s="1"/>
  <c r="E132" i="3" a="1"/>
  <c r="E132" i="3" s="1"/>
  <c r="E142" i="3" a="1"/>
  <c r="E142" i="3" s="1"/>
  <c r="E151" i="3" a="1"/>
  <c r="E151" i="3" s="1"/>
  <c r="E148" i="3" a="1"/>
  <c r="E148" i="3" s="1"/>
  <c r="E118" i="3" a="1"/>
  <c r="E118" i="3" s="1"/>
  <c r="P142" i="3" a="1"/>
  <c r="P142" i="3" s="1"/>
  <c r="P140" i="3" a="1"/>
  <c r="P140" i="3" s="1"/>
  <c r="P116" i="3" a="1"/>
  <c r="P116" i="3" s="1"/>
  <c r="P112" i="3" a="1"/>
  <c r="P112" i="3" s="1"/>
  <c r="P108" i="3" a="1"/>
  <c r="P108" i="3" s="1"/>
  <c r="H162" i="3" a="1"/>
  <c r="H162" i="3" s="1"/>
  <c r="H166" i="3" a="1"/>
  <c r="H166" i="3" s="1"/>
  <c r="H114" i="3" a="1"/>
  <c r="H114" i="3" s="1"/>
  <c r="H113" i="3" a="1"/>
  <c r="H113" i="3" s="1"/>
  <c r="S155" i="3" a="1"/>
  <c r="S155" i="3" s="1"/>
  <c r="S137" i="3" a="1"/>
  <c r="S137" i="3" s="1"/>
  <c r="S108" i="3" a="1"/>
  <c r="S108" i="3" s="1"/>
  <c r="S127" i="3" a="1"/>
  <c r="S127" i="3" s="1"/>
  <c r="W144" i="3" a="1"/>
  <c r="W144" i="3" s="1"/>
  <c r="BA165" i="3" a="1"/>
  <c r="BA165" i="3" s="1"/>
  <c r="H144" i="3" a="1"/>
  <c r="H144" i="3" s="1"/>
  <c r="H173" i="3" a="1"/>
  <c r="H173" i="3" s="1"/>
  <c r="W107" i="3" a="1"/>
  <c r="W107" i="3" s="1"/>
  <c r="H165" i="3" a="1"/>
  <c r="H165" i="3" s="1"/>
  <c r="H132" i="3" a="1"/>
  <c r="H132" i="3" s="1"/>
  <c r="H163" i="3" a="1"/>
  <c r="H163" i="3" s="1"/>
  <c r="H112" i="3" a="1"/>
  <c r="H112" i="3" s="1"/>
  <c r="H159" i="3" a="1"/>
  <c r="H159" i="3" s="1"/>
  <c r="AX107" i="3" a="1"/>
  <c r="AX107" i="3" s="1"/>
  <c r="H167" i="3" a="1"/>
  <c r="H167" i="3" s="1"/>
  <c r="H172" i="3" a="1"/>
  <c r="H172" i="3" s="1"/>
  <c r="H148" i="3" a="1"/>
  <c r="H148" i="3" s="1"/>
  <c r="BT107" i="3" a="1"/>
  <c r="BT107" i="3" s="1"/>
  <c r="H170" i="3" a="1"/>
  <c r="H170" i="3" s="1"/>
  <c r="H152" i="3" a="1"/>
  <c r="H152" i="3" s="1"/>
  <c r="W152" i="3" a="1"/>
  <c r="W152" i="3" s="1"/>
  <c r="BA156" i="3" a="1"/>
  <c r="BA156" i="3" s="1"/>
  <c r="BA133" i="3" a="1"/>
  <c r="BA133" i="3" s="1"/>
  <c r="BA163" i="3" a="1"/>
  <c r="BA163" i="3" s="1"/>
  <c r="AX152" i="3" a="1"/>
  <c r="AX152" i="3" s="1"/>
  <c r="BA157" i="3" a="1"/>
  <c r="BA157" i="3" s="1"/>
  <c r="BT152" i="3" a="1"/>
  <c r="BT152" i="3" s="1"/>
  <c r="BA140" i="3" a="1"/>
  <c r="BA140" i="3" s="1"/>
  <c r="E156" i="3" a="1"/>
  <c r="E156" i="3" s="1"/>
  <c r="P152" i="3" a="1"/>
  <c r="P152" i="3" s="1"/>
  <c r="S104" i="3" a="1"/>
  <c r="S104" i="3" s="1"/>
  <c r="AI112" i="3" a="1"/>
  <c r="AI112" i="3" s="1"/>
  <c r="AX156" i="3" a="1"/>
  <c r="AX156" i="3" s="1"/>
  <c r="AX112" i="3" a="1"/>
  <c r="AX112" i="3" s="1"/>
  <c r="AS145" i="3" a="1"/>
  <c r="AS145" i="3" s="1"/>
  <c r="AS157" i="3" a="1"/>
  <c r="AS157" i="3" s="1"/>
  <c r="AS107" i="3" a="1"/>
  <c r="AS107" i="3" s="1"/>
  <c r="AS171" i="3" a="1"/>
  <c r="AS171" i="3" s="1"/>
  <c r="AS140" i="3" a="1"/>
  <c r="AS140" i="3" s="1"/>
  <c r="AS148" i="3" a="1"/>
  <c r="AS148" i="3" s="1"/>
  <c r="AS150" i="3" a="1"/>
  <c r="AS150" i="3" s="1"/>
  <c r="BA170" i="3" a="1"/>
  <c r="BA170" i="3" s="1"/>
  <c r="E152" i="3" a="1"/>
  <c r="E152" i="3" s="1"/>
  <c r="H156" i="3" a="1"/>
  <c r="H156" i="3" s="1"/>
  <c r="BT126" i="3" a="1"/>
  <c r="BT126" i="3" s="1"/>
  <c r="BE135" i="3" a="1"/>
  <c r="BE135" i="3" s="1"/>
  <c r="AS162" i="3" a="1"/>
  <c r="AS162" i="3" s="1"/>
  <c r="AS173" i="3" a="1"/>
  <c r="AS173" i="3" s="1"/>
  <c r="AS160" i="3" a="1"/>
  <c r="AS160" i="3" s="1"/>
  <c r="AS113" i="3" a="1"/>
  <c r="AS113" i="3" s="1"/>
  <c r="AS120" i="3" a="1"/>
  <c r="AS120" i="3" s="1"/>
  <c r="AS170" i="3" a="1"/>
  <c r="AS170" i="3" s="1"/>
  <c r="BA134" i="3" a="1"/>
  <c r="BA134" i="3" s="1"/>
  <c r="BA131" i="3" a="1"/>
  <c r="BA131" i="3" s="1"/>
  <c r="BA127" i="3" a="1"/>
  <c r="BA127" i="3" s="1"/>
  <c r="BA132" i="3" a="1"/>
  <c r="BA132" i="3" s="1"/>
  <c r="BA116" i="3" a="1"/>
  <c r="BA116" i="3" s="1"/>
  <c r="P144" i="3" a="1"/>
  <c r="P144" i="3" s="1"/>
  <c r="P103" i="3" a="1"/>
  <c r="P103" i="3" s="1"/>
  <c r="P166" i="3" a="1"/>
  <c r="P166" i="3" s="1"/>
  <c r="H140" i="3" a="1"/>
  <c r="H140" i="3" s="1"/>
  <c r="H147" i="3" a="1"/>
  <c r="H147" i="3" s="1"/>
  <c r="H119" i="3" a="1"/>
  <c r="H119" i="3" s="1"/>
  <c r="H127" i="3" a="1"/>
  <c r="H127" i="3" s="1"/>
  <c r="H145" i="3" a="1"/>
  <c r="H145" i="3" s="1"/>
  <c r="S136" i="3" a="1"/>
  <c r="S136" i="3" s="1"/>
  <c r="S150" i="3" a="1"/>
  <c r="S150" i="3" s="1"/>
  <c r="AI152" i="3" a="1"/>
  <c r="AI152" i="3" s="1"/>
  <c r="AX104" i="3" a="1"/>
  <c r="AX104" i="3" s="1"/>
  <c r="AX153" i="3" a="1"/>
  <c r="AX153" i="3" s="1"/>
  <c r="AS112" i="3" a="1"/>
  <c r="AS112" i="3" s="1"/>
  <c r="W156" i="3" a="1"/>
  <c r="W156" i="3" s="1"/>
  <c r="BE130" i="3" a="1"/>
  <c r="BE130" i="3" s="1"/>
  <c r="BE136" i="3" a="1"/>
  <c r="BE136" i="3" s="1"/>
  <c r="BE119" i="3" a="1"/>
  <c r="BE119" i="3" s="1"/>
  <c r="BE107" i="3" a="1"/>
  <c r="BE107" i="3" s="1"/>
  <c r="BE163" i="3" a="1"/>
  <c r="BE163" i="3" s="1"/>
  <c r="BE134" i="3" a="1"/>
  <c r="BE134" i="3" s="1"/>
  <c r="BE150" i="3" a="1"/>
  <c r="BE150" i="3" s="1"/>
  <c r="BE171" i="3" a="1"/>
  <c r="BE171" i="3" s="1"/>
  <c r="BE127" i="3" a="1"/>
  <c r="BE127" i="3" s="1"/>
  <c r="BE120" i="3" a="1"/>
  <c r="BE120" i="3" s="1"/>
  <c r="BT156" i="3" a="1"/>
  <c r="BT156" i="3" s="1"/>
  <c r="AS122" i="3" a="1"/>
  <c r="AS122" i="3" s="1"/>
  <c r="AS163" i="3" a="1"/>
  <c r="AS163" i="3" s="1"/>
  <c r="AS169" i="3" a="1"/>
  <c r="AS169" i="3" s="1"/>
  <c r="AS144" i="3" a="1"/>
  <c r="AS144" i="3" s="1"/>
  <c r="AS125" i="3" a="1"/>
  <c r="AS125" i="3" s="1"/>
  <c r="AS154" i="3" a="1"/>
  <c r="AS154" i="3" s="1"/>
  <c r="BA161" i="3" a="1"/>
  <c r="BA161" i="3" s="1"/>
  <c r="BA121" i="3" a="1"/>
  <c r="BA121" i="3" s="1"/>
  <c r="BA115" i="3" a="1"/>
  <c r="BA115" i="3" s="1"/>
  <c r="BA112" i="3" a="1"/>
  <c r="BA112" i="3" s="1"/>
  <c r="BA118" i="3" a="1"/>
  <c r="BA118" i="3" s="1"/>
  <c r="E131" i="3" a="1"/>
  <c r="E131" i="3" s="1"/>
  <c r="E149" i="3" a="1"/>
  <c r="E149" i="3" s="1"/>
  <c r="E159" i="3" a="1"/>
  <c r="E159" i="3" s="1"/>
  <c r="E161" i="3" a="1"/>
  <c r="E161" i="3" s="1"/>
  <c r="E163" i="3" a="1"/>
  <c r="E163" i="3" s="1"/>
  <c r="W104" i="3" a="1"/>
  <c r="W104" i="3" s="1"/>
  <c r="E135" i="3" a="1"/>
  <c r="E135" i="3" s="1"/>
  <c r="E146" i="3" a="1"/>
  <c r="E146" i="3" s="1"/>
  <c r="BT104" i="3" a="1"/>
  <c r="BT104" i="3" s="1"/>
  <c r="E141" i="3" a="1"/>
  <c r="E141" i="3" s="1"/>
  <c r="E144" i="3" a="1"/>
  <c r="E144" i="3" s="1"/>
  <c r="E136" i="3" a="1"/>
  <c r="E136" i="3" s="1"/>
  <c r="P158" i="3" a="1"/>
  <c r="P158" i="3" s="1"/>
  <c r="P119" i="3" a="1"/>
  <c r="P119" i="3" s="1"/>
  <c r="H157" i="3" a="1"/>
  <c r="H157" i="3" s="1"/>
  <c r="H105" i="3" a="1"/>
  <c r="H105" i="3" s="1"/>
  <c r="H103" i="3" a="1"/>
  <c r="H103" i="3" s="1"/>
  <c r="H118" i="3" a="1"/>
  <c r="H118" i="3" s="1"/>
  <c r="H116" i="3" a="1"/>
  <c r="H116" i="3" s="1"/>
  <c r="S157" i="3" a="1"/>
  <c r="S157" i="3" s="1"/>
  <c r="S123" i="3" a="1"/>
  <c r="S123" i="3" s="1"/>
  <c r="BU112" i="3" a="1"/>
  <c r="BU112" i="3" s="1"/>
  <c r="H155" i="3" a="1"/>
  <c r="H155" i="3" s="1"/>
  <c r="AS149" i="3" a="1"/>
  <c r="AS149" i="3" s="1"/>
  <c r="AS103" i="3" a="1"/>
  <c r="AS103" i="3" s="1"/>
  <c r="AS158" i="3" a="1"/>
  <c r="AS158" i="3" s="1"/>
  <c r="AS134" i="3" a="1"/>
  <c r="AS134" i="3" s="1"/>
  <c r="AS119" i="3" a="1"/>
  <c r="AS119" i="3" s="1"/>
  <c r="AS151" i="3" a="1"/>
  <c r="AS151" i="3" s="1"/>
  <c r="BA173" i="3" a="1"/>
  <c r="BA173" i="3" s="1"/>
  <c r="BA168" i="3" a="1"/>
  <c r="BA168" i="3" s="1"/>
  <c r="BA141" i="3" a="1"/>
  <c r="BA141" i="3" s="1"/>
  <c r="BA137" i="3" a="1"/>
  <c r="BA137" i="3" s="1"/>
  <c r="BA104" i="3" a="1"/>
  <c r="BA104" i="3" s="1"/>
  <c r="P104" i="3" a="1"/>
  <c r="P104" i="3" s="1"/>
  <c r="P147" i="3" a="1"/>
  <c r="P147" i="3" s="1"/>
  <c r="BT115" i="3" a="1"/>
  <c r="BT115" i="3" s="1"/>
  <c r="P126" i="3" a="1"/>
  <c r="P126" i="3" s="1"/>
  <c r="P157" i="3" a="1"/>
  <c r="P157" i="3" s="1"/>
  <c r="P162" i="3" a="1"/>
  <c r="P162" i="3" s="1"/>
  <c r="P154" i="3" a="1"/>
  <c r="P154" i="3" s="1"/>
  <c r="P153" i="3" a="1"/>
  <c r="P153" i="3" s="1"/>
  <c r="P173" i="3" a="1"/>
  <c r="P173" i="3" s="1"/>
  <c r="P145" i="3" a="1"/>
  <c r="P145" i="3" s="1"/>
  <c r="W115" i="3" a="1"/>
  <c r="W115" i="3" s="1"/>
  <c r="P169" i="3" a="1"/>
  <c r="P169" i="3" s="1"/>
  <c r="P170" i="3" a="1"/>
  <c r="P170" i="3" s="1"/>
  <c r="P146" i="3" a="1"/>
  <c r="P146" i="3" s="1"/>
  <c r="P110" i="3" a="1"/>
  <c r="P110" i="3" s="1"/>
  <c r="P160" i="3" a="1"/>
  <c r="P160" i="3" s="1"/>
  <c r="H123" i="3" a="1"/>
  <c r="H123" i="3" s="1"/>
  <c r="H135" i="3" a="1"/>
  <c r="H135" i="3" s="1"/>
  <c r="H130" i="3" a="1"/>
  <c r="H130" i="3" s="1"/>
  <c r="H120" i="3" a="1"/>
  <c r="H120" i="3" s="1"/>
  <c r="H139" i="3" a="1"/>
  <c r="H139" i="3" s="1"/>
  <c r="S138" i="3" a="1"/>
  <c r="S138" i="3" s="1"/>
  <c r="S122" i="3" a="1"/>
  <c r="S122" i="3" s="1"/>
  <c r="W118" i="3" a="1"/>
  <c r="W118" i="3" s="1"/>
  <c r="S164" i="3" a="1"/>
  <c r="S164" i="3" s="1"/>
  <c r="BT118" i="3" a="1"/>
  <c r="BT118" i="3" s="1"/>
  <c r="S115" i="3" a="1"/>
  <c r="S115" i="3" s="1"/>
  <c r="S165" i="3" a="1"/>
  <c r="S165" i="3" s="1"/>
  <c r="S126" i="3" a="1"/>
  <c r="S126" i="3" s="1"/>
  <c r="S109" i="3" a="1"/>
  <c r="S109" i="3" s="1"/>
  <c r="S112" i="3" a="1"/>
  <c r="S112" i="3" s="1"/>
  <c r="S125" i="3" a="1"/>
  <c r="S125" i="3" s="1"/>
  <c r="S167" i="3" a="1"/>
  <c r="S167" i="3" s="1"/>
  <c r="S160" i="3" a="1"/>
  <c r="S160" i="3" s="1"/>
  <c r="S107" i="3" a="1"/>
  <c r="S107" i="3" s="1"/>
  <c r="S119" i="3" a="1"/>
  <c r="S119" i="3" s="1"/>
  <c r="S166" i="3" a="1"/>
  <c r="S166" i="3" s="1"/>
  <c r="AI156" i="3" a="1"/>
  <c r="AI156" i="3" s="1"/>
  <c r="AX115" i="3" a="1"/>
  <c r="AX115" i="3" s="1"/>
  <c r="AS152" i="3" a="1"/>
  <c r="AS152" i="3" s="1"/>
  <c r="AS159" i="3" a="1"/>
  <c r="AS159" i="3" s="1"/>
  <c r="AS132" i="3" a="1"/>
  <c r="AS132" i="3" s="1"/>
  <c r="AS124" i="3" a="1"/>
  <c r="AS124" i="3" s="1"/>
  <c r="AS126" i="3" a="1"/>
  <c r="AS126" i="3" s="1"/>
  <c r="AS135" i="3" a="1"/>
  <c r="AS135" i="3" s="1"/>
  <c r="BA159" i="3" a="1"/>
  <c r="BA159" i="3" s="1"/>
  <c r="BA130" i="3" a="1"/>
  <c r="BA130" i="3" s="1"/>
  <c r="BA172" i="3" a="1"/>
  <c r="BA172" i="3" s="1"/>
  <c r="BA123" i="3" a="1"/>
  <c r="BA123" i="3" s="1"/>
  <c r="BA110" i="3" a="1"/>
  <c r="BA110" i="3" s="1"/>
  <c r="P156" i="3" a="1"/>
  <c r="P156" i="3" s="1"/>
  <c r="P111" i="3" a="1"/>
  <c r="P111" i="3" s="1"/>
  <c r="P114" i="3" a="1"/>
  <c r="P114" i="3" s="1"/>
  <c r="H134" i="3" a="1"/>
  <c r="H134" i="3" s="1"/>
  <c r="H164" i="3" a="1"/>
  <c r="H164" i="3" s="1"/>
  <c r="H110" i="3" a="1"/>
  <c r="H110" i="3" s="1"/>
  <c r="H161" i="3" a="1"/>
  <c r="H161" i="3" s="1"/>
  <c r="H115" i="3" a="1"/>
  <c r="H115" i="3" s="1"/>
  <c r="H146" i="3" a="1"/>
  <c r="H146" i="3" s="1"/>
  <c r="S139" i="3" a="1"/>
  <c r="S139" i="3" s="1"/>
  <c r="S103" i="3" a="1"/>
  <c r="S103" i="3" s="1"/>
  <c r="S170" i="3" a="1"/>
  <c r="S170" i="3" s="1"/>
  <c r="AI144" i="3" a="1"/>
  <c r="AI144" i="3" s="1"/>
  <c r="AI104" i="3" a="1"/>
  <c r="AI104" i="3" s="1"/>
  <c r="AX118" i="3" a="1"/>
  <c r="AX118" i="3" s="1"/>
  <c r="BU118" i="3" a="1"/>
  <c r="BU118" i="3" s="1"/>
  <c r="W164" i="3" a="1"/>
  <c r="W164" i="3" s="1"/>
  <c r="BT145" i="3" a="1"/>
  <c r="BT145" i="3" s="1"/>
  <c r="W149" i="3" a="1"/>
  <c r="W149" i="3" s="1"/>
  <c r="AX128" i="3" a="1"/>
  <c r="AX128" i="3" s="1"/>
  <c r="W157" i="3" a="1"/>
  <c r="W157" i="3" s="1"/>
  <c r="W147" i="3" a="1"/>
  <c r="W147" i="3" s="1"/>
  <c r="W169" i="3" a="1"/>
  <c r="W169" i="3" s="1"/>
  <c r="W166" i="3" a="1"/>
  <c r="W166" i="3" s="1"/>
  <c r="W162" i="3" a="1"/>
  <c r="W162" i="3" s="1"/>
  <c r="AI134" i="3" a="1"/>
  <c r="AI134" i="3" s="1"/>
  <c r="AX139" i="3" a="1"/>
  <c r="AX139" i="3" s="1"/>
  <c r="AI137" i="3" a="1"/>
  <c r="AI137" i="3" s="1"/>
  <c r="AX158" i="3" a="1"/>
  <c r="AX158" i="3" s="1"/>
  <c r="W135" i="3" a="1"/>
  <c r="W135" i="3" s="1"/>
  <c r="AX116" i="3" a="1"/>
  <c r="AX116" i="3" s="1"/>
  <c r="BT165" i="3" a="1"/>
  <c r="BT165" i="3" s="1"/>
  <c r="AI111" i="3" a="1"/>
  <c r="AI111" i="3" s="1"/>
  <c r="AX148" i="3" a="1"/>
  <c r="AX148" i="3" s="1"/>
  <c r="AI135" i="3" a="1"/>
  <c r="AI135" i="3" s="1"/>
  <c r="AI108" i="3" a="1"/>
  <c r="AI108" i="3" s="1"/>
  <c r="AX171" i="3" a="1"/>
  <c r="AX171" i="3" s="1"/>
  <c r="AX149" i="3" a="1"/>
  <c r="AX149" i="3" s="1"/>
  <c r="AI167" i="3" a="1"/>
  <c r="AI167" i="3" s="1"/>
  <c r="AX138" i="3" a="1"/>
  <c r="AX138" i="3" s="1"/>
  <c r="B108" i="3" a="1"/>
  <c r="B108" i="3" s="1"/>
  <c r="B173" i="3" l="1" a="1"/>
  <c r="B173" i="3" s="1"/>
  <c r="B139" i="3" a="1"/>
  <c r="B139" i="3" s="1"/>
  <c r="AQ101" i="3" a="1"/>
  <c r="AQ101" i="3" s="1"/>
  <c r="B146" i="3" a="1"/>
  <c r="B146" i="3" s="1"/>
  <c r="T101" i="3" a="1"/>
  <c r="T101" i="3" s="1"/>
  <c r="W101" i="3" a="1"/>
  <c r="W101" i="3" s="1"/>
  <c r="BK101" i="3" a="1"/>
  <c r="BK101" i="3" s="1"/>
  <c r="BA101" i="3" a="1"/>
  <c r="BA101" i="3" s="1"/>
  <c r="B117" i="3" a="1"/>
  <c r="B117" i="3" s="1"/>
  <c r="B157" i="3" a="1"/>
  <c r="B157" i="3" s="1"/>
  <c r="F101" i="3" a="1"/>
  <c r="F101" i="3" s="1"/>
  <c r="B127" i="3" a="1"/>
  <c r="B127" i="3" s="1"/>
  <c r="B105" i="3" a="1"/>
  <c r="B105" i="3" s="1"/>
  <c r="J101" i="3" a="1"/>
  <c r="J101" i="3" s="1"/>
  <c r="B156" i="3" a="1"/>
  <c r="B156" i="3" s="1"/>
  <c r="B137" i="3" a="1"/>
  <c r="B137" i="3" s="1"/>
  <c r="B102" i="3" a="1"/>
  <c r="B102" i="3" s="1"/>
  <c r="B130" i="3" a="1"/>
  <c r="B130" i="3" s="1"/>
  <c r="AW101" i="3" a="1"/>
  <c r="AW101" i="3" s="1"/>
  <c r="BT101" i="3" a="1"/>
  <c r="BT101" i="3" s="1"/>
  <c r="AZ101" i="3" a="1"/>
  <c r="AZ101" i="3" s="1"/>
  <c r="BE101" i="3" a="1"/>
  <c r="BE101" i="3" s="1"/>
  <c r="AB101" i="3" a="1"/>
  <c r="AB101" i="3" s="1"/>
  <c r="BO101" i="3" a="1"/>
  <c r="BO101" i="3" s="1"/>
  <c r="B133" i="3" a="1"/>
  <c r="B133" i="3" s="1"/>
  <c r="B162" i="3" a="1"/>
  <c r="B162" i="3" s="1"/>
  <c r="B152" i="3" a="1"/>
  <c r="B152" i="3" s="1"/>
  <c r="B129" i="3" a="1"/>
  <c r="B129" i="3" s="1"/>
  <c r="B123" i="3" a="1"/>
  <c r="B123" i="3" s="1"/>
  <c r="H101" i="3" a="1"/>
  <c r="H101" i="3" s="1"/>
  <c r="B158" i="3" a="1"/>
  <c r="B158" i="3" s="1"/>
  <c r="B114" i="3" a="1"/>
  <c r="B114" i="3" s="1"/>
  <c r="B160" i="3" a="1"/>
  <c r="B160" i="3" s="1"/>
  <c r="D101" i="3" a="1"/>
  <c r="D101" i="3" s="1"/>
  <c r="P101" i="3" a="1"/>
  <c r="P101" i="3" s="1"/>
  <c r="G101" i="3" a="1"/>
  <c r="G101" i="3" s="1"/>
  <c r="Q101" i="3" a="1"/>
  <c r="Q101" i="3" s="1"/>
  <c r="L101" i="3" a="1"/>
  <c r="L101" i="3" s="1"/>
  <c r="U101" i="3" a="1"/>
  <c r="U101" i="3" s="1"/>
  <c r="B112" i="3" a="1"/>
  <c r="B112" i="3" s="1"/>
  <c r="B164" i="3" a="1"/>
  <c r="B164" i="3" s="1"/>
  <c r="B141" i="3" a="1"/>
  <c r="B141" i="3" s="1"/>
  <c r="B150" i="3" a="1"/>
  <c r="B150" i="3" s="1"/>
  <c r="BB101" i="3" a="1"/>
  <c r="BB101" i="3" s="1"/>
  <c r="B143" i="3" a="1"/>
  <c r="B143" i="3" s="1"/>
  <c r="BN101" i="3" a="1"/>
  <c r="BN101" i="3" s="1"/>
  <c r="B168" i="3" a="1"/>
  <c r="B168" i="3" s="1"/>
  <c r="B118" i="3" a="1"/>
  <c r="B118" i="3" s="1"/>
  <c r="B169" i="3" a="1"/>
  <c r="B169" i="3" s="1"/>
  <c r="I101" i="3" a="1"/>
  <c r="I101" i="3" s="1"/>
  <c r="AU101" i="3" a="1"/>
  <c r="AU101" i="3" s="1"/>
  <c r="X101" i="3" a="1"/>
  <c r="X101" i="3" s="1"/>
  <c r="R101" i="3" a="1"/>
  <c r="R101" i="3" s="1"/>
  <c r="K101" i="3" a="1"/>
  <c r="K101" i="3" s="1"/>
  <c r="B124" i="3" a="1"/>
  <c r="B124" i="3" s="1"/>
  <c r="B166" i="3" a="1"/>
  <c r="B166" i="3" s="1"/>
  <c r="B128" i="3" a="1"/>
  <c r="B128" i="3" s="1"/>
  <c r="B159" i="3" a="1"/>
  <c r="B159" i="3" s="1"/>
  <c r="BD101" i="3" a="1"/>
  <c r="BD101" i="3" s="1"/>
  <c r="AF101" i="3" a="1"/>
  <c r="AF101" i="3" s="1"/>
  <c r="B136" i="3" a="1"/>
  <c r="B136" i="3" s="1"/>
  <c r="B109" i="3" a="1"/>
  <c r="B109" i="3" s="1"/>
  <c r="B172" i="3" a="1"/>
  <c r="B172" i="3" s="1"/>
  <c r="AR101" i="3" a="1"/>
  <c r="AR101" i="3" s="1"/>
  <c r="B149" i="3" a="1"/>
  <c r="B149" i="3" s="1"/>
  <c r="B171" i="3" a="1"/>
  <c r="B171" i="3" s="1"/>
  <c r="AN101" i="3" a="1"/>
  <c r="AN101" i="3" s="1"/>
  <c r="BH101" i="3" a="1"/>
  <c r="BH101" i="3" s="1"/>
  <c r="AM101" i="3" a="1"/>
  <c r="AM101" i="3" s="1"/>
  <c r="BR101" i="3" a="1"/>
  <c r="BR101" i="3" s="1"/>
  <c r="BM101" i="3" a="1"/>
  <c r="BM101" i="3" s="1"/>
  <c r="B122" i="3" a="1"/>
  <c r="B122" i="3" s="1"/>
  <c r="B145" i="3" a="1"/>
  <c r="B145" i="3" s="1"/>
  <c r="B115" i="3" a="1"/>
  <c r="B115" i="3" s="1"/>
  <c r="B121" i="3" a="1"/>
  <c r="B121" i="3" s="1"/>
  <c r="B116" i="3" a="1"/>
  <c r="B116" i="3" s="1"/>
  <c r="B154" i="3" a="1"/>
  <c r="B154" i="3" s="1"/>
  <c r="AH101" i="3" a="1"/>
  <c r="AH101" i="3" s="1"/>
  <c r="AI101" i="3" a="1"/>
  <c r="AI101" i="3" s="1"/>
  <c r="N101" i="3" a="1"/>
  <c r="N101" i="3" s="1"/>
  <c r="BS101" i="3" a="1"/>
  <c r="BS101" i="3" s="1"/>
  <c r="B111" i="3" a="1"/>
  <c r="B111" i="3" s="1"/>
  <c r="B104" i="3" a="1"/>
  <c r="B104" i="3" s="1"/>
  <c r="B161" i="3" a="1"/>
  <c r="B161" i="3" s="1"/>
  <c r="AE101" i="3" a="1"/>
  <c r="AE101" i="3" s="1"/>
  <c r="AD101" i="3" a="1"/>
  <c r="AD101" i="3" s="1"/>
  <c r="BQ101" i="3" a="1"/>
  <c r="BQ101" i="3" s="1"/>
  <c r="BJ101" i="3" a="1"/>
  <c r="BJ101" i="3" s="1"/>
  <c r="BG101" i="3" a="1"/>
  <c r="BG101" i="3" s="1"/>
  <c r="BV101" i="3" a="1"/>
  <c r="BV101" i="3" s="1"/>
  <c r="B106" i="3" a="1"/>
  <c r="B106" i="3" s="1"/>
  <c r="B170" i="3" a="1"/>
  <c r="B170" i="3" s="1"/>
  <c r="B153" i="3" a="1"/>
  <c r="B153" i="3" s="1"/>
  <c r="B120" i="3" a="1"/>
  <c r="B120" i="3" s="1"/>
  <c r="AK101" i="3" a="1"/>
  <c r="AK101" i="3" s="1"/>
  <c r="B126" i="3" a="1"/>
  <c r="B126" i="3" s="1"/>
  <c r="B167" i="3" a="1"/>
  <c r="B167" i="3" s="1"/>
  <c r="AP101" i="3" a="1"/>
  <c r="AP101" i="3" s="1"/>
  <c r="Y101" i="3" a="1"/>
  <c r="Y101" i="3" s="1"/>
  <c r="AY101" i="3" a="1"/>
  <c r="AY101" i="3" s="1"/>
  <c r="Z101" i="3" a="1"/>
  <c r="Z101" i="3" s="1"/>
  <c r="V101" i="3" a="1"/>
  <c r="V101" i="3" s="1"/>
  <c r="BL101" i="3" a="1"/>
  <c r="BL101" i="3" s="1"/>
  <c r="B134" i="3" a="1"/>
  <c r="B134" i="3" s="1"/>
  <c r="B140" i="3" a="1"/>
  <c r="B140" i="3" s="1"/>
  <c r="B138" i="3" a="1"/>
  <c r="B138" i="3" s="1"/>
  <c r="B131" i="3" a="1"/>
  <c r="B131" i="3" s="1"/>
  <c r="O101" i="3" a="1"/>
  <c r="O101" i="3" s="1"/>
  <c r="B148" i="3" a="1"/>
  <c r="B148" i="3" s="1"/>
  <c r="B144" i="3" a="1"/>
  <c r="B144" i="3" s="1"/>
  <c r="BC101" i="3" a="1"/>
  <c r="BC101" i="3" s="1"/>
  <c r="M101" i="3" a="1"/>
  <c r="M101" i="3" s="1"/>
  <c r="E101" i="3" a="1"/>
  <c r="E101" i="3" s="1"/>
  <c r="AA101" i="3" a="1"/>
  <c r="AA101" i="3" s="1"/>
  <c r="AO101" i="3" a="1"/>
  <c r="AO101" i="3" s="1"/>
  <c r="S101" i="3" a="1"/>
  <c r="S101" i="3" s="1"/>
  <c r="B163" i="3" a="1"/>
  <c r="B163" i="3" s="1"/>
  <c r="B142" i="3" a="1"/>
  <c r="B142" i="3" s="1"/>
  <c r="B147" i="3" a="1"/>
  <c r="B147" i="3" s="1"/>
  <c r="AL101" i="3" a="1"/>
  <c r="AL101" i="3" s="1"/>
  <c r="B135" i="3" a="1"/>
  <c r="B135" i="3" s="1"/>
  <c r="B132" i="3" a="1"/>
  <c r="B132" i="3" s="1"/>
  <c r="C101" i="3" a="1"/>
  <c r="C101" i="3" s="1"/>
  <c r="AJ101" i="3" a="1"/>
  <c r="AJ101" i="3" s="1"/>
  <c r="AG101" i="3" a="1"/>
  <c r="AG101" i="3" s="1"/>
  <c r="BP101" i="3" a="1"/>
  <c r="BP101" i="3" s="1"/>
  <c r="AS101" i="3" a="1"/>
  <c r="AS101" i="3" s="1"/>
  <c r="AT101" i="3" a="1"/>
  <c r="AT101" i="3" s="1"/>
  <c r="B110" i="3" a="1"/>
  <c r="B110" i="3" s="1"/>
  <c r="B103" i="3" a="1"/>
  <c r="B103" i="3" s="1"/>
  <c r="B113" i="3" a="1"/>
  <c r="B113" i="3" s="1"/>
  <c r="B165" i="3" a="1"/>
  <c r="B165" i="3" s="1"/>
  <c r="B155" i="3" a="1"/>
  <c r="B155" i="3" s="1"/>
  <c r="B151" i="3" a="1"/>
  <c r="B151" i="3" s="1"/>
  <c r="AC101" i="3" a="1"/>
  <c r="AC101" i="3" s="1"/>
  <c r="BU101" i="3" a="1"/>
  <c r="BU101" i="3" s="1"/>
  <c r="AV101" i="3" a="1"/>
  <c r="AV101" i="3" s="1"/>
  <c r="AX101" i="3" a="1"/>
  <c r="AX101" i="3" s="1"/>
  <c r="BI101" i="3" a="1"/>
  <c r="BI101" i="3" s="1"/>
  <c r="BF101" i="3" a="1"/>
  <c r="BF101" i="3" s="1"/>
  <c r="B125" i="3" a="1"/>
  <c r="B125" i="3" s="1"/>
  <c r="B119" i="3" a="1"/>
  <c r="B119" i="3" s="1"/>
  <c r="B107" i="3" a="1"/>
  <c r="B107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AC66F6-D4AB-45DC-A217-1C242A1D33E7}" keepAlive="1" name="Query - braves_19_25" description="Connection to the 'braves_19_25' query in the workbook." type="5" refreshedVersion="0" background="1">
    <dbPr connection="Provider=Microsoft.Mashup.OleDb.1;Data Source=$Workbook$;Location=braves_19_25;Extended Properties=&quot;&quot;" command="SELECT * FROM [braves_19_25]"/>
  </connection>
  <connection id="2" xr16:uid="{518FA4D0-01D2-4394-9224-FF411D580550}" keepAlive="1" name="Query - braves_19_25 (2)" description="Connection to the 'braves_19_25 (2)' query in the workbook." type="5" refreshedVersion="8" background="1" saveData="1">
    <dbPr connection="Provider=Microsoft.Mashup.OleDb.1;Data Source=$Workbook$;Location=&quot;braves_19_25 (2)&quot;;Extended Properties=&quot;&quot;" command="SELECT * FROM [braves_19_25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<sst xmlns="http://schemas.openxmlformats.org/spreadsheetml/2006/main" count="874" uniqueCount="154">
  <si>
    <t>player_id</t>
  </si>
  <si>
    <t>player_name</t>
  </si>
  <si>
    <t>pitch_type</t>
  </si>
  <si>
    <t>pitch_percent</t>
  </si>
  <si>
    <t>arm_angle</t>
  </si>
  <si>
    <t>release_extension</t>
  </si>
  <si>
    <t>release_pos_x</t>
  </si>
  <si>
    <t>release_pos_z</t>
  </si>
  <si>
    <t>effective_speed</t>
  </si>
  <si>
    <t>spin_rate</t>
  </si>
  <si>
    <t>api_break_z_with_gravity</t>
  </si>
  <si>
    <t>api_break_x_arm</t>
  </si>
  <si>
    <t>api_break_x_batter_in</t>
  </si>
  <si>
    <t>xwoba</t>
  </si>
  <si>
    <t>xslg</t>
  </si>
  <si>
    <t>Strider, Spencer</t>
  </si>
  <si>
    <t>FF</t>
  </si>
  <si>
    <t>Elder, Bryce</t>
  </si>
  <si>
    <t>SI</t>
  </si>
  <si>
    <t>Sale, Chris</t>
  </si>
  <si>
    <t>SL</t>
  </si>
  <si>
    <t>Holmes, Grant</t>
  </si>
  <si>
    <t>Johnson, Pierce</t>
  </si>
  <si>
    <t>CU</t>
  </si>
  <si>
    <t>Lee, Dylan</t>
  </si>
  <si>
    <t>Schwellenbach, Spencer</t>
  </si>
  <si>
    <t>Wentz, Joey</t>
  </si>
  <si>
    <t>Hernández, Daysbel</t>
  </si>
  <si>
    <t>Iglesias, Raisel</t>
  </si>
  <si>
    <t>De Los Santos, Enyel</t>
  </si>
  <si>
    <t>Smith-Shawver, AJ</t>
  </si>
  <si>
    <t>Bummer, Aaron</t>
  </si>
  <si>
    <t>Montero, Rafael</t>
  </si>
  <si>
    <t>FS</t>
  </si>
  <si>
    <t>FC</t>
  </si>
  <si>
    <t>Dodd, Dylan</t>
  </si>
  <si>
    <t>Waldrep, Hurston</t>
  </si>
  <si>
    <t>CH</t>
  </si>
  <si>
    <t>Kinley, Tyler</t>
  </si>
  <si>
    <t>Fuentes, Didier</t>
  </si>
  <si>
    <t>ST</t>
  </si>
  <si>
    <t>Cox, Austin</t>
  </si>
  <si>
    <t>Fedde, Erick</t>
  </si>
  <si>
    <t>Suarez, José</t>
  </si>
  <si>
    <t>Stratton, Hunter</t>
  </si>
  <si>
    <t>Blewett, Scott</t>
  </si>
  <si>
    <t>Carrasco, Carlos</t>
  </si>
  <si>
    <t>Chavez, Jesse</t>
  </si>
  <si>
    <t>EP</t>
  </si>
  <si>
    <t>López, Reynaldo</t>
  </si>
  <si>
    <t>FA</t>
  </si>
  <si>
    <t>Morton, Charlie</t>
  </si>
  <si>
    <t>CS</t>
  </si>
  <si>
    <t>Eff Velo</t>
  </si>
  <si>
    <t>Spin Rate</t>
  </si>
  <si>
    <t>Classification</t>
  </si>
  <si>
    <t>Fastball</t>
  </si>
  <si>
    <t>Hbreak</t>
  </si>
  <si>
    <t>Vbreak</t>
  </si>
  <si>
    <t>Offspeed</t>
  </si>
  <si>
    <t>Other</t>
  </si>
  <si>
    <t>Four Seam</t>
  </si>
  <si>
    <t>Sinker/Two Seam</t>
  </si>
  <si>
    <t>Slider</t>
  </si>
  <si>
    <t>Curveball</t>
  </si>
  <si>
    <t>Split Finger</t>
  </si>
  <si>
    <t>Cutter</t>
  </si>
  <si>
    <t>Changeup</t>
  </si>
  <si>
    <t>Sweeper</t>
  </si>
  <si>
    <t>Eephus</t>
  </si>
  <si>
    <t>Unknown</t>
  </si>
  <si>
    <t>Slow Curve</t>
  </si>
  <si>
    <t>SV</t>
  </si>
  <si>
    <t>Slurve</t>
  </si>
  <si>
    <t>Knuckle Curve</t>
  </si>
  <si>
    <t>KC</t>
  </si>
  <si>
    <t>Forkball</t>
  </si>
  <si>
    <t>FO</t>
  </si>
  <si>
    <t>SC</t>
  </si>
  <si>
    <t>Screwball</t>
  </si>
  <si>
    <t>KN</t>
  </si>
  <si>
    <t>Knuckleball</t>
  </si>
  <si>
    <t>Arsenal Similarity</t>
  </si>
  <si>
    <t>total_pitches</t>
  </si>
  <si>
    <t>usage</t>
  </si>
  <si>
    <t>pitches</t>
  </si>
  <si>
    <t>Fried, Max</t>
  </si>
  <si>
    <t>PO</t>
  </si>
  <si>
    <t>Anderson, Ian</t>
  </si>
  <si>
    <t>Minter, A.J.</t>
  </si>
  <si>
    <t>Wright, Kyle</t>
  </si>
  <si>
    <t>Soroka, Michael</t>
  </si>
  <si>
    <t>Jackson, Luke</t>
  </si>
  <si>
    <t>Tomlin, Josh</t>
  </si>
  <si>
    <t>Matzek, Tyler</t>
  </si>
  <si>
    <t>Newcomb, Sean</t>
  </si>
  <si>
    <t>Smyly, Drew</t>
  </si>
  <si>
    <t>McHugh, Collin</t>
  </si>
  <si>
    <t>Ynoa, Huascar</t>
  </si>
  <si>
    <t>Toussaint, Touki</t>
  </si>
  <si>
    <t>Jiménez, Joe</t>
  </si>
  <si>
    <t>Smith, Will</t>
  </si>
  <si>
    <t>Foltynewicz, Mike</t>
  </si>
  <si>
    <t>Tonkin, Michael</t>
  </si>
  <si>
    <t>Stephens, Jackson</t>
  </si>
  <si>
    <t>Martin, Chris</t>
  </si>
  <si>
    <t>Yates, Kirby</t>
  </si>
  <si>
    <t>Wilson, Bryse</t>
  </si>
  <si>
    <t>Greene, Shane</t>
  </si>
  <si>
    <t>Webb, Jacob</t>
  </si>
  <si>
    <t>Jansen, Kenley</t>
  </si>
  <si>
    <t>Dayton, Grant</t>
  </si>
  <si>
    <t>Muller, Kyle</t>
  </si>
  <si>
    <t>Shuster, Jared</t>
  </si>
  <si>
    <t>Odorizzi, Jake</t>
  </si>
  <si>
    <t>O'Day, Darren</t>
  </si>
  <si>
    <t>Winans, Allan</t>
  </si>
  <si>
    <t>Melancon, Mark</t>
  </si>
  <si>
    <t>Sobotka, Chad</t>
  </si>
  <si>
    <t>Davidson, Tucker</t>
  </si>
  <si>
    <t>Santana, Edgar</t>
  </si>
  <si>
    <t>Vines, Darius</t>
  </si>
  <si>
    <t>Anderson, Nick</t>
  </si>
  <si>
    <t>Biddle, Jesse</t>
  </si>
  <si>
    <t>Erlin, Robbie</t>
  </si>
  <si>
    <t>Chirinos, Yonny</t>
  </si>
  <si>
    <t>Rodríguez, Richard</t>
  </si>
  <si>
    <t>Kerr, Ray</t>
  </si>
  <si>
    <t>Hand, Brad</t>
  </si>
  <si>
    <t>Heller, Ben</t>
  </si>
  <si>
    <t>Luetge, Lucas</t>
  </si>
  <si>
    <t>Thornburg, Tyler</t>
  </si>
  <si>
    <t>Milone, Tommy</t>
  </si>
  <si>
    <t>Family Weight Matrix</t>
  </si>
  <si>
    <t>Player Arsenal Vectors</t>
  </si>
  <si>
    <t>Arsenal Similarities</t>
  </si>
  <si>
    <t>Norm</t>
  </si>
  <si>
    <t>Most/Least Similar</t>
  </si>
  <si>
    <t>Release Profile</t>
  </si>
  <si>
    <t>Height</t>
  </si>
  <si>
    <t>Side</t>
  </si>
  <si>
    <t>Extension</t>
  </si>
  <si>
    <t>ArmSlotX</t>
  </si>
  <si>
    <t>ArmSlotY</t>
  </si>
  <si>
    <t>Velo/Movment Profile</t>
  </si>
  <si>
    <t>V Break</t>
  </si>
  <si>
    <t>Arm Break</t>
  </si>
  <si>
    <t>Bat Break</t>
  </si>
  <si>
    <t>Fastballs</t>
  </si>
  <si>
    <t>HBreak</t>
  </si>
  <si>
    <t>Off Speed</t>
  </si>
  <si>
    <t>Averages</t>
  </si>
  <si>
    <t>Normalized Vectors</t>
  </si>
  <si>
    <t>FASTBALL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</si>
</sst>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3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0" xfId="0" applyFont="1"/>
    <xf numFmtId="0" fontId="4" fillId="0" borderId="9" xfId="0" applyFont="1" applyBorder="1"/>
    <xf numFmtId="0" fontId="4" fillId="0" borderId="12" xfId="0" applyFont="1" applyBorder="1"/>
    <xf numFmtId="0" fontId="4" fillId="0" borderId="10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0" borderId="7" xfId="0" applyFont="1" applyBorder="1"/>
    <xf numFmtId="164" fontId="0" fillId="0" borderId="0" xfId="1" applyNumberFormat="1" applyFont="1"/>
    <xf numFmtId="10" fontId="0" fillId="0" borderId="0" xfId="1" applyNumberFormat="1" applyFont="1"/>
    <xf numFmtId="10" fontId="0" fillId="0" borderId="0" xfId="1" applyNumberFormat="1" applyFont="1" applyBorder="1"/>
    <xf numFmtId="0" fontId="0" fillId="0" borderId="12" xfId="0" applyBorder="1"/>
    <xf numFmtId="0" fontId="0" fillId="0" borderId="5" xfId="0" applyBorder="1"/>
    <xf numFmtId="0" fontId="0" fillId="0" borderId="11" xfId="0" applyBorder="1"/>
    <xf numFmtId="0" fontId="0" fillId="0" borderId="7" xfId="0" applyBorder="1"/>
    <xf numFmtId="10" fontId="0" fillId="0" borderId="9" xfId="1" applyNumberFormat="1" applyFont="1" applyBorder="1"/>
    <xf numFmtId="10" fontId="0" fillId="0" borderId="12" xfId="1" applyNumberFormat="1" applyFont="1" applyBorder="1"/>
    <xf numFmtId="10" fontId="0" fillId="0" borderId="10" xfId="1" applyNumberFormat="1" applyFont="1" applyBorder="1"/>
    <xf numFmtId="10" fontId="0" fillId="0" borderId="0" xfId="1" applyNumberFormat="1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6" xfId="0" applyFont="1" applyBorder="1"/>
    <xf numFmtId="0" fontId="2" fillId="0" borderId="11" xfId="0" applyFont="1" applyBorder="1"/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3736E2-2E0A-422B-8B43-4666B5F9458F}" autoFormatId="16" applyNumberFormats="0" applyBorderFormats="0" applyFontFormats="0" applyPatternFormats="0" applyAlignmentFormats="0" applyWidthHeightFormats="0">
  <queryTableRefresh nextId="19">
    <queryTableFields count="18">
      <queryTableField id="1" name="player_id" tableColumnId="1"/>
      <queryTableField id="2" name="player_name" tableColumnId="2"/>
      <queryTableField id="3" name="pitch_type" tableColumnId="3"/>
      <queryTableField id="4" name="usage" tableColumnId="4"/>
      <queryTableField id="5" name="xwoba" tableColumnId="5"/>
      <queryTableField id="6" name="spin_rate" tableColumnId="6"/>
      <queryTableField id="7" name="effective_speed" tableColumnId="7"/>
      <queryTableField id="8" name="release_extension" tableColumnId="8"/>
      <queryTableField id="9" name="api_break_z_with_gravity" tableColumnId="9"/>
      <queryTableField id="10" name="api_break_x_arm" tableColumnId="10"/>
      <queryTableField id="11" name="api_break_x_batter_in" tableColumnId="11"/>
      <queryTableField id="12" name="release_pos_z" tableColumnId="12"/>
      <queryTableField id="13" name="release_pos_x" tableColumnId="13"/>
      <queryTableField id="14" name="xslg" tableColumnId="14"/>
      <queryTableField id="15" name="arm_angle" tableColumnId="15"/>
      <queryTableField id="16" name="pitches" tableColumnId="16"/>
      <queryTableField id="17" name="total_pitches" tableColumnId="17"/>
      <queryTableField id="18" name="pitch_percen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8FF4B-399A-46CC-821B-374A4C816119}" name="braves_19_25__2" displayName="braves_19_25__2" ref="A1:R327" tableType="queryTable" totalsRowShown="0">
  <autoFilter ref="A1:R327" xr:uid="{D4E8FF4B-399A-46CC-821B-374A4C816119}">
    <filterColumn colId="1">
      <filters>
        <filter val="Fried, Max"/>
      </filters>
    </filterColumn>
  </autoFilter>
  <tableColumns count="18">
    <tableColumn id="1" xr3:uid="{FEC11709-4C97-4314-A0D9-C5B25FED8AB4}" uniqueName="1" name="player_id" queryTableFieldId="1"/>
    <tableColumn id="2" xr3:uid="{493D2BCF-D546-4D9F-B2E9-1E425A42E699}" uniqueName="2" name="player_name" queryTableFieldId="2" dataDxfId="2"/>
    <tableColumn id="3" xr3:uid="{3FE7C6ED-FEB8-4D20-9437-1DBC7EB9FE17}" uniqueName="3" name="pitch_type" queryTableFieldId="3" dataDxfId="1"/>
    <tableColumn id="4" xr3:uid="{4B365851-8820-4E60-BB9C-5C3E6426A73C}" uniqueName="4" name="usage" queryTableFieldId="4"/>
    <tableColumn id="5" xr3:uid="{FD275505-B95A-4F10-B93D-29D1990BDD6C}" uniqueName="5" name="xwoba" queryTableFieldId="5"/>
    <tableColumn id="6" xr3:uid="{854B2A28-64B1-421C-86AF-423E791A5901}" uniqueName="6" name="spin_rate" queryTableFieldId="6"/>
    <tableColumn id="7" xr3:uid="{5A9D4885-99EE-4B34-98E2-6FA28A53ADF0}" uniqueName="7" name="effective_speed" queryTableFieldId="7"/>
    <tableColumn id="8" xr3:uid="{FAD9EF77-3336-4FE8-BAC7-55B73BFAACF4}" uniqueName="8" name="release_extension" queryTableFieldId="8"/>
    <tableColumn id="9" xr3:uid="{3030F94D-A051-448E-986B-DB7FB383E254}" uniqueName="9" name="api_break_z_with_gravity" queryTableFieldId="9"/>
    <tableColumn id="10" xr3:uid="{E6117E04-5097-4B46-8697-06CF80AEF62A}" uniqueName="10" name="api_break_x_arm" queryTableFieldId="10"/>
    <tableColumn id="11" xr3:uid="{AF5D236D-A388-4DFF-97EC-40A074AB83D2}" uniqueName="11" name="api_break_x_batter_in" queryTableFieldId="11"/>
    <tableColumn id="12" xr3:uid="{D277FFA0-671B-4C9D-A4A2-090BFC5CA6CA}" uniqueName="12" name="release_pos_z" queryTableFieldId="12"/>
    <tableColumn id="13" xr3:uid="{B7D58487-1341-4F52-9390-01213BF3B41B}" uniqueName="13" name="release_pos_x" queryTableFieldId="13"/>
    <tableColumn id="14" xr3:uid="{F68473D6-92A8-438E-8E15-11DE29D4B511}" uniqueName="14" name="xslg" queryTableFieldId="14"/>
    <tableColumn id="15" xr3:uid="{BBB8CC04-9299-481F-ABD3-8FCEC486BCEE}" uniqueName="15" name="arm_angle" queryTableFieldId="15"/>
    <tableColumn id="16" xr3:uid="{E4039D60-8D97-4556-A38C-6F0C5D01A465}" uniqueName="16" name="pitches" queryTableFieldId="16"/>
    <tableColumn id="17" xr3:uid="{33A6CA0B-53F2-4A23-A953-F8CC3099F6A1}" uniqueName="17" name="total_pitches" queryTableFieldId="17"/>
    <tableColumn id="18" xr3:uid="{846080C7-55FD-488E-9D4E-6D9E0C0ECAC1}" uniqueName="18" name="pitch_percent" queryTableFieldId="18" dataDxfId="0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2FE8-FCAA-4753-AB42-8A81D25B7CDD}">
  <dimension ref="A1:R327"/>
  <sheetViews>
    <sheetView workbookViewId="0">
      <selection sqref="A1:R1"/>
    </sheetView>
  </sheetViews>
  <sheetFormatPr defaultRowHeight="14.4" x14ac:dyDescent="0.3"/>
  <cols>
    <col min="1" max="1" width="11.5546875" bestFit="1" customWidth="1"/>
    <col min="2" max="2" width="22.88671875" bestFit="1" customWidth="1"/>
    <col min="3" max="3" width="12.6640625" bestFit="1" customWidth="1"/>
    <col min="4" max="4" width="8.44140625" bestFit="1" customWidth="1"/>
    <col min="6" max="6" width="11.5546875" bestFit="1" customWidth="1"/>
    <col min="7" max="7" width="17.88671875" bestFit="1" customWidth="1"/>
    <col min="8" max="8" width="20" bestFit="1" customWidth="1"/>
    <col min="9" max="9" width="26.33203125" bestFit="1" customWidth="1"/>
    <col min="10" max="10" width="18.5546875" bestFit="1" customWidth="1"/>
    <col min="11" max="11" width="23.44140625" bestFit="1" customWidth="1"/>
    <col min="12" max="12" width="16" bestFit="1" customWidth="1"/>
    <col min="13" max="13" width="16.109375" bestFit="1" customWidth="1"/>
    <col min="14" max="14" width="6.6640625" bestFit="1" customWidth="1"/>
    <col min="15" max="15" width="12.5546875" bestFit="1" customWidth="1"/>
    <col min="16" max="16" width="9.6640625" bestFit="1" customWidth="1"/>
    <col min="17" max="17" width="14.88671875" bestFit="1" customWidth="1"/>
    <col min="18" max="18" width="15.6640625" style="18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84</v>
      </c>
      <c r="E1" t="s">
        <v>13</v>
      </c>
      <c r="F1" t="s">
        <v>9</v>
      </c>
      <c r="G1" t="s">
        <v>8</v>
      </c>
      <c r="H1" t="s">
        <v>5</v>
      </c>
      <c r="I1" t="s">
        <v>10</v>
      </c>
      <c r="J1" t="s">
        <v>11</v>
      </c>
      <c r="K1" t="s">
        <v>12</v>
      </c>
      <c r="L1" t="s">
        <v>7</v>
      </c>
      <c r="M1" t="s">
        <v>6</v>
      </c>
      <c r="N1" t="s">
        <v>14</v>
      </c>
      <c r="O1" t="s">
        <v>4</v>
      </c>
      <c r="P1" t="s">
        <v>85</v>
      </c>
      <c r="Q1" t="s">
        <v>83</v>
      </c>
      <c r="R1" s="18" t="s">
        <v>3</v>
      </c>
    </row>
    <row r="2" spans="1:18" x14ac:dyDescent="0.3">
      <c r="A2">
        <v>608331</v>
      </c>
      <c r="B2" t="s">
        <v>86</v>
      </c>
      <c r="C2" t="s">
        <v>16</v>
      </c>
      <c r="D2">
        <v>30.8</v>
      </c>
      <c r="E2">
        <v>0.32700000000000001</v>
      </c>
      <c r="F2">
        <v>2138</v>
      </c>
      <c r="G2">
        <v>94.37</v>
      </c>
      <c r="H2">
        <v>6.37</v>
      </c>
      <c r="I2">
        <v>1.56732</v>
      </c>
      <c r="J2">
        <v>0.13521</v>
      </c>
      <c r="K2">
        <v>-8.0960000000000004E-2</v>
      </c>
      <c r="L2">
        <v>6.06</v>
      </c>
      <c r="M2">
        <v>1.24</v>
      </c>
      <c r="N2">
        <v>0.39700000000000002</v>
      </c>
      <c r="O2">
        <v>52.8</v>
      </c>
      <c r="P2">
        <v>4947</v>
      </c>
      <c r="Q2">
        <v>12948</v>
      </c>
      <c r="R2" s="18">
        <v>0.38206672845227063</v>
      </c>
    </row>
    <row r="3" spans="1:18" x14ac:dyDescent="0.3">
      <c r="A3">
        <v>608331</v>
      </c>
      <c r="B3" t="s">
        <v>86</v>
      </c>
      <c r="C3" t="s">
        <v>34</v>
      </c>
      <c r="D3">
        <v>1.3</v>
      </c>
      <c r="E3">
        <v>0.33200000000000002</v>
      </c>
      <c r="F3">
        <v>2361</v>
      </c>
      <c r="G3">
        <v>88.85</v>
      </c>
      <c r="H3">
        <v>6.4</v>
      </c>
      <c r="I3">
        <v>2.6551</v>
      </c>
      <c r="J3">
        <v>-0.28539999999999999</v>
      </c>
      <c r="K3">
        <v>0.11104</v>
      </c>
      <c r="L3">
        <v>5.86</v>
      </c>
      <c r="M3">
        <v>1.5</v>
      </c>
      <c r="N3">
        <v>0.46700000000000003</v>
      </c>
      <c r="O3">
        <v>44.7</v>
      </c>
      <c r="P3">
        <v>202</v>
      </c>
      <c r="Q3">
        <v>12948</v>
      </c>
      <c r="R3" s="18">
        <v>1.5600864998455359E-2</v>
      </c>
    </row>
    <row r="4" spans="1:18" x14ac:dyDescent="0.3">
      <c r="A4">
        <v>608331</v>
      </c>
      <c r="B4" t="s">
        <v>86</v>
      </c>
      <c r="C4" t="s">
        <v>23</v>
      </c>
      <c r="D4">
        <v>18.600000000000001</v>
      </c>
      <c r="E4">
        <v>0.20399999999999999</v>
      </c>
      <c r="F4">
        <v>2770</v>
      </c>
      <c r="G4">
        <v>73.83</v>
      </c>
      <c r="H4">
        <v>6.15</v>
      </c>
      <c r="I4">
        <v>5.5907499999999999</v>
      </c>
      <c r="J4">
        <v>-0.78737999999999997</v>
      </c>
      <c r="K4">
        <v>0.52068000000000003</v>
      </c>
      <c r="L4">
        <v>6.08</v>
      </c>
      <c r="M4">
        <v>1.36</v>
      </c>
      <c r="N4">
        <v>0.255</v>
      </c>
      <c r="O4">
        <v>53.7</v>
      </c>
      <c r="P4">
        <v>2989</v>
      </c>
      <c r="Q4">
        <v>12948</v>
      </c>
      <c r="R4" s="18">
        <v>0.23084646277417362</v>
      </c>
    </row>
    <row r="5" spans="1:18" x14ac:dyDescent="0.3">
      <c r="A5">
        <v>608331</v>
      </c>
      <c r="B5" t="s">
        <v>86</v>
      </c>
      <c r="C5" t="s">
        <v>20</v>
      </c>
      <c r="D5">
        <v>12</v>
      </c>
      <c r="E5">
        <v>0.28100000000000003</v>
      </c>
      <c r="F5">
        <v>2480</v>
      </c>
      <c r="G5">
        <v>84.99</v>
      </c>
      <c r="H5">
        <v>6.1</v>
      </c>
      <c r="I5">
        <v>3.2023799999999998</v>
      </c>
      <c r="J5">
        <v>-0.67054000000000002</v>
      </c>
      <c r="K5">
        <v>0.27798</v>
      </c>
      <c r="L5">
        <v>5.93</v>
      </c>
      <c r="M5">
        <v>1.54</v>
      </c>
      <c r="N5">
        <v>0.372</v>
      </c>
      <c r="O5">
        <v>48.2</v>
      </c>
      <c r="P5">
        <v>1921</v>
      </c>
      <c r="Q5">
        <v>12948</v>
      </c>
      <c r="R5" s="18">
        <v>0.14836268149521162</v>
      </c>
    </row>
    <row r="6" spans="1:18" x14ac:dyDescent="0.3">
      <c r="A6">
        <v>608331</v>
      </c>
      <c r="B6" t="s">
        <v>86</v>
      </c>
      <c r="C6" t="s">
        <v>18</v>
      </c>
      <c r="D6">
        <v>9.3000000000000007</v>
      </c>
      <c r="E6">
        <v>0.307</v>
      </c>
      <c r="F6">
        <v>2030</v>
      </c>
      <c r="G6">
        <v>93.79</v>
      </c>
      <c r="H6">
        <v>6.45</v>
      </c>
      <c r="I6">
        <v>1.8155300000000001</v>
      </c>
      <c r="J6">
        <v>0.87370999999999999</v>
      </c>
      <c r="K6">
        <v>-0.17538999999999999</v>
      </c>
      <c r="L6">
        <v>6.02</v>
      </c>
      <c r="M6">
        <v>1.2</v>
      </c>
      <c r="N6">
        <v>0.38400000000000001</v>
      </c>
      <c r="O6">
        <v>51.3</v>
      </c>
      <c r="P6">
        <v>1500</v>
      </c>
      <c r="Q6">
        <v>12948</v>
      </c>
      <c r="R6" s="18">
        <v>0.11584800741427248</v>
      </c>
    </row>
    <row r="7" spans="1:18" x14ac:dyDescent="0.3">
      <c r="A7">
        <v>608331</v>
      </c>
      <c r="B7" t="s">
        <v>86</v>
      </c>
      <c r="C7" t="s">
        <v>37</v>
      </c>
      <c r="D7">
        <v>7.1</v>
      </c>
      <c r="E7">
        <v>0.245</v>
      </c>
      <c r="F7">
        <v>1433</v>
      </c>
      <c r="G7">
        <v>86.44</v>
      </c>
      <c r="H7">
        <v>6.53</v>
      </c>
      <c r="I7">
        <v>2.7048299999999998</v>
      </c>
      <c r="J7">
        <v>1.0287299999999999</v>
      </c>
      <c r="K7">
        <v>-0.83828999999999998</v>
      </c>
      <c r="L7">
        <v>5.75</v>
      </c>
      <c r="M7">
        <v>1.62</v>
      </c>
      <c r="N7">
        <v>0.31900000000000001</v>
      </c>
      <c r="O7">
        <v>43.4</v>
      </c>
      <c r="P7">
        <v>1142</v>
      </c>
      <c r="Q7">
        <v>12948</v>
      </c>
      <c r="R7" s="18">
        <v>8.819894964473278E-2</v>
      </c>
    </row>
    <row r="8" spans="1:18" x14ac:dyDescent="0.3">
      <c r="A8">
        <v>608331</v>
      </c>
      <c r="B8" t="s">
        <v>86</v>
      </c>
      <c r="C8" t="s">
        <v>40</v>
      </c>
      <c r="D8">
        <v>1.5</v>
      </c>
      <c r="E8">
        <v>0.17</v>
      </c>
      <c r="F8">
        <v>2737</v>
      </c>
      <c r="G8">
        <v>80.95</v>
      </c>
      <c r="H8">
        <v>6.37</v>
      </c>
      <c r="I8">
        <v>3.96814</v>
      </c>
      <c r="J8">
        <v>-1.2507299999999999</v>
      </c>
      <c r="K8">
        <v>0.37794</v>
      </c>
      <c r="L8">
        <v>5.89</v>
      </c>
      <c r="M8">
        <v>1.48</v>
      </c>
      <c r="N8">
        <v>0.159</v>
      </c>
      <c r="O8">
        <v>46.1</v>
      </c>
      <c r="P8">
        <v>247</v>
      </c>
      <c r="Q8">
        <v>12948</v>
      </c>
      <c r="R8" s="18">
        <v>1.9076305220883535E-2</v>
      </c>
    </row>
    <row r="9" spans="1:18" hidden="1" x14ac:dyDescent="0.3">
      <c r="A9">
        <v>450203</v>
      </c>
      <c r="B9" t="s">
        <v>51</v>
      </c>
      <c r="C9" t="s">
        <v>18</v>
      </c>
      <c r="D9">
        <v>6.5</v>
      </c>
      <c r="E9">
        <v>0.39500000000000002</v>
      </c>
      <c r="F9">
        <v>2142</v>
      </c>
      <c r="G9">
        <v>94.18</v>
      </c>
      <c r="H9">
        <v>6.24</v>
      </c>
      <c r="I9">
        <v>2.1590600000000002</v>
      </c>
      <c r="J9">
        <v>1.4421299999999999</v>
      </c>
      <c r="K9">
        <v>1.09535</v>
      </c>
      <c r="L9">
        <v>5.45</v>
      </c>
      <c r="M9">
        <v>-2.2599999999999998</v>
      </c>
      <c r="N9">
        <v>0.48</v>
      </c>
      <c r="O9">
        <v>21.7</v>
      </c>
      <c r="P9">
        <v>1158</v>
      </c>
      <c r="Q9">
        <v>11546</v>
      </c>
      <c r="R9" s="18">
        <v>0.10029447427680582</v>
      </c>
    </row>
    <row r="10" spans="1:18" hidden="1" x14ac:dyDescent="0.3">
      <c r="A10">
        <v>450203</v>
      </c>
      <c r="B10" t="s">
        <v>51</v>
      </c>
      <c r="C10" t="s">
        <v>16</v>
      </c>
      <c r="D10">
        <v>21.2</v>
      </c>
      <c r="E10">
        <v>0.35599999999999998</v>
      </c>
      <c r="F10">
        <v>2320</v>
      </c>
      <c r="G10">
        <v>94.76</v>
      </c>
      <c r="H10">
        <v>6.21</v>
      </c>
      <c r="I10">
        <v>1.55983</v>
      </c>
      <c r="J10">
        <v>1.05091</v>
      </c>
      <c r="K10">
        <v>-0.16746</v>
      </c>
      <c r="L10">
        <v>5.5</v>
      </c>
      <c r="M10">
        <v>-2.27</v>
      </c>
      <c r="N10">
        <v>0.46899999999999997</v>
      </c>
      <c r="O10">
        <v>22.9</v>
      </c>
      <c r="P10">
        <v>3790</v>
      </c>
      <c r="Q10">
        <v>11546</v>
      </c>
      <c r="R10" s="18">
        <v>0.32825220855707604</v>
      </c>
    </row>
    <row r="11" spans="1:18" hidden="1" x14ac:dyDescent="0.3">
      <c r="A11">
        <v>450203</v>
      </c>
      <c r="B11" t="s">
        <v>51</v>
      </c>
      <c r="C11" t="s">
        <v>37</v>
      </c>
      <c r="D11">
        <v>5.6</v>
      </c>
      <c r="E11">
        <v>0.34599999999999997</v>
      </c>
      <c r="F11">
        <v>2144</v>
      </c>
      <c r="G11">
        <v>85.9</v>
      </c>
      <c r="H11">
        <v>6.27</v>
      </c>
      <c r="I11">
        <v>3.00529</v>
      </c>
      <c r="J11">
        <v>1.45204</v>
      </c>
      <c r="K11">
        <v>-0.38361000000000001</v>
      </c>
      <c r="L11">
        <v>5.37</v>
      </c>
      <c r="M11">
        <v>-2.4</v>
      </c>
      <c r="N11">
        <v>0.434</v>
      </c>
      <c r="O11">
        <v>20</v>
      </c>
      <c r="P11">
        <v>1006</v>
      </c>
      <c r="Q11">
        <v>11546</v>
      </c>
      <c r="R11" s="18">
        <v>8.7129741901957394E-2</v>
      </c>
    </row>
    <row r="12" spans="1:18" hidden="1" x14ac:dyDescent="0.3">
      <c r="A12">
        <v>450203</v>
      </c>
      <c r="B12" t="s">
        <v>51</v>
      </c>
      <c r="C12" t="s">
        <v>34</v>
      </c>
      <c r="D12">
        <v>5.4</v>
      </c>
      <c r="E12">
        <v>0.41499999999999998</v>
      </c>
      <c r="F12">
        <v>2478</v>
      </c>
      <c r="G12">
        <v>88.55</v>
      </c>
      <c r="H12">
        <v>6.21</v>
      </c>
      <c r="I12">
        <v>2.4542099999999998</v>
      </c>
      <c r="J12">
        <v>-8.6239999999999997E-2</v>
      </c>
      <c r="K12">
        <v>-4.1099999999999998E-2</v>
      </c>
      <c r="L12">
        <v>5.41</v>
      </c>
      <c r="M12">
        <v>-2.37</v>
      </c>
      <c r="N12">
        <v>0.59699999999999998</v>
      </c>
      <c r="O12">
        <v>20.8</v>
      </c>
      <c r="P12">
        <v>969</v>
      </c>
      <c r="Q12">
        <v>11546</v>
      </c>
      <c r="R12" s="18">
        <v>8.3925168889658758E-2</v>
      </c>
    </row>
    <row r="13" spans="1:18" hidden="1" x14ac:dyDescent="0.3">
      <c r="A13">
        <v>450203</v>
      </c>
      <c r="B13" t="s">
        <v>51</v>
      </c>
      <c r="C13" t="s">
        <v>23</v>
      </c>
      <c r="D13">
        <v>25.9</v>
      </c>
      <c r="E13">
        <v>0.247</v>
      </c>
      <c r="F13">
        <v>3074</v>
      </c>
      <c r="G13">
        <v>81.06</v>
      </c>
      <c r="H13">
        <v>6.15</v>
      </c>
      <c r="I13">
        <v>4.20357</v>
      </c>
      <c r="J13">
        <v>-1.23047</v>
      </c>
      <c r="K13">
        <v>0.16381999999999999</v>
      </c>
      <c r="L13">
        <v>5.4</v>
      </c>
      <c r="M13">
        <v>-2.42</v>
      </c>
      <c r="N13">
        <v>0.27400000000000002</v>
      </c>
      <c r="O13">
        <v>21.1</v>
      </c>
      <c r="P13">
        <v>4623</v>
      </c>
      <c r="Q13">
        <v>11546</v>
      </c>
      <c r="R13" s="18">
        <v>0.40039840637450197</v>
      </c>
    </row>
    <row r="14" spans="1:18" hidden="1" x14ac:dyDescent="0.3">
      <c r="A14">
        <v>675911</v>
      </c>
      <c r="B14" t="s">
        <v>15</v>
      </c>
      <c r="C14" t="s">
        <v>87</v>
      </c>
      <c r="D14">
        <v>0</v>
      </c>
      <c r="F14">
        <v>2209</v>
      </c>
      <c r="G14">
        <v>90.7</v>
      </c>
      <c r="H14">
        <v>6.3</v>
      </c>
      <c r="I14">
        <v>1.28</v>
      </c>
      <c r="J14">
        <v>0.7</v>
      </c>
      <c r="K14">
        <v>-0.7</v>
      </c>
      <c r="L14">
        <v>6.09</v>
      </c>
      <c r="M14">
        <v>-2.19</v>
      </c>
      <c r="O14">
        <v>38.700000000000003</v>
      </c>
      <c r="P14">
        <v>1</v>
      </c>
      <c r="Q14">
        <v>7703</v>
      </c>
      <c r="R14" s="18">
        <v>1.2981955082435416E-4</v>
      </c>
    </row>
    <row r="15" spans="1:18" hidden="1" x14ac:dyDescent="0.3">
      <c r="A15">
        <v>675911</v>
      </c>
      <c r="B15" t="s">
        <v>15</v>
      </c>
      <c r="C15" t="s">
        <v>16</v>
      </c>
      <c r="D15">
        <v>59.1</v>
      </c>
      <c r="E15">
        <v>0.32900000000000001</v>
      </c>
      <c r="F15">
        <v>2339</v>
      </c>
      <c r="G15">
        <v>98.26</v>
      </c>
      <c r="H15">
        <v>6.98</v>
      </c>
      <c r="I15">
        <v>0.95030999999999999</v>
      </c>
      <c r="J15">
        <v>0.54208999999999996</v>
      </c>
      <c r="K15">
        <v>-7.3929999999999996E-2</v>
      </c>
      <c r="L15">
        <v>5.81</v>
      </c>
      <c r="M15">
        <v>-1.93</v>
      </c>
      <c r="N15">
        <v>0.43</v>
      </c>
      <c r="O15">
        <v>46.3</v>
      </c>
      <c r="P15">
        <v>4553</v>
      </c>
      <c r="Q15">
        <v>7703</v>
      </c>
      <c r="R15" s="18">
        <v>0.59106841490328443</v>
      </c>
    </row>
    <row r="16" spans="1:18" hidden="1" x14ac:dyDescent="0.3">
      <c r="A16">
        <v>675911</v>
      </c>
      <c r="B16" t="s">
        <v>15</v>
      </c>
      <c r="C16" t="s">
        <v>37</v>
      </c>
      <c r="D16">
        <v>5.7</v>
      </c>
      <c r="E16">
        <v>0.20599999999999999</v>
      </c>
      <c r="F16">
        <v>2157</v>
      </c>
      <c r="G16">
        <v>88.37</v>
      </c>
      <c r="H16">
        <v>7.02</v>
      </c>
      <c r="I16">
        <v>2.1310500000000001</v>
      </c>
      <c r="J16">
        <v>1.21194</v>
      </c>
      <c r="K16">
        <v>-1.0930299999999999</v>
      </c>
      <c r="L16">
        <v>5.72</v>
      </c>
      <c r="M16">
        <v>-2.14</v>
      </c>
      <c r="N16">
        <v>0.249</v>
      </c>
      <c r="O16">
        <v>42.8</v>
      </c>
      <c r="P16">
        <v>439</v>
      </c>
      <c r="Q16">
        <v>7703</v>
      </c>
      <c r="R16" s="18">
        <v>5.6990782811891467E-2</v>
      </c>
    </row>
    <row r="17" spans="1:18" hidden="1" x14ac:dyDescent="0.3">
      <c r="A17">
        <v>675911</v>
      </c>
      <c r="B17" t="s">
        <v>15</v>
      </c>
      <c r="C17" t="s">
        <v>20</v>
      </c>
      <c r="D17">
        <v>32.5</v>
      </c>
      <c r="E17">
        <v>0.224</v>
      </c>
      <c r="F17">
        <v>2335</v>
      </c>
      <c r="G17">
        <v>86.6</v>
      </c>
      <c r="H17">
        <v>6.96</v>
      </c>
      <c r="I17">
        <v>2.9765100000000002</v>
      </c>
      <c r="J17">
        <v>-0.44431999999999999</v>
      </c>
      <c r="K17">
        <v>-6.3460000000000003E-2</v>
      </c>
      <c r="L17">
        <v>5.74</v>
      </c>
      <c r="M17">
        <v>-1.99</v>
      </c>
      <c r="N17">
        <v>0.26800000000000002</v>
      </c>
      <c r="O17">
        <v>44.8</v>
      </c>
      <c r="P17">
        <v>2501</v>
      </c>
      <c r="Q17">
        <v>7703</v>
      </c>
      <c r="R17" s="18">
        <v>0.32467869661170973</v>
      </c>
    </row>
    <row r="18" spans="1:18" hidden="1" x14ac:dyDescent="0.3">
      <c r="A18">
        <v>675911</v>
      </c>
      <c r="B18" t="s">
        <v>15</v>
      </c>
      <c r="C18" t="s">
        <v>23</v>
      </c>
      <c r="D18">
        <v>2.7</v>
      </c>
      <c r="E18">
        <v>0.25600000000000001</v>
      </c>
      <c r="F18">
        <v>2655</v>
      </c>
      <c r="G18">
        <v>79.430000000000007</v>
      </c>
      <c r="H18">
        <v>6.87</v>
      </c>
      <c r="I18">
        <v>4.2424900000000001</v>
      </c>
      <c r="J18">
        <v>-0.82860999999999996</v>
      </c>
      <c r="K18">
        <v>0.35138999999999998</v>
      </c>
      <c r="L18">
        <v>5.84</v>
      </c>
      <c r="M18">
        <v>-1.76</v>
      </c>
      <c r="N18">
        <v>0.29199999999999998</v>
      </c>
      <c r="O18">
        <v>43.9</v>
      </c>
      <c r="P18">
        <v>209</v>
      </c>
      <c r="Q18">
        <v>7703</v>
      </c>
      <c r="R18" s="18">
        <v>2.7132286122290017E-2</v>
      </c>
    </row>
    <row r="19" spans="1:18" hidden="1" x14ac:dyDescent="0.3">
      <c r="A19">
        <v>693821</v>
      </c>
      <c r="B19" t="s">
        <v>17</v>
      </c>
      <c r="C19" t="s">
        <v>18</v>
      </c>
      <c r="D19">
        <v>40.6</v>
      </c>
      <c r="E19">
        <v>0.35699999999999998</v>
      </c>
      <c r="F19">
        <v>2019</v>
      </c>
      <c r="G19">
        <v>89.97</v>
      </c>
      <c r="H19">
        <v>6.03</v>
      </c>
      <c r="I19">
        <v>2.0736300000000001</v>
      </c>
      <c r="J19">
        <v>1.1484700000000001</v>
      </c>
      <c r="K19">
        <v>0.31425999999999998</v>
      </c>
      <c r="L19">
        <v>6.48</v>
      </c>
      <c r="M19">
        <v>-1.1599999999999999</v>
      </c>
      <c r="N19">
        <v>0.44700000000000001</v>
      </c>
      <c r="O19">
        <v>51.4</v>
      </c>
      <c r="P19">
        <v>2884</v>
      </c>
      <c r="Q19">
        <v>7100</v>
      </c>
      <c r="R19" s="18">
        <v>0.40619718309859154</v>
      </c>
    </row>
    <row r="20" spans="1:18" hidden="1" x14ac:dyDescent="0.3">
      <c r="A20">
        <v>693821</v>
      </c>
      <c r="B20" t="s">
        <v>17</v>
      </c>
      <c r="C20" t="s">
        <v>20</v>
      </c>
      <c r="D20">
        <v>33.799999999999997</v>
      </c>
      <c r="E20">
        <v>0.30199999999999999</v>
      </c>
      <c r="F20">
        <v>2445</v>
      </c>
      <c r="G20">
        <v>83.04</v>
      </c>
      <c r="H20">
        <v>6.03</v>
      </c>
      <c r="I20">
        <v>3.3753700000000002</v>
      </c>
      <c r="J20">
        <v>-6.5559999999999993E-2</v>
      </c>
      <c r="K20">
        <v>-6.5799999999999999E-3</v>
      </c>
      <c r="L20">
        <v>6.52</v>
      </c>
      <c r="M20">
        <v>-1.03</v>
      </c>
      <c r="N20">
        <v>0.40799999999999997</v>
      </c>
      <c r="O20">
        <v>53.9</v>
      </c>
      <c r="P20">
        <v>2397</v>
      </c>
      <c r="Q20">
        <v>7100</v>
      </c>
      <c r="R20" s="18">
        <v>0.33760563380281688</v>
      </c>
    </row>
    <row r="21" spans="1:18" hidden="1" x14ac:dyDescent="0.3">
      <c r="A21">
        <v>693821</v>
      </c>
      <c r="B21" t="s">
        <v>17</v>
      </c>
      <c r="C21" t="s">
        <v>34</v>
      </c>
      <c r="D21">
        <v>0</v>
      </c>
      <c r="E21">
        <v>7.9000000000000001E-2</v>
      </c>
      <c r="F21">
        <v>2512</v>
      </c>
      <c r="G21">
        <v>86.6</v>
      </c>
      <c r="H21">
        <v>6</v>
      </c>
      <c r="I21">
        <v>2.68</v>
      </c>
      <c r="J21">
        <v>-0.32</v>
      </c>
      <c r="K21">
        <v>-0.32</v>
      </c>
      <c r="L21">
        <v>6.46</v>
      </c>
      <c r="M21">
        <v>-1.45</v>
      </c>
      <c r="N21">
        <v>8.7999999999999995E-2</v>
      </c>
      <c r="O21">
        <v>56.7</v>
      </c>
      <c r="P21">
        <v>1</v>
      </c>
      <c r="Q21">
        <v>7100</v>
      </c>
      <c r="R21" s="18">
        <v>1.4084507042253522E-4</v>
      </c>
    </row>
    <row r="22" spans="1:18" hidden="1" x14ac:dyDescent="0.3">
      <c r="A22">
        <v>693821</v>
      </c>
      <c r="B22" t="s">
        <v>17</v>
      </c>
      <c r="C22" t="s">
        <v>16</v>
      </c>
      <c r="D22">
        <v>13.2</v>
      </c>
      <c r="E22">
        <v>0.34200000000000003</v>
      </c>
      <c r="F22">
        <v>2170</v>
      </c>
      <c r="G22">
        <v>91.26</v>
      </c>
      <c r="H22">
        <v>6.03</v>
      </c>
      <c r="I22">
        <v>1.45462</v>
      </c>
      <c r="J22">
        <v>0.28115000000000001</v>
      </c>
      <c r="K22">
        <v>-0.22524</v>
      </c>
      <c r="L22">
        <v>6.49</v>
      </c>
      <c r="M22">
        <v>-1.1000000000000001</v>
      </c>
      <c r="N22">
        <v>0.45100000000000001</v>
      </c>
      <c r="O22">
        <v>52</v>
      </c>
      <c r="P22">
        <v>936</v>
      </c>
      <c r="Q22">
        <v>7100</v>
      </c>
      <c r="R22" s="18">
        <v>0.13183098591549297</v>
      </c>
    </row>
    <row r="23" spans="1:18" hidden="1" x14ac:dyDescent="0.3">
      <c r="A23">
        <v>693821</v>
      </c>
      <c r="B23" t="s">
        <v>17</v>
      </c>
      <c r="C23" t="s">
        <v>37</v>
      </c>
      <c r="D23">
        <v>12.4</v>
      </c>
      <c r="E23">
        <v>0.309</v>
      </c>
      <c r="F23">
        <v>2125</v>
      </c>
      <c r="G23">
        <v>85.42</v>
      </c>
      <c r="H23">
        <v>5.97</v>
      </c>
      <c r="I23">
        <v>2.7383000000000002</v>
      </c>
      <c r="J23">
        <v>0.96038999999999997</v>
      </c>
      <c r="K23">
        <v>-0.45367000000000002</v>
      </c>
      <c r="L23">
        <v>6.5</v>
      </c>
      <c r="M23">
        <v>-1.1499999999999999</v>
      </c>
      <c r="N23">
        <v>0.40500000000000003</v>
      </c>
      <c r="O23">
        <v>52.1</v>
      </c>
      <c r="P23">
        <v>882</v>
      </c>
      <c r="Q23">
        <v>7100</v>
      </c>
      <c r="R23" s="18">
        <v>0.12422535211267606</v>
      </c>
    </row>
    <row r="24" spans="1:18" hidden="1" x14ac:dyDescent="0.3">
      <c r="A24">
        <v>519242</v>
      </c>
      <c r="B24" t="s">
        <v>19</v>
      </c>
      <c r="C24" t="s">
        <v>18</v>
      </c>
      <c r="D24">
        <v>2.8</v>
      </c>
      <c r="E24">
        <v>0.377</v>
      </c>
      <c r="F24">
        <v>2094</v>
      </c>
      <c r="G24">
        <v>94.25</v>
      </c>
      <c r="H24">
        <v>6.59</v>
      </c>
      <c r="I24">
        <v>2.3904000000000001</v>
      </c>
      <c r="J24">
        <v>1.49244</v>
      </c>
      <c r="K24">
        <v>-0.18676000000000001</v>
      </c>
      <c r="L24">
        <v>4.96</v>
      </c>
      <c r="M24">
        <v>3.13</v>
      </c>
      <c r="N24">
        <v>0.44500000000000001</v>
      </c>
      <c r="O24">
        <v>8.8000000000000007</v>
      </c>
      <c r="P24">
        <v>275</v>
      </c>
      <c r="Q24">
        <v>4846</v>
      </c>
      <c r="R24" s="18">
        <v>5.6747833264548082E-2</v>
      </c>
    </row>
    <row r="25" spans="1:18" hidden="1" x14ac:dyDescent="0.3">
      <c r="A25">
        <v>519242</v>
      </c>
      <c r="B25" t="s">
        <v>19</v>
      </c>
      <c r="C25" t="s">
        <v>16</v>
      </c>
      <c r="D25">
        <v>19.600000000000001</v>
      </c>
      <c r="E25">
        <v>0.32200000000000001</v>
      </c>
      <c r="F25">
        <v>2251</v>
      </c>
      <c r="G25">
        <v>95.15</v>
      </c>
      <c r="H25">
        <v>6.62</v>
      </c>
      <c r="I25">
        <v>1.7378199999999999</v>
      </c>
      <c r="J25">
        <v>1.2440899999999999</v>
      </c>
      <c r="K25">
        <v>-0.88604000000000005</v>
      </c>
      <c r="L25">
        <v>5.0999999999999996</v>
      </c>
      <c r="M25">
        <v>3.07</v>
      </c>
      <c r="N25">
        <v>0.40500000000000003</v>
      </c>
      <c r="O25">
        <v>11</v>
      </c>
      <c r="P25">
        <v>1922</v>
      </c>
      <c r="Q25">
        <v>4846</v>
      </c>
      <c r="R25" s="18">
        <v>0.39661576557985967</v>
      </c>
    </row>
    <row r="26" spans="1:18" hidden="1" x14ac:dyDescent="0.3">
      <c r="A26">
        <v>519242</v>
      </c>
      <c r="B26" t="s">
        <v>19</v>
      </c>
      <c r="C26" t="s">
        <v>37</v>
      </c>
      <c r="D26">
        <v>5.6</v>
      </c>
      <c r="E26">
        <v>0.255</v>
      </c>
      <c r="F26">
        <v>1868</v>
      </c>
      <c r="G26">
        <v>87.09</v>
      </c>
      <c r="H26">
        <v>6.51</v>
      </c>
      <c r="I26">
        <v>3.0293999999999999</v>
      </c>
      <c r="J26">
        <v>1.3563000000000001</v>
      </c>
      <c r="K26">
        <v>-1.2728699999999999</v>
      </c>
      <c r="L26">
        <v>4.7699999999999996</v>
      </c>
      <c r="M26">
        <v>3.16</v>
      </c>
      <c r="N26">
        <v>0.33800000000000002</v>
      </c>
      <c r="O26">
        <v>5.9</v>
      </c>
      <c r="P26">
        <v>554</v>
      </c>
      <c r="Q26">
        <v>4846</v>
      </c>
      <c r="R26" s="18">
        <v>0.11432108955839868</v>
      </c>
    </row>
    <row r="27" spans="1:18" hidden="1" x14ac:dyDescent="0.3">
      <c r="A27">
        <v>519242</v>
      </c>
      <c r="B27" t="s">
        <v>19</v>
      </c>
      <c r="C27" t="s">
        <v>20</v>
      </c>
      <c r="D27">
        <v>21.3</v>
      </c>
      <c r="E27">
        <v>0.20699999999999999</v>
      </c>
      <c r="F27">
        <v>2344</v>
      </c>
      <c r="G27">
        <v>78.709999999999994</v>
      </c>
      <c r="H27">
        <v>6.32</v>
      </c>
      <c r="I27">
        <v>4.01715</v>
      </c>
      <c r="J27">
        <v>-0.89827000000000001</v>
      </c>
      <c r="K27">
        <v>0.54652999999999996</v>
      </c>
      <c r="L27">
        <v>4.9800000000000004</v>
      </c>
      <c r="M27">
        <v>3.1</v>
      </c>
      <c r="N27">
        <v>0.24099999999999999</v>
      </c>
      <c r="O27">
        <v>9.9</v>
      </c>
      <c r="P27">
        <v>2095</v>
      </c>
      <c r="Q27">
        <v>4846</v>
      </c>
      <c r="R27" s="18">
        <v>0.43231531159719355</v>
      </c>
    </row>
    <row r="28" spans="1:18" hidden="1" x14ac:dyDescent="0.3">
      <c r="A28">
        <v>666120</v>
      </c>
      <c r="B28" t="s">
        <v>88</v>
      </c>
      <c r="C28" t="s">
        <v>23</v>
      </c>
      <c r="D28">
        <v>18.600000000000001</v>
      </c>
      <c r="E28">
        <v>0.27800000000000002</v>
      </c>
      <c r="F28">
        <v>1911</v>
      </c>
      <c r="G28">
        <v>81.95</v>
      </c>
      <c r="H28">
        <v>6.85</v>
      </c>
      <c r="I28">
        <v>3.8700999999999999</v>
      </c>
      <c r="J28">
        <v>-7.4910000000000004E-2</v>
      </c>
      <c r="K28">
        <v>-1.6279999999999999E-2</v>
      </c>
      <c r="L28">
        <v>6.19</v>
      </c>
      <c r="M28">
        <v>-1.57</v>
      </c>
      <c r="N28">
        <v>0.36899999999999999</v>
      </c>
      <c r="O28">
        <v>63.7</v>
      </c>
      <c r="P28">
        <v>920</v>
      </c>
      <c r="Q28">
        <v>4751</v>
      </c>
      <c r="R28" s="18">
        <v>0.19364344348558199</v>
      </c>
    </row>
    <row r="29" spans="1:18" hidden="1" x14ac:dyDescent="0.3">
      <c r="A29">
        <v>666120</v>
      </c>
      <c r="B29" t="s">
        <v>88</v>
      </c>
      <c r="C29" t="s">
        <v>40</v>
      </c>
      <c r="D29">
        <v>0.7</v>
      </c>
      <c r="E29">
        <v>0.41</v>
      </c>
      <c r="F29">
        <v>1937</v>
      </c>
      <c r="G29">
        <v>80.63</v>
      </c>
      <c r="H29">
        <v>6.76</v>
      </c>
      <c r="I29">
        <v>4.2812099999999997</v>
      </c>
      <c r="J29">
        <v>-0.16719000000000001</v>
      </c>
      <c r="K29">
        <v>1.8440000000000002E-2</v>
      </c>
      <c r="L29">
        <v>6.26</v>
      </c>
      <c r="M29">
        <v>-1.57</v>
      </c>
      <c r="N29">
        <v>0.502</v>
      </c>
      <c r="O29">
        <v>66.8</v>
      </c>
      <c r="P29">
        <v>33</v>
      </c>
      <c r="Q29">
        <v>4751</v>
      </c>
      <c r="R29" s="18">
        <v>6.9459061250263104E-3</v>
      </c>
    </row>
    <row r="30" spans="1:18" hidden="1" x14ac:dyDescent="0.3">
      <c r="A30">
        <v>666120</v>
      </c>
      <c r="B30" t="s">
        <v>88</v>
      </c>
      <c r="C30" t="s">
        <v>37</v>
      </c>
      <c r="D30">
        <v>30.9</v>
      </c>
      <c r="E30">
        <v>0.28799999999999998</v>
      </c>
      <c r="F30">
        <v>1602</v>
      </c>
      <c r="G30">
        <v>89.15</v>
      </c>
      <c r="H30">
        <v>6.92</v>
      </c>
      <c r="I30">
        <v>2.00705</v>
      </c>
      <c r="J30">
        <v>0.85396000000000005</v>
      </c>
      <c r="K30">
        <v>-0.10993</v>
      </c>
      <c r="L30">
        <v>6.2</v>
      </c>
      <c r="M30">
        <v>-1.64</v>
      </c>
      <c r="N30">
        <v>0.34300000000000003</v>
      </c>
      <c r="O30">
        <v>60.8</v>
      </c>
      <c r="P30">
        <v>1529</v>
      </c>
      <c r="Q30">
        <v>4751</v>
      </c>
      <c r="R30" s="18">
        <v>0.32182698379288571</v>
      </c>
    </row>
    <row r="31" spans="1:18" hidden="1" x14ac:dyDescent="0.3">
      <c r="A31">
        <v>666120</v>
      </c>
      <c r="B31" t="s">
        <v>88</v>
      </c>
      <c r="C31" t="s">
        <v>16</v>
      </c>
      <c r="D31">
        <v>45.5</v>
      </c>
      <c r="E31">
        <v>0.33700000000000002</v>
      </c>
      <c r="F31">
        <v>1999</v>
      </c>
      <c r="G31">
        <v>95.48</v>
      </c>
      <c r="H31">
        <v>6.99</v>
      </c>
      <c r="I31">
        <v>1.13028</v>
      </c>
      <c r="J31">
        <v>0.4612</v>
      </c>
      <c r="K31">
        <v>9.8499999999999994E-3</v>
      </c>
      <c r="L31">
        <v>6.21</v>
      </c>
      <c r="M31">
        <v>-1.46</v>
      </c>
      <c r="N31">
        <v>0.41699999999999998</v>
      </c>
      <c r="O31">
        <v>63.4</v>
      </c>
      <c r="P31">
        <v>2256</v>
      </c>
      <c r="Q31">
        <v>4751</v>
      </c>
      <c r="R31" s="18">
        <v>0.47484740054725322</v>
      </c>
    </row>
    <row r="32" spans="1:18" hidden="1" x14ac:dyDescent="0.3">
      <c r="A32">
        <v>666120</v>
      </c>
      <c r="B32" t="s">
        <v>88</v>
      </c>
      <c r="C32" t="s">
        <v>18</v>
      </c>
      <c r="D32">
        <v>0.3</v>
      </c>
      <c r="E32">
        <v>0.42299999999999999</v>
      </c>
      <c r="F32">
        <v>2039</v>
      </c>
      <c r="G32">
        <v>94.86</v>
      </c>
      <c r="H32">
        <v>7.05</v>
      </c>
      <c r="I32">
        <v>1.10077</v>
      </c>
      <c r="J32">
        <v>0.93</v>
      </c>
      <c r="K32">
        <v>0.13461999999999999</v>
      </c>
      <c r="L32">
        <v>6.16</v>
      </c>
      <c r="M32">
        <v>-1.37</v>
      </c>
      <c r="N32">
        <v>0.42</v>
      </c>
      <c r="O32">
        <v>64.900000000000006</v>
      </c>
      <c r="P32">
        <v>13</v>
      </c>
      <c r="Q32">
        <v>4751</v>
      </c>
      <c r="R32" s="18">
        <v>2.7362660492527887E-3</v>
      </c>
    </row>
    <row r="33" spans="1:18" hidden="1" x14ac:dyDescent="0.3">
      <c r="A33">
        <v>621345</v>
      </c>
      <c r="B33" t="s">
        <v>89</v>
      </c>
      <c r="C33" t="s">
        <v>16</v>
      </c>
      <c r="D33">
        <v>43.4</v>
      </c>
      <c r="E33">
        <v>0.317</v>
      </c>
      <c r="F33">
        <v>2392</v>
      </c>
      <c r="G33">
        <v>95.87</v>
      </c>
      <c r="H33">
        <v>6.25</v>
      </c>
      <c r="I33">
        <v>1.0767199999999999</v>
      </c>
      <c r="J33">
        <v>0.53759999999999997</v>
      </c>
      <c r="K33">
        <v>-0.16849</v>
      </c>
      <c r="L33">
        <v>5.66</v>
      </c>
      <c r="M33">
        <v>2.21</v>
      </c>
      <c r="N33">
        <v>0.40500000000000003</v>
      </c>
      <c r="O33">
        <v>41.1</v>
      </c>
      <c r="P33">
        <v>2059</v>
      </c>
      <c r="Q33">
        <v>4554</v>
      </c>
      <c r="R33" s="18">
        <v>0.45212999560825645</v>
      </c>
    </row>
    <row r="34" spans="1:18" hidden="1" x14ac:dyDescent="0.3">
      <c r="A34">
        <v>621345</v>
      </c>
      <c r="B34" t="s">
        <v>89</v>
      </c>
      <c r="C34" t="s">
        <v>37</v>
      </c>
      <c r="D34">
        <v>15.4</v>
      </c>
      <c r="E34">
        <v>0.21</v>
      </c>
      <c r="F34">
        <v>1666</v>
      </c>
      <c r="G34">
        <v>86.74</v>
      </c>
      <c r="H34">
        <v>6.21</v>
      </c>
      <c r="I34">
        <v>2.6922100000000002</v>
      </c>
      <c r="J34">
        <v>1.3004899999999999</v>
      </c>
      <c r="K34">
        <v>-1.1506000000000001</v>
      </c>
      <c r="L34">
        <v>5.5</v>
      </c>
      <c r="M34">
        <v>2.52</v>
      </c>
      <c r="N34">
        <v>0.26400000000000001</v>
      </c>
      <c r="O34">
        <v>36.700000000000003</v>
      </c>
      <c r="P34">
        <v>728</v>
      </c>
      <c r="Q34">
        <v>4554</v>
      </c>
      <c r="R34" s="18">
        <v>0.1598594642072903</v>
      </c>
    </row>
    <row r="35" spans="1:18" hidden="1" x14ac:dyDescent="0.3">
      <c r="A35">
        <v>621345</v>
      </c>
      <c r="B35" t="s">
        <v>89</v>
      </c>
      <c r="C35" t="s">
        <v>34</v>
      </c>
      <c r="D35">
        <v>37.299999999999997</v>
      </c>
      <c r="E35">
        <v>0.26500000000000001</v>
      </c>
      <c r="F35">
        <v>2526</v>
      </c>
      <c r="G35">
        <v>89.85</v>
      </c>
      <c r="H35">
        <v>6.13</v>
      </c>
      <c r="I35">
        <v>2.4502299999999999</v>
      </c>
      <c r="J35">
        <v>-0.40844999999999998</v>
      </c>
      <c r="K35">
        <v>1.9910000000000001E-2</v>
      </c>
      <c r="L35">
        <v>5.63</v>
      </c>
      <c r="M35">
        <v>2.27</v>
      </c>
      <c r="N35">
        <v>0.33400000000000002</v>
      </c>
      <c r="O35">
        <v>41.1</v>
      </c>
      <c r="P35">
        <v>1767</v>
      </c>
      <c r="Q35">
        <v>4554</v>
      </c>
      <c r="R35" s="18">
        <v>0.38801054018445325</v>
      </c>
    </row>
    <row r="36" spans="1:18" hidden="1" x14ac:dyDescent="0.3">
      <c r="A36">
        <v>657140</v>
      </c>
      <c r="B36" t="s">
        <v>90</v>
      </c>
      <c r="C36" t="s">
        <v>37</v>
      </c>
      <c r="D36">
        <v>13.2</v>
      </c>
      <c r="E36">
        <v>0.3</v>
      </c>
      <c r="F36">
        <v>1697</v>
      </c>
      <c r="G36">
        <v>88.29</v>
      </c>
      <c r="H36">
        <v>6.49</v>
      </c>
      <c r="I36">
        <v>2.8011499999999998</v>
      </c>
      <c r="J36">
        <v>1.30399</v>
      </c>
      <c r="K36">
        <v>-0.70848999999999995</v>
      </c>
      <c r="L36">
        <v>5.64</v>
      </c>
      <c r="M36">
        <v>-1.89</v>
      </c>
      <c r="N36">
        <v>0.38800000000000001</v>
      </c>
      <c r="O36">
        <v>27.1</v>
      </c>
      <c r="P36">
        <v>582</v>
      </c>
      <c r="Q36">
        <v>4397</v>
      </c>
      <c r="R36" s="18">
        <v>0.13236297475551512</v>
      </c>
    </row>
    <row r="37" spans="1:18" hidden="1" x14ac:dyDescent="0.3">
      <c r="A37">
        <v>657140</v>
      </c>
      <c r="B37" t="s">
        <v>90</v>
      </c>
      <c r="C37" t="s">
        <v>18</v>
      </c>
      <c r="D37">
        <v>24.9</v>
      </c>
      <c r="E37">
        <v>0.35699999999999998</v>
      </c>
      <c r="F37">
        <v>2250</v>
      </c>
      <c r="G37">
        <v>94.39</v>
      </c>
      <c r="H37">
        <v>6.55</v>
      </c>
      <c r="I37">
        <v>2.1099299999999999</v>
      </c>
      <c r="J37">
        <v>1.3255600000000001</v>
      </c>
      <c r="K37">
        <v>0.61680000000000001</v>
      </c>
      <c r="L37">
        <v>5.52</v>
      </c>
      <c r="M37">
        <v>-1.83</v>
      </c>
      <c r="N37">
        <v>0.41699999999999998</v>
      </c>
      <c r="O37">
        <v>27.5</v>
      </c>
      <c r="P37">
        <v>1093</v>
      </c>
      <c r="Q37">
        <v>4397</v>
      </c>
      <c r="R37" s="18">
        <v>0.2485785763020241</v>
      </c>
    </row>
    <row r="38" spans="1:18" hidden="1" x14ac:dyDescent="0.3">
      <c r="A38">
        <v>657140</v>
      </c>
      <c r="B38" t="s">
        <v>90</v>
      </c>
      <c r="C38" t="s">
        <v>16</v>
      </c>
      <c r="D38">
        <v>20.5</v>
      </c>
      <c r="E38">
        <v>0.433</v>
      </c>
      <c r="F38">
        <v>2393</v>
      </c>
      <c r="G38">
        <v>95.15</v>
      </c>
      <c r="H38">
        <v>6.46</v>
      </c>
      <c r="I38">
        <v>1.4778100000000001</v>
      </c>
      <c r="J38">
        <v>0.86685999999999996</v>
      </c>
      <c r="K38">
        <v>-0.45207999999999998</v>
      </c>
      <c r="L38">
        <v>5.61</v>
      </c>
      <c r="M38">
        <v>-1.87</v>
      </c>
      <c r="N38">
        <v>0.60299999999999998</v>
      </c>
      <c r="O38">
        <v>28.3</v>
      </c>
      <c r="P38">
        <v>901</v>
      </c>
      <c r="Q38">
        <v>4397</v>
      </c>
      <c r="R38" s="18">
        <v>0.2049124403002047</v>
      </c>
    </row>
    <row r="39" spans="1:18" hidden="1" x14ac:dyDescent="0.3">
      <c r="A39">
        <v>657140</v>
      </c>
      <c r="B39" t="s">
        <v>90</v>
      </c>
      <c r="C39" t="s">
        <v>20</v>
      </c>
      <c r="D39">
        <v>11</v>
      </c>
      <c r="E39">
        <v>0.34200000000000003</v>
      </c>
      <c r="F39">
        <v>2446</v>
      </c>
      <c r="G39">
        <v>88.84</v>
      </c>
      <c r="H39">
        <v>6.19</v>
      </c>
      <c r="I39">
        <v>2.4082499999999998</v>
      </c>
      <c r="J39">
        <v>-9.4539999999999999E-2</v>
      </c>
      <c r="K39">
        <v>-4.0340000000000001E-2</v>
      </c>
      <c r="L39">
        <v>5.8</v>
      </c>
      <c r="M39">
        <v>-1.84</v>
      </c>
      <c r="N39">
        <v>0.51100000000000001</v>
      </c>
      <c r="O39">
        <v>32.799999999999997</v>
      </c>
      <c r="P39">
        <v>485</v>
      </c>
      <c r="Q39">
        <v>4397</v>
      </c>
      <c r="R39" s="18">
        <v>0.11030247896292927</v>
      </c>
    </row>
    <row r="40" spans="1:18" hidden="1" x14ac:dyDescent="0.3">
      <c r="A40">
        <v>657140</v>
      </c>
      <c r="B40" t="s">
        <v>90</v>
      </c>
      <c r="C40" t="s">
        <v>75</v>
      </c>
      <c r="D40">
        <v>30.4</v>
      </c>
      <c r="E40">
        <v>0.28100000000000003</v>
      </c>
      <c r="F40">
        <v>2685</v>
      </c>
      <c r="G40">
        <v>84.5</v>
      </c>
      <c r="H40">
        <v>6.38</v>
      </c>
      <c r="I40">
        <v>3.89161</v>
      </c>
      <c r="J40">
        <v>-0.74360000000000004</v>
      </c>
      <c r="K40">
        <v>6.6290000000000002E-2</v>
      </c>
      <c r="L40">
        <v>5.7</v>
      </c>
      <c r="M40">
        <v>-1.74</v>
      </c>
      <c r="N40">
        <v>0.36299999999999999</v>
      </c>
      <c r="O40">
        <v>31.8</v>
      </c>
      <c r="P40">
        <v>1336</v>
      </c>
      <c r="Q40">
        <v>4397</v>
      </c>
      <c r="R40" s="18">
        <v>0.30384352967932682</v>
      </c>
    </row>
    <row r="41" spans="1:18" hidden="1" x14ac:dyDescent="0.3">
      <c r="A41">
        <v>680885</v>
      </c>
      <c r="B41" t="s">
        <v>25</v>
      </c>
      <c r="C41" t="s">
        <v>23</v>
      </c>
      <c r="D41">
        <v>13.2</v>
      </c>
      <c r="E41">
        <v>0.29199999999999998</v>
      </c>
      <c r="F41">
        <v>2359</v>
      </c>
      <c r="G41">
        <v>81.83</v>
      </c>
      <c r="H41">
        <v>6.91</v>
      </c>
      <c r="I41">
        <v>4.0830299999999999</v>
      </c>
      <c r="J41">
        <v>-0.70979999999999999</v>
      </c>
      <c r="K41">
        <v>0.35454999999999998</v>
      </c>
      <c r="L41">
        <v>5.29</v>
      </c>
      <c r="M41">
        <v>-2.4300000000000002</v>
      </c>
      <c r="N41">
        <v>0.41299999999999998</v>
      </c>
      <c r="O41">
        <v>34.700000000000003</v>
      </c>
      <c r="P41">
        <v>455</v>
      </c>
      <c r="Q41">
        <v>3460</v>
      </c>
      <c r="R41" s="18">
        <v>0.13150289017341041</v>
      </c>
    </row>
    <row r="42" spans="1:18" hidden="1" x14ac:dyDescent="0.3">
      <c r="A42">
        <v>680885</v>
      </c>
      <c r="B42" t="s">
        <v>25</v>
      </c>
      <c r="C42" t="s">
        <v>20</v>
      </c>
      <c r="D42">
        <v>19.100000000000001</v>
      </c>
      <c r="E42">
        <v>0.25700000000000001</v>
      </c>
      <c r="F42">
        <v>2420</v>
      </c>
      <c r="G42">
        <v>88.41</v>
      </c>
      <c r="H42">
        <v>6.96</v>
      </c>
      <c r="I42">
        <v>3.2176999999999998</v>
      </c>
      <c r="J42">
        <v>-0.27492</v>
      </c>
      <c r="K42">
        <v>-0.13385</v>
      </c>
      <c r="L42">
        <v>5.43</v>
      </c>
      <c r="M42">
        <v>-2.33</v>
      </c>
      <c r="N42">
        <v>0.33</v>
      </c>
      <c r="O42">
        <v>36.4</v>
      </c>
      <c r="P42">
        <v>660</v>
      </c>
      <c r="Q42">
        <v>3460</v>
      </c>
      <c r="R42" s="18">
        <v>0.19075144508670519</v>
      </c>
    </row>
    <row r="43" spans="1:18" hidden="1" x14ac:dyDescent="0.3">
      <c r="A43">
        <v>680885</v>
      </c>
      <c r="B43" t="s">
        <v>25</v>
      </c>
      <c r="C43" t="s">
        <v>16</v>
      </c>
      <c r="D43">
        <v>31.8</v>
      </c>
      <c r="E43">
        <v>0.32900000000000001</v>
      </c>
      <c r="F43">
        <v>2292</v>
      </c>
      <c r="G43">
        <v>97.62</v>
      </c>
      <c r="H43">
        <v>6.8</v>
      </c>
      <c r="I43">
        <v>1.26044</v>
      </c>
      <c r="J43">
        <v>0.46415000000000001</v>
      </c>
      <c r="K43">
        <v>-6.3060000000000005E-2</v>
      </c>
      <c r="L43">
        <v>5.49</v>
      </c>
      <c r="M43">
        <v>-2.33</v>
      </c>
      <c r="N43">
        <v>0.46</v>
      </c>
      <c r="O43">
        <v>33.4</v>
      </c>
      <c r="P43">
        <v>1099</v>
      </c>
      <c r="Q43">
        <v>3460</v>
      </c>
      <c r="R43" s="18">
        <v>0.3176300578034682</v>
      </c>
    </row>
    <row r="44" spans="1:18" hidden="1" x14ac:dyDescent="0.3">
      <c r="A44">
        <v>680885</v>
      </c>
      <c r="B44" t="s">
        <v>25</v>
      </c>
      <c r="C44" t="s">
        <v>18</v>
      </c>
      <c r="D44">
        <v>8.4</v>
      </c>
      <c r="E44">
        <v>0.33200000000000002</v>
      </c>
      <c r="F44">
        <v>2103</v>
      </c>
      <c r="G44">
        <v>96.33</v>
      </c>
      <c r="H44">
        <v>6.89</v>
      </c>
      <c r="I44">
        <v>1.91113</v>
      </c>
      <c r="J44">
        <v>1.2470399999999999</v>
      </c>
      <c r="K44">
        <v>0.52024000000000004</v>
      </c>
      <c r="L44">
        <v>5.39</v>
      </c>
      <c r="M44">
        <v>-2.34</v>
      </c>
      <c r="N44">
        <v>0.40600000000000003</v>
      </c>
      <c r="O44">
        <v>33.299999999999997</v>
      </c>
      <c r="P44">
        <v>291</v>
      </c>
      <c r="Q44">
        <v>3460</v>
      </c>
      <c r="R44" s="18">
        <v>8.4104046242774566E-2</v>
      </c>
    </row>
    <row r="45" spans="1:18" hidden="1" x14ac:dyDescent="0.3">
      <c r="A45">
        <v>680885</v>
      </c>
      <c r="B45" t="s">
        <v>25</v>
      </c>
      <c r="C45" t="s">
        <v>34</v>
      </c>
      <c r="D45">
        <v>14.3</v>
      </c>
      <c r="E45">
        <v>0.33400000000000002</v>
      </c>
      <c r="F45">
        <v>2344</v>
      </c>
      <c r="G45">
        <v>94.64</v>
      </c>
      <c r="H45">
        <v>6.81</v>
      </c>
      <c r="I45">
        <v>1.7436400000000001</v>
      </c>
      <c r="J45">
        <v>-9.6490000000000006E-2</v>
      </c>
      <c r="K45">
        <v>-2.01E-2</v>
      </c>
      <c r="L45">
        <v>5.5</v>
      </c>
      <c r="M45">
        <v>-2.44</v>
      </c>
      <c r="N45">
        <v>0.43099999999999999</v>
      </c>
      <c r="O45">
        <v>34.200000000000003</v>
      </c>
      <c r="P45">
        <v>495</v>
      </c>
      <c r="Q45">
        <v>3460</v>
      </c>
      <c r="R45" s="18">
        <v>0.1430635838150289</v>
      </c>
    </row>
    <row r="46" spans="1:18" hidden="1" x14ac:dyDescent="0.3">
      <c r="A46">
        <v>680885</v>
      </c>
      <c r="B46" t="s">
        <v>25</v>
      </c>
      <c r="C46" t="s">
        <v>33</v>
      </c>
      <c r="D46">
        <v>13.3</v>
      </c>
      <c r="E46">
        <v>0.224</v>
      </c>
      <c r="F46">
        <v>1358</v>
      </c>
      <c r="G46">
        <v>85.96</v>
      </c>
      <c r="H46">
        <v>7.01</v>
      </c>
      <c r="I46">
        <v>3.1366299999999998</v>
      </c>
      <c r="J46">
        <v>0.77690999999999999</v>
      </c>
      <c r="K46">
        <v>-0.53952</v>
      </c>
      <c r="L46">
        <v>5.29</v>
      </c>
      <c r="M46">
        <v>-2.34</v>
      </c>
      <c r="N46">
        <v>0.27300000000000002</v>
      </c>
      <c r="O46">
        <v>34.6</v>
      </c>
      <c r="P46">
        <v>460</v>
      </c>
      <c r="Q46">
        <v>3460</v>
      </c>
      <c r="R46" s="18">
        <v>0.13294797687861271</v>
      </c>
    </row>
    <row r="47" spans="1:18" hidden="1" x14ac:dyDescent="0.3">
      <c r="A47">
        <v>647336</v>
      </c>
      <c r="B47" t="s">
        <v>91</v>
      </c>
      <c r="C47" t="s">
        <v>16</v>
      </c>
      <c r="D47">
        <v>11.3</v>
      </c>
      <c r="E47">
        <v>0.33200000000000002</v>
      </c>
      <c r="F47">
        <v>2365</v>
      </c>
      <c r="G47">
        <v>91.74</v>
      </c>
      <c r="H47">
        <v>5.47</v>
      </c>
      <c r="I47">
        <v>1.56233</v>
      </c>
      <c r="J47">
        <v>0.46528999999999998</v>
      </c>
      <c r="K47">
        <v>-3.7599999999999999E-3</v>
      </c>
      <c r="L47">
        <v>6.3</v>
      </c>
      <c r="M47">
        <v>-2.06</v>
      </c>
      <c r="N47">
        <v>0.45400000000000001</v>
      </c>
      <c r="O47">
        <v>37.6</v>
      </c>
      <c r="P47">
        <v>708</v>
      </c>
      <c r="Q47">
        <v>3289</v>
      </c>
      <c r="R47" s="18">
        <v>0.21526299787169353</v>
      </c>
    </row>
    <row r="48" spans="1:18" hidden="1" x14ac:dyDescent="0.3">
      <c r="A48">
        <v>647336</v>
      </c>
      <c r="B48" t="s">
        <v>91</v>
      </c>
      <c r="C48" t="s">
        <v>72</v>
      </c>
      <c r="D48">
        <v>0.1</v>
      </c>
      <c r="E48">
        <v>0.30299999999999999</v>
      </c>
      <c r="F48">
        <v>2940</v>
      </c>
      <c r="G48">
        <v>79.14</v>
      </c>
      <c r="H48">
        <v>5.26</v>
      </c>
      <c r="I48">
        <v>4.2249999999999996</v>
      </c>
      <c r="J48">
        <v>-0.96250000000000002</v>
      </c>
      <c r="K48">
        <v>-9.2499999999999999E-2</v>
      </c>
      <c r="L48">
        <v>6.59</v>
      </c>
      <c r="M48">
        <v>-1.92</v>
      </c>
      <c r="N48">
        <v>0.36799999999999999</v>
      </c>
      <c r="O48">
        <v>44.3</v>
      </c>
      <c r="P48">
        <v>8</v>
      </c>
      <c r="Q48">
        <v>3289</v>
      </c>
      <c r="R48" s="18">
        <v>2.432350258437215E-3</v>
      </c>
    </row>
    <row r="49" spans="1:18" hidden="1" x14ac:dyDescent="0.3">
      <c r="A49">
        <v>647336</v>
      </c>
      <c r="B49" t="s">
        <v>91</v>
      </c>
      <c r="C49" t="s">
        <v>20</v>
      </c>
      <c r="D49">
        <v>13</v>
      </c>
      <c r="E49">
        <v>0.28299999999999997</v>
      </c>
      <c r="F49">
        <v>2758</v>
      </c>
      <c r="G49">
        <v>81.22</v>
      </c>
      <c r="H49">
        <v>4.96</v>
      </c>
      <c r="I49">
        <v>3.7601100000000001</v>
      </c>
      <c r="J49">
        <v>-0.50153000000000003</v>
      </c>
      <c r="K49">
        <v>-7.9930000000000001E-2</v>
      </c>
      <c r="L49">
        <v>6.57</v>
      </c>
      <c r="M49">
        <v>-1.93</v>
      </c>
      <c r="N49">
        <v>0.34899999999999998</v>
      </c>
      <c r="O49">
        <v>41.5</v>
      </c>
      <c r="P49">
        <v>811</v>
      </c>
      <c r="Q49">
        <v>3289</v>
      </c>
      <c r="R49" s="18">
        <v>0.24657950744907267</v>
      </c>
    </row>
    <row r="50" spans="1:18" hidden="1" x14ac:dyDescent="0.3">
      <c r="A50">
        <v>647336</v>
      </c>
      <c r="B50" t="s">
        <v>91</v>
      </c>
      <c r="C50" t="s">
        <v>37</v>
      </c>
      <c r="D50">
        <v>7</v>
      </c>
      <c r="E50">
        <v>0.26800000000000002</v>
      </c>
      <c r="F50">
        <v>2194</v>
      </c>
      <c r="G50">
        <v>80.09</v>
      </c>
      <c r="H50">
        <v>5.43</v>
      </c>
      <c r="I50">
        <v>2.4674399999999999</v>
      </c>
      <c r="J50">
        <v>1.1919200000000001</v>
      </c>
      <c r="K50">
        <v>-0.37461</v>
      </c>
      <c r="L50">
        <v>6.49</v>
      </c>
      <c r="M50">
        <v>-1.96</v>
      </c>
      <c r="N50">
        <v>0.32800000000000001</v>
      </c>
      <c r="O50">
        <v>40.200000000000003</v>
      </c>
      <c r="P50">
        <v>438</v>
      </c>
      <c r="Q50">
        <v>3289</v>
      </c>
      <c r="R50" s="18">
        <v>0.13317117664943751</v>
      </c>
    </row>
    <row r="51" spans="1:18" hidden="1" x14ac:dyDescent="0.3">
      <c r="A51">
        <v>647336</v>
      </c>
      <c r="B51" t="s">
        <v>91</v>
      </c>
      <c r="C51" t="s">
        <v>18</v>
      </c>
      <c r="D51">
        <v>21.1</v>
      </c>
      <c r="E51">
        <v>0.34200000000000003</v>
      </c>
      <c r="F51">
        <v>2174</v>
      </c>
      <c r="G51">
        <v>90.58</v>
      </c>
      <c r="H51">
        <v>5.29</v>
      </c>
      <c r="I51">
        <v>2.1103200000000002</v>
      </c>
      <c r="J51">
        <v>1.31742</v>
      </c>
      <c r="K51">
        <v>0.39785999999999999</v>
      </c>
      <c r="L51">
        <v>6.47</v>
      </c>
      <c r="M51">
        <v>-1.92</v>
      </c>
      <c r="N51">
        <v>0.432</v>
      </c>
      <c r="O51">
        <v>40.799999999999997</v>
      </c>
      <c r="P51">
        <v>1324</v>
      </c>
      <c r="Q51">
        <v>3289</v>
      </c>
      <c r="R51" s="18">
        <v>0.4025539677713591</v>
      </c>
    </row>
    <row r="52" spans="1:18" hidden="1" x14ac:dyDescent="0.3">
      <c r="A52">
        <v>445926</v>
      </c>
      <c r="B52" t="s">
        <v>47</v>
      </c>
      <c r="C52" t="s">
        <v>20</v>
      </c>
      <c r="D52">
        <v>1.3</v>
      </c>
      <c r="E52">
        <v>0.46800000000000003</v>
      </c>
      <c r="F52">
        <v>2293</v>
      </c>
      <c r="G52">
        <v>81.98</v>
      </c>
      <c r="H52">
        <v>6.23</v>
      </c>
      <c r="I52">
        <v>3.45031</v>
      </c>
      <c r="J52">
        <v>-0.51876999999999995</v>
      </c>
      <c r="K52">
        <v>-0.19323000000000001</v>
      </c>
      <c r="L52">
        <v>5.14</v>
      </c>
      <c r="M52">
        <v>-1.54</v>
      </c>
      <c r="N52">
        <v>0.65700000000000003</v>
      </c>
      <c r="O52">
        <v>24.6</v>
      </c>
      <c r="P52">
        <v>65</v>
      </c>
      <c r="Q52">
        <v>3213</v>
      </c>
      <c r="R52" s="18">
        <v>2.0230314347961405E-2</v>
      </c>
    </row>
    <row r="53" spans="1:18" hidden="1" x14ac:dyDescent="0.3">
      <c r="A53">
        <v>445926</v>
      </c>
      <c r="B53" t="s">
        <v>47</v>
      </c>
      <c r="C53" t="s">
        <v>34</v>
      </c>
      <c r="D53">
        <v>32.1</v>
      </c>
      <c r="E53">
        <v>0.29799999999999999</v>
      </c>
      <c r="F53">
        <v>2229</v>
      </c>
      <c r="G53">
        <v>88.97</v>
      </c>
      <c r="H53">
        <v>6.21</v>
      </c>
      <c r="I53">
        <v>1.8371299999999999</v>
      </c>
      <c r="J53">
        <v>0.13295999999999999</v>
      </c>
      <c r="K53">
        <v>-2.7380000000000002E-2</v>
      </c>
      <c r="L53">
        <v>5.0199999999999996</v>
      </c>
      <c r="M53">
        <v>-1.66</v>
      </c>
      <c r="N53">
        <v>0.378</v>
      </c>
      <c r="O53">
        <v>19.100000000000001</v>
      </c>
      <c r="P53">
        <v>1647</v>
      </c>
      <c r="Q53">
        <v>3213</v>
      </c>
      <c r="R53" s="18">
        <v>0.51260504201680668</v>
      </c>
    </row>
    <row r="54" spans="1:18" hidden="1" x14ac:dyDescent="0.3">
      <c r="A54">
        <v>445926</v>
      </c>
      <c r="B54" t="s">
        <v>47</v>
      </c>
      <c r="C54" t="s">
        <v>16</v>
      </c>
      <c r="D54">
        <v>0.4</v>
      </c>
      <c r="E54">
        <v>0.159</v>
      </c>
      <c r="F54">
        <v>2058</v>
      </c>
      <c r="G54">
        <v>91.31</v>
      </c>
      <c r="H54">
        <v>6.11</v>
      </c>
      <c r="I54">
        <v>1.8985700000000001</v>
      </c>
      <c r="J54">
        <v>0.99</v>
      </c>
      <c r="K54">
        <v>0.24332999999999999</v>
      </c>
      <c r="L54">
        <v>5.17</v>
      </c>
      <c r="M54">
        <v>-1.45</v>
      </c>
      <c r="N54">
        <v>0.188</v>
      </c>
      <c r="O54">
        <v>23.6</v>
      </c>
      <c r="P54">
        <v>21</v>
      </c>
      <c r="Q54">
        <v>3213</v>
      </c>
      <c r="R54" s="18">
        <v>6.5359477124183009E-3</v>
      </c>
    </row>
    <row r="55" spans="1:18" hidden="1" x14ac:dyDescent="0.3">
      <c r="A55">
        <v>445926</v>
      </c>
      <c r="B55" t="s">
        <v>47</v>
      </c>
      <c r="C55" t="s">
        <v>37</v>
      </c>
      <c r="D55">
        <v>8.3000000000000007</v>
      </c>
      <c r="E55">
        <v>0.31</v>
      </c>
      <c r="F55">
        <v>1833</v>
      </c>
      <c r="G55">
        <v>85.15</v>
      </c>
      <c r="H55">
        <v>6.33</v>
      </c>
      <c r="I55">
        <v>2.9827599999999999</v>
      </c>
      <c r="J55">
        <v>1.32603</v>
      </c>
      <c r="K55">
        <v>-0.75490999999999997</v>
      </c>
      <c r="L55">
        <v>5.1100000000000003</v>
      </c>
      <c r="M55">
        <v>-1.61</v>
      </c>
      <c r="N55">
        <v>0.38500000000000001</v>
      </c>
      <c r="O55">
        <v>22.3</v>
      </c>
      <c r="P55">
        <v>428</v>
      </c>
      <c r="Q55">
        <v>3213</v>
      </c>
      <c r="R55" s="18">
        <v>0.13320883909119202</v>
      </c>
    </row>
    <row r="56" spans="1:18" hidden="1" x14ac:dyDescent="0.3">
      <c r="A56">
        <v>445926</v>
      </c>
      <c r="B56" t="s">
        <v>47</v>
      </c>
      <c r="C56" t="s">
        <v>87</v>
      </c>
      <c r="D56">
        <v>0</v>
      </c>
      <c r="F56">
        <v>2157</v>
      </c>
      <c r="G56">
        <v>88.7</v>
      </c>
      <c r="H56">
        <v>6.2</v>
      </c>
      <c r="I56">
        <v>1.77</v>
      </c>
      <c r="J56">
        <v>0.87</v>
      </c>
      <c r="K56">
        <v>0.87</v>
      </c>
      <c r="L56">
        <v>5.15</v>
      </c>
      <c r="M56">
        <v>-1.75</v>
      </c>
      <c r="O56">
        <v>18.5</v>
      </c>
      <c r="P56">
        <v>1</v>
      </c>
      <c r="Q56">
        <v>3213</v>
      </c>
      <c r="R56" s="18">
        <v>3.1123560535325243E-4</v>
      </c>
    </row>
    <row r="57" spans="1:18" hidden="1" x14ac:dyDescent="0.3">
      <c r="A57">
        <v>445926</v>
      </c>
      <c r="B57" t="s">
        <v>47</v>
      </c>
      <c r="C57" t="s">
        <v>23</v>
      </c>
      <c r="D57">
        <v>2.5</v>
      </c>
      <c r="E57">
        <v>0.184</v>
      </c>
      <c r="F57">
        <v>2562</v>
      </c>
      <c r="G57">
        <v>75.61</v>
      </c>
      <c r="H57">
        <v>6.32</v>
      </c>
      <c r="I57">
        <v>4.6311600000000004</v>
      </c>
      <c r="J57">
        <v>-1.3171299999999999</v>
      </c>
      <c r="K57">
        <v>-0.73790999999999995</v>
      </c>
      <c r="L57">
        <v>5.26</v>
      </c>
      <c r="M57">
        <v>-1.55</v>
      </c>
      <c r="N57">
        <v>0.24099999999999999</v>
      </c>
      <c r="O57">
        <v>26.7</v>
      </c>
      <c r="P57">
        <v>129</v>
      </c>
      <c r="Q57">
        <v>3213</v>
      </c>
      <c r="R57" s="18">
        <v>4.0149393090569564E-2</v>
      </c>
    </row>
    <row r="58" spans="1:18" hidden="1" x14ac:dyDescent="0.3">
      <c r="A58">
        <v>445926</v>
      </c>
      <c r="B58" t="s">
        <v>47</v>
      </c>
      <c r="C58" t="s">
        <v>18</v>
      </c>
      <c r="D58">
        <v>17.899999999999999</v>
      </c>
      <c r="E58">
        <v>0.32600000000000001</v>
      </c>
      <c r="F58">
        <v>1995</v>
      </c>
      <c r="G58">
        <v>90.89</v>
      </c>
      <c r="H58">
        <v>6.23</v>
      </c>
      <c r="I58">
        <v>2.1229800000000001</v>
      </c>
      <c r="J58">
        <v>1.3524499999999999</v>
      </c>
      <c r="K58">
        <v>0.58831</v>
      </c>
      <c r="L58">
        <v>5.1100000000000003</v>
      </c>
      <c r="M58">
        <v>-1.51</v>
      </c>
      <c r="N58">
        <v>0.435</v>
      </c>
      <c r="O58">
        <v>21</v>
      </c>
      <c r="P58">
        <v>922</v>
      </c>
      <c r="Q58">
        <v>3213</v>
      </c>
      <c r="R58" s="18">
        <v>0.28695922813569874</v>
      </c>
    </row>
    <row r="59" spans="1:18" hidden="1" x14ac:dyDescent="0.3">
      <c r="A59">
        <v>628452</v>
      </c>
      <c r="B59" t="s">
        <v>28</v>
      </c>
      <c r="C59" t="s">
        <v>20</v>
      </c>
      <c r="D59">
        <v>7.9</v>
      </c>
      <c r="E59">
        <v>0.253</v>
      </c>
      <c r="F59">
        <v>2645</v>
      </c>
      <c r="G59">
        <v>83.99</v>
      </c>
      <c r="H59">
        <v>6.06</v>
      </c>
      <c r="I59">
        <v>2.82986</v>
      </c>
      <c r="J59">
        <v>-0.80552999999999997</v>
      </c>
      <c r="K59">
        <v>-0.44618000000000002</v>
      </c>
      <c r="L59">
        <v>5.49</v>
      </c>
      <c r="M59">
        <v>-1.79</v>
      </c>
      <c r="N59">
        <v>0.373</v>
      </c>
      <c r="O59">
        <v>32.9</v>
      </c>
      <c r="P59">
        <v>493</v>
      </c>
      <c r="Q59">
        <v>3173</v>
      </c>
      <c r="R59" s="18">
        <v>0.15537346359911755</v>
      </c>
    </row>
    <row r="60" spans="1:18" hidden="1" x14ac:dyDescent="0.3">
      <c r="A60">
        <v>628452</v>
      </c>
      <c r="B60" t="s">
        <v>28</v>
      </c>
      <c r="C60" t="s">
        <v>18</v>
      </c>
      <c r="D60">
        <v>9.3000000000000007</v>
      </c>
      <c r="E60">
        <v>0.33700000000000002</v>
      </c>
      <c r="F60">
        <v>2328</v>
      </c>
      <c r="G60">
        <v>94.65</v>
      </c>
      <c r="H60">
        <v>6.2</v>
      </c>
      <c r="I60">
        <v>1.7727599999999999</v>
      </c>
      <c r="J60">
        <v>1.3946499999999999</v>
      </c>
      <c r="K60">
        <v>0.50466999999999995</v>
      </c>
      <c r="L60">
        <v>5.48</v>
      </c>
      <c r="M60">
        <v>-1.83</v>
      </c>
      <c r="N60">
        <v>0.39700000000000002</v>
      </c>
      <c r="O60">
        <v>31.6</v>
      </c>
      <c r="P60">
        <v>583</v>
      </c>
      <c r="Q60">
        <v>3173</v>
      </c>
      <c r="R60" s="18">
        <v>0.18373778758272927</v>
      </c>
    </row>
    <row r="61" spans="1:18" hidden="1" x14ac:dyDescent="0.3">
      <c r="A61">
        <v>628452</v>
      </c>
      <c r="B61" t="s">
        <v>28</v>
      </c>
      <c r="C61" t="s">
        <v>37</v>
      </c>
      <c r="D61">
        <v>15.7</v>
      </c>
      <c r="E61">
        <v>0.222</v>
      </c>
      <c r="F61">
        <v>1974</v>
      </c>
      <c r="G61">
        <v>89</v>
      </c>
      <c r="H61">
        <v>6.19</v>
      </c>
      <c r="I61">
        <v>2.5007000000000001</v>
      </c>
      <c r="J61">
        <v>1.3315300000000001</v>
      </c>
      <c r="K61">
        <v>-0.48331000000000002</v>
      </c>
      <c r="L61">
        <v>5.41</v>
      </c>
      <c r="M61">
        <v>-1.87</v>
      </c>
      <c r="N61">
        <v>0.27900000000000003</v>
      </c>
      <c r="O61">
        <v>30.3</v>
      </c>
      <c r="P61">
        <v>983</v>
      </c>
      <c r="Q61">
        <v>3173</v>
      </c>
      <c r="R61" s="18">
        <v>0.30980144973211471</v>
      </c>
    </row>
    <row r="62" spans="1:18" hidden="1" x14ac:dyDescent="0.3">
      <c r="A62">
        <v>628452</v>
      </c>
      <c r="B62" t="s">
        <v>28</v>
      </c>
      <c r="C62" t="s">
        <v>16</v>
      </c>
      <c r="D62">
        <v>17.8</v>
      </c>
      <c r="E62">
        <v>0.27900000000000003</v>
      </c>
      <c r="F62">
        <v>2321</v>
      </c>
      <c r="G62">
        <v>94.91</v>
      </c>
      <c r="H62">
        <v>6.17</v>
      </c>
      <c r="I62">
        <v>1.26637</v>
      </c>
      <c r="J62">
        <v>0.73524999999999996</v>
      </c>
      <c r="K62">
        <v>-0.15057999999999999</v>
      </c>
      <c r="L62">
        <v>5.48</v>
      </c>
      <c r="M62">
        <v>-1.84</v>
      </c>
      <c r="N62">
        <v>0.39400000000000002</v>
      </c>
      <c r="O62">
        <v>31.8</v>
      </c>
      <c r="P62">
        <v>1114</v>
      </c>
      <c r="Q62">
        <v>3173</v>
      </c>
      <c r="R62" s="18">
        <v>0.35108729908603847</v>
      </c>
    </row>
    <row r="63" spans="1:18" hidden="1" x14ac:dyDescent="0.3">
      <c r="A63">
        <v>592426</v>
      </c>
      <c r="B63" t="s">
        <v>92</v>
      </c>
      <c r="C63" t="s">
        <v>20</v>
      </c>
      <c r="D63">
        <v>31.7</v>
      </c>
      <c r="E63">
        <v>0.23200000000000001</v>
      </c>
      <c r="F63">
        <v>2446</v>
      </c>
      <c r="G63">
        <v>87.94</v>
      </c>
      <c r="H63">
        <v>6.47</v>
      </c>
      <c r="I63">
        <v>3.4925799999999998</v>
      </c>
      <c r="J63">
        <v>-0.14026</v>
      </c>
      <c r="K63">
        <v>-3.0759999999999999E-2</v>
      </c>
      <c r="L63">
        <v>6.33</v>
      </c>
      <c r="M63">
        <v>-2.54</v>
      </c>
      <c r="N63">
        <v>0.27100000000000002</v>
      </c>
      <c r="O63">
        <v>49.2</v>
      </c>
      <c r="P63">
        <v>1589</v>
      </c>
      <c r="Q63">
        <v>3136</v>
      </c>
      <c r="R63" s="18">
        <v>0.5066964285714286</v>
      </c>
    </row>
    <row r="64" spans="1:18" hidden="1" x14ac:dyDescent="0.3">
      <c r="A64">
        <v>592426</v>
      </c>
      <c r="B64" t="s">
        <v>92</v>
      </c>
      <c r="C64" t="s">
        <v>34</v>
      </c>
      <c r="D64">
        <v>0.2</v>
      </c>
      <c r="E64">
        <v>0.54900000000000004</v>
      </c>
      <c r="F64">
        <v>2393</v>
      </c>
      <c r="G64">
        <v>90.9</v>
      </c>
      <c r="H64">
        <v>6.68</v>
      </c>
      <c r="I64">
        <v>2.1389999999999998</v>
      </c>
      <c r="J64">
        <v>-0.153</v>
      </c>
      <c r="K64">
        <v>-0.17299999999999999</v>
      </c>
      <c r="L64">
        <v>6.39</v>
      </c>
      <c r="M64">
        <v>-2.64</v>
      </c>
      <c r="N64">
        <v>0.46899999999999997</v>
      </c>
      <c r="O64">
        <v>42.7</v>
      </c>
      <c r="P64">
        <v>10</v>
      </c>
      <c r="Q64">
        <v>3136</v>
      </c>
      <c r="R64" s="18">
        <v>3.1887755102040817E-3</v>
      </c>
    </row>
    <row r="65" spans="1:18" hidden="1" x14ac:dyDescent="0.3">
      <c r="A65">
        <v>592426</v>
      </c>
      <c r="B65" t="s">
        <v>92</v>
      </c>
      <c r="C65" t="s">
        <v>16</v>
      </c>
      <c r="D65">
        <v>22.6</v>
      </c>
      <c r="E65">
        <v>0.38700000000000001</v>
      </c>
      <c r="F65">
        <v>2265</v>
      </c>
      <c r="G65">
        <v>96.3</v>
      </c>
      <c r="H65">
        <v>6.7</v>
      </c>
      <c r="I65">
        <v>1.0260499999999999</v>
      </c>
      <c r="J65">
        <v>0.59160999999999997</v>
      </c>
      <c r="K65">
        <v>6.991E-2</v>
      </c>
      <c r="L65">
        <v>6.46</v>
      </c>
      <c r="M65">
        <v>-2.1800000000000002</v>
      </c>
      <c r="N65">
        <v>0.502</v>
      </c>
      <c r="O65">
        <v>53</v>
      </c>
      <c r="P65">
        <v>1133</v>
      </c>
      <c r="Q65">
        <v>3136</v>
      </c>
      <c r="R65" s="18">
        <v>0.36128826530612246</v>
      </c>
    </row>
    <row r="66" spans="1:18" hidden="1" x14ac:dyDescent="0.3">
      <c r="A66">
        <v>592426</v>
      </c>
      <c r="B66" t="s">
        <v>92</v>
      </c>
      <c r="C66" t="s">
        <v>23</v>
      </c>
      <c r="D66">
        <v>8</v>
      </c>
      <c r="E66">
        <v>0.29899999999999999</v>
      </c>
      <c r="F66">
        <v>2498</v>
      </c>
      <c r="G66">
        <v>84.04</v>
      </c>
      <c r="H66">
        <v>6.4</v>
      </c>
      <c r="I66">
        <v>4.3048299999999999</v>
      </c>
      <c r="J66">
        <v>-0.48948000000000003</v>
      </c>
      <c r="K66">
        <v>0.15275</v>
      </c>
      <c r="L66">
        <v>6.41</v>
      </c>
      <c r="M66">
        <v>-2.61</v>
      </c>
      <c r="N66">
        <v>0.40300000000000002</v>
      </c>
      <c r="O66">
        <v>51.2</v>
      </c>
      <c r="P66">
        <v>404</v>
      </c>
      <c r="Q66">
        <v>3136</v>
      </c>
      <c r="R66" s="18">
        <v>0.12882653061224489</v>
      </c>
    </row>
    <row r="67" spans="1:18" hidden="1" x14ac:dyDescent="0.3">
      <c r="A67">
        <v>669276</v>
      </c>
      <c r="B67" t="s">
        <v>24</v>
      </c>
      <c r="C67" t="s">
        <v>16</v>
      </c>
      <c r="D67">
        <v>36.299999999999997</v>
      </c>
      <c r="E67">
        <v>0.32600000000000001</v>
      </c>
      <c r="F67">
        <v>2285</v>
      </c>
      <c r="G67">
        <v>92.72</v>
      </c>
      <c r="H67">
        <v>6.34</v>
      </c>
      <c r="I67">
        <v>1.0454000000000001</v>
      </c>
      <c r="J67">
        <v>0.63492999999999999</v>
      </c>
      <c r="K67">
        <v>-0.16514000000000001</v>
      </c>
      <c r="L67">
        <v>6.51</v>
      </c>
      <c r="M67">
        <v>1.67</v>
      </c>
      <c r="N67">
        <v>0.46800000000000003</v>
      </c>
      <c r="O67">
        <v>47.5</v>
      </c>
      <c r="P67">
        <v>1139</v>
      </c>
      <c r="Q67">
        <v>3134</v>
      </c>
      <c r="R67" s="18">
        <v>0.36343331206126356</v>
      </c>
    </row>
    <row r="68" spans="1:18" hidden="1" x14ac:dyDescent="0.3">
      <c r="A68">
        <v>669276</v>
      </c>
      <c r="B68" t="s">
        <v>24</v>
      </c>
      <c r="C68" t="s">
        <v>18</v>
      </c>
      <c r="D68">
        <v>0</v>
      </c>
      <c r="E68">
        <v>0.16400000000000001</v>
      </c>
      <c r="F68">
        <v>2060</v>
      </c>
      <c r="G68">
        <v>92.1</v>
      </c>
      <c r="H68">
        <v>6.7</v>
      </c>
      <c r="I68">
        <v>1.32</v>
      </c>
      <c r="J68">
        <v>0.42</v>
      </c>
      <c r="K68">
        <v>-0.42</v>
      </c>
      <c r="L68">
        <v>6.17</v>
      </c>
      <c r="M68">
        <v>1.66</v>
      </c>
      <c r="N68">
        <v>0.22900000000000001</v>
      </c>
      <c r="O68">
        <v>47.2</v>
      </c>
      <c r="P68">
        <v>1</v>
      </c>
      <c r="Q68">
        <v>3134</v>
      </c>
      <c r="R68" s="18">
        <v>3.1908104658583282E-4</v>
      </c>
    </row>
    <row r="69" spans="1:18" hidden="1" x14ac:dyDescent="0.3">
      <c r="A69">
        <v>669276</v>
      </c>
      <c r="B69" t="s">
        <v>24</v>
      </c>
      <c r="C69" t="s">
        <v>37</v>
      </c>
      <c r="D69">
        <v>11.4</v>
      </c>
      <c r="E69">
        <v>0.26200000000000001</v>
      </c>
      <c r="F69">
        <v>1648</v>
      </c>
      <c r="G69">
        <v>86.43</v>
      </c>
      <c r="H69">
        <v>6.46</v>
      </c>
      <c r="I69">
        <v>2.0858500000000002</v>
      </c>
      <c r="J69">
        <v>0.9698</v>
      </c>
      <c r="K69">
        <v>-0.89215999999999995</v>
      </c>
      <c r="L69">
        <v>6.38</v>
      </c>
      <c r="M69">
        <v>1.86</v>
      </c>
      <c r="N69">
        <v>0.32300000000000001</v>
      </c>
      <c r="O69">
        <v>44.4</v>
      </c>
      <c r="P69">
        <v>357</v>
      </c>
      <c r="Q69">
        <v>3134</v>
      </c>
      <c r="R69" s="18">
        <v>0.11391193363114231</v>
      </c>
    </row>
    <row r="70" spans="1:18" hidden="1" x14ac:dyDescent="0.3">
      <c r="A70">
        <v>669276</v>
      </c>
      <c r="B70" t="s">
        <v>24</v>
      </c>
      <c r="C70" t="s">
        <v>20</v>
      </c>
      <c r="D70">
        <v>52.2</v>
      </c>
      <c r="E70">
        <v>0.24299999999999999</v>
      </c>
      <c r="F70">
        <v>2095</v>
      </c>
      <c r="G70">
        <v>84.9</v>
      </c>
      <c r="H70">
        <v>6.33</v>
      </c>
      <c r="I70">
        <v>2.7085300000000001</v>
      </c>
      <c r="J70">
        <v>-0.15548000000000001</v>
      </c>
      <c r="K70">
        <v>2.1909999999999999E-2</v>
      </c>
      <c r="L70">
        <v>6.46</v>
      </c>
      <c r="M70">
        <v>1.79</v>
      </c>
      <c r="N70">
        <v>0.33100000000000002</v>
      </c>
      <c r="O70">
        <v>46.2</v>
      </c>
      <c r="P70">
        <v>1637</v>
      </c>
      <c r="Q70">
        <v>3134</v>
      </c>
      <c r="R70" s="18">
        <v>0.52233567326100827</v>
      </c>
    </row>
    <row r="71" spans="1:18" hidden="1" x14ac:dyDescent="0.3">
      <c r="A71">
        <v>656550</v>
      </c>
      <c r="B71" t="s">
        <v>21</v>
      </c>
      <c r="C71" t="s">
        <v>34</v>
      </c>
      <c r="D71">
        <v>12.8</v>
      </c>
      <c r="E71">
        <v>0.38500000000000001</v>
      </c>
      <c r="F71">
        <v>2521</v>
      </c>
      <c r="G71">
        <v>91.92</v>
      </c>
      <c r="H71">
        <v>5.92</v>
      </c>
      <c r="I71">
        <v>1.78772</v>
      </c>
      <c r="J71">
        <v>2.58E-2</v>
      </c>
      <c r="K71">
        <v>-2.2429999999999999E-2</v>
      </c>
      <c r="L71">
        <v>5.89</v>
      </c>
      <c r="M71">
        <v>-2.4</v>
      </c>
      <c r="N71">
        <v>0.50700000000000001</v>
      </c>
      <c r="O71">
        <v>38.700000000000003</v>
      </c>
      <c r="P71">
        <v>381</v>
      </c>
      <c r="Q71">
        <v>2988</v>
      </c>
      <c r="R71" s="18">
        <v>0.12751004016064257</v>
      </c>
    </row>
    <row r="72" spans="1:18" hidden="1" x14ac:dyDescent="0.3">
      <c r="A72">
        <v>656550</v>
      </c>
      <c r="B72" t="s">
        <v>21</v>
      </c>
      <c r="C72" t="s">
        <v>18</v>
      </c>
      <c r="D72">
        <v>0.1</v>
      </c>
      <c r="F72">
        <v>2317</v>
      </c>
      <c r="G72">
        <v>93.45</v>
      </c>
      <c r="H72">
        <v>6.15</v>
      </c>
      <c r="I72">
        <v>1.9750000000000001</v>
      </c>
      <c r="J72">
        <v>0.76</v>
      </c>
      <c r="K72">
        <v>0.01</v>
      </c>
      <c r="L72">
        <v>5.79</v>
      </c>
      <c r="M72">
        <v>-2.46</v>
      </c>
      <c r="O72">
        <v>37.5</v>
      </c>
      <c r="P72">
        <v>2</v>
      </c>
      <c r="Q72">
        <v>2988</v>
      </c>
      <c r="R72" s="18">
        <v>6.6934404283801872E-4</v>
      </c>
    </row>
    <row r="73" spans="1:18" hidden="1" x14ac:dyDescent="0.3">
      <c r="A73">
        <v>656550</v>
      </c>
      <c r="B73" t="s">
        <v>21</v>
      </c>
      <c r="C73" t="s">
        <v>37</v>
      </c>
      <c r="D73">
        <v>1.2</v>
      </c>
      <c r="E73">
        <v>0.45200000000000001</v>
      </c>
      <c r="F73">
        <v>1620</v>
      </c>
      <c r="G73">
        <v>90.09</v>
      </c>
      <c r="H73">
        <v>6.03</v>
      </c>
      <c r="I73">
        <v>2.4062899999999998</v>
      </c>
      <c r="J73">
        <v>0.95943000000000001</v>
      </c>
      <c r="K73">
        <v>-0.75543000000000005</v>
      </c>
      <c r="L73">
        <v>5.8</v>
      </c>
      <c r="M73">
        <v>-2.4300000000000002</v>
      </c>
      <c r="N73">
        <v>0.71599999999999997</v>
      </c>
      <c r="O73">
        <v>37.6</v>
      </c>
      <c r="P73">
        <v>35</v>
      </c>
      <c r="Q73">
        <v>2988</v>
      </c>
      <c r="R73" s="18">
        <v>1.1713520749665328E-2</v>
      </c>
    </row>
    <row r="74" spans="1:18" hidden="1" x14ac:dyDescent="0.3">
      <c r="A74">
        <v>656550</v>
      </c>
      <c r="B74" t="s">
        <v>21</v>
      </c>
      <c r="C74" t="s">
        <v>23</v>
      </c>
      <c r="D74">
        <v>17.2</v>
      </c>
      <c r="E74">
        <v>0.26200000000000001</v>
      </c>
      <c r="F74">
        <v>2882</v>
      </c>
      <c r="G74">
        <v>83.28</v>
      </c>
      <c r="H74">
        <v>5.94</v>
      </c>
      <c r="I74">
        <v>4.0039899999999999</v>
      </c>
      <c r="J74">
        <v>-0.33922000000000002</v>
      </c>
      <c r="K74">
        <v>0.18942999999999999</v>
      </c>
      <c r="L74">
        <v>5.93</v>
      </c>
      <c r="M74">
        <v>-2.33</v>
      </c>
      <c r="N74">
        <v>0.29099999999999998</v>
      </c>
      <c r="O74">
        <v>40.9</v>
      </c>
      <c r="P74">
        <v>514</v>
      </c>
      <c r="Q74">
        <v>2988</v>
      </c>
      <c r="R74" s="18">
        <v>0.17202141900937082</v>
      </c>
    </row>
    <row r="75" spans="1:18" hidden="1" x14ac:dyDescent="0.3">
      <c r="A75">
        <v>656550</v>
      </c>
      <c r="B75" t="s">
        <v>21</v>
      </c>
      <c r="C75" t="s">
        <v>16</v>
      </c>
      <c r="D75">
        <v>34.200000000000003</v>
      </c>
      <c r="E75">
        <v>0.38100000000000001</v>
      </c>
      <c r="F75">
        <v>2316</v>
      </c>
      <c r="G75">
        <v>94.07</v>
      </c>
      <c r="H75">
        <v>5.99</v>
      </c>
      <c r="I75">
        <v>1.29491</v>
      </c>
      <c r="J75">
        <v>0.47344000000000003</v>
      </c>
      <c r="K75">
        <v>1.2199999999999999E-3</v>
      </c>
      <c r="L75">
        <v>5.92</v>
      </c>
      <c r="M75">
        <v>-2.33</v>
      </c>
      <c r="N75">
        <v>0.50600000000000001</v>
      </c>
      <c r="O75">
        <v>39.4</v>
      </c>
      <c r="P75">
        <v>1023</v>
      </c>
      <c r="Q75">
        <v>2988</v>
      </c>
      <c r="R75" s="18">
        <v>0.34236947791164657</v>
      </c>
    </row>
    <row r="76" spans="1:18" hidden="1" x14ac:dyDescent="0.3">
      <c r="A76">
        <v>656550</v>
      </c>
      <c r="B76" t="s">
        <v>21</v>
      </c>
      <c r="C76" t="s">
        <v>20</v>
      </c>
      <c r="D76">
        <v>34.6</v>
      </c>
      <c r="E76">
        <v>0.26600000000000001</v>
      </c>
      <c r="F76">
        <v>2807</v>
      </c>
      <c r="G76">
        <v>85.41</v>
      </c>
      <c r="H76">
        <v>5.99</v>
      </c>
      <c r="I76">
        <v>3.3035999999999999</v>
      </c>
      <c r="J76">
        <v>-0.22078</v>
      </c>
      <c r="K76">
        <v>-4.5699999999999998E-2</v>
      </c>
      <c r="L76">
        <v>5.86</v>
      </c>
      <c r="M76">
        <v>-2.4</v>
      </c>
      <c r="N76">
        <v>0.34899999999999998</v>
      </c>
      <c r="O76">
        <v>38.4</v>
      </c>
      <c r="P76">
        <v>1033</v>
      </c>
      <c r="Q76">
        <v>2988</v>
      </c>
      <c r="R76" s="18">
        <v>0.3457161981258367</v>
      </c>
    </row>
    <row r="77" spans="1:18" hidden="1" x14ac:dyDescent="0.3">
      <c r="A77">
        <v>458708</v>
      </c>
      <c r="B77" t="s">
        <v>93</v>
      </c>
      <c r="C77" t="s">
        <v>37</v>
      </c>
      <c r="D77">
        <v>5.2</v>
      </c>
      <c r="E77">
        <v>0.379</v>
      </c>
      <c r="F77">
        <v>1739</v>
      </c>
      <c r="G77">
        <v>83.52</v>
      </c>
      <c r="H77">
        <v>5.59</v>
      </c>
      <c r="I77">
        <v>2.6345499999999999</v>
      </c>
      <c r="J77">
        <v>1.20417</v>
      </c>
      <c r="K77">
        <v>-0.85235000000000005</v>
      </c>
      <c r="L77">
        <v>5.4</v>
      </c>
      <c r="M77">
        <v>-1.49</v>
      </c>
      <c r="N77">
        <v>0.50700000000000001</v>
      </c>
      <c r="O77">
        <v>37.200000000000003</v>
      </c>
      <c r="P77">
        <v>132</v>
      </c>
      <c r="Q77">
        <v>2519</v>
      </c>
      <c r="R77" s="18">
        <v>5.2401746724890827E-2</v>
      </c>
    </row>
    <row r="78" spans="1:18" hidden="1" x14ac:dyDescent="0.3">
      <c r="A78">
        <v>458708</v>
      </c>
      <c r="B78" t="s">
        <v>93</v>
      </c>
      <c r="C78" t="s">
        <v>23</v>
      </c>
      <c r="D78">
        <v>23</v>
      </c>
      <c r="E78">
        <v>0.32</v>
      </c>
      <c r="F78">
        <v>2734</v>
      </c>
      <c r="G78">
        <v>75.45</v>
      </c>
      <c r="H78">
        <v>5.46</v>
      </c>
      <c r="I78">
        <v>4.5306899999999999</v>
      </c>
      <c r="J78">
        <v>-0.43587999999999999</v>
      </c>
      <c r="K78">
        <v>-1.069E-2</v>
      </c>
      <c r="L78">
        <v>5.78</v>
      </c>
      <c r="M78">
        <v>-1.21</v>
      </c>
      <c r="N78">
        <v>0.45700000000000002</v>
      </c>
      <c r="O78">
        <v>45.1</v>
      </c>
      <c r="P78">
        <v>580</v>
      </c>
      <c r="Q78">
        <v>2519</v>
      </c>
      <c r="R78" s="18">
        <v>0.23025009924573242</v>
      </c>
    </row>
    <row r="79" spans="1:18" hidden="1" x14ac:dyDescent="0.3">
      <c r="A79">
        <v>458708</v>
      </c>
      <c r="B79" t="s">
        <v>93</v>
      </c>
      <c r="C79" t="s">
        <v>34</v>
      </c>
      <c r="D79">
        <v>46.2</v>
      </c>
      <c r="E79">
        <v>0.29899999999999999</v>
      </c>
      <c r="F79">
        <v>2585</v>
      </c>
      <c r="G79">
        <v>85.48</v>
      </c>
      <c r="H79">
        <v>5.54</v>
      </c>
      <c r="I79">
        <v>2.2145700000000001</v>
      </c>
      <c r="J79">
        <v>-0.23294999999999999</v>
      </c>
      <c r="K79">
        <v>-8.8330000000000006E-2</v>
      </c>
      <c r="L79">
        <v>5.94</v>
      </c>
      <c r="M79">
        <v>-0.96</v>
      </c>
      <c r="N79">
        <v>0.435</v>
      </c>
      <c r="O79">
        <v>50.2</v>
      </c>
      <c r="P79">
        <v>1165</v>
      </c>
      <c r="Q79">
        <v>2519</v>
      </c>
      <c r="R79" s="18">
        <v>0.46248511314013496</v>
      </c>
    </row>
    <row r="80" spans="1:18" hidden="1" x14ac:dyDescent="0.3">
      <c r="A80">
        <v>458708</v>
      </c>
      <c r="B80" t="s">
        <v>93</v>
      </c>
      <c r="C80" t="s">
        <v>16</v>
      </c>
      <c r="D80">
        <v>22.8</v>
      </c>
      <c r="E80">
        <v>0.38100000000000001</v>
      </c>
      <c r="F80">
        <v>2247</v>
      </c>
      <c r="G80">
        <v>87.84</v>
      </c>
      <c r="H80">
        <v>5.56</v>
      </c>
      <c r="I80">
        <v>1.52152</v>
      </c>
      <c r="J80">
        <v>0.73443999999999998</v>
      </c>
      <c r="K80">
        <v>0.12311999999999999</v>
      </c>
      <c r="L80">
        <v>5.72</v>
      </c>
      <c r="M80">
        <v>-1.17</v>
      </c>
      <c r="N80">
        <v>0.58199999999999996</v>
      </c>
      <c r="O80">
        <v>46.4</v>
      </c>
      <c r="P80">
        <v>574</v>
      </c>
      <c r="Q80">
        <v>2519</v>
      </c>
      <c r="R80" s="18">
        <v>0.2278682016673283</v>
      </c>
    </row>
    <row r="81" spans="1:18" hidden="1" x14ac:dyDescent="0.3">
      <c r="A81">
        <v>458708</v>
      </c>
      <c r="B81" t="s">
        <v>93</v>
      </c>
      <c r="C81" t="s">
        <v>18</v>
      </c>
      <c r="D81">
        <v>2.7</v>
      </c>
      <c r="E81">
        <v>0.38600000000000001</v>
      </c>
      <c r="F81">
        <v>2144</v>
      </c>
      <c r="G81">
        <v>87.13</v>
      </c>
      <c r="H81">
        <v>5.4</v>
      </c>
      <c r="I81">
        <v>1.8920600000000001</v>
      </c>
      <c r="J81">
        <v>1.1316200000000001</v>
      </c>
      <c r="K81">
        <v>3.9559999999999998E-2</v>
      </c>
      <c r="L81">
        <v>5.49</v>
      </c>
      <c r="M81">
        <v>-1.38</v>
      </c>
      <c r="N81">
        <v>0.502</v>
      </c>
      <c r="O81">
        <v>38.700000000000003</v>
      </c>
      <c r="P81">
        <v>68</v>
      </c>
      <c r="Q81">
        <v>2519</v>
      </c>
      <c r="R81" s="18">
        <v>2.6994839221913456E-2</v>
      </c>
    </row>
    <row r="82" spans="1:18" hidden="1" x14ac:dyDescent="0.3">
      <c r="A82">
        <v>554431</v>
      </c>
      <c r="B82" t="s">
        <v>94</v>
      </c>
      <c r="C82" t="s">
        <v>18</v>
      </c>
      <c r="D82">
        <v>0.2</v>
      </c>
      <c r="E82">
        <v>0.27300000000000002</v>
      </c>
      <c r="F82">
        <v>2494</v>
      </c>
      <c r="G82">
        <v>93.15</v>
      </c>
      <c r="H82">
        <v>6.25</v>
      </c>
      <c r="I82">
        <v>1.145</v>
      </c>
      <c r="J82">
        <v>0.80500000000000005</v>
      </c>
      <c r="K82">
        <v>0.32</v>
      </c>
      <c r="L82">
        <v>6.3</v>
      </c>
      <c r="M82">
        <v>1.81</v>
      </c>
      <c r="N82">
        <v>0.35299999999999998</v>
      </c>
      <c r="O82">
        <v>50.1</v>
      </c>
      <c r="P82">
        <v>4</v>
      </c>
      <c r="Q82">
        <v>2440</v>
      </c>
      <c r="R82" s="18">
        <v>1.639344262295082E-3</v>
      </c>
    </row>
    <row r="83" spans="1:18" hidden="1" x14ac:dyDescent="0.3">
      <c r="A83">
        <v>554431</v>
      </c>
      <c r="B83" t="s">
        <v>94</v>
      </c>
      <c r="C83" t="s">
        <v>20</v>
      </c>
      <c r="D83">
        <v>23.9</v>
      </c>
      <c r="E83">
        <v>0.221</v>
      </c>
      <c r="F83">
        <v>2857</v>
      </c>
      <c r="G83">
        <v>83.93</v>
      </c>
      <c r="H83">
        <v>6.32</v>
      </c>
      <c r="I83">
        <v>3.7976200000000002</v>
      </c>
      <c r="J83">
        <v>-0.54364000000000001</v>
      </c>
      <c r="K83">
        <v>0.17544999999999999</v>
      </c>
      <c r="L83">
        <v>6.19</v>
      </c>
      <c r="M83">
        <v>1.88</v>
      </c>
      <c r="N83">
        <v>0.21099999999999999</v>
      </c>
      <c r="O83">
        <v>50.7</v>
      </c>
      <c r="P83">
        <v>613</v>
      </c>
      <c r="Q83">
        <v>2440</v>
      </c>
      <c r="R83" s="18">
        <v>0.2512295081967213</v>
      </c>
    </row>
    <row r="84" spans="1:18" hidden="1" x14ac:dyDescent="0.3">
      <c r="A84">
        <v>554431</v>
      </c>
      <c r="B84" t="s">
        <v>94</v>
      </c>
      <c r="C84" t="s">
        <v>23</v>
      </c>
      <c r="D84">
        <v>2.4</v>
      </c>
      <c r="E84">
        <v>0.33900000000000002</v>
      </c>
      <c r="F84">
        <v>2970</v>
      </c>
      <c r="G84">
        <v>79.45</v>
      </c>
      <c r="H84">
        <v>6.3</v>
      </c>
      <c r="I84">
        <v>4.7340999999999998</v>
      </c>
      <c r="J84">
        <v>-0.78015999999999996</v>
      </c>
      <c r="K84">
        <v>0.20049</v>
      </c>
      <c r="L84">
        <v>6.31</v>
      </c>
      <c r="M84">
        <v>1.96</v>
      </c>
      <c r="N84">
        <v>0.43</v>
      </c>
      <c r="O84">
        <v>54.6</v>
      </c>
      <c r="P84">
        <v>61</v>
      </c>
      <c r="Q84">
        <v>2440</v>
      </c>
      <c r="R84" s="18">
        <v>2.5000000000000001E-2</v>
      </c>
    </row>
    <row r="85" spans="1:18" hidden="1" x14ac:dyDescent="0.3">
      <c r="A85">
        <v>554431</v>
      </c>
      <c r="B85" t="s">
        <v>94</v>
      </c>
      <c r="C85" t="s">
        <v>34</v>
      </c>
      <c r="D85">
        <v>1.8</v>
      </c>
      <c r="E85">
        <v>0.254</v>
      </c>
      <c r="F85">
        <v>2712</v>
      </c>
      <c r="G85">
        <v>90.12</v>
      </c>
      <c r="H85">
        <v>6.44</v>
      </c>
      <c r="I85">
        <v>2.3102100000000001</v>
      </c>
      <c r="J85">
        <v>-0.45787</v>
      </c>
      <c r="K85">
        <v>-5.7450000000000001E-2</v>
      </c>
      <c r="L85">
        <v>6.28</v>
      </c>
      <c r="M85">
        <v>1.97</v>
      </c>
      <c r="N85">
        <v>0.20200000000000001</v>
      </c>
      <c r="O85">
        <v>52.2</v>
      </c>
      <c r="P85">
        <v>47</v>
      </c>
      <c r="Q85">
        <v>2440</v>
      </c>
      <c r="R85" s="18">
        <v>1.9262295081967213E-2</v>
      </c>
    </row>
    <row r="86" spans="1:18" hidden="1" x14ac:dyDescent="0.3">
      <c r="A86">
        <v>554431</v>
      </c>
      <c r="B86" t="s">
        <v>94</v>
      </c>
      <c r="C86" t="s">
        <v>16</v>
      </c>
      <c r="D86">
        <v>66.8</v>
      </c>
      <c r="E86">
        <v>0.312</v>
      </c>
      <c r="F86">
        <v>2421</v>
      </c>
      <c r="G86">
        <v>95</v>
      </c>
      <c r="H86">
        <v>6.34</v>
      </c>
      <c r="I86">
        <v>1.05446</v>
      </c>
      <c r="J86">
        <v>0.36414999999999997</v>
      </c>
      <c r="K86">
        <v>-9.9260000000000001E-2</v>
      </c>
      <c r="L86">
        <v>6.26</v>
      </c>
      <c r="M86">
        <v>1.82</v>
      </c>
      <c r="N86">
        <v>0.377</v>
      </c>
      <c r="O86">
        <v>51.2</v>
      </c>
      <c r="P86">
        <v>1715</v>
      </c>
      <c r="Q86">
        <v>2440</v>
      </c>
      <c r="R86" s="18">
        <v>0.70286885245901642</v>
      </c>
    </row>
    <row r="87" spans="1:18" hidden="1" x14ac:dyDescent="0.3">
      <c r="A87">
        <v>656794</v>
      </c>
      <c r="B87" t="s">
        <v>95</v>
      </c>
      <c r="C87" t="s">
        <v>18</v>
      </c>
      <c r="D87">
        <v>0</v>
      </c>
      <c r="F87">
        <v>2489</v>
      </c>
      <c r="G87">
        <v>94.7</v>
      </c>
      <c r="H87">
        <v>5.9</v>
      </c>
      <c r="I87">
        <v>0.99</v>
      </c>
      <c r="J87">
        <v>0.89</v>
      </c>
      <c r="K87">
        <v>-0.89</v>
      </c>
      <c r="L87">
        <v>6.58</v>
      </c>
      <c r="M87">
        <v>1.53</v>
      </c>
      <c r="O87">
        <v>44.4</v>
      </c>
      <c r="P87">
        <v>1</v>
      </c>
      <c r="Q87">
        <v>2251</v>
      </c>
      <c r="R87" s="18">
        <v>4.4424700133274098E-4</v>
      </c>
    </row>
    <row r="88" spans="1:18" hidden="1" x14ac:dyDescent="0.3">
      <c r="A88">
        <v>656794</v>
      </c>
      <c r="B88" t="s">
        <v>95</v>
      </c>
      <c r="C88" t="s">
        <v>20</v>
      </c>
      <c r="D88">
        <v>2.5</v>
      </c>
      <c r="E88">
        <v>0.309</v>
      </c>
      <c r="F88">
        <v>2843</v>
      </c>
      <c r="G88">
        <v>79.489999999999995</v>
      </c>
      <c r="H88">
        <v>5.38</v>
      </c>
      <c r="I88">
        <v>4.24458</v>
      </c>
      <c r="J88">
        <v>-1.11683</v>
      </c>
      <c r="K88">
        <v>-0.28766999999999998</v>
      </c>
      <c r="L88">
        <v>6.31</v>
      </c>
      <c r="M88">
        <v>1.92</v>
      </c>
      <c r="N88">
        <v>0.37</v>
      </c>
      <c r="O88">
        <v>45.8</v>
      </c>
      <c r="P88">
        <v>120</v>
      </c>
      <c r="Q88">
        <v>2251</v>
      </c>
      <c r="R88" s="18">
        <v>5.3309640159928923E-2</v>
      </c>
    </row>
    <row r="89" spans="1:18" hidden="1" x14ac:dyDescent="0.3">
      <c r="A89">
        <v>656794</v>
      </c>
      <c r="B89" t="s">
        <v>95</v>
      </c>
      <c r="C89" t="s">
        <v>23</v>
      </c>
      <c r="D89">
        <v>8.5</v>
      </c>
      <c r="E89">
        <v>0.20599999999999999</v>
      </c>
      <c r="F89">
        <v>2867</v>
      </c>
      <c r="G89">
        <v>76.989999999999995</v>
      </c>
      <c r="H89">
        <v>5.35</v>
      </c>
      <c r="I89">
        <v>5.2780800000000001</v>
      </c>
      <c r="J89">
        <v>-0.76795999999999998</v>
      </c>
      <c r="K89">
        <v>0.33178999999999997</v>
      </c>
      <c r="L89">
        <v>6.52</v>
      </c>
      <c r="M89">
        <v>1.74</v>
      </c>
      <c r="N89">
        <v>0.24099999999999999</v>
      </c>
      <c r="O89">
        <v>46.6</v>
      </c>
      <c r="P89">
        <v>402</v>
      </c>
      <c r="Q89">
        <v>2251</v>
      </c>
      <c r="R89" s="18">
        <v>0.17858729453576189</v>
      </c>
    </row>
    <row r="90" spans="1:18" hidden="1" x14ac:dyDescent="0.3">
      <c r="A90">
        <v>656794</v>
      </c>
      <c r="B90" t="s">
        <v>95</v>
      </c>
      <c r="C90" t="s">
        <v>72</v>
      </c>
      <c r="D90">
        <v>0.1</v>
      </c>
      <c r="E90">
        <v>0</v>
      </c>
      <c r="F90">
        <v>2732</v>
      </c>
      <c r="G90">
        <v>85.92</v>
      </c>
      <c r="H90">
        <v>6</v>
      </c>
      <c r="I90">
        <v>3.3050000000000002</v>
      </c>
      <c r="J90">
        <v>-0.46750000000000003</v>
      </c>
      <c r="K90">
        <v>-0.25750000000000001</v>
      </c>
      <c r="L90">
        <v>6.31</v>
      </c>
      <c r="M90">
        <v>1.64</v>
      </c>
      <c r="N90">
        <v>1E-3</v>
      </c>
      <c r="O90">
        <v>40.299999999999997</v>
      </c>
      <c r="P90">
        <v>4</v>
      </c>
      <c r="Q90">
        <v>2251</v>
      </c>
      <c r="R90" s="18">
        <v>1.7769880053309639E-3</v>
      </c>
    </row>
    <row r="91" spans="1:18" hidden="1" x14ac:dyDescent="0.3">
      <c r="A91">
        <v>656794</v>
      </c>
      <c r="B91" t="s">
        <v>95</v>
      </c>
      <c r="C91" t="s">
        <v>34</v>
      </c>
      <c r="D91">
        <v>4.0999999999999996</v>
      </c>
      <c r="E91">
        <v>0.26100000000000001</v>
      </c>
      <c r="F91">
        <v>2687</v>
      </c>
      <c r="G91">
        <v>87.21</v>
      </c>
      <c r="H91">
        <v>5.83</v>
      </c>
      <c r="I91">
        <v>2.84964</v>
      </c>
      <c r="J91">
        <v>-0.3266</v>
      </c>
      <c r="K91">
        <v>3.4540000000000001E-2</v>
      </c>
      <c r="L91">
        <v>6.3</v>
      </c>
      <c r="M91">
        <v>1.72</v>
      </c>
      <c r="N91">
        <v>0.317</v>
      </c>
      <c r="O91">
        <v>40.6</v>
      </c>
      <c r="P91">
        <v>195</v>
      </c>
      <c r="Q91">
        <v>2251</v>
      </c>
      <c r="R91" s="18">
        <v>8.6628165259884496E-2</v>
      </c>
    </row>
    <row r="92" spans="1:18" hidden="1" x14ac:dyDescent="0.3">
      <c r="A92">
        <v>656794</v>
      </c>
      <c r="B92" t="s">
        <v>95</v>
      </c>
      <c r="C92" t="s">
        <v>16</v>
      </c>
      <c r="D92">
        <v>29.2</v>
      </c>
      <c r="E92">
        <v>0.36199999999999999</v>
      </c>
      <c r="F92">
        <v>2267</v>
      </c>
      <c r="G92">
        <v>93.65</v>
      </c>
      <c r="H92">
        <v>5.7</v>
      </c>
      <c r="I92">
        <v>1.19878</v>
      </c>
      <c r="J92">
        <v>0.43678</v>
      </c>
      <c r="K92">
        <v>-0.17108999999999999</v>
      </c>
      <c r="L92">
        <v>6.53</v>
      </c>
      <c r="M92">
        <v>1.69</v>
      </c>
      <c r="N92">
        <v>0.42899999999999999</v>
      </c>
      <c r="O92">
        <v>46</v>
      </c>
      <c r="P92">
        <v>1378</v>
      </c>
      <c r="Q92">
        <v>2251</v>
      </c>
      <c r="R92" s="18">
        <v>0.61217236783651707</v>
      </c>
    </row>
    <row r="93" spans="1:18" hidden="1" x14ac:dyDescent="0.3">
      <c r="A93">
        <v>656794</v>
      </c>
      <c r="B93" t="s">
        <v>95</v>
      </c>
      <c r="C93" t="s">
        <v>37</v>
      </c>
      <c r="D93">
        <v>3.2</v>
      </c>
      <c r="E93">
        <v>0.34799999999999998</v>
      </c>
      <c r="F93">
        <v>1619</v>
      </c>
      <c r="G93">
        <v>86.87</v>
      </c>
      <c r="H93">
        <v>5.91</v>
      </c>
      <c r="I93">
        <v>2.2800699999999998</v>
      </c>
      <c r="J93">
        <v>0.89709000000000005</v>
      </c>
      <c r="K93">
        <v>-0.70848</v>
      </c>
      <c r="L93">
        <v>6.48</v>
      </c>
      <c r="M93">
        <v>1.85</v>
      </c>
      <c r="N93">
        <v>0.47199999999999998</v>
      </c>
      <c r="O93">
        <v>49.1</v>
      </c>
      <c r="P93">
        <v>151</v>
      </c>
      <c r="Q93">
        <v>2251</v>
      </c>
      <c r="R93" s="18">
        <v>6.7081297201243895E-2</v>
      </c>
    </row>
    <row r="94" spans="1:18" hidden="1" x14ac:dyDescent="0.3">
      <c r="A94">
        <v>572955</v>
      </c>
      <c r="B94" t="s">
        <v>22</v>
      </c>
      <c r="C94" t="s">
        <v>34</v>
      </c>
      <c r="D94">
        <v>1.8</v>
      </c>
      <c r="E94">
        <v>0.36499999999999999</v>
      </c>
      <c r="F94">
        <v>2589</v>
      </c>
      <c r="G94">
        <v>91.8</v>
      </c>
      <c r="H94">
        <v>5.88</v>
      </c>
      <c r="I94">
        <v>1.83118</v>
      </c>
      <c r="J94">
        <v>6.4640000000000003E-2</v>
      </c>
      <c r="K94">
        <v>-8.4499999999999992E-3</v>
      </c>
      <c r="L94">
        <v>5.99</v>
      </c>
      <c r="M94">
        <v>-2.09</v>
      </c>
      <c r="N94">
        <v>0.42899999999999999</v>
      </c>
      <c r="O94">
        <v>34.5</v>
      </c>
      <c r="P94">
        <v>85</v>
      </c>
      <c r="Q94">
        <v>2226</v>
      </c>
      <c r="R94" s="18">
        <v>3.8185085354896675E-2</v>
      </c>
    </row>
    <row r="95" spans="1:18" hidden="1" x14ac:dyDescent="0.3">
      <c r="A95">
        <v>572955</v>
      </c>
      <c r="B95" t="s">
        <v>22</v>
      </c>
      <c r="C95" t="s">
        <v>16</v>
      </c>
      <c r="D95">
        <v>11.5</v>
      </c>
      <c r="E95">
        <v>0.32700000000000001</v>
      </c>
      <c r="F95">
        <v>2339</v>
      </c>
      <c r="G95">
        <v>94.55</v>
      </c>
      <c r="H95">
        <v>5.86</v>
      </c>
      <c r="I95">
        <v>1.2117</v>
      </c>
      <c r="J95">
        <v>0.89222999999999997</v>
      </c>
      <c r="K95">
        <v>-1.968E-2</v>
      </c>
      <c r="L95">
        <v>6.07</v>
      </c>
      <c r="M95">
        <v>-2.0299999999999998</v>
      </c>
      <c r="N95">
        <v>0.30599999999999999</v>
      </c>
      <c r="O95">
        <v>36.799999999999997</v>
      </c>
      <c r="P95">
        <v>529</v>
      </c>
      <c r="Q95">
        <v>2226</v>
      </c>
      <c r="R95" s="18">
        <v>0.2376460017969452</v>
      </c>
    </row>
    <row r="96" spans="1:18" hidden="1" x14ac:dyDescent="0.3">
      <c r="A96">
        <v>572955</v>
      </c>
      <c r="B96" t="s">
        <v>22</v>
      </c>
      <c r="C96" t="s">
        <v>23</v>
      </c>
      <c r="D96">
        <v>34.700000000000003</v>
      </c>
      <c r="E96">
        <v>0.28499999999999998</v>
      </c>
      <c r="F96">
        <v>2948</v>
      </c>
      <c r="G96">
        <v>84.98</v>
      </c>
      <c r="H96">
        <v>5.76</v>
      </c>
      <c r="I96">
        <v>3.4647299999999999</v>
      </c>
      <c r="J96">
        <v>-0.70914999999999995</v>
      </c>
      <c r="K96">
        <v>-9.085E-2</v>
      </c>
      <c r="L96">
        <v>6.2</v>
      </c>
      <c r="M96">
        <v>-1.99</v>
      </c>
      <c r="N96">
        <v>0.39200000000000002</v>
      </c>
      <c r="O96">
        <v>40.4</v>
      </c>
      <c r="P96">
        <v>1598</v>
      </c>
      <c r="Q96">
        <v>2226</v>
      </c>
      <c r="R96" s="18">
        <v>0.71787960467205747</v>
      </c>
    </row>
    <row r="97" spans="1:18" hidden="1" x14ac:dyDescent="0.3">
      <c r="A97">
        <v>572955</v>
      </c>
      <c r="B97" t="s">
        <v>22</v>
      </c>
      <c r="C97" t="s">
        <v>20</v>
      </c>
      <c r="D97">
        <v>0.3</v>
      </c>
      <c r="E97">
        <v>0.17699999999999999</v>
      </c>
      <c r="F97">
        <v>2660</v>
      </c>
      <c r="G97">
        <v>88.2</v>
      </c>
      <c r="H97">
        <v>5.95</v>
      </c>
      <c r="I97">
        <v>2.81643</v>
      </c>
      <c r="J97">
        <v>-0.42499999999999999</v>
      </c>
      <c r="K97">
        <v>-0.30786000000000002</v>
      </c>
      <c r="L97">
        <v>5.81</v>
      </c>
      <c r="M97">
        <v>-2.1</v>
      </c>
      <c r="N97">
        <v>0.24299999999999999</v>
      </c>
      <c r="O97">
        <v>34.4</v>
      </c>
      <c r="P97">
        <v>14</v>
      </c>
      <c r="Q97">
        <v>2226</v>
      </c>
      <c r="R97" s="18">
        <v>6.2893081761006293E-3</v>
      </c>
    </row>
    <row r="98" spans="1:18" hidden="1" x14ac:dyDescent="0.3">
      <c r="A98">
        <v>625643</v>
      </c>
      <c r="B98" t="s">
        <v>49</v>
      </c>
      <c r="C98" t="s">
        <v>37</v>
      </c>
      <c r="D98">
        <v>0.9</v>
      </c>
      <c r="E98">
        <v>0.48799999999999999</v>
      </c>
      <c r="F98">
        <v>1561</v>
      </c>
      <c r="G98">
        <v>86.67</v>
      </c>
      <c r="H98">
        <v>6.59</v>
      </c>
      <c r="I98">
        <v>2.15036</v>
      </c>
      <c r="J98">
        <v>0.85475999999999996</v>
      </c>
      <c r="K98">
        <v>-0.79500000000000004</v>
      </c>
      <c r="L98">
        <v>5.89</v>
      </c>
      <c r="M98">
        <v>-1.78</v>
      </c>
      <c r="N98">
        <v>0.79700000000000004</v>
      </c>
      <c r="O98">
        <v>41.6</v>
      </c>
      <c r="P98">
        <v>84</v>
      </c>
      <c r="Q98">
        <v>2204</v>
      </c>
      <c r="R98" s="18">
        <v>3.8112522686025406E-2</v>
      </c>
    </row>
    <row r="99" spans="1:18" hidden="1" x14ac:dyDescent="0.3">
      <c r="A99">
        <v>625643</v>
      </c>
      <c r="B99" t="s">
        <v>49</v>
      </c>
      <c r="C99" t="s">
        <v>16</v>
      </c>
      <c r="D99">
        <v>13.5</v>
      </c>
      <c r="E99">
        <v>0.34399999999999997</v>
      </c>
      <c r="F99">
        <v>2075</v>
      </c>
      <c r="G99">
        <v>95.92</v>
      </c>
      <c r="H99">
        <v>6.52</v>
      </c>
      <c r="I99">
        <v>1.1301600000000001</v>
      </c>
      <c r="J99">
        <v>0.61611000000000005</v>
      </c>
      <c r="K99">
        <v>-6.5089999999999995E-2</v>
      </c>
      <c r="L99">
        <v>5.82</v>
      </c>
      <c r="M99">
        <v>-1.74</v>
      </c>
      <c r="N99">
        <v>0.432</v>
      </c>
      <c r="O99">
        <v>41.6</v>
      </c>
      <c r="P99">
        <v>1213</v>
      </c>
      <c r="Q99">
        <v>2204</v>
      </c>
      <c r="R99" s="18">
        <v>0.55036297640653353</v>
      </c>
    </row>
    <row r="100" spans="1:18" hidden="1" x14ac:dyDescent="0.3">
      <c r="A100">
        <v>625643</v>
      </c>
      <c r="B100" t="s">
        <v>49</v>
      </c>
      <c r="C100" t="s">
        <v>20</v>
      </c>
      <c r="D100">
        <v>7.2</v>
      </c>
      <c r="E100">
        <v>0.26100000000000001</v>
      </c>
      <c r="F100">
        <v>2358</v>
      </c>
      <c r="G100">
        <v>85.49</v>
      </c>
      <c r="H100">
        <v>6.5</v>
      </c>
      <c r="I100">
        <v>3.3026599999999999</v>
      </c>
      <c r="J100">
        <v>-0.46215000000000001</v>
      </c>
      <c r="K100">
        <v>-0.10326</v>
      </c>
      <c r="L100">
        <v>5.71</v>
      </c>
      <c r="M100">
        <v>-1.94</v>
      </c>
      <c r="N100">
        <v>0.313</v>
      </c>
      <c r="O100">
        <v>39.299999999999997</v>
      </c>
      <c r="P100">
        <v>651</v>
      </c>
      <c r="Q100">
        <v>2204</v>
      </c>
      <c r="R100" s="18">
        <v>0.29537205081669693</v>
      </c>
    </row>
    <row r="101" spans="1:18" hidden="1" x14ac:dyDescent="0.3">
      <c r="A101">
        <v>625643</v>
      </c>
      <c r="B101" t="s">
        <v>49</v>
      </c>
      <c r="C101" t="s">
        <v>23</v>
      </c>
      <c r="D101">
        <v>2.8</v>
      </c>
      <c r="E101">
        <v>0.29199999999999998</v>
      </c>
      <c r="F101">
        <v>2425</v>
      </c>
      <c r="G101">
        <v>76.97</v>
      </c>
      <c r="H101">
        <v>6.35</v>
      </c>
      <c r="I101">
        <v>4.5322699999999996</v>
      </c>
      <c r="J101">
        <v>-0.59074000000000004</v>
      </c>
      <c r="K101">
        <v>0.49590000000000001</v>
      </c>
      <c r="L101">
        <v>6.1</v>
      </c>
      <c r="M101">
        <v>-1.72</v>
      </c>
      <c r="N101">
        <v>0.46600000000000003</v>
      </c>
      <c r="O101">
        <v>49.5</v>
      </c>
      <c r="P101">
        <v>256</v>
      </c>
      <c r="Q101">
        <v>2204</v>
      </c>
      <c r="R101" s="18">
        <v>0.1161524500907441</v>
      </c>
    </row>
    <row r="102" spans="1:18" hidden="1" x14ac:dyDescent="0.3">
      <c r="A102">
        <v>592767</v>
      </c>
      <c r="B102" t="s">
        <v>96</v>
      </c>
      <c r="C102" t="s">
        <v>18</v>
      </c>
      <c r="D102">
        <v>10.1</v>
      </c>
      <c r="E102">
        <v>0.39500000000000002</v>
      </c>
      <c r="F102">
        <v>2088</v>
      </c>
      <c r="G102">
        <v>91.37</v>
      </c>
      <c r="H102">
        <v>5.83</v>
      </c>
      <c r="I102">
        <v>1.1747300000000001</v>
      </c>
      <c r="J102">
        <v>0.56821999999999995</v>
      </c>
      <c r="K102">
        <v>-0.28688999999999998</v>
      </c>
      <c r="L102">
        <v>6.66</v>
      </c>
      <c r="M102">
        <v>1.78</v>
      </c>
      <c r="N102">
        <v>0.55200000000000005</v>
      </c>
      <c r="O102">
        <v>52</v>
      </c>
      <c r="P102">
        <v>995</v>
      </c>
      <c r="Q102">
        <v>2138</v>
      </c>
      <c r="R102" s="18">
        <v>0.46538821328344249</v>
      </c>
    </row>
    <row r="103" spans="1:18" hidden="1" x14ac:dyDescent="0.3">
      <c r="A103">
        <v>592767</v>
      </c>
      <c r="B103" t="s">
        <v>96</v>
      </c>
      <c r="C103" t="s">
        <v>34</v>
      </c>
      <c r="D103">
        <v>2.5</v>
      </c>
      <c r="E103">
        <v>0.42199999999999999</v>
      </c>
      <c r="F103">
        <v>1956</v>
      </c>
      <c r="G103">
        <v>87.11</v>
      </c>
      <c r="H103">
        <v>5.83</v>
      </c>
      <c r="I103">
        <v>2.0295899999999998</v>
      </c>
      <c r="J103">
        <v>0.29859999999999998</v>
      </c>
      <c r="K103">
        <v>-3.8109999999999998E-2</v>
      </c>
      <c r="L103">
        <v>6.46</v>
      </c>
      <c r="M103">
        <v>2.02</v>
      </c>
      <c r="N103">
        <v>0.60899999999999999</v>
      </c>
      <c r="O103">
        <v>47.6</v>
      </c>
      <c r="P103">
        <v>246</v>
      </c>
      <c r="Q103">
        <v>2138</v>
      </c>
      <c r="R103" s="18">
        <v>0.11506080449017773</v>
      </c>
    </row>
    <row r="104" spans="1:18" hidden="1" x14ac:dyDescent="0.3">
      <c r="A104">
        <v>592767</v>
      </c>
      <c r="B104" t="s">
        <v>96</v>
      </c>
      <c r="C104" t="s">
        <v>75</v>
      </c>
      <c r="D104">
        <v>9.1</v>
      </c>
      <c r="E104">
        <v>0.26300000000000001</v>
      </c>
      <c r="F104">
        <v>2096</v>
      </c>
      <c r="G104">
        <v>77.91</v>
      </c>
      <c r="H104">
        <v>5.63</v>
      </c>
      <c r="I104">
        <v>3.68303</v>
      </c>
      <c r="J104">
        <v>0.24703</v>
      </c>
      <c r="K104">
        <v>-0.1268</v>
      </c>
      <c r="L104">
        <v>6.56</v>
      </c>
      <c r="M104">
        <v>2</v>
      </c>
      <c r="N104">
        <v>0.35499999999999998</v>
      </c>
      <c r="O104">
        <v>49.9</v>
      </c>
      <c r="P104">
        <v>897</v>
      </c>
      <c r="Q104">
        <v>2138</v>
      </c>
      <c r="R104" s="18">
        <v>0.41955098222637982</v>
      </c>
    </row>
    <row r="105" spans="1:18" hidden="1" x14ac:dyDescent="0.3">
      <c r="A105">
        <v>543521</v>
      </c>
      <c r="B105" t="s">
        <v>97</v>
      </c>
      <c r="C105" t="s">
        <v>34</v>
      </c>
      <c r="D105">
        <v>22.5</v>
      </c>
      <c r="E105">
        <v>0.35499999999999998</v>
      </c>
      <c r="F105">
        <v>2503</v>
      </c>
      <c r="G105">
        <v>89.85</v>
      </c>
      <c r="H105">
        <v>6.63</v>
      </c>
      <c r="I105">
        <v>2.1095299999999999</v>
      </c>
      <c r="J105">
        <v>-6.0359999999999997E-2</v>
      </c>
      <c r="K105">
        <v>-1.804E-2</v>
      </c>
      <c r="L105">
        <v>5.45</v>
      </c>
      <c r="M105">
        <v>-2.21</v>
      </c>
      <c r="N105">
        <v>0.44900000000000001</v>
      </c>
      <c r="O105">
        <v>27.9</v>
      </c>
      <c r="P105">
        <v>982</v>
      </c>
      <c r="Q105">
        <v>2104</v>
      </c>
      <c r="R105" s="18">
        <v>0.46673003802281371</v>
      </c>
    </row>
    <row r="106" spans="1:18" hidden="1" x14ac:dyDescent="0.3">
      <c r="A106">
        <v>543521</v>
      </c>
      <c r="B106" t="s">
        <v>97</v>
      </c>
      <c r="C106" t="s">
        <v>52</v>
      </c>
      <c r="D106">
        <v>0.3</v>
      </c>
      <c r="E106">
        <v>0.22500000000000001</v>
      </c>
      <c r="F106">
        <v>2525</v>
      </c>
      <c r="G106">
        <v>66.92</v>
      </c>
      <c r="H106">
        <v>6.52</v>
      </c>
      <c r="I106">
        <v>6.1566700000000001</v>
      </c>
      <c r="J106">
        <v>-1.04833</v>
      </c>
      <c r="K106">
        <v>0.53166999999999998</v>
      </c>
      <c r="L106">
        <v>5.9</v>
      </c>
      <c r="M106">
        <v>-1.76</v>
      </c>
      <c r="N106">
        <v>0.27300000000000002</v>
      </c>
      <c r="O106">
        <v>42</v>
      </c>
      <c r="P106">
        <v>12</v>
      </c>
      <c r="Q106">
        <v>2104</v>
      </c>
      <c r="R106" s="18">
        <v>5.7034220532319393E-3</v>
      </c>
    </row>
    <row r="107" spans="1:18" hidden="1" x14ac:dyDescent="0.3">
      <c r="A107">
        <v>543521</v>
      </c>
      <c r="B107" t="s">
        <v>97</v>
      </c>
      <c r="C107" t="s">
        <v>16</v>
      </c>
      <c r="D107">
        <v>1.1000000000000001</v>
      </c>
      <c r="E107">
        <v>0.48</v>
      </c>
      <c r="F107">
        <v>2307</v>
      </c>
      <c r="G107">
        <v>91.88</v>
      </c>
      <c r="H107">
        <v>6.66</v>
      </c>
      <c r="I107">
        <v>1.4363300000000001</v>
      </c>
      <c r="J107">
        <v>0.80652999999999997</v>
      </c>
      <c r="K107">
        <v>-1.3469999999999999E-2</v>
      </c>
      <c r="L107">
        <v>5.38</v>
      </c>
      <c r="M107">
        <v>-2.2000000000000002</v>
      </c>
      <c r="N107">
        <v>0.62</v>
      </c>
      <c r="O107">
        <v>27.1</v>
      </c>
      <c r="P107">
        <v>49</v>
      </c>
      <c r="Q107">
        <v>2104</v>
      </c>
      <c r="R107" s="18">
        <v>2.328897338403042E-2</v>
      </c>
    </row>
    <row r="108" spans="1:18" hidden="1" x14ac:dyDescent="0.3">
      <c r="A108">
        <v>543521</v>
      </c>
      <c r="B108" t="s">
        <v>97</v>
      </c>
      <c r="C108" t="s">
        <v>23</v>
      </c>
      <c r="D108">
        <v>1</v>
      </c>
      <c r="E108">
        <v>0.154</v>
      </c>
      <c r="F108">
        <v>2772</v>
      </c>
      <c r="G108">
        <v>74.27</v>
      </c>
      <c r="H108">
        <v>6.58</v>
      </c>
      <c r="I108">
        <v>5.1855599999999997</v>
      </c>
      <c r="J108">
        <v>-1.07578</v>
      </c>
      <c r="K108">
        <v>0.48066999999999999</v>
      </c>
      <c r="L108">
        <v>5.9</v>
      </c>
      <c r="M108">
        <v>-1.82</v>
      </c>
      <c r="N108">
        <v>0.23300000000000001</v>
      </c>
      <c r="O108">
        <v>39.700000000000003</v>
      </c>
      <c r="P108">
        <v>45</v>
      </c>
      <c r="Q108">
        <v>2104</v>
      </c>
      <c r="R108" s="18">
        <v>2.1387832699619771E-2</v>
      </c>
    </row>
    <row r="109" spans="1:18" hidden="1" x14ac:dyDescent="0.3">
      <c r="A109">
        <v>543521</v>
      </c>
      <c r="B109" t="s">
        <v>97</v>
      </c>
      <c r="C109" t="s">
        <v>37</v>
      </c>
      <c r="D109">
        <v>0.1</v>
      </c>
      <c r="F109">
        <v>1638</v>
      </c>
      <c r="G109">
        <v>85.5</v>
      </c>
      <c r="H109">
        <v>6.65</v>
      </c>
      <c r="I109">
        <v>2.7374999999999998</v>
      </c>
      <c r="J109">
        <v>1.145</v>
      </c>
      <c r="K109">
        <v>-1.145</v>
      </c>
      <c r="L109">
        <v>5.2</v>
      </c>
      <c r="M109">
        <v>-2.4</v>
      </c>
      <c r="O109">
        <v>19.899999999999999</v>
      </c>
      <c r="P109">
        <v>4</v>
      </c>
      <c r="Q109">
        <v>2104</v>
      </c>
      <c r="R109" s="18">
        <v>1.9011406844106464E-3</v>
      </c>
    </row>
    <row r="110" spans="1:18" hidden="1" x14ac:dyDescent="0.3">
      <c r="A110">
        <v>543521</v>
      </c>
      <c r="B110" t="s">
        <v>97</v>
      </c>
      <c r="C110" t="s">
        <v>40</v>
      </c>
      <c r="D110">
        <v>23.2</v>
      </c>
      <c r="E110">
        <v>0.27800000000000002</v>
      </c>
      <c r="F110">
        <v>2772</v>
      </c>
      <c r="G110">
        <v>80.430000000000007</v>
      </c>
      <c r="H110">
        <v>6.6</v>
      </c>
      <c r="I110">
        <v>3.5840900000000002</v>
      </c>
      <c r="J110">
        <v>-1.3497399999999999</v>
      </c>
      <c r="K110">
        <v>-0.12293999999999999</v>
      </c>
      <c r="L110">
        <v>5.14</v>
      </c>
      <c r="M110">
        <v>-2.42</v>
      </c>
      <c r="N110">
        <v>0.34799999999999998</v>
      </c>
      <c r="O110">
        <v>20.5</v>
      </c>
      <c r="P110">
        <v>1012</v>
      </c>
      <c r="Q110">
        <v>2104</v>
      </c>
      <c r="R110" s="18">
        <v>0.48098859315589354</v>
      </c>
    </row>
    <row r="111" spans="1:18" hidden="1" x14ac:dyDescent="0.3">
      <c r="A111">
        <v>660623</v>
      </c>
      <c r="B111" t="s">
        <v>98</v>
      </c>
      <c r="C111" t="s">
        <v>37</v>
      </c>
      <c r="D111">
        <v>7.3</v>
      </c>
      <c r="E111">
        <v>0.27</v>
      </c>
      <c r="F111">
        <v>1836</v>
      </c>
      <c r="G111">
        <v>87.88</v>
      </c>
      <c r="H111">
        <v>6.1</v>
      </c>
      <c r="I111">
        <v>2.1285599999999998</v>
      </c>
      <c r="J111">
        <v>1.21072</v>
      </c>
      <c r="K111">
        <v>-0.69411999999999996</v>
      </c>
      <c r="L111">
        <v>6.21</v>
      </c>
      <c r="M111">
        <v>-1.54</v>
      </c>
      <c r="N111">
        <v>0.35699999999999998</v>
      </c>
      <c r="O111">
        <v>43.4</v>
      </c>
      <c r="P111">
        <v>153</v>
      </c>
      <c r="Q111">
        <v>2090</v>
      </c>
      <c r="R111" s="18">
        <v>7.320574162679426E-2</v>
      </c>
    </row>
    <row r="112" spans="1:18" hidden="1" x14ac:dyDescent="0.3">
      <c r="A112">
        <v>660623</v>
      </c>
      <c r="B112" t="s">
        <v>98</v>
      </c>
      <c r="C112" t="s">
        <v>20</v>
      </c>
      <c r="D112">
        <v>46.7</v>
      </c>
      <c r="E112">
        <v>0.252</v>
      </c>
      <c r="F112">
        <v>2406</v>
      </c>
      <c r="G112">
        <v>85.01</v>
      </c>
      <c r="H112">
        <v>6.02</v>
      </c>
      <c r="I112">
        <v>3.4235899999999999</v>
      </c>
      <c r="J112">
        <v>-0.18471000000000001</v>
      </c>
      <c r="K112">
        <v>-4.5269999999999998E-2</v>
      </c>
      <c r="L112">
        <v>6.16</v>
      </c>
      <c r="M112">
        <v>-1.56</v>
      </c>
      <c r="N112">
        <v>0.32100000000000001</v>
      </c>
      <c r="O112">
        <v>43</v>
      </c>
      <c r="P112">
        <v>975</v>
      </c>
      <c r="Q112">
        <v>2090</v>
      </c>
      <c r="R112" s="18">
        <v>0.46650717703349281</v>
      </c>
    </row>
    <row r="113" spans="1:18" hidden="1" x14ac:dyDescent="0.3">
      <c r="A113">
        <v>660623</v>
      </c>
      <c r="B113" t="s">
        <v>98</v>
      </c>
      <c r="C113" t="s">
        <v>18</v>
      </c>
      <c r="D113">
        <v>1.7</v>
      </c>
      <c r="E113">
        <v>0.623</v>
      </c>
      <c r="F113">
        <v>2024</v>
      </c>
      <c r="G113">
        <v>94.98</v>
      </c>
      <c r="H113">
        <v>5.94</v>
      </c>
      <c r="I113">
        <v>1.1863900000000001</v>
      </c>
      <c r="J113">
        <v>1.11056</v>
      </c>
      <c r="K113">
        <v>-0.67832999999999999</v>
      </c>
      <c r="L113">
        <v>6.4</v>
      </c>
      <c r="M113">
        <v>-1.1000000000000001</v>
      </c>
      <c r="N113">
        <v>0.877</v>
      </c>
      <c r="O113">
        <v>49.1</v>
      </c>
      <c r="P113">
        <v>36</v>
      </c>
      <c r="Q113">
        <v>2090</v>
      </c>
      <c r="R113" s="18">
        <v>1.7224880382775119E-2</v>
      </c>
    </row>
    <row r="114" spans="1:18" hidden="1" x14ac:dyDescent="0.3">
      <c r="A114">
        <v>660623</v>
      </c>
      <c r="B114" t="s">
        <v>98</v>
      </c>
      <c r="C114" t="s">
        <v>16</v>
      </c>
      <c r="D114">
        <v>44.3</v>
      </c>
      <c r="E114">
        <v>0.41599999999999998</v>
      </c>
      <c r="F114">
        <v>2129</v>
      </c>
      <c r="G114">
        <v>95.75</v>
      </c>
      <c r="H114">
        <v>6.03</v>
      </c>
      <c r="I114">
        <v>1.0992500000000001</v>
      </c>
      <c r="J114">
        <v>0.70216000000000001</v>
      </c>
      <c r="K114">
        <v>2.6519999999999998E-2</v>
      </c>
      <c r="L114">
        <v>6.63</v>
      </c>
      <c r="M114">
        <v>-0.9</v>
      </c>
      <c r="N114">
        <v>0.59</v>
      </c>
      <c r="O114">
        <v>55.5</v>
      </c>
      <c r="P114">
        <v>926</v>
      </c>
      <c r="Q114">
        <v>2090</v>
      </c>
      <c r="R114" s="18">
        <v>0.44306220095693782</v>
      </c>
    </row>
    <row r="115" spans="1:18" hidden="1" x14ac:dyDescent="0.3">
      <c r="A115">
        <v>657053</v>
      </c>
      <c r="B115" t="s">
        <v>99</v>
      </c>
      <c r="C115" t="s">
        <v>16</v>
      </c>
      <c r="D115">
        <v>8.6</v>
      </c>
      <c r="E115">
        <v>0.42699999999999999</v>
      </c>
      <c r="F115">
        <v>2252</v>
      </c>
      <c r="G115">
        <v>95.2</v>
      </c>
      <c r="H115">
        <v>6.94</v>
      </c>
      <c r="I115">
        <v>1.4779100000000001</v>
      </c>
      <c r="J115">
        <v>0.66552999999999995</v>
      </c>
      <c r="K115">
        <v>8.1960000000000005E-2</v>
      </c>
      <c r="L115">
        <v>5.54</v>
      </c>
      <c r="M115">
        <v>-2.04</v>
      </c>
      <c r="N115">
        <v>0.57099999999999995</v>
      </c>
      <c r="O115">
        <v>33</v>
      </c>
      <c r="P115">
        <v>398</v>
      </c>
      <c r="Q115">
        <v>2088</v>
      </c>
      <c r="R115" s="18">
        <v>0.19061302681992337</v>
      </c>
    </row>
    <row r="116" spans="1:18" hidden="1" x14ac:dyDescent="0.3">
      <c r="A116">
        <v>657053</v>
      </c>
      <c r="B116" t="s">
        <v>99</v>
      </c>
      <c r="C116" t="s">
        <v>20</v>
      </c>
      <c r="D116">
        <v>1</v>
      </c>
      <c r="E116">
        <v>0.70899999999999996</v>
      </c>
      <c r="F116">
        <v>2294</v>
      </c>
      <c r="G116">
        <v>86.94</v>
      </c>
      <c r="H116">
        <v>7.15</v>
      </c>
      <c r="I116">
        <v>3.10745</v>
      </c>
      <c r="J116">
        <v>-0.40383000000000002</v>
      </c>
      <c r="K116">
        <v>-0.13574</v>
      </c>
      <c r="L116">
        <v>5.68</v>
      </c>
      <c r="M116">
        <v>-2.54</v>
      </c>
      <c r="N116">
        <v>1.234</v>
      </c>
      <c r="O116">
        <v>35.5</v>
      </c>
      <c r="P116">
        <v>47</v>
      </c>
      <c r="Q116">
        <v>2088</v>
      </c>
      <c r="R116" s="18">
        <v>2.2509578544061302E-2</v>
      </c>
    </row>
    <row r="117" spans="1:18" hidden="1" x14ac:dyDescent="0.3">
      <c r="A117">
        <v>657053</v>
      </c>
      <c r="B117" t="s">
        <v>99</v>
      </c>
      <c r="C117" t="s">
        <v>33</v>
      </c>
      <c r="D117">
        <v>9.8000000000000007</v>
      </c>
      <c r="E117">
        <v>0.25800000000000001</v>
      </c>
      <c r="F117">
        <v>1421</v>
      </c>
      <c r="G117">
        <v>87.81</v>
      </c>
      <c r="H117">
        <v>6.87</v>
      </c>
      <c r="I117">
        <v>2.8880499999999998</v>
      </c>
      <c r="J117">
        <v>0.68457999999999997</v>
      </c>
      <c r="K117">
        <v>-2.8400000000000002E-2</v>
      </c>
      <c r="L117">
        <v>5.58</v>
      </c>
      <c r="M117">
        <v>-1.61</v>
      </c>
      <c r="N117">
        <v>0.317</v>
      </c>
      <c r="O117">
        <v>33.9</v>
      </c>
      <c r="P117">
        <v>456</v>
      </c>
      <c r="Q117">
        <v>2088</v>
      </c>
      <c r="R117" s="18">
        <v>0.21839080459770116</v>
      </c>
    </row>
    <row r="118" spans="1:18" hidden="1" x14ac:dyDescent="0.3">
      <c r="A118">
        <v>657053</v>
      </c>
      <c r="B118" t="s">
        <v>99</v>
      </c>
      <c r="C118" t="s">
        <v>23</v>
      </c>
      <c r="D118">
        <v>12.5</v>
      </c>
      <c r="E118">
        <v>0.28499999999999998</v>
      </c>
      <c r="F118">
        <v>2437</v>
      </c>
      <c r="G118">
        <v>76.900000000000006</v>
      </c>
      <c r="H118">
        <v>6.69</v>
      </c>
      <c r="I118">
        <v>4.9651399999999999</v>
      </c>
      <c r="J118">
        <v>-0.99075999999999997</v>
      </c>
      <c r="K118">
        <v>-0.19972000000000001</v>
      </c>
      <c r="L118">
        <v>5.94</v>
      </c>
      <c r="M118">
        <v>-1.42</v>
      </c>
      <c r="N118">
        <v>0.315</v>
      </c>
      <c r="O118">
        <v>43.5</v>
      </c>
      <c r="P118">
        <v>578</v>
      </c>
      <c r="Q118">
        <v>2088</v>
      </c>
      <c r="R118" s="18">
        <v>0.27681992337164751</v>
      </c>
    </row>
    <row r="119" spans="1:18" hidden="1" x14ac:dyDescent="0.3">
      <c r="A119">
        <v>657053</v>
      </c>
      <c r="B119" t="s">
        <v>99</v>
      </c>
      <c r="C119" t="s">
        <v>18</v>
      </c>
      <c r="D119">
        <v>13.1</v>
      </c>
      <c r="E119">
        <v>0.41499999999999998</v>
      </c>
      <c r="F119">
        <v>2188</v>
      </c>
      <c r="G119">
        <v>93.83</v>
      </c>
      <c r="H119">
        <v>6.84</v>
      </c>
      <c r="I119">
        <v>2.0664400000000001</v>
      </c>
      <c r="J119">
        <v>1.2052099999999999</v>
      </c>
      <c r="K119">
        <v>0.35227000000000003</v>
      </c>
      <c r="L119">
        <v>5.57</v>
      </c>
      <c r="M119">
        <v>-1.52</v>
      </c>
      <c r="N119">
        <v>0.53</v>
      </c>
      <c r="O119">
        <v>31.9</v>
      </c>
      <c r="P119">
        <v>609</v>
      </c>
      <c r="Q119">
        <v>2088</v>
      </c>
      <c r="R119" s="18">
        <v>0.29166666666666669</v>
      </c>
    </row>
    <row r="120" spans="1:18" hidden="1" x14ac:dyDescent="0.3">
      <c r="A120">
        <v>641729</v>
      </c>
      <c r="B120" t="s">
        <v>100</v>
      </c>
      <c r="C120" t="s">
        <v>37</v>
      </c>
      <c r="D120">
        <v>2.1</v>
      </c>
      <c r="E120">
        <v>0.249</v>
      </c>
      <c r="F120">
        <v>2182</v>
      </c>
      <c r="G120">
        <v>91.15</v>
      </c>
      <c r="H120">
        <v>7.27</v>
      </c>
      <c r="I120">
        <v>2.18893</v>
      </c>
      <c r="J120">
        <v>1.3392900000000001</v>
      </c>
      <c r="K120">
        <v>-1.14161</v>
      </c>
      <c r="L120">
        <v>5.65</v>
      </c>
      <c r="M120">
        <v>-2.5499999999999998</v>
      </c>
      <c r="N120">
        <v>0.27600000000000002</v>
      </c>
      <c r="O120">
        <v>31.8</v>
      </c>
      <c r="P120">
        <v>112</v>
      </c>
      <c r="Q120">
        <v>2025</v>
      </c>
      <c r="R120" s="18">
        <v>5.5308641975308645E-2</v>
      </c>
    </row>
    <row r="121" spans="1:18" hidden="1" x14ac:dyDescent="0.3">
      <c r="A121">
        <v>641729</v>
      </c>
      <c r="B121" t="s">
        <v>100</v>
      </c>
      <c r="C121" t="s">
        <v>16</v>
      </c>
      <c r="D121">
        <v>20.6</v>
      </c>
      <c r="E121">
        <v>0.30099999999999999</v>
      </c>
      <c r="F121">
        <v>2416</v>
      </c>
      <c r="G121">
        <v>96.35</v>
      </c>
      <c r="H121">
        <v>7.17</v>
      </c>
      <c r="I121">
        <v>1.06985</v>
      </c>
      <c r="J121">
        <v>0.75346000000000002</v>
      </c>
      <c r="K121">
        <v>3.056E-2</v>
      </c>
      <c r="L121">
        <v>5.81</v>
      </c>
      <c r="M121">
        <v>-2.37</v>
      </c>
      <c r="N121">
        <v>0.39900000000000002</v>
      </c>
      <c r="O121">
        <v>34.200000000000003</v>
      </c>
      <c r="P121">
        <v>1085</v>
      </c>
      <c r="Q121">
        <v>2025</v>
      </c>
      <c r="R121" s="18">
        <v>0.53580246913580243</v>
      </c>
    </row>
    <row r="122" spans="1:18" hidden="1" x14ac:dyDescent="0.3">
      <c r="A122">
        <v>641729</v>
      </c>
      <c r="B122" t="s">
        <v>100</v>
      </c>
      <c r="C122" t="s">
        <v>87</v>
      </c>
      <c r="D122">
        <v>0</v>
      </c>
      <c r="F122">
        <v>2272</v>
      </c>
      <c r="G122">
        <v>95.2</v>
      </c>
      <c r="H122">
        <v>7.1</v>
      </c>
      <c r="I122">
        <v>1.22</v>
      </c>
      <c r="J122">
        <v>0.61</v>
      </c>
      <c r="K122">
        <v>0.61</v>
      </c>
      <c r="L122">
        <v>5.99</v>
      </c>
      <c r="M122">
        <v>-2.44</v>
      </c>
      <c r="O122">
        <v>35.200000000000003</v>
      </c>
      <c r="P122">
        <v>1</v>
      </c>
      <c r="Q122">
        <v>2025</v>
      </c>
      <c r="R122" s="18">
        <v>4.9382716049382717E-4</v>
      </c>
    </row>
    <row r="123" spans="1:18" hidden="1" x14ac:dyDescent="0.3">
      <c r="A123">
        <v>641729</v>
      </c>
      <c r="B123" t="s">
        <v>100</v>
      </c>
      <c r="C123" t="s">
        <v>20</v>
      </c>
      <c r="D123">
        <v>15.7</v>
      </c>
      <c r="E123">
        <v>0.247</v>
      </c>
      <c r="F123">
        <v>2183</v>
      </c>
      <c r="G123">
        <v>85.89</v>
      </c>
      <c r="H123">
        <v>7.21</v>
      </c>
      <c r="I123">
        <v>3.0350999999999999</v>
      </c>
      <c r="J123">
        <v>-0.46837000000000001</v>
      </c>
      <c r="K123">
        <v>-0.13037000000000001</v>
      </c>
      <c r="L123">
        <v>5.65</v>
      </c>
      <c r="M123">
        <v>-2.59</v>
      </c>
      <c r="N123">
        <v>0.30499999999999999</v>
      </c>
      <c r="O123">
        <v>30.9</v>
      </c>
      <c r="P123">
        <v>827</v>
      </c>
      <c r="Q123">
        <v>2025</v>
      </c>
      <c r="R123" s="18">
        <v>0.40839506172839507</v>
      </c>
    </row>
    <row r="124" spans="1:18" hidden="1" x14ac:dyDescent="0.3">
      <c r="A124">
        <v>519293</v>
      </c>
      <c r="B124" t="s">
        <v>101</v>
      </c>
      <c r="C124" t="s">
        <v>23</v>
      </c>
      <c r="D124">
        <v>4.4000000000000004</v>
      </c>
      <c r="E124">
        <v>0.433</v>
      </c>
      <c r="F124">
        <v>2003</v>
      </c>
      <c r="G124">
        <v>76.849999999999994</v>
      </c>
      <c r="H124">
        <v>6.02</v>
      </c>
      <c r="I124">
        <v>4.4703200000000001</v>
      </c>
      <c r="J124">
        <v>-0.73819999999999997</v>
      </c>
      <c r="K124">
        <v>0.59865999999999997</v>
      </c>
      <c r="L124">
        <v>6.75</v>
      </c>
      <c r="M124">
        <v>1.55</v>
      </c>
      <c r="N124">
        <v>0.68799999999999994</v>
      </c>
      <c r="O124">
        <v>49.6</v>
      </c>
      <c r="P124">
        <v>217</v>
      </c>
      <c r="Q124">
        <v>1986</v>
      </c>
      <c r="R124" s="18">
        <v>0.10926485397784491</v>
      </c>
    </row>
    <row r="125" spans="1:18" hidden="1" x14ac:dyDescent="0.3">
      <c r="A125">
        <v>519293</v>
      </c>
      <c r="B125" t="s">
        <v>101</v>
      </c>
      <c r="C125" t="s">
        <v>16</v>
      </c>
      <c r="D125">
        <v>18.3</v>
      </c>
      <c r="E125">
        <v>0.36499999999999999</v>
      </c>
      <c r="F125">
        <v>2221</v>
      </c>
      <c r="G125">
        <v>92.6</v>
      </c>
      <c r="H125">
        <v>6.33</v>
      </c>
      <c r="I125">
        <v>1.2421500000000001</v>
      </c>
      <c r="J125">
        <v>0.61048000000000002</v>
      </c>
      <c r="K125">
        <v>-0.28798000000000001</v>
      </c>
      <c r="L125">
        <v>6.67</v>
      </c>
      <c r="M125">
        <v>1.44</v>
      </c>
      <c r="N125">
        <v>0.47699999999999998</v>
      </c>
      <c r="O125">
        <v>46.8</v>
      </c>
      <c r="P125">
        <v>898</v>
      </c>
      <c r="Q125">
        <v>1986</v>
      </c>
      <c r="R125" s="18">
        <v>0.45216515609264851</v>
      </c>
    </row>
    <row r="126" spans="1:18" hidden="1" x14ac:dyDescent="0.3">
      <c r="A126">
        <v>519293</v>
      </c>
      <c r="B126" t="s">
        <v>101</v>
      </c>
      <c r="C126" t="s">
        <v>20</v>
      </c>
      <c r="D126">
        <v>17.8</v>
      </c>
      <c r="E126">
        <v>0.20799999999999999</v>
      </c>
      <c r="F126">
        <v>2303</v>
      </c>
      <c r="G126">
        <v>81.75</v>
      </c>
      <c r="H126">
        <v>6.22</v>
      </c>
      <c r="I126">
        <v>3.1725500000000002</v>
      </c>
      <c r="J126">
        <v>-0.51422000000000001</v>
      </c>
      <c r="K126">
        <v>0.17141999999999999</v>
      </c>
      <c r="L126">
        <v>6.51</v>
      </c>
      <c r="M126">
        <v>1.75</v>
      </c>
      <c r="N126">
        <v>0.25600000000000001</v>
      </c>
      <c r="O126">
        <v>41.9</v>
      </c>
      <c r="P126">
        <v>871</v>
      </c>
      <c r="Q126">
        <v>1986</v>
      </c>
      <c r="R126" s="18">
        <v>0.43856998992950652</v>
      </c>
    </row>
    <row r="127" spans="1:18" hidden="1" x14ac:dyDescent="0.3">
      <c r="A127">
        <v>592314</v>
      </c>
      <c r="B127" t="s">
        <v>102</v>
      </c>
      <c r="C127" t="s">
        <v>18</v>
      </c>
      <c r="D127">
        <v>11.9</v>
      </c>
      <c r="E127">
        <v>0.36599999999999999</v>
      </c>
      <c r="F127">
        <v>2181</v>
      </c>
      <c r="G127">
        <v>94.7</v>
      </c>
      <c r="H127">
        <v>6.17</v>
      </c>
      <c r="I127">
        <v>1.71576</v>
      </c>
      <c r="J127">
        <v>1.3049200000000001</v>
      </c>
      <c r="K127">
        <v>0.35924</v>
      </c>
      <c r="L127">
        <v>5.73</v>
      </c>
      <c r="M127">
        <v>-1.88</v>
      </c>
      <c r="N127">
        <v>0.48199999999999998</v>
      </c>
      <c r="O127">
        <v>36.299999999999997</v>
      </c>
      <c r="P127">
        <v>500</v>
      </c>
      <c r="Q127">
        <v>1958</v>
      </c>
      <c r="R127" s="18">
        <v>0.25536261491317669</v>
      </c>
    </row>
    <row r="128" spans="1:18" hidden="1" x14ac:dyDescent="0.3">
      <c r="A128">
        <v>592314</v>
      </c>
      <c r="B128" t="s">
        <v>102</v>
      </c>
      <c r="C128" t="s">
        <v>37</v>
      </c>
      <c r="D128">
        <v>4.5</v>
      </c>
      <c r="E128">
        <v>0.247</v>
      </c>
      <c r="F128">
        <v>1880</v>
      </c>
      <c r="G128">
        <v>86.84</v>
      </c>
      <c r="H128">
        <v>6.39</v>
      </c>
      <c r="I128">
        <v>2.1233499999999998</v>
      </c>
      <c r="J128">
        <v>1.14394</v>
      </c>
      <c r="K128">
        <v>-0.41415000000000002</v>
      </c>
      <c r="L128">
        <v>5.83</v>
      </c>
      <c r="M128">
        <v>-1.79</v>
      </c>
      <c r="N128">
        <v>0.29599999999999999</v>
      </c>
      <c r="O128">
        <v>44.7</v>
      </c>
      <c r="P128">
        <v>188</v>
      </c>
      <c r="Q128">
        <v>1958</v>
      </c>
      <c r="R128" s="18">
        <v>9.6016343207354443E-2</v>
      </c>
    </row>
    <row r="129" spans="1:18" hidden="1" x14ac:dyDescent="0.3">
      <c r="A129">
        <v>592314</v>
      </c>
      <c r="B129" t="s">
        <v>102</v>
      </c>
      <c r="C129" t="s">
        <v>16</v>
      </c>
      <c r="D129">
        <v>12.2</v>
      </c>
      <c r="E129">
        <v>0.39400000000000002</v>
      </c>
      <c r="F129">
        <v>2234</v>
      </c>
      <c r="G129">
        <v>94.54</v>
      </c>
      <c r="H129">
        <v>6.14</v>
      </c>
      <c r="I129">
        <v>1.2867999999999999</v>
      </c>
      <c r="J129">
        <v>0.75612999999999997</v>
      </c>
      <c r="K129">
        <v>-7.9339999999999994E-2</v>
      </c>
      <c r="L129">
        <v>5.83</v>
      </c>
      <c r="M129">
        <v>-1.9</v>
      </c>
      <c r="N129">
        <v>0.621</v>
      </c>
      <c r="O129">
        <v>36.9</v>
      </c>
      <c r="P129">
        <v>512</v>
      </c>
      <c r="Q129">
        <v>1958</v>
      </c>
      <c r="R129" s="18">
        <v>0.26149131767109296</v>
      </c>
    </row>
    <row r="130" spans="1:18" hidden="1" x14ac:dyDescent="0.3">
      <c r="A130">
        <v>592314</v>
      </c>
      <c r="B130" t="s">
        <v>102</v>
      </c>
      <c r="C130" t="s">
        <v>20</v>
      </c>
      <c r="D130">
        <v>13.4</v>
      </c>
      <c r="E130">
        <v>0.29099999999999998</v>
      </c>
      <c r="F130">
        <v>2441</v>
      </c>
      <c r="G130">
        <v>84.85</v>
      </c>
      <c r="H130">
        <v>5.85</v>
      </c>
      <c r="I130">
        <v>2.8569100000000001</v>
      </c>
      <c r="J130">
        <v>-0.30081000000000002</v>
      </c>
      <c r="K130">
        <v>-8.7569999999999995E-2</v>
      </c>
      <c r="L130">
        <v>5.64</v>
      </c>
      <c r="M130">
        <v>-2.12</v>
      </c>
      <c r="N130">
        <v>0.39700000000000002</v>
      </c>
      <c r="O130">
        <v>36.6</v>
      </c>
      <c r="P130">
        <v>560</v>
      </c>
      <c r="Q130">
        <v>1958</v>
      </c>
      <c r="R130" s="18">
        <v>0.28600612870275793</v>
      </c>
    </row>
    <row r="131" spans="1:18" hidden="1" x14ac:dyDescent="0.3">
      <c r="A131">
        <v>592314</v>
      </c>
      <c r="B131" t="s">
        <v>102</v>
      </c>
      <c r="C131" t="s">
        <v>23</v>
      </c>
      <c r="D131">
        <v>4.7</v>
      </c>
      <c r="E131">
        <v>0.32800000000000001</v>
      </c>
      <c r="F131">
        <v>2433</v>
      </c>
      <c r="G131">
        <v>78.650000000000006</v>
      </c>
      <c r="H131">
        <v>5.7</v>
      </c>
      <c r="I131">
        <v>4.0121700000000002</v>
      </c>
      <c r="J131">
        <v>-0.39722000000000002</v>
      </c>
      <c r="K131">
        <v>-9.1259999999999994E-2</v>
      </c>
      <c r="L131">
        <v>6.07</v>
      </c>
      <c r="M131">
        <v>-1.74</v>
      </c>
      <c r="N131">
        <v>0.45600000000000002</v>
      </c>
      <c r="O131">
        <v>47.1</v>
      </c>
      <c r="P131">
        <v>198</v>
      </c>
      <c r="Q131">
        <v>1958</v>
      </c>
      <c r="R131" s="18">
        <v>0.10112359550561797</v>
      </c>
    </row>
    <row r="132" spans="1:18" hidden="1" x14ac:dyDescent="0.3">
      <c r="A132">
        <v>607481</v>
      </c>
      <c r="B132" t="s">
        <v>31</v>
      </c>
      <c r="C132" t="s">
        <v>34</v>
      </c>
      <c r="D132">
        <v>0.9</v>
      </c>
      <c r="E132">
        <v>0.30599999999999999</v>
      </c>
      <c r="F132">
        <v>2363</v>
      </c>
      <c r="G132">
        <v>87.38</v>
      </c>
      <c r="H132">
        <v>6.22</v>
      </c>
      <c r="I132">
        <v>2.7166000000000001</v>
      </c>
      <c r="J132">
        <v>-0.19719999999999999</v>
      </c>
      <c r="K132">
        <v>-5.16E-2</v>
      </c>
      <c r="L132">
        <v>5.05</v>
      </c>
      <c r="M132">
        <v>2.8</v>
      </c>
      <c r="N132">
        <v>0.42499999999999999</v>
      </c>
      <c r="O132">
        <v>5.5</v>
      </c>
      <c r="P132">
        <v>50</v>
      </c>
      <c r="Q132">
        <v>1906</v>
      </c>
      <c r="R132" s="18">
        <v>2.6232948583420776E-2</v>
      </c>
    </row>
    <row r="133" spans="1:18" hidden="1" x14ac:dyDescent="0.3">
      <c r="A133">
        <v>607481</v>
      </c>
      <c r="B133" t="s">
        <v>31</v>
      </c>
      <c r="C133" t="s">
        <v>40</v>
      </c>
      <c r="D133">
        <v>10.199999999999999</v>
      </c>
      <c r="E133">
        <v>0.214</v>
      </c>
      <c r="F133">
        <v>2484</v>
      </c>
      <c r="G133">
        <v>81.91</v>
      </c>
      <c r="H133">
        <v>6.3</v>
      </c>
      <c r="I133">
        <v>3.4539800000000001</v>
      </c>
      <c r="J133">
        <v>-1.2513700000000001</v>
      </c>
      <c r="K133">
        <v>9.5430000000000001E-2</v>
      </c>
      <c r="L133">
        <v>5.23</v>
      </c>
      <c r="M133">
        <v>2.36</v>
      </c>
      <c r="N133">
        <v>0.22800000000000001</v>
      </c>
      <c r="O133">
        <v>10.4</v>
      </c>
      <c r="P133">
        <v>571</v>
      </c>
      <c r="Q133">
        <v>1906</v>
      </c>
      <c r="R133" s="18">
        <v>0.29958027282266525</v>
      </c>
    </row>
    <row r="134" spans="1:18" hidden="1" x14ac:dyDescent="0.3">
      <c r="A134">
        <v>607481</v>
      </c>
      <c r="B134" t="s">
        <v>31</v>
      </c>
      <c r="C134" t="s">
        <v>18</v>
      </c>
      <c r="D134">
        <v>12.7</v>
      </c>
      <c r="E134">
        <v>0.32500000000000001</v>
      </c>
      <c r="F134">
        <v>2170</v>
      </c>
      <c r="G134">
        <v>92.17</v>
      </c>
      <c r="H134">
        <v>6.36</v>
      </c>
      <c r="I134">
        <v>2.6324399999999999</v>
      </c>
      <c r="J134">
        <v>1.2408399999999999</v>
      </c>
      <c r="K134">
        <v>-3.0200000000000001E-2</v>
      </c>
      <c r="L134">
        <v>5.07</v>
      </c>
      <c r="M134">
        <v>2.39</v>
      </c>
      <c r="N134">
        <v>0.35499999999999998</v>
      </c>
      <c r="O134">
        <v>5.7</v>
      </c>
      <c r="P134">
        <v>712</v>
      </c>
      <c r="Q134">
        <v>1906</v>
      </c>
      <c r="R134" s="18">
        <v>0.37355718782791186</v>
      </c>
    </row>
    <row r="135" spans="1:18" hidden="1" x14ac:dyDescent="0.3">
      <c r="A135">
        <v>607481</v>
      </c>
      <c r="B135" t="s">
        <v>31</v>
      </c>
      <c r="C135" t="s">
        <v>37</v>
      </c>
      <c r="D135">
        <v>0.2</v>
      </c>
      <c r="E135">
        <v>0.215</v>
      </c>
      <c r="F135">
        <v>1762</v>
      </c>
      <c r="G135">
        <v>84.74</v>
      </c>
      <c r="H135">
        <v>6.55</v>
      </c>
      <c r="I135">
        <v>2.9709099999999999</v>
      </c>
      <c r="J135">
        <v>1.2463599999999999</v>
      </c>
      <c r="K135">
        <v>-1.2463599999999999</v>
      </c>
      <c r="L135">
        <v>5.33</v>
      </c>
      <c r="M135">
        <v>2.27</v>
      </c>
      <c r="N135">
        <v>0.27</v>
      </c>
      <c r="O135">
        <v>14.2</v>
      </c>
      <c r="P135">
        <v>11</v>
      </c>
      <c r="Q135">
        <v>1906</v>
      </c>
      <c r="R135" s="18">
        <v>5.7712486883525708E-3</v>
      </c>
    </row>
    <row r="136" spans="1:18" hidden="1" x14ac:dyDescent="0.3">
      <c r="A136">
        <v>607481</v>
      </c>
      <c r="B136" t="s">
        <v>31</v>
      </c>
      <c r="C136" t="s">
        <v>16</v>
      </c>
      <c r="D136">
        <v>3.8</v>
      </c>
      <c r="E136">
        <v>0.33100000000000002</v>
      </c>
      <c r="F136">
        <v>2291</v>
      </c>
      <c r="G136">
        <v>92.74</v>
      </c>
      <c r="H136">
        <v>6.35</v>
      </c>
      <c r="I136">
        <v>1.7611300000000001</v>
      </c>
      <c r="J136">
        <v>0.80671000000000004</v>
      </c>
      <c r="K136">
        <v>-0.49281999999999998</v>
      </c>
      <c r="L136">
        <v>5.0999999999999996</v>
      </c>
      <c r="M136">
        <v>2.2999999999999998</v>
      </c>
      <c r="N136">
        <v>0.39400000000000002</v>
      </c>
      <c r="O136">
        <v>6.4</v>
      </c>
      <c r="P136">
        <v>213</v>
      </c>
      <c r="Q136">
        <v>1906</v>
      </c>
      <c r="R136" s="18">
        <v>0.11175236096537251</v>
      </c>
    </row>
    <row r="137" spans="1:18" hidden="1" x14ac:dyDescent="0.3">
      <c r="A137">
        <v>607481</v>
      </c>
      <c r="B137" t="s">
        <v>31</v>
      </c>
      <c r="C137" t="s">
        <v>23</v>
      </c>
      <c r="D137">
        <v>6.2</v>
      </c>
      <c r="E137">
        <v>0.313</v>
      </c>
      <c r="F137">
        <v>2374</v>
      </c>
      <c r="G137">
        <v>81.17</v>
      </c>
      <c r="H137">
        <v>6.41</v>
      </c>
      <c r="I137">
        <v>4.1732699999999996</v>
      </c>
      <c r="J137">
        <v>-1.04908</v>
      </c>
      <c r="K137">
        <v>0.44947999999999999</v>
      </c>
      <c r="L137">
        <v>5.41</v>
      </c>
      <c r="M137">
        <v>2.0699999999999998</v>
      </c>
      <c r="N137">
        <v>0.36899999999999999</v>
      </c>
      <c r="O137">
        <v>15.2</v>
      </c>
      <c r="P137">
        <v>349</v>
      </c>
      <c r="Q137">
        <v>1906</v>
      </c>
      <c r="R137" s="18">
        <v>0.18310598111227702</v>
      </c>
    </row>
    <row r="138" spans="1:18" hidden="1" x14ac:dyDescent="0.3">
      <c r="A138">
        <v>543859</v>
      </c>
      <c r="B138" t="s">
        <v>103</v>
      </c>
      <c r="C138" t="s">
        <v>16</v>
      </c>
      <c r="D138">
        <v>25.3</v>
      </c>
      <c r="E138">
        <v>0.33300000000000002</v>
      </c>
      <c r="F138">
        <v>2304</v>
      </c>
      <c r="G138">
        <v>93.38</v>
      </c>
      <c r="H138">
        <v>6.25</v>
      </c>
      <c r="I138">
        <v>1.70424</v>
      </c>
      <c r="J138">
        <v>1.02969</v>
      </c>
      <c r="K138">
        <v>-1.094E-2</v>
      </c>
      <c r="L138">
        <v>5.32</v>
      </c>
      <c r="M138">
        <v>-3.63</v>
      </c>
      <c r="N138">
        <v>0.47399999999999998</v>
      </c>
      <c r="O138">
        <v>14.3</v>
      </c>
      <c r="P138">
        <v>785</v>
      </c>
      <c r="Q138">
        <v>1283</v>
      </c>
      <c r="R138" s="18">
        <v>0.61184723304754485</v>
      </c>
    </row>
    <row r="139" spans="1:18" hidden="1" x14ac:dyDescent="0.3">
      <c r="A139">
        <v>543859</v>
      </c>
      <c r="B139" t="s">
        <v>103</v>
      </c>
      <c r="C139" t="s">
        <v>20</v>
      </c>
      <c r="D139">
        <v>15.4</v>
      </c>
      <c r="E139">
        <v>0.255</v>
      </c>
      <c r="F139">
        <v>2266</v>
      </c>
      <c r="G139">
        <v>83.08</v>
      </c>
      <c r="H139">
        <v>6.27</v>
      </c>
      <c r="I139">
        <v>3.5686200000000001</v>
      </c>
      <c r="J139">
        <v>-0.27625</v>
      </c>
      <c r="K139">
        <v>-4.249E-2</v>
      </c>
      <c r="L139">
        <v>5.31</v>
      </c>
      <c r="M139">
        <v>-3.65</v>
      </c>
      <c r="N139">
        <v>0.28999999999999998</v>
      </c>
      <c r="O139">
        <v>14.9</v>
      </c>
      <c r="P139">
        <v>478</v>
      </c>
      <c r="Q139">
        <v>1283</v>
      </c>
      <c r="R139" s="18">
        <v>0.37256430241621202</v>
      </c>
    </row>
    <row r="140" spans="1:18" hidden="1" x14ac:dyDescent="0.3">
      <c r="A140">
        <v>543859</v>
      </c>
      <c r="B140" t="s">
        <v>103</v>
      </c>
      <c r="C140" t="s">
        <v>40</v>
      </c>
      <c r="D140">
        <v>0.6</v>
      </c>
      <c r="E140">
        <v>0.316</v>
      </c>
      <c r="F140">
        <v>2348</v>
      </c>
      <c r="G140">
        <v>79.66</v>
      </c>
      <c r="H140">
        <v>6.17</v>
      </c>
      <c r="I140">
        <v>3.7229999999999999</v>
      </c>
      <c r="J140">
        <v>-1.4870000000000001</v>
      </c>
      <c r="K140">
        <v>-0.45100000000000001</v>
      </c>
      <c r="L140">
        <v>5.31</v>
      </c>
      <c r="M140">
        <v>-3.68</v>
      </c>
      <c r="N140">
        <v>0.47799999999999998</v>
      </c>
      <c r="O140">
        <v>15.8</v>
      </c>
      <c r="P140">
        <v>20</v>
      </c>
      <c r="Q140">
        <v>1283</v>
      </c>
      <c r="R140" s="18">
        <v>1.558846453624318E-2</v>
      </c>
    </row>
    <row r="141" spans="1:18" hidden="1" x14ac:dyDescent="0.3">
      <c r="A141">
        <v>700363</v>
      </c>
      <c r="B141" t="s">
        <v>30</v>
      </c>
      <c r="C141" t="s">
        <v>33</v>
      </c>
      <c r="D141">
        <v>22</v>
      </c>
      <c r="E141">
        <v>0.22600000000000001</v>
      </c>
      <c r="F141">
        <v>1073</v>
      </c>
      <c r="G141">
        <v>84.49</v>
      </c>
      <c r="H141">
        <v>6.97</v>
      </c>
      <c r="I141">
        <v>2.7000700000000002</v>
      </c>
      <c r="J141">
        <v>0.85702999999999996</v>
      </c>
      <c r="K141">
        <v>-0.23680999999999999</v>
      </c>
      <c r="L141">
        <v>5.69</v>
      </c>
      <c r="M141">
        <v>-2.04</v>
      </c>
      <c r="N141">
        <v>0.25900000000000001</v>
      </c>
      <c r="O141">
        <v>44.6</v>
      </c>
      <c r="P141">
        <v>276</v>
      </c>
      <c r="Q141">
        <v>1252</v>
      </c>
      <c r="R141" s="18">
        <v>0.22044728434504793</v>
      </c>
    </row>
    <row r="142" spans="1:18" hidden="1" x14ac:dyDescent="0.3">
      <c r="A142">
        <v>700363</v>
      </c>
      <c r="B142" t="s">
        <v>30</v>
      </c>
      <c r="C142" t="s">
        <v>16</v>
      </c>
      <c r="D142">
        <v>49.8</v>
      </c>
      <c r="E142">
        <v>0.40600000000000003</v>
      </c>
      <c r="F142">
        <v>2144</v>
      </c>
      <c r="G142">
        <v>95.93</v>
      </c>
      <c r="H142">
        <v>6.71</v>
      </c>
      <c r="I142">
        <v>1.12337</v>
      </c>
      <c r="J142">
        <v>0.66935999999999996</v>
      </c>
      <c r="K142">
        <v>-7.782E-2</v>
      </c>
      <c r="L142">
        <v>5.94</v>
      </c>
      <c r="M142">
        <v>-1.85</v>
      </c>
      <c r="N142">
        <v>0.55800000000000005</v>
      </c>
      <c r="O142">
        <v>46.4</v>
      </c>
      <c r="P142">
        <v>624</v>
      </c>
      <c r="Q142">
        <v>1252</v>
      </c>
      <c r="R142" s="18">
        <v>0.49840255591054311</v>
      </c>
    </row>
    <row r="143" spans="1:18" hidden="1" x14ac:dyDescent="0.3">
      <c r="A143">
        <v>700363</v>
      </c>
      <c r="B143" t="s">
        <v>30</v>
      </c>
      <c r="C143" t="s">
        <v>23</v>
      </c>
      <c r="D143">
        <v>14.5</v>
      </c>
      <c r="E143">
        <v>0.33500000000000002</v>
      </c>
      <c r="F143">
        <v>2288</v>
      </c>
      <c r="G143">
        <v>77.459999999999994</v>
      </c>
      <c r="H143">
        <v>6.71</v>
      </c>
      <c r="I143">
        <v>4.85243</v>
      </c>
      <c r="J143">
        <v>-0.73143999999999998</v>
      </c>
      <c r="K143">
        <v>0.14391999999999999</v>
      </c>
      <c r="L143">
        <v>5.94</v>
      </c>
      <c r="M143">
        <v>-1.81</v>
      </c>
      <c r="N143">
        <v>0.42599999999999999</v>
      </c>
      <c r="O143">
        <v>51.8</v>
      </c>
      <c r="P143">
        <v>181</v>
      </c>
      <c r="Q143">
        <v>1252</v>
      </c>
      <c r="R143" s="18">
        <v>0.14456869009584664</v>
      </c>
    </row>
    <row r="144" spans="1:18" hidden="1" x14ac:dyDescent="0.3">
      <c r="A144">
        <v>700363</v>
      </c>
      <c r="B144" t="s">
        <v>30</v>
      </c>
      <c r="C144" t="s">
        <v>37</v>
      </c>
      <c r="D144">
        <v>2.8</v>
      </c>
      <c r="E144">
        <v>4.5999999999999999E-2</v>
      </c>
      <c r="F144">
        <v>1380</v>
      </c>
      <c r="G144">
        <v>86.87</v>
      </c>
      <c r="H144">
        <v>6.69</v>
      </c>
      <c r="I144">
        <v>2.1111399999999998</v>
      </c>
      <c r="J144">
        <v>0.70886000000000005</v>
      </c>
      <c r="K144">
        <v>-0.51914000000000005</v>
      </c>
      <c r="L144">
        <v>6</v>
      </c>
      <c r="M144">
        <v>-1.62</v>
      </c>
      <c r="N144">
        <v>5.0999999999999997E-2</v>
      </c>
      <c r="O144">
        <v>46.6</v>
      </c>
      <c r="P144">
        <v>35</v>
      </c>
      <c r="Q144">
        <v>1252</v>
      </c>
      <c r="R144" s="18">
        <v>2.7955271565495207E-2</v>
      </c>
    </row>
    <row r="145" spans="1:18" hidden="1" x14ac:dyDescent="0.3">
      <c r="A145">
        <v>700363</v>
      </c>
      <c r="B145" t="s">
        <v>30</v>
      </c>
      <c r="C145" t="s">
        <v>20</v>
      </c>
      <c r="D145">
        <v>10.9</v>
      </c>
      <c r="E145">
        <v>0.44900000000000001</v>
      </c>
      <c r="F145">
        <v>1982</v>
      </c>
      <c r="G145">
        <v>86.19</v>
      </c>
      <c r="H145">
        <v>6.64</v>
      </c>
      <c r="I145">
        <v>2.5980099999999999</v>
      </c>
      <c r="J145">
        <v>-0.22281000000000001</v>
      </c>
      <c r="K145">
        <v>-4.5039999999999997E-2</v>
      </c>
      <c r="L145">
        <v>6.06</v>
      </c>
      <c r="M145">
        <v>-1.67</v>
      </c>
      <c r="N145">
        <v>0.64800000000000002</v>
      </c>
      <c r="O145">
        <v>50.6</v>
      </c>
      <c r="P145">
        <v>136</v>
      </c>
      <c r="Q145">
        <v>1252</v>
      </c>
      <c r="R145" s="18">
        <v>0.10862619808306709</v>
      </c>
    </row>
    <row r="146" spans="1:18" hidden="1" x14ac:dyDescent="0.3">
      <c r="A146">
        <v>623451</v>
      </c>
      <c r="B146" t="s">
        <v>104</v>
      </c>
      <c r="C146" t="s">
        <v>16</v>
      </c>
      <c r="D146">
        <v>32.200000000000003</v>
      </c>
      <c r="E146">
        <v>0.28399999999999997</v>
      </c>
      <c r="F146">
        <v>2065</v>
      </c>
      <c r="G146">
        <v>93.18</v>
      </c>
      <c r="H146">
        <v>5.74</v>
      </c>
      <c r="I146">
        <v>1.3774599999999999</v>
      </c>
      <c r="J146">
        <v>0.50804000000000005</v>
      </c>
      <c r="K146">
        <v>-5.8979999999999998E-2</v>
      </c>
      <c r="L146">
        <v>6.17</v>
      </c>
      <c r="M146">
        <v>-0.83</v>
      </c>
      <c r="N146">
        <v>0.315</v>
      </c>
      <c r="O146">
        <v>43.6</v>
      </c>
      <c r="P146">
        <v>393</v>
      </c>
      <c r="Q146">
        <v>1221</v>
      </c>
      <c r="R146" s="18">
        <v>0.32186732186732187</v>
      </c>
    </row>
    <row r="147" spans="1:18" hidden="1" x14ac:dyDescent="0.3">
      <c r="A147">
        <v>623451</v>
      </c>
      <c r="B147" t="s">
        <v>104</v>
      </c>
      <c r="C147" t="s">
        <v>37</v>
      </c>
      <c r="D147">
        <v>9.3000000000000007</v>
      </c>
      <c r="E147">
        <v>0.39300000000000002</v>
      </c>
      <c r="F147">
        <v>1533</v>
      </c>
      <c r="G147">
        <v>84.99</v>
      </c>
      <c r="H147">
        <v>5.58</v>
      </c>
      <c r="I147">
        <v>2.9369000000000001</v>
      </c>
      <c r="J147">
        <v>0.75397999999999998</v>
      </c>
      <c r="K147">
        <v>-0.53291999999999995</v>
      </c>
      <c r="L147">
        <v>5.91</v>
      </c>
      <c r="M147">
        <v>-1.35</v>
      </c>
      <c r="N147">
        <v>0.53200000000000003</v>
      </c>
      <c r="O147">
        <v>36.299999999999997</v>
      </c>
      <c r="P147">
        <v>113</v>
      </c>
      <c r="Q147">
        <v>1221</v>
      </c>
      <c r="R147" s="18">
        <v>9.2547092547092549E-2</v>
      </c>
    </row>
    <row r="148" spans="1:18" hidden="1" x14ac:dyDescent="0.3">
      <c r="A148">
        <v>623451</v>
      </c>
      <c r="B148" t="s">
        <v>104</v>
      </c>
      <c r="C148" t="s">
        <v>34</v>
      </c>
      <c r="D148">
        <v>3.5</v>
      </c>
      <c r="E148">
        <v>0.26200000000000001</v>
      </c>
      <c r="F148">
        <v>2343</v>
      </c>
      <c r="G148">
        <v>90</v>
      </c>
      <c r="H148">
        <v>5.63</v>
      </c>
      <c r="I148">
        <v>1.8865099999999999</v>
      </c>
      <c r="J148">
        <v>-0.14595</v>
      </c>
      <c r="K148">
        <v>0.12786</v>
      </c>
      <c r="L148">
        <v>6.11</v>
      </c>
      <c r="M148">
        <v>-0.86</v>
      </c>
      <c r="N148">
        <v>0.27200000000000002</v>
      </c>
      <c r="O148">
        <v>41.4</v>
      </c>
      <c r="P148">
        <v>43</v>
      </c>
      <c r="Q148">
        <v>1221</v>
      </c>
      <c r="R148" s="18">
        <v>3.5217035217035217E-2</v>
      </c>
    </row>
    <row r="149" spans="1:18" hidden="1" x14ac:dyDescent="0.3">
      <c r="A149">
        <v>623451</v>
      </c>
      <c r="B149" t="s">
        <v>104</v>
      </c>
      <c r="C149" t="s">
        <v>18</v>
      </c>
      <c r="D149">
        <v>22.4</v>
      </c>
      <c r="E149">
        <v>0.35899999999999999</v>
      </c>
      <c r="F149">
        <v>1902</v>
      </c>
      <c r="G149">
        <v>92.73</v>
      </c>
      <c r="H149">
        <v>5.7</v>
      </c>
      <c r="I149">
        <v>1.84304</v>
      </c>
      <c r="J149">
        <v>1.2524900000000001</v>
      </c>
      <c r="K149">
        <v>0.85850000000000004</v>
      </c>
      <c r="L149">
        <v>6.1</v>
      </c>
      <c r="M149">
        <v>-0.9</v>
      </c>
      <c r="N149">
        <v>0.46100000000000002</v>
      </c>
      <c r="O149">
        <v>42.5</v>
      </c>
      <c r="P149">
        <v>273</v>
      </c>
      <c r="Q149">
        <v>1221</v>
      </c>
      <c r="R149" s="18">
        <v>0.22358722358722358</v>
      </c>
    </row>
    <row r="150" spans="1:18" hidden="1" x14ac:dyDescent="0.3">
      <c r="A150">
        <v>623451</v>
      </c>
      <c r="B150" t="s">
        <v>104</v>
      </c>
      <c r="C150" t="s">
        <v>23</v>
      </c>
      <c r="D150">
        <v>26.9</v>
      </c>
      <c r="E150">
        <v>0.24199999999999999</v>
      </c>
      <c r="F150">
        <v>2967</v>
      </c>
      <c r="G150">
        <v>75.2</v>
      </c>
      <c r="H150">
        <v>5.6</v>
      </c>
      <c r="I150">
        <v>4.8414599999999997</v>
      </c>
      <c r="J150">
        <v>-1.31951</v>
      </c>
      <c r="K150">
        <v>-4.829E-2</v>
      </c>
      <c r="L150">
        <v>6.11</v>
      </c>
      <c r="M150">
        <v>-1.08</v>
      </c>
      <c r="N150">
        <v>0.30399999999999999</v>
      </c>
      <c r="O150">
        <v>40.9</v>
      </c>
      <c r="P150">
        <v>328</v>
      </c>
      <c r="Q150">
        <v>1221</v>
      </c>
      <c r="R150" s="18">
        <v>0.26863226863226863</v>
      </c>
    </row>
    <row r="151" spans="1:18" hidden="1" x14ac:dyDescent="0.3">
      <c r="A151">
        <v>623451</v>
      </c>
      <c r="B151" t="s">
        <v>104</v>
      </c>
      <c r="C151" t="s">
        <v>20</v>
      </c>
      <c r="D151">
        <v>5.8</v>
      </c>
      <c r="E151">
        <v>0.34699999999999998</v>
      </c>
      <c r="F151">
        <v>2444</v>
      </c>
      <c r="G151">
        <v>87.15</v>
      </c>
      <c r="H151">
        <v>5.63</v>
      </c>
      <c r="I151">
        <v>2.7111299999999998</v>
      </c>
      <c r="J151">
        <v>-0.35127000000000003</v>
      </c>
      <c r="K151">
        <v>-0.24254000000000001</v>
      </c>
      <c r="L151">
        <v>6.1</v>
      </c>
      <c r="M151">
        <v>-1</v>
      </c>
      <c r="N151">
        <v>0.33400000000000002</v>
      </c>
      <c r="O151">
        <v>41.1</v>
      </c>
      <c r="P151">
        <v>71</v>
      </c>
      <c r="Q151">
        <v>1221</v>
      </c>
      <c r="R151" s="18">
        <v>5.8149058149058151E-2</v>
      </c>
    </row>
    <row r="152" spans="1:18" hidden="1" x14ac:dyDescent="0.3">
      <c r="A152">
        <v>455119</v>
      </c>
      <c r="B152" t="s">
        <v>105</v>
      </c>
      <c r="C152" t="s">
        <v>16</v>
      </c>
      <c r="D152">
        <v>11.1</v>
      </c>
      <c r="E152">
        <v>0.311</v>
      </c>
      <c r="F152">
        <v>2167</v>
      </c>
      <c r="G152">
        <v>95.19</v>
      </c>
      <c r="H152">
        <v>6.47</v>
      </c>
      <c r="I152">
        <v>1.3355600000000001</v>
      </c>
      <c r="J152">
        <v>0.60438999999999998</v>
      </c>
      <c r="K152">
        <v>-3.4200000000000001E-2</v>
      </c>
      <c r="L152">
        <v>6.27</v>
      </c>
      <c r="M152">
        <v>-2.72</v>
      </c>
      <c r="N152">
        <v>0.42499999999999999</v>
      </c>
      <c r="O152">
        <v>44.3</v>
      </c>
      <c r="P152">
        <v>522</v>
      </c>
      <c r="Q152">
        <v>1196</v>
      </c>
      <c r="R152" s="18">
        <v>0.43645484949832775</v>
      </c>
    </row>
    <row r="153" spans="1:18" hidden="1" x14ac:dyDescent="0.3">
      <c r="A153">
        <v>455119</v>
      </c>
      <c r="B153" t="s">
        <v>105</v>
      </c>
      <c r="C153" t="s">
        <v>18</v>
      </c>
      <c r="D153">
        <v>2.7</v>
      </c>
      <c r="E153">
        <v>0.26</v>
      </c>
      <c r="F153">
        <v>2068</v>
      </c>
      <c r="G153">
        <v>94.89</v>
      </c>
      <c r="H153">
        <v>6.54</v>
      </c>
      <c r="I153">
        <v>1.6446099999999999</v>
      </c>
      <c r="J153">
        <v>1.1815599999999999</v>
      </c>
      <c r="K153">
        <v>0.83562000000000003</v>
      </c>
      <c r="L153">
        <v>6.12</v>
      </c>
      <c r="M153">
        <v>-2.91</v>
      </c>
      <c r="N153">
        <v>0.33300000000000002</v>
      </c>
      <c r="O153">
        <v>41.4</v>
      </c>
      <c r="P153">
        <v>128</v>
      </c>
      <c r="Q153">
        <v>1196</v>
      </c>
      <c r="R153" s="18">
        <v>0.10702341137123746</v>
      </c>
    </row>
    <row r="154" spans="1:18" hidden="1" x14ac:dyDescent="0.3">
      <c r="A154">
        <v>455119</v>
      </c>
      <c r="B154" t="s">
        <v>105</v>
      </c>
      <c r="C154" t="s">
        <v>33</v>
      </c>
      <c r="D154">
        <v>3.4</v>
      </c>
      <c r="E154">
        <v>0.22900000000000001</v>
      </c>
      <c r="F154">
        <v>1437</v>
      </c>
      <c r="G154">
        <v>87.92</v>
      </c>
      <c r="H154">
        <v>6.4</v>
      </c>
      <c r="I154">
        <v>2.7046600000000001</v>
      </c>
      <c r="J154">
        <v>0.85204999999999997</v>
      </c>
      <c r="K154">
        <v>-0.47677000000000003</v>
      </c>
      <c r="L154">
        <v>6.16</v>
      </c>
      <c r="M154">
        <v>-2.9</v>
      </c>
      <c r="N154">
        <v>0.28999999999999998</v>
      </c>
      <c r="O154">
        <v>42</v>
      </c>
      <c r="P154">
        <v>161</v>
      </c>
      <c r="Q154">
        <v>1196</v>
      </c>
      <c r="R154" s="18">
        <v>0.13461538461538461</v>
      </c>
    </row>
    <row r="155" spans="1:18" hidden="1" x14ac:dyDescent="0.3">
      <c r="A155">
        <v>455119</v>
      </c>
      <c r="B155" t="s">
        <v>105</v>
      </c>
      <c r="C155" t="s">
        <v>34</v>
      </c>
      <c r="D155">
        <v>4.4000000000000004</v>
      </c>
      <c r="E155">
        <v>0.36599999999999999</v>
      </c>
      <c r="F155">
        <v>2097</v>
      </c>
      <c r="G155">
        <v>90.86</v>
      </c>
      <c r="H155">
        <v>6.36</v>
      </c>
      <c r="I155">
        <v>2.2937599999999998</v>
      </c>
      <c r="J155">
        <v>-0.24623999999999999</v>
      </c>
      <c r="K155">
        <v>3.6139999999999999E-2</v>
      </c>
      <c r="L155">
        <v>6.24</v>
      </c>
      <c r="M155">
        <v>-2.96</v>
      </c>
      <c r="N155">
        <v>0.56399999999999995</v>
      </c>
      <c r="O155">
        <v>42.3</v>
      </c>
      <c r="P155">
        <v>205</v>
      </c>
      <c r="Q155">
        <v>1196</v>
      </c>
      <c r="R155" s="18">
        <v>0.17140468227424749</v>
      </c>
    </row>
    <row r="156" spans="1:18" hidden="1" x14ac:dyDescent="0.3">
      <c r="A156">
        <v>455119</v>
      </c>
      <c r="B156" t="s">
        <v>105</v>
      </c>
      <c r="C156" t="s">
        <v>23</v>
      </c>
      <c r="D156">
        <v>1.1000000000000001</v>
      </c>
      <c r="E156">
        <v>0.19400000000000001</v>
      </c>
      <c r="F156">
        <v>2461</v>
      </c>
      <c r="G156">
        <v>83.9</v>
      </c>
      <c r="H156">
        <v>6.35</v>
      </c>
      <c r="I156">
        <v>3.9265400000000001</v>
      </c>
      <c r="J156">
        <v>-0.57115000000000005</v>
      </c>
      <c r="K156">
        <v>-0.18462000000000001</v>
      </c>
      <c r="L156">
        <v>6.32</v>
      </c>
      <c r="M156">
        <v>-2.85</v>
      </c>
      <c r="N156">
        <v>0.26</v>
      </c>
      <c r="O156">
        <v>45.2</v>
      </c>
      <c r="P156">
        <v>52</v>
      </c>
      <c r="Q156">
        <v>1196</v>
      </c>
      <c r="R156" s="18">
        <v>4.3478260869565216E-2</v>
      </c>
    </row>
    <row r="157" spans="1:18" hidden="1" x14ac:dyDescent="0.3">
      <c r="A157">
        <v>455119</v>
      </c>
      <c r="B157" t="s">
        <v>105</v>
      </c>
      <c r="C157" t="s">
        <v>40</v>
      </c>
      <c r="D157">
        <v>2.7</v>
      </c>
      <c r="E157">
        <v>0.38500000000000001</v>
      </c>
      <c r="F157">
        <v>2528</v>
      </c>
      <c r="G157">
        <v>82.47</v>
      </c>
      <c r="H157">
        <v>6.28</v>
      </c>
      <c r="I157">
        <v>3.69102</v>
      </c>
      <c r="J157">
        <v>-1.1776599999999999</v>
      </c>
      <c r="K157">
        <v>-0.60828000000000004</v>
      </c>
      <c r="L157">
        <v>6.22</v>
      </c>
      <c r="M157">
        <v>-3.04</v>
      </c>
      <c r="N157">
        <v>0.55300000000000005</v>
      </c>
      <c r="O157">
        <v>41.8</v>
      </c>
      <c r="P157">
        <v>128</v>
      </c>
      <c r="Q157">
        <v>1196</v>
      </c>
      <c r="R157" s="18">
        <v>0.10702341137123746</v>
      </c>
    </row>
    <row r="158" spans="1:18" hidden="1" x14ac:dyDescent="0.3">
      <c r="A158">
        <v>489446</v>
      </c>
      <c r="B158" t="s">
        <v>106</v>
      </c>
      <c r="C158" t="s">
        <v>20</v>
      </c>
      <c r="D158">
        <v>0.1</v>
      </c>
      <c r="E158">
        <v>0.30199999999999999</v>
      </c>
      <c r="F158">
        <v>2343</v>
      </c>
      <c r="G158">
        <v>82.93</v>
      </c>
      <c r="H158">
        <v>5.2</v>
      </c>
      <c r="I158">
        <v>2.80667</v>
      </c>
      <c r="J158">
        <v>-0.30332999999999999</v>
      </c>
      <c r="K158">
        <v>-0.30332999999999999</v>
      </c>
      <c r="L158">
        <v>5.47</v>
      </c>
      <c r="M158">
        <v>-2.27</v>
      </c>
      <c r="N158">
        <v>0.38900000000000001</v>
      </c>
      <c r="O158">
        <v>30.4</v>
      </c>
      <c r="P158">
        <v>3</v>
      </c>
      <c r="Q158">
        <v>1195</v>
      </c>
      <c r="R158" s="18">
        <v>2.5104602510460251E-3</v>
      </c>
    </row>
    <row r="159" spans="1:18" hidden="1" x14ac:dyDescent="0.3">
      <c r="A159">
        <v>489446</v>
      </c>
      <c r="B159" t="s">
        <v>106</v>
      </c>
      <c r="C159" t="s">
        <v>16</v>
      </c>
      <c r="D159">
        <v>15.5</v>
      </c>
      <c r="E159">
        <v>0.35799999999999998</v>
      </c>
      <c r="F159">
        <v>2316</v>
      </c>
      <c r="G159">
        <v>93.2</v>
      </c>
      <c r="H159">
        <v>6.09</v>
      </c>
      <c r="I159">
        <v>1.4552</v>
      </c>
      <c r="J159">
        <v>1.1336999999999999</v>
      </c>
      <c r="K159">
        <v>6.6180000000000003E-2</v>
      </c>
      <c r="L159">
        <v>5.32</v>
      </c>
      <c r="M159">
        <v>-2.63</v>
      </c>
      <c r="N159">
        <v>0.48099999999999998</v>
      </c>
      <c r="O159">
        <v>20.3</v>
      </c>
      <c r="P159">
        <v>638</v>
      </c>
      <c r="Q159">
        <v>1195</v>
      </c>
      <c r="R159" s="18">
        <v>0.53389121338912138</v>
      </c>
    </row>
    <row r="160" spans="1:18" hidden="1" x14ac:dyDescent="0.3">
      <c r="A160">
        <v>489446</v>
      </c>
      <c r="B160" t="s">
        <v>106</v>
      </c>
      <c r="C160" t="s">
        <v>40</v>
      </c>
      <c r="D160">
        <v>0.3</v>
      </c>
      <c r="E160">
        <v>0.36299999999999999</v>
      </c>
      <c r="F160">
        <v>2493</v>
      </c>
      <c r="G160">
        <v>76.16</v>
      </c>
      <c r="H160">
        <v>6.01</v>
      </c>
      <c r="I160">
        <v>4.1164300000000003</v>
      </c>
      <c r="J160">
        <v>-1.2714300000000001</v>
      </c>
      <c r="K160">
        <v>-0.47857</v>
      </c>
      <c r="L160">
        <v>5.3</v>
      </c>
      <c r="M160">
        <v>-2.69</v>
      </c>
      <c r="O160">
        <v>19.600000000000001</v>
      </c>
      <c r="P160">
        <v>14</v>
      </c>
      <c r="Q160">
        <v>1195</v>
      </c>
      <c r="R160" s="18">
        <v>1.1715481171548118E-2</v>
      </c>
    </row>
    <row r="161" spans="1:18" hidden="1" x14ac:dyDescent="0.3">
      <c r="A161">
        <v>489446</v>
      </c>
      <c r="B161" t="s">
        <v>106</v>
      </c>
      <c r="C161" t="s">
        <v>33</v>
      </c>
      <c r="D161">
        <v>13.1</v>
      </c>
      <c r="E161">
        <v>0.29399999999999998</v>
      </c>
      <c r="F161">
        <v>1335</v>
      </c>
      <c r="G161">
        <v>86.18</v>
      </c>
      <c r="H161">
        <v>6.21</v>
      </c>
      <c r="I161">
        <v>3.1048100000000001</v>
      </c>
      <c r="J161">
        <v>1.04894</v>
      </c>
      <c r="K161">
        <v>7.6119999999999993E-2</v>
      </c>
      <c r="L161">
        <v>5.33</v>
      </c>
      <c r="M161">
        <v>-2.59</v>
      </c>
      <c r="N161">
        <v>0.32900000000000001</v>
      </c>
      <c r="O161">
        <v>21.2</v>
      </c>
      <c r="P161">
        <v>538</v>
      </c>
      <c r="Q161">
        <v>1195</v>
      </c>
      <c r="R161" s="18">
        <v>0.45020920502092049</v>
      </c>
    </row>
    <row r="162" spans="1:18" hidden="1" x14ac:dyDescent="0.3">
      <c r="A162">
        <v>489446</v>
      </c>
      <c r="B162" t="s">
        <v>106</v>
      </c>
      <c r="C162" t="s">
        <v>87</v>
      </c>
      <c r="D162">
        <v>0</v>
      </c>
      <c r="F162">
        <v>2321</v>
      </c>
      <c r="G162">
        <v>91.65</v>
      </c>
      <c r="H162">
        <v>6.05</v>
      </c>
      <c r="I162">
        <v>1.5149999999999999</v>
      </c>
      <c r="J162">
        <v>1.21</v>
      </c>
      <c r="K162">
        <v>1.21</v>
      </c>
      <c r="L162">
        <v>5.35</v>
      </c>
      <c r="M162">
        <v>-2.34</v>
      </c>
      <c r="O162">
        <v>21.3</v>
      </c>
      <c r="P162">
        <v>2</v>
      </c>
      <c r="Q162">
        <v>1195</v>
      </c>
      <c r="R162" s="18">
        <v>1.6736401673640166E-3</v>
      </c>
    </row>
    <row r="163" spans="1:18" hidden="1" x14ac:dyDescent="0.3">
      <c r="A163">
        <v>669060</v>
      </c>
      <c r="B163" t="s">
        <v>107</v>
      </c>
      <c r="C163" t="s">
        <v>16</v>
      </c>
      <c r="D163">
        <v>8.1999999999999993</v>
      </c>
      <c r="E163">
        <v>0.35399999999999998</v>
      </c>
      <c r="F163">
        <v>2147</v>
      </c>
      <c r="G163">
        <v>94.45</v>
      </c>
      <c r="H163">
        <v>6.45</v>
      </c>
      <c r="I163">
        <v>1.3686100000000001</v>
      </c>
      <c r="J163">
        <v>0.61670000000000003</v>
      </c>
      <c r="K163">
        <v>2.819E-2</v>
      </c>
      <c r="L163">
        <v>5.51</v>
      </c>
      <c r="M163">
        <v>-2.71</v>
      </c>
      <c r="N163">
        <v>0.46899999999999997</v>
      </c>
      <c r="O163">
        <v>40.4</v>
      </c>
      <c r="P163">
        <v>597</v>
      </c>
      <c r="Q163">
        <v>1181</v>
      </c>
      <c r="R163" s="18">
        <v>0.50550381033022862</v>
      </c>
    </row>
    <row r="164" spans="1:18" hidden="1" x14ac:dyDescent="0.3">
      <c r="A164">
        <v>669060</v>
      </c>
      <c r="B164" t="s">
        <v>107</v>
      </c>
      <c r="C164" t="s">
        <v>20</v>
      </c>
      <c r="D164">
        <v>1.5</v>
      </c>
      <c r="E164">
        <v>0.33800000000000002</v>
      </c>
      <c r="F164">
        <v>2242</v>
      </c>
      <c r="G164">
        <v>87.69</v>
      </c>
      <c r="H164">
        <v>6.54</v>
      </c>
      <c r="I164">
        <v>2.5392000000000001</v>
      </c>
      <c r="J164">
        <v>-0.2717</v>
      </c>
      <c r="K164">
        <v>-4.4200000000000003E-2</v>
      </c>
      <c r="L164">
        <v>5.31</v>
      </c>
      <c r="M164">
        <v>-2.91</v>
      </c>
      <c r="N164">
        <v>0.44500000000000001</v>
      </c>
      <c r="O164">
        <v>36.799999999999997</v>
      </c>
      <c r="P164">
        <v>112</v>
      </c>
      <c r="Q164">
        <v>1181</v>
      </c>
      <c r="R164" s="18">
        <v>9.4834885690093143E-2</v>
      </c>
    </row>
    <row r="165" spans="1:18" hidden="1" x14ac:dyDescent="0.3">
      <c r="A165">
        <v>669060</v>
      </c>
      <c r="B165" t="s">
        <v>107</v>
      </c>
      <c r="C165" t="s">
        <v>23</v>
      </c>
      <c r="D165">
        <v>1.2</v>
      </c>
      <c r="E165">
        <v>0.435</v>
      </c>
      <c r="F165">
        <v>2276</v>
      </c>
      <c r="G165">
        <v>78.28</v>
      </c>
      <c r="H165">
        <v>6.43</v>
      </c>
      <c r="I165">
        <v>3.8682400000000001</v>
      </c>
      <c r="J165">
        <v>-1.21143</v>
      </c>
      <c r="K165">
        <v>-0.48570999999999998</v>
      </c>
      <c r="L165">
        <v>5.27</v>
      </c>
      <c r="M165">
        <v>-2.71</v>
      </c>
      <c r="N165">
        <v>0.67400000000000004</v>
      </c>
      <c r="O165">
        <v>36.9</v>
      </c>
      <c r="P165">
        <v>91</v>
      </c>
      <c r="Q165">
        <v>1181</v>
      </c>
      <c r="R165" s="18">
        <v>7.7053344623200681E-2</v>
      </c>
    </row>
    <row r="166" spans="1:18" hidden="1" x14ac:dyDescent="0.3">
      <c r="A166">
        <v>669060</v>
      </c>
      <c r="B166" t="s">
        <v>107</v>
      </c>
      <c r="C166" t="s">
        <v>37</v>
      </c>
      <c r="D166">
        <v>2.6</v>
      </c>
      <c r="E166">
        <v>0.34899999999999998</v>
      </c>
      <c r="F166">
        <v>1639</v>
      </c>
      <c r="G166">
        <v>87.18</v>
      </c>
      <c r="H166">
        <v>6.53</v>
      </c>
      <c r="I166">
        <v>2.53105</v>
      </c>
      <c r="J166">
        <v>1.1387400000000001</v>
      </c>
      <c r="K166">
        <v>-0.27442</v>
      </c>
      <c r="L166">
        <v>5.41</v>
      </c>
      <c r="M166">
        <v>-2.52</v>
      </c>
      <c r="N166">
        <v>0.503</v>
      </c>
      <c r="O166">
        <v>37.9</v>
      </c>
      <c r="P166">
        <v>190</v>
      </c>
      <c r="Q166">
        <v>1181</v>
      </c>
      <c r="R166" s="18">
        <v>0.16088060965283657</v>
      </c>
    </row>
    <row r="167" spans="1:18" hidden="1" x14ac:dyDescent="0.3">
      <c r="A167">
        <v>669060</v>
      </c>
      <c r="B167" t="s">
        <v>107</v>
      </c>
      <c r="C167" t="s">
        <v>18</v>
      </c>
      <c r="D167">
        <v>2.6</v>
      </c>
      <c r="E167">
        <v>0.34699999999999998</v>
      </c>
      <c r="F167">
        <v>2030</v>
      </c>
      <c r="G167">
        <v>93.37</v>
      </c>
      <c r="H167">
        <v>6.55</v>
      </c>
      <c r="I167">
        <v>1.8828800000000001</v>
      </c>
      <c r="J167">
        <v>1.2363900000000001</v>
      </c>
      <c r="K167">
        <v>0.64256999999999997</v>
      </c>
      <c r="L167">
        <v>5.44</v>
      </c>
      <c r="M167">
        <v>-2.65</v>
      </c>
      <c r="N167">
        <v>0.48299999999999998</v>
      </c>
      <c r="O167">
        <v>38.6</v>
      </c>
      <c r="P167">
        <v>191</v>
      </c>
      <c r="Q167">
        <v>1181</v>
      </c>
      <c r="R167" s="18">
        <v>0.16172734970364097</v>
      </c>
    </row>
    <row r="168" spans="1:18" hidden="1" x14ac:dyDescent="0.3">
      <c r="A168">
        <v>666214</v>
      </c>
      <c r="B168" t="s">
        <v>26</v>
      </c>
      <c r="C168" t="s">
        <v>37</v>
      </c>
      <c r="D168">
        <v>1</v>
      </c>
      <c r="E168">
        <v>0.27600000000000002</v>
      </c>
      <c r="F168">
        <v>1928</v>
      </c>
      <c r="G168">
        <v>87.37</v>
      </c>
      <c r="H168">
        <v>7.17</v>
      </c>
      <c r="I168">
        <v>2.3301799999999999</v>
      </c>
      <c r="J168">
        <v>1.15164</v>
      </c>
      <c r="K168">
        <v>-1.1189100000000001</v>
      </c>
      <c r="L168">
        <v>6.2</v>
      </c>
      <c r="M168">
        <v>0.31</v>
      </c>
      <c r="N168">
        <v>0.26500000000000001</v>
      </c>
      <c r="O168">
        <v>47.6</v>
      </c>
      <c r="P168">
        <v>55</v>
      </c>
      <c r="Q168">
        <v>1162</v>
      </c>
      <c r="R168" s="18">
        <v>4.7332185886402756E-2</v>
      </c>
    </row>
    <row r="169" spans="1:18" hidden="1" x14ac:dyDescent="0.3">
      <c r="A169">
        <v>666214</v>
      </c>
      <c r="B169" t="s">
        <v>26</v>
      </c>
      <c r="C169" t="s">
        <v>20</v>
      </c>
      <c r="D169">
        <v>7.4</v>
      </c>
      <c r="E169">
        <v>0.30199999999999999</v>
      </c>
      <c r="F169">
        <v>2516</v>
      </c>
      <c r="G169">
        <v>86.42</v>
      </c>
      <c r="H169">
        <v>7.12</v>
      </c>
      <c r="I169">
        <v>2.9836399999999998</v>
      </c>
      <c r="J169">
        <v>-0.38066</v>
      </c>
      <c r="K169">
        <v>0.13669999999999999</v>
      </c>
      <c r="L169">
        <v>6.15</v>
      </c>
      <c r="M169">
        <v>0.91</v>
      </c>
      <c r="N169">
        <v>0.39700000000000002</v>
      </c>
      <c r="O169">
        <v>45.2</v>
      </c>
      <c r="P169">
        <v>409</v>
      </c>
      <c r="Q169">
        <v>1162</v>
      </c>
      <c r="R169" s="18">
        <v>0.35197934595524955</v>
      </c>
    </row>
    <row r="170" spans="1:18" hidden="1" x14ac:dyDescent="0.3">
      <c r="A170">
        <v>666214</v>
      </c>
      <c r="B170" t="s">
        <v>26</v>
      </c>
      <c r="C170" t="s">
        <v>16</v>
      </c>
      <c r="D170">
        <v>8.8000000000000007</v>
      </c>
      <c r="E170">
        <v>0.36899999999999999</v>
      </c>
      <c r="F170">
        <v>2301</v>
      </c>
      <c r="G170">
        <v>94.29</v>
      </c>
      <c r="H170">
        <v>7.08</v>
      </c>
      <c r="I170">
        <v>1.1114299999999999</v>
      </c>
      <c r="J170">
        <v>0.39362000000000003</v>
      </c>
      <c r="K170">
        <v>-0.22738</v>
      </c>
      <c r="L170">
        <v>6.37</v>
      </c>
      <c r="M170">
        <v>0.52</v>
      </c>
      <c r="N170">
        <v>0.47699999999999998</v>
      </c>
      <c r="O170">
        <v>50.6</v>
      </c>
      <c r="P170">
        <v>484</v>
      </c>
      <c r="Q170">
        <v>1162</v>
      </c>
      <c r="R170" s="18">
        <v>0.41652323580034423</v>
      </c>
    </row>
    <row r="171" spans="1:18" hidden="1" x14ac:dyDescent="0.3">
      <c r="A171">
        <v>666214</v>
      </c>
      <c r="B171" t="s">
        <v>26</v>
      </c>
      <c r="C171" t="s">
        <v>23</v>
      </c>
      <c r="D171">
        <v>3.9</v>
      </c>
      <c r="E171">
        <v>0.255</v>
      </c>
      <c r="F171">
        <v>2537</v>
      </c>
      <c r="G171">
        <v>80.41</v>
      </c>
      <c r="H171">
        <v>7.18</v>
      </c>
      <c r="I171">
        <v>4.2910300000000001</v>
      </c>
      <c r="J171">
        <v>-0.42668</v>
      </c>
      <c r="K171">
        <v>0.32556000000000002</v>
      </c>
      <c r="L171">
        <v>6.29</v>
      </c>
      <c r="M171">
        <v>0.6</v>
      </c>
      <c r="N171">
        <v>0.32500000000000001</v>
      </c>
      <c r="O171">
        <v>51.4</v>
      </c>
      <c r="P171">
        <v>214</v>
      </c>
      <c r="Q171">
        <v>1162</v>
      </c>
      <c r="R171" s="18">
        <v>0.18416523235800344</v>
      </c>
    </row>
    <row r="172" spans="1:18" hidden="1" x14ac:dyDescent="0.3">
      <c r="A172">
        <v>689266</v>
      </c>
      <c r="B172" t="s">
        <v>35</v>
      </c>
      <c r="C172" t="s">
        <v>20</v>
      </c>
      <c r="D172">
        <v>18.899999999999999</v>
      </c>
      <c r="E172">
        <v>0.39900000000000002</v>
      </c>
      <c r="F172">
        <v>2070</v>
      </c>
      <c r="G172">
        <v>82.3</v>
      </c>
      <c r="H172">
        <v>6.59</v>
      </c>
      <c r="I172">
        <v>3.1259100000000002</v>
      </c>
      <c r="J172">
        <v>-0.14108000000000001</v>
      </c>
      <c r="K172">
        <v>5.2630000000000003E-2</v>
      </c>
      <c r="L172">
        <v>5.92</v>
      </c>
      <c r="M172">
        <v>2.44</v>
      </c>
      <c r="N172">
        <v>0.56799999999999995</v>
      </c>
      <c r="O172">
        <v>44.2</v>
      </c>
      <c r="P172">
        <v>215</v>
      </c>
      <c r="Q172">
        <v>1138</v>
      </c>
      <c r="R172" s="18">
        <v>0.18892794376098418</v>
      </c>
    </row>
    <row r="173" spans="1:18" hidden="1" x14ac:dyDescent="0.3">
      <c r="A173">
        <v>689266</v>
      </c>
      <c r="B173" t="s">
        <v>35</v>
      </c>
      <c r="C173" t="s">
        <v>34</v>
      </c>
      <c r="D173">
        <v>28.4</v>
      </c>
      <c r="E173">
        <v>0.35099999999999998</v>
      </c>
      <c r="F173">
        <v>2063</v>
      </c>
      <c r="G173">
        <v>87.1</v>
      </c>
      <c r="H173">
        <v>6.48</v>
      </c>
      <c r="I173">
        <v>2.56833</v>
      </c>
      <c r="J173">
        <v>0.10947</v>
      </c>
      <c r="K173">
        <v>-1.1469999999999999E-2</v>
      </c>
      <c r="L173">
        <v>5.86</v>
      </c>
      <c r="M173">
        <v>2.5</v>
      </c>
      <c r="N173">
        <v>0.48199999999999998</v>
      </c>
      <c r="O173">
        <v>37.6</v>
      </c>
      <c r="P173">
        <v>323</v>
      </c>
      <c r="Q173">
        <v>1138</v>
      </c>
      <c r="R173" s="18">
        <v>0.28383128295254834</v>
      </c>
    </row>
    <row r="174" spans="1:18" hidden="1" x14ac:dyDescent="0.3">
      <c r="A174">
        <v>689266</v>
      </c>
      <c r="B174" t="s">
        <v>35</v>
      </c>
      <c r="C174" t="s">
        <v>18</v>
      </c>
      <c r="D174">
        <v>16.600000000000001</v>
      </c>
      <c r="E174">
        <v>0.22700000000000001</v>
      </c>
      <c r="F174">
        <v>2155</v>
      </c>
      <c r="G174">
        <v>93.88</v>
      </c>
      <c r="H174">
        <v>6.39</v>
      </c>
      <c r="I174">
        <v>1.2683599999999999</v>
      </c>
      <c r="J174">
        <v>0.95238</v>
      </c>
      <c r="K174">
        <v>-0.31111</v>
      </c>
      <c r="L174">
        <v>5.99</v>
      </c>
      <c r="M174">
        <v>2.2200000000000002</v>
      </c>
      <c r="N174">
        <v>0.35</v>
      </c>
      <c r="O174">
        <v>37.9</v>
      </c>
      <c r="P174">
        <v>189</v>
      </c>
      <c r="Q174">
        <v>1138</v>
      </c>
      <c r="R174" s="18">
        <v>0.16608084358523725</v>
      </c>
    </row>
    <row r="175" spans="1:18" hidden="1" x14ac:dyDescent="0.3">
      <c r="A175">
        <v>689266</v>
      </c>
      <c r="B175" t="s">
        <v>35</v>
      </c>
      <c r="C175" t="s">
        <v>37</v>
      </c>
      <c r="D175">
        <v>10.5</v>
      </c>
      <c r="E175">
        <v>0.35399999999999998</v>
      </c>
      <c r="F175">
        <v>1799</v>
      </c>
      <c r="G175">
        <v>83.87</v>
      </c>
      <c r="H175">
        <v>6.62</v>
      </c>
      <c r="I175">
        <v>2.4858799999999999</v>
      </c>
      <c r="J175">
        <v>0.90024999999999999</v>
      </c>
      <c r="K175">
        <v>-0.75538000000000005</v>
      </c>
      <c r="L175">
        <v>5.97</v>
      </c>
      <c r="M175">
        <v>2.25</v>
      </c>
      <c r="N175">
        <v>0.45600000000000002</v>
      </c>
      <c r="O175">
        <v>46</v>
      </c>
      <c r="P175">
        <v>119</v>
      </c>
      <c r="Q175">
        <v>1138</v>
      </c>
      <c r="R175" s="18">
        <v>0.10456942003514938</v>
      </c>
    </row>
    <row r="176" spans="1:18" hidden="1" x14ac:dyDescent="0.3">
      <c r="A176">
        <v>689266</v>
      </c>
      <c r="B176" t="s">
        <v>35</v>
      </c>
      <c r="C176" t="s">
        <v>16</v>
      </c>
      <c r="D176">
        <v>25.7</v>
      </c>
      <c r="E176">
        <v>0.439</v>
      </c>
      <c r="F176">
        <v>2199</v>
      </c>
      <c r="G176">
        <v>92.32</v>
      </c>
      <c r="H176">
        <v>6.42</v>
      </c>
      <c r="I176">
        <v>1.35791</v>
      </c>
      <c r="J176">
        <v>0.80945</v>
      </c>
      <c r="K176">
        <v>-0.50417999999999996</v>
      </c>
      <c r="L176">
        <v>6.2</v>
      </c>
      <c r="M176">
        <v>2.0499999999999998</v>
      </c>
      <c r="N176">
        <v>0.68200000000000005</v>
      </c>
      <c r="O176">
        <v>49.7</v>
      </c>
      <c r="P176">
        <v>292</v>
      </c>
      <c r="Q176">
        <v>1138</v>
      </c>
      <c r="R176" s="18">
        <v>0.25659050966608082</v>
      </c>
    </row>
    <row r="177" spans="1:18" hidden="1" x14ac:dyDescent="0.3">
      <c r="A177">
        <v>678226</v>
      </c>
      <c r="B177" t="s">
        <v>27</v>
      </c>
      <c r="C177" t="s">
        <v>20</v>
      </c>
      <c r="D177">
        <v>55.2</v>
      </c>
      <c r="E177">
        <v>0.30099999999999999</v>
      </c>
      <c r="F177">
        <v>2702</v>
      </c>
      <c r="G177">
        <v>88.49</v>
      </c>
      <c r="H177">
        <v>6.07</v>
      </c>
      <c r="I177">
        <v>2.8162799999999999</v>
      </c>
      <c r="J177">
        <v>-0.24637999999999999</v>
      </c>
      <c r="K177">
        <v>-2.1850000000000001E-2</v>
      </c>
      <c r="L177">
        <v>5.88</v>
      </c>
      <c r="M177">
        <v>-1.43</v>
      </c>
      <c r="N177">
        <v>0.32100000000000001</v>
      </c>
      <c r="O177">
        <v>39.799999999999997</v>
      </c>
      <c r="P177">
        <v>624</v>
      </c>
      <c r="Q177">
        <v>1130</v>
      </c>
      <c r="R177" s="18">
        <v>0.55221238938053097</v>
      </c>
    </row>
    <row r="178" spans="1:18" hidden="1" x14ac:dyDescent="0.3">
      <c r="A178">
        <v>678226</v>
      </c>
      <c r="B178" t="s">
        <v>27</v>
      </c>
      <c r="C178" t="s">
        <v>16</v>
      </c>
      <c r="D178">
        <v>44.2</v>
      </c>
      <c r="E178">
        <v>0.29499999999999998</v>
      </c>
      <c r="F178">
        <v>2337</v>
      </c>
      <c r="G178">
        <v>97.19</v>
      </c>
      <c r="H178">
        <v>6.19</v>
      </c>
      <c r="I178">
        <v>1.0528599999999999</v>
      </c>
      <c r="J178">
        <v>0.74624000000000001</v>
      </c>
      <c r="K178">
        <v>3.5479999999999998E-2</v>
      </c>
      <c r="L178">
        <v>5.91</v>
      </c>
      <c r="M178">
        <v>-1.22</v>
      </c>
      <c r="N178">
        <v>0.28899999999999998</v>
      </c>
      <c r="O178">
        <v>42</v>
      </c>
      <c r="P178">
        <v>500</v>
      </c>
      <c r="Q178">
        <v>1130</v>
      </c>
      <c r="R178" s="18">
        <v>0.44247787610619471</v>
      </c>
    </row>
    <row r="179" spans="1:18" hidden="1" x14ac:dyDescent="0.3">
      <c r="A179">
        <v>678226</v>
      </c>
      <c r="B179" t="s">
        <v>27</v>
      </c>
      <c r="C179" t="s">
        <v>18</v>
      </c>
      <c r="D179">
        <v>0.5</v>
      </c>
      <c r="E179">
        <v>0.61899999999999999</v>
      </c>
      <c r="F179">
        <v>2426</v>
      </c>
      <c r="G179">
        <v>97.8</v>
      </c>
      <c r="H179">
        <v>6.33</v>
      </c>
      <c r="I179">
        <v>1.1033299999999999</v>
      </c>
      <c r="J179">
        <v>1.16333</v>
      </c>
      <c r="K179">
        <v>-0.36332999999999999</v>
      </c>
      <c r="L179">
        <v>5.73</v>
      </c>
      <c r="M179">
        <v>-1.1299999999999999</v>
      </c>
      <c r="N179">
        <v>1.2050000000000001</v>
      </c>
      <c r="O179">
        <v>40.5</v>
      </c>
      <c r="P179">
        <v>6</v>
      </c>
      <c r="Q179">
        <v>1130</v>
      </c>
      <c r="R179" s="18">
        <v>5.3097345132743362E-3</v>
      </c>
    </row>
    <row r="180" spans="1:18" hidden="1" x14ac:dyDescent="0.3">
      <c r="A180">
        <v>572888</v>
      </c>
      <c r="B180" t="s">
        <v>108</v>
      </c>
      <c r="C180" t="s">
        <v>16</v>
      </c>
      <c r="D180">
        <v>0.7</v>
      </c>
      <c r="E180">
        <v>6.9000000000000006E-2</v>
      </c>
      <c r="F180">
        <v>2288</v>
      </c>
      <c r="G180">
        <v>92.34</v>
      </c>
      <c r="H180">
        <v>5.64</v>
      </c>
      <c r="I180">
        <v>1.4076900000000001</v>
      </c>
      <c r="J180">
        <v>0.62922999999999996</v>
      </c>
      <c r="K180">
        <v>0.12154</v>
      </c>
      <c r="L180">
        <v>6.2</v>
      </c>
      <c r="M180">
        <v>-1.58</v>
      </c>
      <c r="N180">
        <v>7.1999999999999995E-2</v>
      </c>
      <c r="O180">
        <v>35.9</v>
      </c>
      <c r="P180">
        <v>13</v>
      </c>
      <c r="Q180">
        <v>1116</v>
      </c>
      <c r="R180" s="18">
        <v>1.1648745519713262E-2</v>
      </c>
    </row>
    <row r="181" spans="1:18" hidden="1" x14ac:dyDescent="0.3">
      <c r="A181">
        <v>572888</v>
      </c>
      <c r="B181" t="s">
        <v>108</v>
      </c>
      <c r="C181" t="s">
        <v>34</v>
      </c>
      <c r="D181">
        <v>17</v>
      </c>
      <c r="E181">
        <v>0.35699999999999998</v>
      </c>
      <c r="F181">
        <v>2458</v>
      </c>
      <c r="G181">
        <v>86.55</v>
      </c>
      <c r="H181">
        <v>5.47</v>
      </c>
      <c r="I181">
        <v>2.31006</v>
      </c>
      <c r="J181">
        <v>-0.43935000000000002</v>
      </c>
      <c r="K181">
        <v>-4.7620000000000003E-2</v>
      </c>
      <c r="L181">
        <v>6.02</v>
      </c>
      <c r="M181">
        <v>-1.9</v>
      </c>
      <c r="N181">
        <v>0.45900000000000002</v>
      </c>
      <c r="O181">
        <v>31.1</v>
      </c>
      <c r="P181">
        <v>325</v>
      </c>
      <c r="Q181">
        <v>1116</v>
      </c>
      <c r="R181" s="18">
        <v>0.29121863799283154</v>
      </c>
    </row>
    <row r="182" spans="1:18" hidden="1" x14ac:dyDescent="0.3">
      <c r="A182">
        <v>572888</v>
      </c>
      <c r="B182" t="s">
        <v>108</v>
      </c>
      <c r="C182" t="s">
        <v>40</v>
      </c>
      <c r="D182">
        <v>13.8</v>
      </c>
      <c r="E182">
        <v>0.248</v>
      </c>
      <c r="F182">
        <v>2558</v>
      </c>
      <c r="G182">
        <v>79.25</v>
      </c>
      <c r="H182">
        <v>5.38</v>
      </c>
      <c r="I182">
        <v>3.2769599999999999</v>
      </c>
      <c r="J182">
        <v>-1.2419800000000001</v>
      </c>
      <c r="K182">
        <v>-0.96631</v>
      </c>
      <c r="L182">
        <v>5.94</v>
      </c>
      <c r="M182">
        <v>-1.9</v>
      </c>
      <c r="N182">
        <v>0.34300000000000003</v>
      </c>
      <c r="O182">
        <v>30.2</v>
      </c>
      <c r="P182">
        <v>263</v>
      </c>
      <c r="Q182">
        <v>1116</v>
      </c>
      <c r="R182" s="18">
        <v>0.23566308243727599</v>
      </c>
    </row>
    <row r="183" spans="1:18" hidden="1" x14ac:dyDescent="0.3">
      <c r="A183">
        <v>572888</v>
      </c>
      <c r="B183" t="s">
        <v>108</v>
      </c>
      <c r="C183" t="s">
        <v>37</v>
      </c>
      <c r="D183">
        <v>3.7</v>
      </c>
      <c r="E183">
        <v>0.24</v>
      </c>
      <c r="F183">
        <v>1568</v>
      </c>
      <c r="G183">
        <v>85</v>
      </c>
      <c r="H183">
        <v>5.61</v>
      </c>
      <c r="I183">
        <v>3.0854300000000001</v>
      </c>
      <c r="J183">
        <v>1.0921400000000001</v>
      </c>
      <c r="K183">
        <v>-0.79500000000000004</v>
      </c>
      <c r="L183">
        <v>5.94</v>
      </c>
      <c r="M183">
        <v>-1.9</v>
      </c>
      <c r="N183">
        <v>0.26500000000000001</v>
      </c>
      <c r="O183">
        <v>28.7</v>
      </c>
      <c r="P183">
        <v>70</v>
      </c>
      <c r="Q183">
        <v>1116</v>
      </c>
      <c r="R183" s="18">
        <v>6.2724014336917558E-2</v>
      </c>
    </row>
    <row r="184" spans="1:18" hidden="1" x14ac:dyDescent="0.3">
      <c r="A184">
        <v>572888</v>
      </c>
      <c r="B184" t="s">
        <v>108</v>
      </c>
      <c r="C184" t="s">
        <v>18</v>
      </c>
      <c r="D184">
        <v>23.3</v>
      </c>
      <c r="E184">
        <v>0.34899999999999998</v>
      </c>
      <c r="F184">
        <v>2131</v>
      </c>
      <c r="G184">
        <v>91.1</v>
      </c>
      <c r="H184">
        <v>5.59</v>
      </c>
      <c r="I184">
        <v>1.99993</v>
      </c>
      <c r="J184">
        <v>1.32297</v>
      </c>
      <c r="K184">
        <v>0.28889999999999999</v>
      </c>
      <c r="L184">
        <v>6.1</v>
      </c>
      <c r="M184">
        <v>-1.69</v>
      </c>
      <c r="N184">
        <v>0.44600000000000001</v>
      </c>
      <c r="O184">
        <v>33.4</v>
      </c>
      <c r="P184">
        <v>445</v>
      </c>
      <c r="Q184">
        <v>1116</v>
      </c>
      <c r="R184" s="18">
        <v>0.39874551971326166</v>
      </c>
    </row>
    <row r="185" spans="1:18" hidden="1" x14ac:dyDescent="0.3">
      <c r="A185">
        <v>657097</v>
      </c>
      <c r="B185" t="s">
        <v>109</v>
      </c>
      <c r="C185" t="s">
        <v>37</v>
      </c>
      <c r="D185">
        <v>9.3000000000000007</v>
      </c>
      <c r="E185">
        <v>0.249</v>
      </c>
      <c r="F185">
        <v>2265</v>
      </c>
      <c r="G185">
        <v>83.38</v>
      </c>
      <c r="H185">
        <v>6.08</v>
      </c>
      <c r="I185">
        <v>2.5855100000000002</v>
      </c>
      <c r="J185">
        <v>1.43546</v>
      </c>
      <c r="K185">
        <v>9.1120000000000007E-2</v>
      </c>
      <c r="L185">
        <v>5.62</v>
      </c>
      <c r="M185">
        <v>-1.59</v>
      </c>
      <c r="N185">
        <v>0.30199999999999999</v>
      </c>
      <c r="O185">
        <v>37.299999999999997</v>
      </c>
      <c r="P185">
        <v>383</v>
      </c>
      <c r="Q185">
        <v>1068</v>
      </c>
      <c r="R185" s="18">
        <v>0.35861423220973782</v>
      </c>
    </row>
    <row r="186" spans="1:18" hidden="1" x14ac:dyDescent="0.3">
      <c r="A186">
        <v>657097</v>
      </c>
      <c r="B186" t="s">
        <v>109</v>
      </c>
      <c r="C186" t="s">
        <v>23</v>
      </c>
      <c r="D186">
        <v>1.3</v>
      </c>
      <c r="E186">
        <v>0.23400000000000001</v>
      </c>
      <c r="F186">
        <v>2599</v>
      </c>
      <c r="G186">
        <v>80.58</v>
      </c>
      <c r="H186">
        <v>5.99</v>
      </c>
      <c r="I186">
        <v>4.53</v>
      </c>
      <c r="J186">
        <v>-0.49717</v>
      </c>
      <c r="K186">
        <v>9.3999999999999997E-4</v>
      </c>
      <c r="L186">
        <v>5.65</v>
      </c>
      <c r="M186">
        <v>-1.81</v>
      </c>
      <c r="N186">
        <v>0.27200000000000002</v>
      </c>
      <c r="O186">
        <v>39.6</v>
      </c>
      <c r="P186">
        <v>53</v>
      </c>
      <c r="Q186">
        <v>1068</v>
      </c>
      <c r="R186" s="18">
        <v>4.9625468164794011E-2</v>
      </c>
    </row>
    <row r="187" spans="1:18" hidden="1" x14ac:dyDescent="0.3">
      <c r="A187">
        <v>657097</v>
      </c>
      <c r="B187" t="s">
        <v>109</v>
      </c>
      <c r="C187" t="s">
        <v>16</v>
      </c>
      <c r="D187">
        <v>15.4</v>
      </c>
      <c r="E187">
        <v>0.312</v>
      </c>
      <c r="F187">
        <v>2434</v>
      </c>
      <c r="G187">
        <v>93.93</v>
      </c>
      <c r="H187">
        <v>6.02</v>
      </c>
      <c r="I187">
        <v>1.23597</v>
      </c>
      <c r="J187">
        <v>1.0561100000000001</v>
      </c>
      <c r="K187">
        <v>0.23952999999999999</v>
      </c>
      <c r="L187">
        <v>5.49</v>
      </c>
      <c r="M187">
        <v>-1.53</v>
      </c>
      <c r="N187">
        <v>0.40500000000000003</v>
      </c>
      <c r="O187">
        <v>36.1</v>
      </c>
      <c r="P187">
        <v>632</v>
      </c>
      <c r="Q187">
        <v>1068</v>
      </c>
      <c r="R187" s="18">
        <v>0.59176029962546817</v>
      </c>
    </row>
    <row r="188" spans="1:18" hidden="1" x14ac:dyDescent="0.3">
      <c r="A188">
        <v>445276</v>
      </c>
      <c r="B188" t="s">
        <v>110</v>
      </c>
      <c r="C188" t="s">
        <v>34</v>
      </c>
      <c r="D188">
        <v>11</v>
      </c>
      <c r="E188">
        <v>0.23</v>
      </c>
      <c r="F188">
        <v>2564</v>
      </c>
      <c r="G188">
        <v>93.29</v>
      </c>
      <c r="H188">
        <v>6.89</v>
      </c>
      <c r="I188">
        <v>1.3121400000000001</v>
      </c>
      <c r="J188">
        <v>-0.69498000000000004</v>
      </c>
      <c r="K188">
        <v>-0.14155999999999999</v>
      </c>
      <c r="L188">
        <v>6.72</v>
      </c>
      <c r="M188">
        <v>-1.2</v>
      </c>
      <c r="N188">
        <v>0.25600000000000001</v>
      </c>
      <c r="O188">
        <v>71.5</v>
      </c>
      <c r="P188">
        <v>654</v>
      </c>
      <c r="Q188">
        <v>1006</v>
      </c>
      <c r="R188" s="18">
        <v>0.6500994035785288</v>
      </c>
    </row>
    <row r="189" spans="1:18" hidden="1" x14ac:dyDescent="0.3">
      <c r="A189">
        <v>445276</v>
      </c>
      <c r="B189" t="s">
        <v>110</v>
      </c>
      <c r="C189" t="s">
        <v>20</v>
      </c>
      <c r="D189">
        <v>2.2000000000000002</v>
      </c>
      <c r="E189">
        <v>0.24299999999999999</v>
      </c>
      <c r="F189">
        <v>2459</v>
      </c>
      <c r="G189">
        <v>82.17</v>
      </c>
      <c r="H189">
        <v>6.82</v>
      </c>
      <c r="I189">
        <v>3.9487100000000002</v>
      </c>
      <c r="J189">
        <v>-0.38552999999999998</v>
      </c>
      <c r="K189">
        <v>-4.3409999999999997E-2</v>
      </c>
      <c r="L189">
        <v>6.65</v>
      </c>
      <c r="M189">
        <v>-1.38</v>
      </c>
      <c r="N189">
        <v>0.36299999999999999</v>
      </c>
      <c r="O189">
        <v>70.3</v>
      </c>
      <c r="P189">
        <v>132</v>
      </c>
      <c r="Q189">
        <v>1006</v>
      </c>
      <c r="R189" s="18">
        <v>0.1312127236580517</v>
      </c>
    </row>
    <row r="190" spans="1:18" hidden="1" x14ac:dyDescent="0.3">
      <c r="A190">
        <v>445276</v>
      </c>
      <c r="B190" t="s">
        <v>110</v>
      </c>
      <c r="C190" t="s">
        <v>18</v>
      </c>
      <c r="D190">
        <v>3.7</v>
      </c>
      <c r="E190">
        <v>0.28699999999999998</v>
      </c>
      <c r="F190">
        <v>2232</v>
      </c>
      <c r="G190">
        <v>94.97</v>
      </c>
      <c r="H190">
        <v>7.03</v>
      </c>
      <c r="I190">
        <v>0.98141</v>
      </c>
      <c r="J190">
        <v>0.38832</v>
      </c>
      <c r="K190">
        <v>-0.21332000000000001</v>
      </c>
      <c r="L190">
        <v>6.66</v>
      </c>
      <c r="M190">
        <v>-1.02</v>
      </c>
      <c r="N190">
        <v>0.41599999999999998</v>
      </c>
      <c r="O190">
        <v>72.400000000000006</v>
      </c>
      <c r="P190">
        <v>220</v>
      </c>
      <c r="Q190">
        <v>1006</v>
      </c>
      <c r="R190" s="18">
        <v>0.21868787276341947</v>
      </c>
    </row>
    <row r="191" spans="1:18" hidden="1" x14ac:dyDescent="0.3">
      <c r="A191">
        <v>694462</v>
      </c>
      <c r="B191" t="s">
        <v>36</v>
      </c>
      <c r="C191" t="s">
        <v>33</v>
      </c>
      <c r="D191">
        <v>32.6</v>
      </c>
      <c r="E191">
        <v>0.23699999999999999</v>
      </c>
      <c r="F191">
        <v>752</v>
      </c>
      <c r="G191">
        <v>86.92</v>
      </c>
      <c r="H191">
        <v>6.41</v>
      </c>
      <c r="I191">
        <v>2.8633600000000001</v>
      </c>
      <c r="J191">
        <v>0.54395000000000004</v>
      </c>
      <c r="K191">
        <v>-0.20809</v>
      </c>
      <c r="L191">
        <v>6.21</v>
      </c>
      <c r="M191">
        <v>-0.82</v>
      </c>
      <c r="N191">
        <v>0.255</v>
      </c>
      <c r="O191">
        <v>55.5</v>
      </c>
      <c r="P191">
        <v>324</v>
      </c>
      <c r="Q191">
        <v>995</v>
      </c>
      <c r="R191" s="18">
        <v>0.32562814070351759</v>
      </c>
    </row>
    <row r="192" spans="1:18" hidden="1" x14ac:dyDescent="0.3">
      <c r="A192">
        <v>694462</v>
      </c>
      <c r="B192" t="s">
        <v>36</v>
      </c>
      <c r="C192" t="s">
        <v>18</v>
      </c>
      <c r="D192">
        <v>16.3</v>
      </c>
      <c r="E192">
        <v>0.32800000000000001</v>
      </c>
      <c r="F192">
        <v>2181</v>
      </c>
      <c r="G192">
        <v>95.88</v>
      </c>
      <c r="H192">
        <v>6.27</v>
      </c>
      <c r="I192">
        <v>1.5704899999999999</v>
      </c>
      <c r="J192">
        <v>1.05525</v>
      </c>
      <c r="K192">
        <v>-0.26722000000000001</v>
      </c>
      <c r="L192">
        <v>6.27</v>
      </c>
      <c r="M192">
        <v>-0.73</v>
      </c>
      <c r="N192">
        <v>0.36299999999999999</v>
      </c>
      <c r="O192">
        <v>56.1</v>
      </c>
      <c r="P192">
        <v>162</v>
      </c>
      <c r="Q192">
        <v>995</v>
      </c>
      <c r="R192" s="18">
        <v>0.16281407035175879</v>
      </c>
    </row>
    <row r="193" spans="1:18" hidden="1" x14ac:dyDescent="0.3">
      <c r="A193">
        <v>694462</v>
      </c>
      <c r="B193" t="s">
        <v>36</v>
      </c>
      <c r="C193" t="s">
        <v>23</v>
      </c>
      <c r="D193">
        <v>11.9</v>
      </c>
      <c r="E193">
        <v>0.18099999999999999</v>
      </c>
      <c r="F193">
        <v>2296</v>
      </c>
      <c r="G193">
        <v>82.4</v>
      </c>
      <c r="H193">
        <v>6.22</v>
      </c>
      <c r="I193">
        <v>4.4255899999999997</v>
      </c>
      <c r="J193">
        <v>-0.58643999999999996</v>
      </c>
      <c r="K193">
        <v>0.24881</v>
      </c>
      <c r="L193">
        <v>6.22</v>
      </c>
      <c r="M193">
        <v>-0.96</v>
      </c>
      <c r="N193">
        <v>0.184</v>
      </c>
      <c r="O193">
        <v>55.9</v>
      </c>
      <c r="P193">
        <v>118</v>
      </c>
      <c r="Q193">
        <v>995</v>
      </c>
      <c r="R193" s="18">
        <v>0.1185929648241206</v>
      </c>
    </row>
    <row r="194" spans="1:18" hidden="1" x14ac:dyDescent="0.3">
      <c r="A194">
        <v>694462</v>
      </c>
      <c r="B194" t="s">
        <v>36</v>
      </c>
      <c r="C194" t="s">
        <v>20</v>
      </c>
      <c r="D194">
        <v>13.1</v>
      </c>
      <c r="E194">
        <v>0.38900000000000001</v>
      </c>
      <c r="F194">
        <v>2236</v>
      </c>
      <c r="G194">
        <v>87.57</v>
      </c>
      <c r="H194">
        <v>6.41</v>
      </c>
      <c r="I194">
        <v>3.0398499999999999</v>
      </c>
      <c r="J194">
        <v>-0.15508</v>
      </c>
      <c r="K194">
        <v>-5.4620000000000002E-2</v>
      </c>
      <c r="L194">
        <v>6.18</v>
      </c>
      <c r="M194">
        <v>-0.96</v>
      </c>
      <c r="N194">
        <v>0.45100000000000001</v>
      </c>
      <c r="O194">
        <v>55.3</v>
      </c>
      <c r="P194">
        <v>130</v>
      </c>
      <c r="Q194">
        <v>995</v>
      </c>
      <c r="R194" s="18">
        <v>0.1306532663316583</v>
      </c>
    </row>
    <row r="195" spans="1:18" hidden="1" x14ac:dyDescent="0.3">
      <c r="A195">
        <v>694462</v>
      </c>
      <c r="B195" t="s">
        <v>36</v>
      </c>
      <c r="C195" t="s">
        <v>16</v>
      </c>
      <c r="D195">
        <v>7.3</v>
      </c>
      <c r="E195">
        <v>0.39800000000000002</v>
      </c>
      <c r="F195">
        <v>2172</v>
      </c>
      <c r="G195">
        <v>96.16</v>
      </c>
      <c r="H195">
        <v>6.4</v>
      </c>
      <c r="I195">
        <v>1.3213699999999999</v>
      </c>
      <c r="J195">
        <v>0.33849000000000001</v>
      </c>
      <c r="K195">
        <v>-2.8080000000000001E-2</v>
      </c>
      <c r="L195">
        <v>6.34</v>
      </c>
      <c r="M195">
        <v>-1.03</v>
      </c>
      <c r="N195">
        <v>0.44500000000000001</v>
      </c>
      <c r="O195">
        <v>55.9</v>
      </c>
      <c r="P195">
        <v>73</v>
      </c>
      <c r="Q195">
        <v>995</v>
      </c>
      <c r="R195" s="18">
        <v>7.3366834170854267E-2</v>
      </c>
    </row>
    <row r="196" spans="1:18" hidden="1" x14ac:dyDescent="0.3">
      <c r="A196">
        <v>694462</v>
      </c>
      <c r="B196" t="s">
        <v>36</v>
      </c>
      <c r="C196" t="s">
        <v>34</v>
      </c>
      <c r="D196">
        <v>18.899999999999999</v>
      </c>
      <c r="E196">
        <v>0.442</v>
      </c>
      <c r="F196">
        <v>2287</v>
      </c>
      <c r="G196">
        <v>93.54</v>
      </c>
      <c r="H196">
        <v>6.32</v>
      </c>
      <c r="I196">
        <v>1.84484</v>
      </c>
      <c r="J196">
        <v>-0.10059999999999999</v>
      </c>
      <c r="K196">
        <v>-7.5500000000000003E-3</v>
      </c>
      <c r="L196">
        <v>6.21</v>
      </c>
      <c r="M196">
        <v>-0.86</v>
      </c>
      <c r="N196">
        <v>0.58399999999999996</v>
      </c>
      <c r="O196">
        <v>55.3</v>
      </c>
      <c r="P196">
        <v>188</v>
      </c>
      <c r="Q196">
        <v>995</v>
      </c>
      <c r="R196" s="18">
        <v>0.18894472361809045</v>
      </c>
    </row>
    <row r="197" spans="1:18" hidden="1" x14ac:dyDescent="0.3">
      <c r="A197">
        <v>594795</v>
      </c>
      <c r="B197" t="s">
        <v>111</v>
      </c>
      <c r="C197" t="s">
        <v>37</v>
      </c>
      <c r="D197">
        <v>0.2</v>
      </c>
      <c r="F197">
        <v>1904</v>
      </c>
      <c r="G197">
        <v>83.35</v>
      </c>
      <c r="H197">
        <v>6.65</v>
      </c>
      <c r="I197">
        <v>2.395</v>
      </c>
      <c r="J197">
        <v>1.01</v>
      </c>
      <c r="K197">
        <v>-1.01</v>
      </c>
      <c r="L197">
        <v>5.5</v>
      </c>
      <c r="M197">
        <v>3.34</v>
      </c>
      <c r="O197">
        <v>39.200000000000003</v>
      </c>
      <c r="P197">
        <v>2</v>
      </c>
      <c r="Q197">
        <v>923</v>
      </c>
      <c r="R197" s="18">
        <v>2.1668472372697724E-3</v>
      </c>
    </row>
    <row r="198" spans="1:18" hidden="1" x14ac:dyDescent="0.3">
      <c r="A198">
        <v>594795</v>
      </c>
      <c r="B198" t="s">
        <v>111</v>
      </c>
      <c r="C198" t="s">
        <v>23</v>
      </c>
      <c r="D198">
        <v>33.299999999999997</v>
      </c>
      <c r="E198">
        <v>0.28699999999999998</v>
      </c>
      <c r="F198">
        <v>2411</v>
      </c>
      <c r="G198">
        <v>76.13</v>
      </c>
      <c r="H198">
        <v>6.36</v>
      </c>
      <c r="I198">
        <v>4.9944600000000001</v>
      </c>
      <c r="J198">
        <v>-0.44441000000000003</v>
      </c>
      <c r="K198">
        <v>0.12645000000000001</v>
      </c>
      <c r="L198">
        <v>5.58</v>
      </c>
      <c r="M198">
        <v>3.3</v>
      </c>
      <c r="N198">
        <v>0.39400000000000002</v>
      </c>
      <c r="O198">
        <v>41.6</v>
      </c>
      <c r="P198">
        <v>314</v>
      </c>
      <c r="Q198">
        <v>923</v>
      </c>
      <c r="R198" s="18">
        <v>0.34019501625135429</v>
      </c>
    </row>
    <row r="199" spans="1:18" hidden="1" x14ac:dyDescent="0.3">
      <c r="A199">
        <v>594795</v>
      </c>
      <c r="B199" t="s">
        <v>111</v>
      </c>
      <c r="C199" t="s">
        <v>18</v>
      </c>
      <c r="D199">
        <v>1.7</v>
      </c>
      <c r="E199">
        <v>5.2999999999999999E-2</v>
      </c>
      <c r="F199">
        <v>2316</v>
      </c>
      <c r="G199">
        <v>90.14</v>
      </c>
      <c r="H199">
        <v>6.61</v>
      </c>
      <c r="I199">
        <v>1.2775000000000001</v>
      </c>
      <c r="J199">
        <v>1.0793699999999999</v>
      </c>
      <c r="K199">
        <v>-0.80311999999999995</v>
      </c>
      <c r="L199">
        <v>5.54</v>
      </c>
      <c r="M199">
        <v>3.37</v>
      </c>
      <c r="N199">
        <v>4.7E-2</v>
      </c>
      <c r="O199">
        <v>38.1</v>
      </c>
      <c r="P199">
        <v>16</v>
      </c>
      <c r="Q199">
        <v>923</v>
      </c>
      <c r="R199" s="18">
        <v>1.7334777898158179E-2</v>
      </c>
    </row>
    <row r="200" spans="1:18" hidden="1" x14ac:dyDescent="0.3">
      <c r="A200">
        <v>594795</v>
      </c>
      <c r="B200" t="s">
        <v>111</v>
      </c>
      <c r="C200" t="s">
        <v>16</v>
      </c>
      <c r="D200">
        <v>62.6</v>
      </c>
      <c r="E200">
        <v>0.32200000000000001</v>
      </c>
      <c r="F200">
        <v>2222</v>
      </c>
      <c r="G200">
        <v>90.88</v>
      </c>
      <c r="H200">
        <v>6.42</v>
      </c>
      <c r="I200">
        <v>1.27782</v>
      </c>
      <c r="J200">
        <v>0.65497000000000005</v>
      </c>
      <c r="K200">
        <v>-0.26289000000000001</v>
      </c>
      <c r="L200">
        <v>5.64</v>
      </c>
      <c r="M200">
        <v>3.28</v>
      </c>
      <c r="N200">
        <v>0.44700000000000001</v>
      </c>
      <c r="O200">
        <v>40.6</v>
      </c>
      <c r="P200">
        <v>591</v>
      </c>
      <c r="Q200">
        <v>923</v>
      </c>
      <c r="R200" s="18">
        <v>0.64030335861321774</v>
      </c>
    </row>
    <row r="201" spans="1:18" hidden="1" x14ac:dyDescent="0.3">
      <c r="A201">
        <v>666205</v>
      </c>
      <c r="B201" t="s">
        <v>112</v>
      </c>
      <c r="C201" t="s">
        <v>18</v>
      </c>
      <c r="D201">
        <v>0.2</v>
      </c>
      <c r="E201">
        <v>0.34599999999999997</v>
      </c>
      <c r="F201">
        <v>2453</v>
      </c>
      <c r="G201">
        <v>93.56</v>
      </c>
      <c r="H201">
        <v>6.21</v>
      </c>
      <c r="I201">
        <v>1.36429</v>
      </c>
      <c r="J201">
        <v>0.99714000000000003</v>
      </c>
      <c r="K201">
        <v>-0.99714000000000003</v>
      </c>
      <c r="L201">
        <v>6.37</v>
      </c>
      <c r="M201">
        <v>1.72</v>
      </c>
      <c r="N201">
        <v>1E-3</v>
      </c>
      <c r="O201">
        <v>38.200000000000003</v>
      </c>
      <c r="P201">
        <v>7</v>
      </c>
      <c r="Q201">
        <v>910</v>
      </c>
      <c r="R201" s="18">
        <v>7.6923076923076927E-3</v>
      </c>
    </row>
    <row r="202" spans="1:18" hidden="1" x14ac:dyDescent="0.3">
      <c r="A202">
        <v>666205</v>
      </c>
      <c r="B202" t="s">
        <v>112</v>
      </c>
      <c r="C202" t="s">
        <v>16</v>
      </c>
      <c r="D202">
        <v>12.6</v>
      </c>
      <c r="E202">
        <v>0.30599999999999999</v>
      </c>
      <c r="F202">
        <v>2420</v>
      </c>
      <c r="G202">
        <v>93.84</v>
      </c>
      <c r="H202">
        <v>6.33</v>
      </c>
      <c r="I202">
        <v>1.3634999999999999</v>
      </c>
      <c r="J202">
        <v>0.51319000000000004</v>
      </c>
      <c r="K202">
        <v>-0.36403999999999997</v>
      </c>
      <c r="L202">
        <v>6.28</v>
      </c>
      <c r="M202">
        <v>1.55</v>
      </c>
      <c r="N202">
        <v>0.34599999999999997</v>
      </c>
      <c r="O202">
        <v>38.700000000000003</v>
      </c>
      <c r="P202">
        <v>389</v>
      </c>
      <c r="Q202">
        <v>910</v>
      </c>
      <c r="R202" s="18">
        <v>0.42747252747252745</v>
      </c>
    </row>
    <row r="203" spans="1:18" hidden="1" x14ac:dyDescent="0.3">
      <c r="A203">
        <v>666205</v>
      </c>
      <c r="B203" t="s">
        <v>112</v>
      </c>
      <c r="C203" t="s">
        <v>20</v>
      </c>
      <c r="D203">
        <v>9.5</v>
      </c>
      <c r="E203">
        <v>0.32</v>
      </c>
      <c r="F203">
        <v>2084</v>
      </c>
      <c r="G203">
        <v>86.57</v>
      </c>
      <c r="H203">
        <v>6.24</v>
      </c>
      <c r="I203">
        <v>2.7384599999999999</v>
      </c>
      <c r="J203">
        <v>-6.0249999999999998E-2</v>
      </c>
      <c r="K203">
        <v>0.01</v>
      </c>
      <c r="L203">
        <v>6.27</v>
      </c>
      <c r="M203">
        <v>1.59</v>
      </c>
      <c r="N203">
        <v>0.371</v>
      </c>
      <c r="O203">
        <v>38.700000000000003</v>
      </c>
      <c r="P203">
        <v>292</v>
      </c>
      <c r="Q203">
        <v>910</v>
      </c>
      <c r="R203" s="18">
        <v>0.3208791208791209</v>
      </c>
    </row>
    <row r="204" spans="1:18" hidden="1" x14ac:dyDescent="0.3">
      <c r="A204">
        <v>666205</v>
      </c>
      <c r="B204" t="s">
        <v>112</v>
      </c>
      <c r="C204" t="s">
        <v>23</v>
      </c>
      <c r="D204">
        <v>6</v>
      </c>
      <c r="E204">
        <v>0.30599999999999999</v>
      </c>
      <c r="F204">
        <v>2427</v>
      </c>
      <c r="G204">
        <v>80.3</v>
      </c>
      <c r="H204">
        <v>6.15</v>
      </c>
      <c r="I204">
        <v>4.3814000000000002</v>
      </c>
      <c r="J204">
        <v>-0.51015999999999995</v>
      </c>
      <c r="K204">
        <v>0.34166999999999997</v>
      </c>
      <c r="L204">
        <v>6.41</v>
      </c>
      <c r="M204">
        <v>1.55</v>
      </c>
      <c r="N204">
        <v>0.40600000000000003</v>
      </c>
      <c r="O204">
        <v>41.7</v>
      </c>
      <c r="P204">
        <v>186</v>
      </c>
      <c r="Q204">
        <v>910</v>
      </c>
      <c r="R204" s="18">
        <v>0.20439560439560439</v>
      </c>
    </row>
    <row r="205" spans="1:18" hidden="1" x14ac:dyDescent="0.3">
      <c r="A205">
        <v>666205</v>
      </c>
      <c r="B205" t="s">
        <v>112</v>
      </c>
      <c r="C205" t="s">
        <v>37</v>
      </c>
      <c r="D205">
        <v>1.2</v>
      </c>
      <c r="E205">
        <v>0.94599999999999995</v>
      </c>
      <c r="F205">
        <v>1639</v>
      </c>
      <c r="G205">
        <v>88.19</v>
      </c>
      <c r="H205">
        <v>6.38</v>
      </c>
      <c r="I205">
        <v>2.5097200000000002</v>
      </c>
      <c r="J205">
        <v>1.2008300000000001</v>
      </c>
      <c r="K205">
        <v>-1.2008300000000001</v>
      </c>
      <c r="L205">
        <v>6.22</v>
      </c>
      <c r="M205">
        <v>1.59</v>
      </c>
      <c r="N205">
        <v>1.679</v>
      </c>
      <c r="O205">
        <v>36.6</v>
      </c>
      <c r="P205">
        <v>36</v>
      </c>
      <c r="Q205">
        <v>910</v>
      </c>
      <c r="R205" s="18">
        <v>3.9560439560439559E-2</v>
      </c>
    </row>
    <row r="206" spans="1:18" hidden="1" x14ac:dyDescent="0.3">
      <c r="A206">
        <v>694363</v>
      </c>
      <c r="B206" t="s">
        <v>113</v>
      </c>
      <c r="C206" t="s">
        <v>37</v>
      </c>
      <c r="D206">
        <v>8.1999999999999993</v>
      </c>
      <c r="E206">
        <v>0.34799999999999998</v>
      </c>
      <c r="F206">
        <v>1513</v>
      </c>
      <c r="G206">
        <v>83.05</v>
      </c>
      <c r="H206">
        <v>6.7</v>
      </c>
      <c r="I206">
        <v>2.5181900000000002</v>
      </c>
      <c r="J206">
        <v>0.82743999999999995</v>
      </c>
      <c r="K206">
        <v>-0.75819000000000003</v>
      </c>
      <c r="L206">
        <v>5.67</v>
      </c>
      <c r="M206">
        <v>0.77</v>
      </c>
      <c r="N206">
        <v>0.434</v>
      </c>
      <c r="O206">
        <v>47.1</v>
      </c>
      <c r="P206">
        <v>199</v>
      </c>
      <c r="Q206">
        <v>864</v>
      </c>
      <c r="R206" s="18">
        <v>0.23032407407407407</v>
      </c>
    </row>
    <row r="207" spans="1:18" hidden="1" x14ac:dyDescent="0.3">
      <c r="A207">
        <v>694363</v>
      </c>
      <c r="B207" t="s">
        <v>113</v>
      </c>
      <c r="C207" t="s">
        <v>20</v>
      </c>
      <c r="D207">
        <v>11.7</v>
      </c>
      <c r="E207">
        <v>0.29199999999999998</v>
      </c>
      <c r="F207">
        <v>2200</v>
      </c>
      <c r="G207">
        <v>85.94</v>
      </c>
      <c r="H207">
        <v>6.66</v>
      </c>
      <c r="I207">
        <v>2.6864400000000002</v>
      </c>
      <c r="J207">
        <v>-0.22273999999999999</v>
      </c>
      <c r="K207">
        <v>5.1920000000000001E-2</v>
      </c>
      <c r="L207">
        <v>5.65</v>
      </c>
      <c r="M207">
        <v>0.85</v>
      </c>
      <c r="N207">
        <v>0.41</v>
      </c>
      <c r="O207">
        <v>45.2</v>
      </c>
      <c r="P207">
        <v>284</v>
      </c>
      <c r="Q207">
        <v>864</v>
      </c>
      <c r="R207" s="18">
        <v>0.32870370370370372</v>
      </c>
    </row>
    <row r="208" spans="1:18" hidden="1" x14ac:dyDescent="0.3">
      <c r="A208">
        <v>694363</v>
      </c>
      <c r="B208" t="s">
        <v>113</v>
      </c>
      <c r="C208" t="s">
        <v>16</v>
      </c>
      <c r="D208">
        <v>15.6</v>
      </c>
      <c r="E208">
        <v>0.39400000000000002</v>
      </c>
      <c r="F208">
        <v>2121</v>
      </c>
      <c r="G208">
        <v>92.01</v>
      </c>
      <c r="H208">
        <v>6.59</v>
      </c>
      <c r="I208">
        <v>1.4733000000000001</v>
      </c>
      <c r="J208">
        <v>0.68081999999999998</v>
      </c>
      <c r="K208">
        <v>-0.37380000000000002</v>
      </c>
      <c r="L208">
        <v>5.64</v>
      </c>
      <c r="M208">
        <v>0.83</v>
      </c>
      <c r="N208">
        <v>0.47699999999999998</v>
      </c>
      <c r="O208">
        <v>43</v>
      </c>
      <c r="P208">
        <v>379</v>
      </c>
      <c r="Q208">
        <v>864</v>
      </c>
      <c r="R208" s="18">
        <v>0.43865740740740738</v>
      </c>
    </row>
    <row r="209" spans="1:18" hidden="1" x14ac:dyDescent="0.3">
      <c r="A209">
        <v>694363</v>
      </c>
      <c r="B209" t="s">
        <v>113</v>
      </c>
      <c r="C209" t="s">
        <v>18</v>
      </c>
      <c r="D209">
        <v>0.1</v>
      </c>
      <c r="E209">
        <v>0.248</v>
      </c>
      <c r="F209">
        <v>2396</v>
      </c>
      <c r="G209">
        <v>91.35</v>
      </c>
      <c r="H209">
        <v>6.65</v>
      </c>
      <c r="I209">
        <v>1.595</v>
      </c>
      <c r="J209">
        <v>0.79</v>
      </c>
      <c r="K209">
        <v>-0.79</v>
      </c>
      <c r="L209">
        <v>5.56</v>
      </c>
      <c r="M209">
        <v>0.74</v>
      </c>
      <c r="N209">
        <v>0.311</v>
      </c>
      <c r="O209">
        <v>44.6</v>
      </c>
      <c r="P209">
        <v>2</v>
      </c>
      <c r="Q209">
        <v>864</v>
      </c>
      <c r="R209" s="18">
        <v>2.3148148148148147E-3</v>
      </c>
    </row>
    <row r="210" spans="1:18" hidden="1" x14ac:dyDescent="0.3">
      <c r="A210">
        <v>543606</v>
      </c>
      <c r="B210" t="s">
        <v>114</v>
      </c>
      <c r="C210" t="s">
        <v>16</v>
      </c>
      <c r="D210">
        <v>3.9</v>
      </c>
      <c r="E210">
        <v>0.34799999999999998</v>
      </c>
      <c r="F210">
        <v>2169</v>
      </c>
      <c r="G210">
        <v>91.59</v>
      </c>
      <c r="H210">
        <v>6.14</v>
      </c>
      <c r="I210">
        <v>1.2516099999999999</v>
      </c>
      <c r="J210">
        <v>0.78374999999999995</v>
      </c>
      <c r="K210">
        <v>-0.14804999999999999</v>
      </c>
      <c r="L210">
        <v>5.89</v>
      </c>
      <c r="M210">
        <v>-0.97</v>
      </c>
      <c r="N210">
        <v>0.45</v>
      </c>
      <c r="O210">
        <v>38.4</v>
      </c>
      <c r="P210">
        <v>261</v>
      </c>
      <c r="Q210">
        <v>850</v>
      </c>
      <c r="R210" s="18">
        <v>0.30705882352941177</v>
      </c>
    </row>
    <row r="211" spans="1:18" hidden="1" x14ac:dyDescent="0.3">
      <c r="A211">
        <v>543606</v>
      </c>
      <c r="B211" t="s">
        <v>114</v>
      </c>
      <c r="C211" t="s">
        <v>33</v>
      </c>
      <c r="D211">
        <v>2.7</v>
      </c>
      <c r="E211">
        <v>0.24399999999999999</v>
      </c>
      <c r="F211">
        <v>1304</v>
      </c>
      <c r="G211">
        <v>84.94</v>
      </c>
      <c r="H211">
        <v>6.17</v>
      </c>
      <c r="I211">
        <v>2.6186400000000001</v>
      </c>
      <c r="J211">
        <v>0.94652000000000003</v>
      </c>
      <c r="K211">
        <v>-0.25608999999999998</v>
      </c>
      <c r="L211">
        <v>5.85</v>
      </c>
      <c r="M211">
        <v>-1.05</v>
      </c>
      <c r="N211">
        <v>0.27400000000000002</v>
      </c>
      <c r="O211">
        <v>38.9</v>
      </c>
      <c r="P211">
        <v>184</v>
      </c>
      <c r="Q211">
        <v>850</v>
      </c>
      <c r="R211" s="18">
        <v>0.21647058823529411</v>
      </c>
    </row>
    <row r="212" spans="1:18" hidden="1" x14ac:dyDescent="0.3">
      <c r="A212">
        <v>543606</v>
      </c>
      <c r="B212" t="s">
        <v>114</v>
      </c>
      <c r="C212" t="s">
        <v>20</v>
      </c>
      <c r="D212">
        <v>0.6</v>
      </c>
      <c r="E212">
        <v>0.253</v>
      </c>
      <c r="F212">
        <v>2052</v>
      </c>
      <c r="G212">
        <v>82.42</v>
      </c>
      <c r="H212">
        <v>6.09</v>
      </c>
      <c r="I212">
        <v>3.0748600000000001</v>
      </c>
      <c r="J212">
        <v>-0.53297000000000005</v>
      </c>
      <c r="K212">
        <v>-0.38973000000000002</v>
      </c>
      <c r="L212">
        <v>6.05</v>
      </c>
      <c r="M212">
        <v>-0.8</v>
      </c>
      <c r="N212">
        <v>0.38100000000000001</v>
      </c>
      <c r="O212">
        <v>45.7</v>
      </c>
      <c r="P212">
        <v>37</v>
      </c>
      <c r="Q212">
        <v>850</v>
      </c>
      <c r="R212" s="18">
        <v>4.3529411764705879E-2</v>
      </c>
    </row>
    <row r="213" spans="1:18" hidden="1" x14ac:dyDescent="0.3">
      <c r="A213">
        <v>543606</v>
      </c>
      <c r="B213" t="s">
        <v>114</v>
      </c>
      <c r="C213" t="s">
        <v>34</v>
      </c>
      <c r="D213">
        <v>3</v>
      </c>
      <c r="E213">
        <v>0.36</v>
      </c>
      <c r="F213">
        <v>2062</v>
      </c>
      <c r="G213">
        <v>87.58</v>
      </c>
      <c r="H213">
        <v>6.17</v>
      </c>
      <c r="I213">
        <v>1.90879</v>
      </c>
      <c r="J213">
        <v>-0.19101000000000001</v>
      </c>
      <c r="K213">
        <v>-0.10727</v>
      </c>
      <c r="L213">
        <v>6</v>
      </c>
      <c r="M213">
        <v>-0.88</v>
      </c>
      <c r="N213">
        <v>0.55500000000000005</v>
      </c>
      <c r="O213">
        <v>42.2</v>
      </c>
      <c r="P213">
        <v>199</v>
      </c>
      <c r="Q213">
        <v>850</v>
      </c>
      <c r="R213" s="18">
        <v>0.23411764705882354</v>
      </c>
    </row>
    <row r="214" spans="1:18" hidden="1" x14ac:dyDescent="0.3">
      <c r="A214">
        <v>543606</v>
      </c>
      <c r="B214" t="s">
        <v>114</v>
      </c>
      <c r="C214" t="s">
        <v>18</v>
      </c>
      <c r="D214">
        <v>2.1</v>
      </c>
      <c r="E214">
        <v>0.42</v>
      </c>
      <c r="F214">
        <v>2122</v>
      </c>
      <c r="G214">
        <v>91.82</v>
      </c>
      <c r="H214">
        <v>6.16</v>
      </c>
      <c r="I214">
        <v>1.3381099999999999</v>
      </c>
      <c r="J214">
        <v>0.98146999999999995</v>
      </c>
      <c r="K214">
        <v>-0.32399</v>
      </c>
      <c r="L214">
        <v>5.89</v>
      </c>
      <c r="M214">
        <v>-1.02</v>
      </c>
      <c r="N214">
        <v>0.54100000000000004</v>
      </c>
      <c r="O214">
        <v>38.1</v>
      </c>
      <c r="P214">
        <v>143</v>
      </c>
      <c r="Q214">
        <v>850</v>
      </c>
      <c r="R214" s="18">
        <v>0.16823529411764707</v>
      </c>
    </row>
    <row r="215" spans="1:18" hidden="1" x14ac:dyDescent="0.3">
      <c r="A215">
        <v>543606</v>
      </c>
      <c r="B215" t="s">
        <v>114</v>
      </c>
      <c r="C215" t="s">
        <v>23</v>
      </c>
      <c r="D215">
        <v>0.4</v>
      </c>
      <c r="E215">
        <v>0.64800000000000002</v>
      </c>
      <c r="F215">
        <v>2230</v>
      </c>
      <c r="G215">
        <v>71.13</v>
      </c>
      <c r="H215">
        <v>6</v>
      </c>
      <c r="I215">
        <v>5.2188499999999998</v>
      </c>
      <c r="J215">
        <v>-0.84384999999999999</v>
      </c>
      <c r="K215">
        <v>0.57999999999999996</v>
      </c>
      <c r="L215">
        <v>6.06</v>
      </c>
      <c r="M215">
        <v>-0.83</v>
      </c>
      <c r="N215">
        <v>1.238</v>
      </c>
      <c r="O215">
        <v>46.7</v>
      </c>
      <c r="P215">
        <v>26</v>
      </c>
      <c r="Q215">
        <v>850</v>
      </c>
      <c r="R215" s="18">
        <v>3.0588235294117649E-2</v>
      </c>
    </row>
    <row r="216" spans="1:18" hidden="1" x14ac:dyDescent="0.3">
      <c r="A216">
        <v>660853</v>
      </c>
      <c r="B216" t="s">
        <v>29</v>
      </c>
      <c r="C216" t="s">
        <v>16</v>
      </c>
      <c r="D216">
        <v>6.8</v>
      </c>
      <c r="E216">
        <v>0.36899999999999999</v>
      </c>
      <c r="F216">
        <v>2270</v>
      </c>
      <c r="G216">
        <v>96.22</v>
      </c>
      <c r="H216">
        <v>6.3</v>
      </c>
      <c r="I216">
        <v>1.40774</v>
      </c>
      <c r="J216">
        <v>0.88868000000000003</v>
      </c>
      <c r="K216">
        <v>0.28005999999999998</v>
      </c>
      <c r="L216">
        <v>5.45</v>
      </c>
      <c r="M216">
        <v>-1.97</v>
      </c>
      <c r="N216">
        <v>0.46700000000000003</v>
      </c>
      <c r="O216">
        <v>23.1</v>
      </c>
      <c r="P216">
        <v>341</v>
      </c>
      <c r="Q216">
        <v>755</v>
      </c>
      <c r="R216" s="18">
        <v>0.45165562913907287</v>
      </c>
    </row>
    <row r="217" spans="1:18" hidden="1" x14ac:dyDescent="0.3">
      <c r="A217">
        <v>660853</v>
      </c>
      <c r="B217" t="s">
        <v>29</v>
      </c>
      <c r="C217" t="s">
        <v>37</v>
      </c>
      <c r="D217">
        <v>2.2000000000000002</v>
      </c>
      <c r="E217">
        <v>0.23100000000000001</v>
      </c>
      <c r="F217">
        <v>1901</v>
      </c>
      <c r="G217">
        <v>88.12</v>
      </c>
      <c r="H217">
        <v>6.55</v>
      </c>
      <c r="I217">
        <v>2.3437800000000002</v>
      </c>
      <c r="J217">
        <v>1.34541</v>
      </c>
      <c r="K217">
        <v>-1.2470300000000001</v>
      </c>
      <c r="L217">
        <v>5.6</v>
      </c>
      <c r="M217">
        <v>-2.02</v>
      </c>
      <c r="N217">
        <v>0.29399999999999998</v>
      </c>
      <c r="O217">
        <v>28.6</v>
      </c>
      <c r="P217">
        <v>111</v>
      </c>
      <c r="Q217">
        <v>755</v>
      </c>
      <c r="R217" s="18">
        <v>0.14701986754966886</v>
      </c>
    </row>
    <row r="218" spans="1:18" hidden="1" x14ac:dyDescent="0.3">
      <c r="A218">
        <v>660853</v>
      </c>
      <c r="B218" t="s">
        <v>29</v>
      </c>
      <c r="C218" t="s">
        <v>20</v>
      </c>
      <c r="D218">
        <v>6.1</v>
      </c>
      <c r="E218">
        <v>0.26300000000000001</v>
      </c>
      <c r="F218">
        <v>2208</v>
      </c>
      <c r="G218">
        <v>89</v>
      </c>
      <c r="H218">
        <v>6.39</v>
      </c>
      <c r="I218">
        <v>2.3496000000000001</v>
      </c>
      <c r="J218">
        <v>-0.11785</v>
      </c>
      <c r="K218">
        <v>-9.6640000000000004E-2</v>
      </c>
      <c r="L218">
        <v>5.4</v>
      </c>
      <c r="M218">
        <v>-2.1</v>
      </c>
      <c r="N218">
        <v>0.32200000000000001</v>
      </c>
      <c r="O218">
        <v>23.7</v>
      </c>
      <c r="P218">
        <v>303</v>
      </c>
      <c r="Q218">
        <v>755</v>
      </c>
      <c r="R218" s="18">
        <v>0.4013245033112583</v>
      </c>
    </row>
    <row r="219" spans="1:18" hidden="1" x14ac:dyDescent="0.3">
      <c r="A219">
        <v>503285</v>
      </c>
      <c r="B219" t="s">
        <v>115</v>
      </c>
      <c r="C219" t="s">
        <v>20</v>
      </c>
      <c r="D219">
        <v>36.299999999999997</v>
      </c>
      <c r="E219">
        <v>0.28199999999999997</v>
      </c>
      <c r="F219">
        <v>2292</v>
      </c>
      <c r="G219">
        <v>78.83</v>
      </c>
      <c r="H219">
        <v>6.57</v>
      </c>
      <c r="I219">
        <v>3.5186999999999999</v>
      </c>
      <c r="J219">
        <v>-0.64492000000000005</v>
      </c>
      <c r="K219">
        <v>-0.33211000000000002</v>
      </c>
      <c r="L219">
        <v>3.48</v>
      </c>
      <c r="M219">
        <v>-2.68</v>
      </c>
      <c r="N219">
        <v>0.32700000000000001</v>
      </c>
      <c r="O219">
        <v>-19</v>
      </c>
      <c r="P219">
        <v>331</v>
      </c>
      <c r="Q219">
        <v>724</v>
      </c>
      <c r="R219" s="18">
        <v>0.45718232044198898</v>
      </c>
    </row>
    <row r="220" spans="1:18" hidden="1" x14ac:dyDescent="0.3">
      <c r="A220">
        <v>503285</v>
      </c>
      <c r="B220" t="s">
        <v>115</v>
      </c>
      <c r="C220" t="s">
        <v>16</v>
      </c>
      <c r="D220">
        <v>35.700000000000003</v>
      </c>
      <c r="E220">
        <v>0.21099999999999999</v>
      </c>
      <c r="F220">
        <v>2357</v>
      </c>
      <c r="G220">
        <v>86.91</v>
      </c>
      <c r="H220">
        <v>6.76</v>
      </c>
      <c r="I220">
        <v>2.2760400000000001</v>
      </c>
      <c r="J220">
        <v>0.94674999999999998</v>
      </c>
      <c r="K220">
        <v>0.25042999999999999</v>
      </c>
      <c r="L220">
        <v>3.77</v>
      </c>
      <c r="M220">
        <v>-2.58</v>
      </c>
      <c r="N220">
        <v>0.215</v>
      </c>
      <c r="O220">
        <v>-12.4</v>
      </c>
      <c r="P220">
        <v>326</v>
      </c>
      <c r="Q220">
        <v>724</v>
      </c>
      <c r="R220" s="18">
        <v>0.45027624309392267</v>
      </c>
    </row>
    <row r="221" spans="1:18" hidden="1" x14ac:dyDescent="0.3">
      <c r="A221">
        <v>503285</v>
      </c>
      <c r="B221" t="s">
        <v>115</v>
      </c>
      <c r="C221" t="s">
        <v>18</v>
      </c>
      <c r="D221">
        <v>7.3</v>
      </c>
      <c r="E221">
        <v>0.441</v>
      </c>
      <c r="F221">
        <v>2173</v>
      </c>
      <c r="G221">
        <v>86.24</v>
      </c>
      <c r="H221">
        <v>6.74</v>
      </c>
      <c r="I221">
        <v>3.3031299999999999</v>
      </c>
      <c r="J221">
        <v>1.28403</v>
      </c>
      <c r="K221">
        <v>1.0538799999999999</v>
      </c>
      <c r="L221">
        <v>3.63</v>
      </c>
      <c r="M221">
        <v>-2.56</v>
      </c>
      <c r="N221">
        <v>0.58899999999999997</v>
      </c>
      <c r="O221">
        <v>-15.8</v>
      </c>
      <c r="P221">
        <v>67</v>
      </c>
      <c r="Q221">
        <v>724</v>
      </c>
      <c r="R221" s="18">
        <v>9.2541436464088397E-2</v>
      </c>
    </row>
    <row r="222" spans="1:18" hidden="1" x14ac:dyDescent="0.3">
      <c r="A222">
        <v>642216</v>
      </c>
      <c r="B222" t="s">
        <v>116</v>
      </c>
      <c r="C222" t="s">
        <v>18</v>
      </c>
      <c r="D222">
        <v>19.8</v>
      </c>
      <c r="E222">
        <v>0.35799999999999998</v>
      </c>
      <c r="F222">
        <v>2142</v>
      </c>
      <c r="G222">
        <v>90.48</v>
      </c>
      <c r="H222">
        <v>6.75</v>
      </c>
      <c r="I222">
        <v>2.2536700000000001</v>
      </c>
      <c r="J222">
        <v>1.3431999999999999</v>
      </c>
      <c r="K222">
        <v>-0.15787000000000001</v>
      </c>
      <c r="L222">
        <v>5.76</v>
      </c>
      <c r="M222">
        <v>-1.98</v>
      </c>
      <c r="N222">
        <v>0.433</v>
      </c>
      <c r="O222">
        <v>33.200000000000003</v>
      </c>
      <c r="P222">
        <v>169</v>
      </c>
      <c r="Q222">
        <v>681</v>
      </c>
      <c r="R222" s="18">
        <v>0.24816446402349487</v>
      </c>
    </row>
    <row r="223" spans="1:18" hidden="1" x14ac:dyDescent="0.3">
      <c r="A223">
        <v>642216</v>
      </c>
      <c r="B223" t="s">
        <v>116</v>
      </c>
      <c r="C223" t="s">
        <v>40</v>
      </c>
      <c r="D223">
        <v>18.899999999999999</v>
      </c>
      <c r="E223">
        <v>0.25700000000000001</v>
      </c>
      <c r="F223">
        <v>2573</v>
      </c>
      <c r="G223">
        <v>79.16</v>
      </c>
      <c r="H223">
        <v>6.52</v>
      </c>
      <c r="I223">
        <v>3.9528599999999998</v>
      </c>
      <c r="J223">
        <v>-1.0747199999999999</v>
      </c>
      <c r="K223">
        <v>-9.8070000000000004E-2</v>
      </c>
      <c r="L223">
        <v>5.7</v>
      </c>
      <c r="M223">
        <v>-2.0299999999999998</v>
      </c>
      <c r="N223">
        <v>0.377</v>
      </c>
      <c r="O223">
        <v>31.4</v>
      </c>
      <c r="P223">
        <v>161</v>
      </c>
      <c r="Q223">
        <v>681</v>
      </c>
      <c r="R223" s="18">
        <v>0.23641703377386197</v>
      </c>
    </row>
    <row r="224" spans="1:18" hidden="1" x14ac:dyDescent="0.3">
      <c r="A224">
        <v>642216</v>
      </c>
      <c r="B224" t="s">
        <v>116</v>
      </c>
      <c r="C224" t="s">
        <v>16</v>
      </c>
      <c r="D224">
        <v>16.8</v>
      </c>
      <c r="E224">
        <v>0.39800000000000002</v>
      </c>
      <c r="F224">
        <v>2182</v>
      </c>
      <c r="G224">
        <v>90.89</v>
      </c>
      <c r="H224">
        <v>6.8</v>
      </c>
      <c r="I224">
        <v>1.6642699999999999</v>
      </c>
      <c r="J224">
        <v>0.81825000000000003</v>
      </c>
      <c r="K224">
        <v>-0.36413000000000001</v>
      </c>
      <c r="L224">
        <v>5.82</v>
      </c>
      <c r="M224">
        <v>-1.89</v>
      </c>
      <c r="N224">
        <v>0.621</v>
      </c>
      <c r="O224">
        <v>35.1</v>
      </c>
      <c r="P224">
        <v>143</v>
      </c>
      <c r="Q224">
        <v>681</v>
      </c>
      <c r="R224" s="18">
        <v>0.20998531571218795</v>
      </c>
    </row>
    <row r="225" spans="1:18" hidden="1" x14ac:dyDescent="0.3">
      <c r="A225">
        <v>642216</v>
      </c>
      <c r="B225" t="s">
        <v>116</v>
      </c>
      <c r="C225" t="s">
        <v>37</v>
      </c>
      <c r="D225">
        <v>24.4</v>
      </c>
      <c r="E225">
        <v>0.33400000000000002</v>
      </c>
      <c r="F225">
        <v>1856</v>
      </c>
      <c r="G225">
        <v>83.39</v>
      </c>
      <c r="H225">
        <v>6.66</v>
      </c>
      <c r="I225">
        <v>3.12385</v>
      </c>
      <c r="J225">
        <v>1.15106</v>
      </c>
      <c r="K225">
        <v>-0.74865000000000004</v>
      </c>
      <c r="L225">
        <v>5.74</v>
      </c>
      <c r="M225">
        <v>-2</v>
      </c>
      <c r="N225">
        <v>0.41499999999999998</v>
      </c>
      <c r="O225">
        <v>31.4</v>
      </c>
      <c r="P225">
        <v>208</v>
      </c>
      <c r="Q225">
        <v>681</v>
      </c>
      <c r="R225" s="18">
        <v>0.3054331864904552</v>
      </c>
    </row>
    <row r="226" spans="1:18" hidden="1" x14ac:dyDescent="0.3">
      <c r="A226">
        <v>453343</v>
      </c>
      <c r="B226" t="s">
        <v>117</v>
      </c>
      <c r="C226" t="s">
        <v>16</v>
      </c>
      <c r="D226">
        <v>0.6</v>
      </c>
      <c r="E226">
        <v>0.253</v>
      </c>
      <c r="F226">
        <v>2316</v>
      </c>
      <c r="G226">
        <v>92.24</v>
      </c>
      <c r="H226">
        <v>6.32</v>
      </c>
      <c r="I226">
        <v>1.6657900000000001</v>
      </c>
      <c r="J226">
        <v>0.60263</v>
      </c>
      <c r="K226">
        <v>0.43631999999999999</v>
      </c>
      <c r="L226">
        <v>6.48</v>
      </c>
      <c r="M226">
        <v>-2.67</v>
      </c>
      <c r="N226">
        <v>0.314</v>
      </c>
      <c r="O226">
        <v>58.2</v>
      </c>
      <c r="P226">
        <v>19</v>
      </c>
      <c r="Q226">
        <v>663</v>
      </c>
      <c r="R226" s="18">
        <v>2.8657616892911009E-2</v>
      </c>
    </row>
    <row r="227" spans="1:18" hidden="1" x14ac:dyDescent="0.3">
      <c r="A227">
        <v>453343</v>
      </c>
      <c r="B227" t="s">
        <v>117</v>
      </c>
      <c r="C227" t="s">
        <v>75</v>
      </c>
      <c r="D227">
        <v>7.6</v>
      </c>
      <c r="E227">
        <v>0.216</v>
      </c>
      <c r="F227">
        <v>2660</v>
      </c>
      <c r="G227">
        <v>80.83</v>
      </c>
      <c r="H227">
        <v>5.91</v>
      </c>
      <c r="I227">
        <v>4.80755</v>
      </c>
      <c r="J227">
        <v>-0.32972000000000001</v>
      </c>
      <c r="K227">
        <v>-8.5559999999999997E-2</v>
      </c>
      <c r="L227">
        <v>6.42</v>
      </c>
      <c r="M227">
        <v>-2.5099999999999998</v>
      </c>
      <c r="N227">
        <v>0.26800000000000002</v>
      </c>
      <c r="O227">
        <v>58.7</v>
      </c>
      <c r="P227">
        <v>253</v>
      </c>
      <c r="Q227">
        <v>663</v>
      </c>
      <c r="R227" s="18">
        <v>0.38159879336349922</v>
      </c>
    </row>
    <row r="228" spans="1:18" hidden="1" x14ac:dyDescent="0.3">
      <c r="A228">
        <v>453343</v>
      </c>
      <c r="B228" t="s">
        <v>117</v>
      </c>
      <c r="C228" t="s">
        <v>33</v>
      </c>
      <c r="D228">
        <v>0.5</v>
      </c>
      <c r="E228">
        <v>0.24199999999999999</v>
      </c>
      <c r="F228">
        <v>1878</v>
      </c>
      <c r="G228">
        <v>84.33</v>
      </c>
      <c r="H228">
        <v>6.22</v>
      </c>
      <c r="I228">
        <v>2.3166699999999998</v>
      </c>
      <c r="J228">
        <v>1.0693299999999999</v>
      </c>
      <c r="K228">
        <v>-0.49732999999999999</v>
      </c>
      <c r="L228">
        <v>6.47</v>
      </c>
      <c r="M228">
        <v>-2.6</v>
      </c>
      <c r="N228">
        <v>0.29099999999999998</v>
      </c>
      <c r="O228">
        <v>56.5</v>
      </c>
      <c r="P228">
        <v>15</v>
      </c>
      <c r="Q228">
        <v>663</v>
      </c>
      <c r="R228" s="18">
        <v>2.2624434389140271E-2</v>
      </c>
    </row>
    <row r="229" spans="1:18" hidden="1" x14ac:dyDescent="0.3">
      <c r="A229">
        <v>453343</v>
      </c>
      <c r="B229" t="s">
        <v>117</v>
      </c>
      <c r="C229" t="s">
        <v>34</v>
      </c>
      <c r="D229">
        <v>11.3</v>
      </c>
      <c r="E229">
        <v>0.30099999999999999</v>
      </c>
      <c r="F229">
        <v>2338</v>
      </c>
      <c r="G229">
        <v>91.95</v>
      </c>
      <c r="H229">
        <v>6.23</v>
      </c>
      <c r="I229">
        <v>1.8625</v>
      </c>
      <c r="J229">
        <v>-0.15260000000000001</v>
      </c>
      <c r="K229">
        <v>-8.8599999999999998E-3</v>
      </c>
      <c r="L229">
        <v>6.42</v>
      </c>
      <c r="M229">
        <v>-2.67</v>
      </c>
      <c r="N229">
        <v>0.38400000000000001</v>
      </c>
      <c r="O229">
        <v>56.8</v>
      </c>
      <c r="P229">
        <v>376</v>
      </c>
      <c r="Q229">
        <v>663</v>
      </c>
      <c r="R229" s="18">
        <v>0.56711915535444946</v>
      </c>
    </row>
    <row r="230" spans="1:18" hidden="1" x14ac:dyDescent="0.3">
      <c r="A230">
        <v>606160</v>
      </c>
      <c r="B230" t="s">
        <v>32</v>
      </c>
      <c r="C230" t="s">
        <v>18</v>
      </c>
      <c r="D230">
        <v>0.3</v>
      </c>
      <c r="E230">
        <v>0.42899999999999999</v>
      </c>
      <c r="F230">
        <v>2335</v>
      </c>
      <c r="G230">
        <v>95.29</v>
      </c>
      <c r="H230">
        <v>6.19</v>
      </c>
      <c r="I230">
        <v>1.7529399999999999</v>
      </c>
      <c r="J230">
        <v>1.3535299999999999</v>
      </c>
      <c r="K230">
        <v>1.3535299999999999</v>
      </c>
      <c r="L230">
        <v>5.22</v>
      </c>
      <c r="M230">
        <v>-1.77</v>
      </c>
      <c r="N230">
        <v>0.52200000000000002</v>
      </c>
      <c r="O230">
        <v>35.6</v>
      </c>
      <c r="P230">
        <v>17</v>
      </c>
      <c r="Q230">
        <v>660</v>
      </c>
      <c r="R230" s="18">
        <v>2.5757575757575757E-2</v>
      </c>
    </row>
    <row r="231" spans="1:18" hidden="1" x14ac:dyDescent="0.3">
      <c r="A231">
        <v>606160</v>
      </c>
      <c r="B231" t="s">
        <v>32</v>
      </c>
      <c r="C231" t="s">
        <v>20</v>
      </c>
      <c r="D231">
        <v>0.8</v>
      </c>
      <c r="E231">
        <v>8.6999999999999994E-2</v>
      </c>
      <c r="F231">
        <v>2408</v>
      </c>
      <c r="G231">
        <v>85.1</v>
      </c>
      <c r="H231">
        <v>6.24</v>
      </c>
      <c r="I231">
        <v>3.04766</v>
      </c>
      <c r="J231">
        <v>-0.63978999999999997</v>
      </c>
      <c r="K231">
        <v>-0.59979000000000005</v>
      </c>
      <c r="L231">
        <v>5.14</v>
      </c>
      <c r="M231">
        <v>-1.73</v>
      </c>
      <c r="N231">
        <v>0.106</v>
      </c>
      <c r="O231">
        <v>35.9</v>
      </c>
      <c r="P231">
        <v>47</v>
      </c>
      <c r="Q231">
        <v>660</v>
      </c>
      <c r="R231" s="18">
        <v>7.1212121212121213E-2</v>
      </c>
    </row>
    <row r="232" spans="1:18" hidden="1" x14ac:dyDescent="0.3">
      <c r="A232">
        <v>606160</v>
      </c>
      <c r="B232" t="s">
        <v>32</v>
      </c>
      <c r="C232" t="s">
        <v>16</v>
      </c>
      <c r="D232">
        <v>4.7</v>
      </c>
      <c r="E232">
        <v>0.40100000000000002</v>
      </c>
      <c r="F232">
        <v>2362</v>
      </c>
      <c r="G232">
        <v>94.93</v>
      </c>
      <c r="H232">
        <v>6.2</v>
      </c>
      <c r="I232">
        <v>1.3092299999999999</v>
      </c>
      <c r="J232">
        <v>0.80811999999999995</v>
      </c>
      <c r="K232">
        <v>0.28288000000000002</v>
      </c>
      <c r="L232">
        <v>5.18</v>
      </c>
      <c r="M232">
        <v>-1.71</v>
      </c>
      <c r="N232">
        <v>0.53700000000000003</v>
      </c>
      <c r="O232">
        <v>34.9</v>
      </c>
      <c r="P232">
        <v>271</v>
      </c>
      <c r="Q232">
        <v>660</v>
      </c>
      <c r="R232" s="18">
        <v>0.41060606060606059</v>
      </c>
    </row>
    <row r="233" spans="1:18" hidden="1" x14ac:dyDescent="0.3">
      <c r="A233">
        <v>606160</v>
      </c>
      <c r="B233" t="s">
        <v>32</v>
      </c>
      <c r="C233" t="s">
        <v>33</v>
      </c>
      <c r="D233">
        <v>5.7</v>
      </c>
      <c r="E233">
        <v>0.26100000000000001</v>
      </c>
      <c r="F233">
        <v>1606</v>
      </c>
      <c r="G233">
        <v>88.14</v>
      </c>
      <c r="H233">
        <v>6.31</v>
      </c>
      <c r="I233">
        <v>2.8505500000000001</v>
      </c>
      <c r="J233">
        <v>1.0369200000000001</v>
      </c>
      <c r="K233">
        <v>-0.12911</v>
      </c>
      <c r="L233">
        <v>5</v>
      </c>
      <c r="M233">
        <v>-1.7</v>
      </c>
      <c r="N233">
        <v>0.26600000000000001</v>
      </c>
      <c r="O233">
        <v>33.4</v>
      </c>
      <c r="P233">
        <v>325</v>
      </c>
      <c r="Q233">
        <v>660</v>
      </c>
      <c r="R233" s="18">
        <v>0.49242424242424243</v>
      </c>
    </row>
    <row r="234" spans="1:18" hidden="1" x14ac:dyDescent="0.3">
      <c r="A234">
        <v>656977</v>
      </c>
      <c r="B234" t="s">
        <v>118</v>
      </c>
      <c r="C234" t="s">
        <v>16</v>
      </c>
      <c r="D234">
        <v>55.7</v>
      </c>
      <c r="E234">
        <v>0.438</v>
      </c>
      <c r="F234">
        <v>2508</v>
      </c>
      <c r="G234">
        <v>95.52</v>
      </c>
      <c r="H234">
        <v>6.04</v>
      </c>
      <c r="I234">
        <v>1.00928</v>
      </c>
      <c r="J234">
        <v>0.41726999999999997</v>
      </c>
      <c r="K234">
        <v>1.9779999999999999E-2</v>
      </c>
      <c r="L234">
        <v>6.39</v>
      </c>
      <c r="M234">
        <v>-0.41</v>
      </c>
      <c r="N234">
        <v>0.60199999999999998</v>
      </c>
      <c r="O234">
        <v>51.9</v>
      </c>
      <c r="P234">
        <v>359</v>
      </c>
      <c r="Q234">
        <v>638</v>
      </c>
      <c r="R234" s="18">
        <v>0.56269592476489028</v>
      </c>
    </row>
    <row r="235" spans="1:18" hidden="1" x14ac:dyDescent="0.3">
      <c r="A235">
        <v>656977</v>
      </c>
      <c r="B235" t="s">
        <v>118</v>
      </c>
      <c r="C235" t="s">
        <v>20</v>
      </c>
      <c r="D235">
        <v>42.4</v>
      </c>
      <c r="E235">
        <v>0.23200000000000001</v>
      </c>
      <c r="F235">
        <v>2958</v>
      </c>
      <c r="G235">
        <v>83.56</v>
      </c>
      <c r="H235">
        <v>5.51</v>
      </c>
      <c r="I235">
        <v>3.5651600000000001</v>
      </c>
      <c r="J235">
        <v>-0.94967000000000001</v>
      </c>
      <c r="K235">
        <v>-0.27252999999999999</v>
      </c>
      <c r="L235">
        <v>6.28</v>
      </c>
      <c r="M235">
        <v>-0.62</v>
      </c>
      <c r="N235">
        <v>0.249</v>
      </c>
      <c r="O235">
        <v>48.6</v>
      </c>
      <c r="P235">
        <v>273</v>
      </c>
      <c r="Q235">
        <v>638</v>
      </c>
      <c r="R235" s="18">
        <v>0.42789968652037619</v>
      </c>
    </row>
    <row r="236" spans="1:18" hidden="1" x14ac:dyDescent="0.3">
      <c r="A236">
        <v>656977</v>
      </c>
      <c r="B236" t="s">
        <v>118</v>
      </c>
      <c r="C236" t="s">
        <v>34</v>
      </c>
      <c r="D236">
        <v>0.9</v>
      </c>
      <c r="E236">
        <v>0.54900000000000004</v>
      </c>
      <c r="F236">
        <v>2630</v>
      </c>
      <c r="G236">
        <v>89.02</v>
      </c>
      <c r="H236">
        <v>6.07</v>
      </c>
      <c r="I236">
        <v>2.15</v>
      </c>
      <c r="J236">
        <v>-0.22750000000000001</v>
      </c>
      <c r="K236">
        <v>-0.1925</v>
      </c>
      <c r="L236">
        <v>6.54</v>
      </c>
      <c r="M236">
        <v>-1.07</v>
      </c>
      <c r="N236">
        <v>0.78800000000000003</v>
      </c>
      <c r="O236">
        <v>51.2</v>
      </c>
      <c r="P236">
        <v>6</v>
      </c>
      <c r="Q236">
        <v>638</v>
      </c>
      <c r="R236" s="18">
        <v>9.4043887147335428E-3</v>
      </c>
    </row>
    <row r="237" spans="1:18" hidden="1" x14ac:dyDescent="0.3">
      <c r="A237">
        <v>656353</v>
      </c>
      <c r="B237" t="s">
        <v>119</v>
      </c>
      <c r="C237" t="s">
        <v>23</v>
      </c>
      <c r="D237">
        <v>3.3</v>
      </c>
      <c r="E237">
        <v>0.23899999999999999</v>
      </c>
      <c r="F237">
        <v>2465</v>
      </c>
      <c r="G237">
        <v>78.5</v>
      </c>
      <c r="H237">
        <v>6.02</v>
      </c>
      <c r="I237">
        <v>4.3724999999999996</v>
      </c>
      <c r="J237">
        <v>-0.63610999999999995</v>
      </c>
      <c r="K237">
        <v>0.37193999999999999</v>
      </c>
      <c r="L237">
        <v>6.32</v>
      </c>
      <c r="M237">
        <v>1.55</v>
      </c>
      <c r="N237">
        <v>0.26100000000000001</v>
      </c>
      <c r="O237">
        <v>63.2</v>
      </c>
      <c r="P237">
        <v>72</v>
      </c>
      <c r="Q237">
        <v>636</v>
      </c>
      <c r="R237" s="18">
        <v>0.11320754716981132</v>
      </c>
    </row>
    <row r="238" spans="1:18" hidden="1" x14ac:dyDescent="0.3">
      <c r="A238">
        <v>656353</v>
      </c>
      <c r="B238" t="s">
        <v>119</v>
      </c>
      <c r="C238" t="s">
        <v>20</v>
      </c>
      <c r="D238">
        <v>11</v>
      </c>
      <c r="E238">
        <v>0.27300000000000002</v>
      </c>
      <c r="F238">
        <v>2248</v>
      </c>
      <c r="G238">
        <v>87.06</v>
      </c>
      <c r="H238">
        <v>6.11</v>
      </c>
      <c r="I238">
        <v>2.93418</v>
      </c>
      <c r="J238">
        <v>-0.37664999999999998</v>
      </c>
      <c r="K238">
        <v>0.15765999999999999</v>
      </c>
      <c r="L238">
        <v>6.23</v>
      </c>
      <c r="M238">
        <v>1.52</v>
      </c>
      <c r="N238">
        <v>0.26500000000000001</v>
      </c>
      <c r="O238">
        <v>59.3</v>
      </c>
      <c r="P238">
        <v>239</v>
      </c>
      <c r="Q238">
        <v>636</v>
      </c>
      <c r="R238" s="18">
        <v>0.37578616352201261</v>
      </c>
    </row>
    <row r="239" spans="1:18" hidden="1" x14ac:dyDescent="0.3">
      <c r="A239">
        <v>656353</v>
      </c>
      <c r="B239" t="s">
        <v>119</v>
      </c>
      <c r="C239" t="s">
        <v>16</v>
      </c>
      <c r="D239">
        <v>14.7</v>
      </c>
      <c r="E239">
        <v>0.47299999999999998</v>
      </c>
      <c r="F239">
        <v>2019</v>
      </c>
      <c r="G239">
        <v>93.27</v>
      </c>
      <c r="H239">
        <v>6.22</v>
      </c>
      <c r="I239">
        <v>1.2224900000000001</v>
      </c>
      <c r="J239">
        <v>0.23657</v>
      </c>
      <c r="K239">
        <v>-0.105</v>
      </c>
      <c r="L239">
        <v>6.28</v>
      </c>
      <c r="M239">
        <v>1.1399999999999999</v>
      </c>
      <c r="N239">
        <v>0.66700000000000004</v>
      </c>
      <c r="O239">
        <v>62.7</v>
      </c>
      <c r="P239">
        <v>321</v>
      </c>
      <c r="Q239">
        <v>636</v>
      </c>
      <c r="R239" s="18">
        <v>0.50471698113207553</v>
      </c>
    </row>
    <row r="240" spans="1:18" hidden="1" x14ac:dyDescent="0.3">
      <c r="A240">
        <v>656353</v>
      </c>
      <c r="B240" t="s">
        <v>119</v>
      </c>
      <c r="C240" t="s">
        <v>37</v>
      </c>
      <c r="D240">
        <v>0.2</v>
      </c>
      <c r="F240">
        <v>1639</v>
      </c>
      <c r="G240">
        <v>85.28</v>
      </c>
      <c r="H240">
        <v>6</v>
      </c>
      <c r="I240">
        <v>2.25</v>
      </c>
      <c r="J240">
        <v>1.0225</v>
      </c>
      <c r="K240">
        <v>-1.0225</v>
      </c>
      <c r="L240">
        <v>6.12</v>
      </c>
      <c r="M240">
        <v>1.72</v>
      </c>
      <c r="O240">
        <v>53</v>
      </c>
      <c r="P240">
        <v>4</v>
      </c>
      <c r="Q240">
        <v>636</v>
      </c>
      <c r="R240" s="18">
        <v>6.2893081761006293E-3</v>
      </c>
    </row>
    <row r="241" spans="1:18" hidden="1" x14ac:dyDescent="0.3">
      <c r="A241">
        <v>650828</v>
      </c>
      <c r="B241" t="s">
        <v>120</v>
      </c>
      <c r="C241" t="s">
        <v>16</v>
      </c>
      <c r="D241">
        <v>1.5</v>
      </c>
      <c r="E241">
        <v>0.17699999999999999</v>
      </c>
      <c r="F241">
        <v>2104</v>
      </c>
      <c r="G241">
        <v>92.23</v>
      </c>
      <c r="H241">
        <v>5.49</v>
      </c>
      <c r="I241">
        <v>2.12778</v>
      </c>
      <c r="J241">
        <v>0.76666999999999996</v>
      </c>
      <c r="K241">
        <v>-0.20888999999999999</v>
      </c>
      <c r="L241">
        <v>6.12</v>
      </c>
      <c r="M241">
        <v>-0.73</v>
      </c>
      <c r="N241">
        <v>6.0000000000000001E-3</v>
      </c>
      <c r="O241">
        <v>48.7</v>
      </c>
      <c r="P241">
        <v>9</v>
      </c>
      <c r="Q241">
        <v>610</v>
      </c>
      <c r="R241" s="18">
        <v>1.4754098360655738E-2</v>
      </c>
    </row>
    <row r="242" spans="1:18" hidden="1" x14ac:dyDescent="0.3">
      <c r="A242">
        <v>650828</v>
      </c>
      <c r="B242" t="s">
        <v>120</v>
      </c>
      <c r="C242" t="s">
        <v>20</v>
      </c>
      <c r="D242">
        <v>35.1</v>
      </c>
      <c r="E242">
        <v>0.248</v>
      </c>
      <c r="F242">
        <v>2210</v>
      </c>
      <c r="G242">
        <v>85.08</v>
      </c>
      <c r="H242">
        <v>5.42</v>
      </c>
      <c r="I242">
        <v>3.0269200000000001</v>
      </c>
      <c r="J242">
        <v>0.11787</v>
      </c>
      <c r="K242">
        <v>2.589E-2</v>
      </c>
      <c r="L242">
        <v>6.24</v>
      </c>
      <c r="M242">
        <v>-0.97</v>
      </c>
      <c r="N242">
        <v>0.33700000000000002</v>
      </c>
      <c r="O242">
        <v>49.7</v>
      </c>
      <c r="P242">
        <v>214</v>
      </c>
      <c r="Q242">
        <v>610</v>
      </c>
      <c r="R242" s="18">
        <v>0.35081967213114756</v>
      </c>
    </row>
    <row r="243" spans="1:18" hidden="1" x14ac:dyDescent="0.3">
      <c r="A243">
        <v>650828</v>
      </c>
      <c r="B243" t="s">
        <v>120</v>
      </c>
      <c r="C243" t="s">
        <v>18</v>
      </c>
      <c r="D243">
        <v>63.4</v>
      </c>
      <c r="E243">
        <v>0.35199999999999998</v>
      </c>
      <c r="F243">
        <v>2203</v>
      </c>
      <c r="G243">
        <v>93</v>
      </c>
      <c r="H243">
        <v>5.53</v>
      </c>
      <c r="I243">
        <v>2.0456599999999998</v>
      </c>
      <c r="J243">
        <v>1.28003</v>
      </c>
      <c r="K243">
        <v>0.18287</v>
      </c>
      <c r="L243">
        <v>6.16</v>
      </c>
      <c r="M243">
        <v>-0.91</v>
      </c>
      <c r="N243">
        <v>0.48</v>
      </c>
      <c r="O243">
        <v>47.6</v>
      </c>
      <c r="P243">
        <v>387</v>
      </c>
      <c r="Q243">
        <v>610</v>
      </c>
      <c r="R243" s="18">
        <v>0.63442622950819672</v>
      </c>
    </row>
    <row r="244" spans="1:18" hidden="1" x14ac:dyDescent="0.3">
      <c r="A244">
        <v>670241</v>
      </c>
      <c r="B244" t="s">
        <v>121</v>
      </c>
      <c r="C244" t="s">
        <v>23</v>
      </c>
      <c r="D244">
        <v>2.5</v>
      </c>
      <c r="E244">
        <v>0.434</v>
      </c>
      <c r="F244">
        <v>2664</v>
      </c>
      <c r="G244">
        <v>77.709999999999994</v>
      </c>
      <c r="H244">
        <v>5.92</v>
      </c>
      <c r="I244">
        <v>4.3292900000000003</v>
      </c>
      <c r="J244">
        <v>-0.4</v>
      </c>
      <c r="K244">
        <v>-0.15</v>
      </c>
      <c r="L244">
        <v>6.13</v>
      </c>
      <c r="M244">
        <v>-0.99</v>
      </c>
      <c r="N244">
        <v>0.54100000000000004</v>
      </c>
      <c r="O244">
        <v>48.8</v>
      </c>
      <c r="P244">
        <v>14</v>
      </c>
      <c r="Q244">
        <v>565</v>
      </c>
      <c r="R244" s="18">
        <v>2.4778761061946902E-2</v>
      </c>
    </row>
    <row r="245" spans="1:18" hidden="1" x14ac:dyDescent="0.3">
      <c r="A245">
        <v>670241</v>
      </c>
      <c r="B245" t="s">
        <v>121</v>
      </c>
      <c r="C245" t="s">
        <v>16</v>
      </c>
      <c r="D245">
        <v>35.200000000000003</v>
      </c>
      <c r="E245">
        <v>0.38200000000000001</v>
      </c>
      <c r="F245">
        <v>2191</v>
      </c>
      <c r="G245">
        <v>90.39</v>
      </c>
      <c r="H245">
        <v>6.34</v>
      </c>
      <c r="I245">
        <v>1.3547199999999999</v>
      </c>
      <c r="J245">
        <v>0.59050000000000002</v>
      </c>
      <c r="K245">
        <v>-2.6079999999999999E-2</v>
      </c>
      <c r="L245">
        <v>6.05</v>
      </c>
      <c r="M245">
        <v>-1.49</v>
      </c>
      <c r="N245">
        <v>0.51</v>
      </c>
      <c r="O245">
        <v>47.3</v>
      </c>
      <c r="P245">
        <v>199</v>
      </c>
      <c r="Q245">
        <v>565</v>
      </c>
      <c r="R245" s="18">
        <v>0.35221238938053095</v>
      </c>
    </row>
    <row r="246" spans="1:18" hidden="1" x14ac:dyDescent="0.3">
      <c r="A246">
        <v>670241</v>
      </c>
      <c r="B246" t="s">
        <v>121</v>
      </c>
      <c r="C246" t="s">
        <v>34</v>
      </c>
      <c r="D246">
        <v>24.1</v>
      </c>
      <c r="E246">
        <v>0.33300000000000002</v>
      </c>
      <c r="F246">
        <v>2347</v>
      </c>
      <c r="G246">
        <v>85.27</v>
      </c>
      <c r="H246">
        <v>6.3</v>
      </c>
      <c r="I246">
        <v>2.3961000000000001</v>
      </c>
      <c r="J246">
        <v>-9.0160000000000004E-2</v>
      </c>
      <c r="K246">
        <v>-2.8289999999999999E-2</v>
      </c>
      <c r="L246">
        <v>5.92</v>
      </c>
      <c r="M246">
        <v>-1.94</v>
      </c>
      <c r="N246">
        <v>0.42699999999999999</v>
      </c>
      <c r="O246">
        <v>44</v>
      </c>
      <c r="P246">
        <v>136</v>
      </c>
      <c r="Q246">
        <v>565</v>
      </c>
      <c r="R246" s="18">
        <v>0.24070796460176991</v>
      </c>
    </row>
    <row r="247" spans="1:18" hidden="1" x14ac:dyDescent="0.3">
      <c r="A247">
        <v>670241</v>
      </c>
      <c r="B247" t="s">
        <v>121</v>
      </c>
      <c r="C247" t="s">
        <v>20</v>
      </c>
      <c r="D247">
        <v>10.6</v>
      </c>
      <c r="E247">
        <v>0.254</v>
      </c>
      <c r="F247">
        <v>2379</v>
      </c>
      <c r="G247">
        <v>81.95</v>
      </c>
      <c r="H247">
        <v>6.3</v>
      </c>
      <c r="I247">
        <v>3.19767</v>
      </c>
      <c r="J247">
        <v>-2.912E-2</v>
      </c>
      <c r="K247">
        <v>-2.5610000000000001E-2</v>
      </c>
      <c r="L247">
        <v>5.9</v>
      </c>
      <c r="M247">
        <v>-1.65</v>
      </c>
      <c r="N247">
        <v>0.33400000000000002</v>
      </c>
      <c r="O247">
        <v>45.3</v>
      </c>
      <c r="P247">
        <v>60</v>
      </c>
      <c r="Q247">
        <v>565</v>
      </c>
      <c r="R247" s="18">
        <v>0.10619469026548672</v>
      </c>
    </row>
    <row r="248" spans="1:18" hidden="1" x14ac:dyDescent="0.3">
      <c r="A248">
        <v>670241</v>
      </c>
      <c r="B248" t="s">
        <v>121</v>
      </c>
      <c r="C248" t="s">
        <v>37</v>
      </c>
      <c r="D248">
        <v>27.6</v>
      </c>
      <c r="E248">
        <v>0.315</v>
      </c>
      <c r="F248">
        <v>1485</v>
      </c>
      <c r="G248">
        <v>81.400000000000006</v>
      </c>
      <c r="H248">
        <v>6.26</v>
      </c>
      <c r="I248">
        <v>2.5237799999999999</v>
      </c>
      <c r="J248">
        <v>0.82057999999999998</v>
      </c>
      <c r="K248">
        <v>-5.391E-2</v>
      </c>
      <c r="L248">
        <v>5.96</v>
      </c>
      <c r="M248">
        <v>-1.61</v>
      </c>
      <c r="N248">
        <v>0.48299999999999998</v>
      </c>
      <c r="O248">
        <v>44</v>
      </c>
      <c r="P248">
        <v>156</v>
      </c>
      <c r="Q248">
        <v>565</v>
      </c>
      <c r="R248" s="18">
        <v>0.27610619469026548</v>
      </c>
    </row>
    <row r="249" spans="1:18" hidden="1" x14ac:dyDescent="0.3">
      <c r="A249">
        <v>623433</v>
      </c>
      <c r="B249" t="s">
        <v>122</v>
      </c>
      <c r="C249" t="s">
        <v>16</v>
      </c>
      <c r="D249">
        <v>8.1999999999999993</v>
      </c>
      <c r="E249">
        <v>0.36499999999999999</v>
      </c>
      <c r="F249">
        <v>2101</v>
      </c>
      <c r="G249">
        <v>93.98</v>
      </c>
      <c r="H249">
        <v>6.09</v>
      </c>
      <c r="I249">
        <v>1.1803900000000001</v>
      </c>
      <c r="J249">
        <v>0.43079000000000001</v>
      </c>
      <c r="K249">
        <v>0.12755</v>
      </c>
      <c r="L249">
        <v>6.59</v>
      </c>
      <c r="M249">
        <v>-0.56999999999999995</v>
      </c>
      <c r="N249">
        <v>0.52600000000000002</v>
      </c>
      <c r="O249">
        <v>51.8</v>
      </c>
      <c r="P249">
        <v>229</v>
      </c>
      <c r="Q249">
        <v>548</v>
      </c>
      <c r="R249" s="18">
        <v>0.41788321167883213</v>
      </c>
    </row>
    <row r="250" spans="1:18" hidden="1" x14ac:dyDescent="0.3">
      <c r="A250">
        <v>623433</v>
      </c>
      <c r="B250" t="s">
        <v>122</v>
      </c>
      <c r="C250" t="s">
        <v>23</v>
      </c>
      <c r="D250">
        <v>9.8000000000000007</v>
      </c>
      <c r="E250">
        <v>0.17299999999999999</v>
      </c>
      <c r="F250">
        <v>1933</v>
      </c>
      <c r="G250">
        <v>80.25</v>
      </c>
      <c r="H250">
        <v>6.06</v>
      </c>
      <c r="I250">
        <v>3.7271200000000002</v>
      </c>
      <c r="J250">
        <v>-0.20376</v>
      </c>
      <c r="K250">
        <v>-4.6199999999999998E-2</v>
      </c>
      <c r="L250">
        <v>6.56</v>
      </c>
      <c r="M250">
        <v>-0.63</v>
      </c>
      <c r="N250">
        <v>0.22600000000000001</v>
      </c>
      <c r="O250">
        <v>52.8</v>
      </c>
      <c r="P250">
        <v>274</v>
      </c>
      <c r="Q250">
        <v>548</v>
      </c>
      <c r="R250" s="18">
        <v>0.5</v>
      </c>
    </row>
    <row r="251" spans="1:18" hidden="1" x14ac:dyDescent="0.3">
      <c r="A251">
        <v>623433</v>
      </c>
      <c r="B251" t="s">
        <v>122</v>
      </c>
      <c r="C251" t="s">
        <v>18</v>
      </c>
      <c r="D251">
        <v>1.6</v>
      </c>
      <c r="E251">
        <v>0.49299999999999999</v>
      </c>
      <c r="F251">
        <v>2090</v>
      </c>
      <c r="G251">
        <v>94.61</v>
      </c>
      <c r="H251">
        <v>6.15</v>
      </c>
      <c r="I251">
        <v>1.0960000000000001</v>
      </c>
      <c r="J251">
        <v>0.76110999999999995</v>
      </c>
      <c r="K251">
        <v>-6.4400000000000004E-3</v>
      </c>
      <c r="L251">
        <v>6.54</v>
      </c>
      <c r="M251">
        <v>-0.62</v>
      </c>
      <c r="N251">
        <v>0.60599999999999998</v>
      </c>
      <c r="O251">
        <v>51.8</v>
      </c>
      <c r="P251">
        <v>45</v>
      </c>
      <c r="Q251">
        <v>548</v>
      </c>
      <c r="R251" s="18">
        <v>8.211678832116788E-2</v>
      </c>
    </row>
    <row r="252" spans="1:18" hidden="1" x14ac:dyDescent="0.3">
      <c r="A252">
        <v>607200</v>
      </c>
      <c r="B252" t="s">
        <v>42</v>
      </c>
      <c r="C252" t="s">
        <v>34</v>
      </c>
      <c r="D252">
        <v>1.1000000000000001</v>
      </c>
      <c r="E252">
        <v>0.23599999999999999</v>
      </c>
      <c r="F252">
        <v>2171</v>
      </c>
      <c r="G252">
        <v>91.68</v>
      </c>
      <c r="H252">
        <v>6.71</v>
      </c>
      <c r="I252">
        <v>2.0501399999999999</v>
      </c>
      <c r="J252">
        <v>-0.17263000000000001</v>
      </c>
      <c r="K252">
        <v>3.2919999999999998E-2</v>
      </c>
      <c r="L252">
        <v>5.9</v>
      </c>
      <c r="M252">
        <v>-1.3</v>
      </c>
      <c r="N252">
        <v>0.34799999999999998</v>
      </c>
      <c r="O252">
        <v>37.299999999999997</v>
      </c>
      <c r="P252">
        <v>139</v>
      </c>
      <c r="Q252">
        <v>452</v>
      </c>
      <c r="R252" s="18">
        <v>0.30752212389380529</v>
      </c>
    </row>
    <row r="253" spans="1:18" hidden="1" x14ac:dyDescent="0.3">
      <c r="A253">
        <v>607200</v>
      </c>
      <c r="B253" t="s">
        <v>42</v>
      </c>
      <c r="C253" t="s">
        <v>37</v>
      </c>
      <c r="D253">
        <v>0.5</v>
      </c>
      <c r="E253">
        <v>0.33200000000000002</v>
      </c>
      <c r="F253">
        <v>1782</v>
      </c>
      <c r="G253">
        <v>88.92</v>
      </c>
      <c r="H253">
        <v>6.72</v>
      </c>
      <c r="I253">
        <v>2.7163599999999999</v>
      </c>
      <c r="J253">
        <v>0.95818000000000003</v>
      </c>
      <c r="K253">
        <v>-0.85152000000000005</v>
      </c>
      <c r="L253">
        <v>5.77</v>
      </c>
      <c r="M253">
        <v>-1.62</v>
      </c>
      <c r="N253">
        <v>0.251</v>
      </c>
      <c r="O253">
        <v>29.9</v>
      </c>
      <c r="P253">
        <v>66</v>
      </c>
      <c r="Q253">
        <v>452</v>
      </c>
      <c r="R253" s="18">
        <v>0.14601769911504425</v>
      </c>
    </row>
    <row r="254" spans="1:18" hidden="1" x14ac:dyDescent="0.3">
      <c r="A254">
        <v>607200</v>
      </c>
      <c r="B254" t="s">
        <v>42</v>
      </c>
      <c r="C254" t="s">
        <v>40</v>
      </c>
      <c r="D254">
        <v>0.9</v>
      </c>
      <c r="E254">
        <v>0.33500000000000002</v>
      </c>
      <c r="F254">
        <v>2501</v>
      </c>
      <c r="G254">
        <v>83.74</v>
      </c>
      <c r="H254">
        <v>6.7</v>
      </c>
      <c r="I254">
        <v>2.91018</v>
      </c>
      <c r="J254">
        <v>-1.02573</v>
      </c>
      <c r="K254">
        <v>4.2270000000000002E-2</v>
      </c>
      <c r="L254">
        <v>5.64</v>
      </c>
      <c r="M254">
        <v>-1.65</v>
      </c>
      <c r="N254">
        <v>0.46</v>
      </c>
      <c r="O254">
        <v>29.2</v>
      </c>
      <c r="P254">
        <v>110</v>
      </c>
      <c r="Q254">
        <v>452</v>
      </c>
      <c r="R254" s="18">
        <v>0.24336283185840707</v>
      </c>
    </row>
    <row r="255" spans="1:18" hidden="1" x14ac:dyDescent="0.3">
      <c r="A255">
        <v>607200</v>
      </c>
      <c r="B255" t="s">
        <v>42</v>
      </c>
      <c r="C255" t="s">
        <v>18</v>
      </c>
      <c r="D255">
        <v>1.1000000000000001</v>
      </c>
      <c r="E255">
        <v>0.36899999999999999</v>
      </c>
      <c r="F255">
        <v>1994</v>
      </c>
      <c r="G255">
        <v>94.12</v>
      </c>
      <c r="H255">
        <v>6.79</v>
      </c>
      <c r="I255">
        <v>1.89438</v>
      </c>
      <c r="J255">
        <v>0.88993</v>
      </c>
      <c r="K255">
        <v>-0.11869</v>
      </c>
      <c r="L255">
        <v>6.01</v>
      </c>
      <c r="M255">
        <v>-1.1499999999999999</v>
      </c>
      <c r="N255">
        <v>0.34799999999999998</v>
      </c>
      <c r="O255">
        <v>39.6</v>
      </c>
      <c r="P255">
        <v>137</v>
      </c>
      <c r="Q255">
        <v>452</v>
      </c>
      <c r="R255" s="18">
        <v>0.30309734513274339</v>
      </c>
    </row>
    <row r="256" spans="1:18" hidden="1" x14ac:dyDescent="0.3">
      <c r="A256">
        <v>592145</v>
      </c>
      <c r="B256" t="s">
        <v>123</v>
      </c>
      <c r="C256" t="s">
        <v>20</v>
      </c>
      <c r="D256">
        <v>11.5</v>
      </c>
      <c r="E256">
        <v>0.19800000000000001</v>
      </c>
      <c r="F256">
        <v>2436</v>
      </c>
      <c r="G256">
        <v>86.08</v>
      </c>
      <c r="H256">
        <v>6.01</v>
      </c>
      <c r="I256">
        <v>2.9485999999999999</v>
      </c>
      <c r="J256">
        <v>-0.52569999999999995</v>
      </c>
      <c r="K256">
        <v>-0.12010999999999999</v>
      </c>
      <c r="L256">
        <v>5.88</v>
      </c>
      <c r="M256">
        <v>2.3199999999999998</v>
      </c>
      <c r="N256">
        <v>0.222</v>
      </c>
      <c r="O256">
        <v>35.299999999999997</v>
      </c>
      <c r="P256">
        <v>93</v>
      </c>
      <c r="Q256">
        <v>449</v>
      </c>
      <c r="R256" s="18">
        <v>0.20712694877505569</v>
      </c>
    </row>
    <row r="257" spans="1:18" hidden="1" x14ac:dyDescent="0.3">
      <c r="A257">
        <v>592145</v>
      </c>
      <c r="B257" t="s">
        <v>123</v>
      </c>
      <c r="C257" t="s">
        <v>16</v>
      </c>
      <c r="D257">
        <v>27.6</v>
      </c>
      <c r="E257">
        <v>0.52600000000000002</v>
      </c>
      <c r="F257">
        <v>2562</v>
      </c>
      <c r="G257">
        <v>93.87</v>
      </c>
      <c r="H257">
        <v>6.32</v>
      </c>
      <c r="I257">
        <v>1.44475</v>
      </c>
      <c r="J257">
        <v>0.41905999999999999</v>
      </c>
      <c r="K257">
        <v>-0.11860999999999999</v>
      </c>
      <c r="L257">
        <v>6.01</v>
      </c>
      <c r="M257">
        <v>2.21</v>
      </c>
      <c r="N257">
        <v>0.74</v>
      </c>
      <c r="O257">
        <v>44.5</v>
      </c>
      <c r="P257">
        <v>223</v>
      </c>
      <c r="Q257">
        <v>449</v>
      </c>
      <c r="R257" s="18">
        <v>0.49665924276169265</v>
      </c>
    </row>
    <row r="258" spans="1:18" hidden="1" x14ac:dyDescent="0.3">
      <c r="A258">
        <v>592145</v>
      </c>
      <c r="B258" t="s">
        <v>123</v>
      </c>
      <c r="C258" t="s">
        <v>18</v>
      </c>
      <c r="D258">
        <v>1.7</v>
      </c>
      <c r="E258">
        <v>0.629</v>
      </c>
      <c r="F258">
        <v>2652</v>
      </c>
      <c r="G258">
        <v>93.38</v>
      </c>
      <c r="H258">
        <v>6.62</v>
      </c>
      <c r="I258">
        <v>1.7164299999999999</v>
      </c>
      <c r="J258">
        <v>1.2050000000000001</v>
      </c>
      <c r="K258">
        <v>0.40928999999999999</v>
      </c>
      <c r="L258">
        <v>5.97</v>
      </c>
      <c r="M258">
        <v>2.52</v>
      </c>
      <c r="N258">
        <v>0.38200000000000001</v>
      </c>
      <c r="O258">
        <v>43.7</v>
      </c>
      <c r="P258">
        <v>14</v>
      </c>
      <c r="Q258">
        <v>449</v>
      </c>
      <c r="R258" s="18">
        <v>3.1180400890868598E-2</v>
      </c>
    </row>
    <row r="259" spans="1:18" hidden="1" x14ac:dyDescent="0.3">
      <c r="A259">
        <v>592145</v>
      </c>
      <c r="B259" t="s">
        <v>123</v>
      </c>
      <c r="C259" t="s">
        <v>23</v>
      </c>
      <c r="D259">
        <v>14.7</v>
      </c>
      <c r="E259">
        <v>0.21</v>
      </c>
      <c r="F259">
        <v>2598</v>
      </c>
      <c r="G259">
        <v>76.64</v>
      </c>
      <c r="H259">
        <v>5.99</v>
      </c>
      <c r="I259">
        <v>5.1468100000000003</v>
      </c>
      <c r="J259">
        <v>-0.97513000000000005</v>
      </c>
      <c r="K259">
        <v>0.59092</v>
      </c>
      <c r="L259">
        <v>6.06</v>
      </c>
      <c r="M259">
        <v>2.19</v>
      </c>
      <c r="N259">
        <v>0.19400000000000001</v>
      </c>
      <c r="O259">
        <v>46.9</v>
      </c>
      <c r="P259">
        <v>119</v>
      </c>
      <c r="Q259">
        <v>449</v>
      </c>
      <c r="R259" s="18">
        <v>0.26503340757238308</v>
      </c>
    </row>
    <row r="260" spans="1:18" hidden="1" x14ac:dyDescent="0.3">
      <c r="A260">
        <v>680735</v>
      </c>
      <c r="B260" t="s">
        <v>41</v>
      </c>
      <c r="C260" t="s">
        <v>33</v>
      </c>
      <c r="D260">
        <v>4.4000000000000004</v>
      </c>
      <c r="E260">
        <v>0.24</v>
      </c>
      <c r="F260">
        <v>645</v>
      </c>
      <c r="G260">
        <v>82.19</v>
      </c>
      <c r="H260">
        <v>6.35</v>
      </c>
      <c r="I260">
        <v>2.8995500000000001</v>
      </c>
      <c r="J260">
        <v>0.53205000000000002</v>
      </c>
      <c r="K260">
        <v>-0.45705000000000001</v>
      </c>
      <c r="L260">
        <v>6.38</v>
      </c>
      <c r="M260">
        <v>1.29</v>
      </c>
      <c r="N260">
        <v>0.375</v>
      </c>
      <c r="O260">
        <v>54.5</v>
      </c>
      <c r="P260">
        <v>44</v>
      </c>
      <c r="Q260">
        <v>427</v>
      </c>
      <c r="R260" s="18">
        <v>0.10304449648711944</v>
      </c>
    </row>
    <row r="261" spans="1:18" hidden="1" x14ac:dyDescent="0.3">
      <c r="A261">
        <v>680735</v>
      </c>
      <c r="B261" t="s">
        <v>41</v>
      </c>
      <c r="C261" t="s">
        <v>23</v>
      </c>
      <c r="D261">
        <v>7.5</v>
      </c>
      <c r="E261">
        <v>0.30199999999999999</v>
      </c>
      <c r="F261">
        <v>2489</v>
      </c>
      <c r="G261">
        <v>80.47</v>
      </c>
      <c r="H261">
        <v>6.24</v>
      </c>
      <c r="I261">
        <v>4.2193300000000002</v>
      </c>
      <c r="J261">
        <v>-0.20338000000000001</v>
      </c>
      <c r="K261">
        <v>3.635E-2</v>
      </c>
      <c r="L261">
        <v>6.38</v>
      </c>
      <c r="M261">
        <v>1.33</v>
      </c>
      <c r="N261">
        <v>0.39200000000000002</v>
      </c>
      <c r="O261">
        <v>55.3</v>
      </c>
      <c r="P261">
        <v>75</v>
      </c>
      <c r="Q261">
        <v>427</v>
      </c>
      <c r="R261" s="18">
        <v>0.1756440281030445</v>
      </c>
    </row>
    <row r="262" spans="1:18" hidden="1" x14ac:dyDescent="0.3">
      <c r="A262">
        <v>680735</v>
      </c>
      <c r="B262" t="s">
        <v>41</v>
      </c>
      <c r="C262" t="s">
        <v>34</v>
      </c>
      <c r="D262">
        <v>1.5</v>
      </c>
      <c r="E262">
        <v>0.89800000000000002</v>
      </c>
      <c r="F262">
        <v>2318</v>
      </c>
      <c r="G262">
        <v>91.37</v>
      </c>
      <c r="H262">
        <v>6.35</v>
      </c>
      <c r="I262">
        <v>1.7306699999999999</v>
      </c>
      <c r="J262">
        <v>2.8000000000000001E-2</v>
      </c>
      <c r="K262">
        <v>-2.8000000000000001E-2</v>
      </c>
      <c r="L262">
        <v>6.23</v>
      </c>
      <c r="M262">
        <v>1.51</v>
      </c>
      <c r="N262">
        <v>1.5129999999999999</v>
      </c>
      <c r="O262">
        <v>50.7</v>
      </c>
      <c r="P262">
        <v>15</v>
      </c>
      <c r="Q262">
        <v>427</v>
      </c>
      <c r="R262" s="18">
        <v>3.5128805620608897E-2</v>
      </c>
    </row>
    <row r="263" spans="1:18" hidden="1" x14ac:dyDescent="0.3">
      <c r="A263">
        <v>680735</v>
      </c>
      <c r="B263" t="s">
        <v>41</v>
      </c>
      <c r="C263" t="s">
        <v>20</v>
      </c>
      <c r="D263">
        <v>13.8</v>
      </c>
      <c r="E263">
        <v>0.30199999999999999</v>
      </c>
      <c r="F263">
        <v>2351</v>
      </c>
      <c r="G263">
        <v>86.84</v>
      </c>
      <c r="H263">
        <v>6.32</v>
      </c>
      <c r="I263">
        <v>2.6688499999999999</v>
      </c>
      <c r="J263">
        <v>-0.38396000000000002</v>
      </c>
      <c r="K263">
        <v>-6.3670000000000004E-2</v>
      </c>
      <c r="L263">
        <v>6.29</v>
      </c>
      <c r="M263">
        <v>1.55</v>
      </c>
      <c r="N263">
        <v>0.33</v>
      </c>
      <c r="O263">
        <v>50.3</v>
      </c>
      <c r="P263">
        <v>139</v>
      </c>
      <c r="Q263">
        <v>427</v>
      </c>
      <c r="R263" s="18">
        <v>0.32552693208430911</v>
      </c>
    </row>
    <row r="264" spans="1:18" hidden="1" x14ac:dyDescent="0.3">
      <c r="A264">
        <v>680735</v>
      </c>
      <c r="B264" t="s">
        <v>41</v>
      </c>
      <c r="C264" t="s">
        <v>16</v>
      </c>
      <c r="D264">
        <v>15.1</v>
      </c>
      <c r="E264">
        <v>0.443</v>
      </c>
      <c r="F264">
        <v>2127</v>
      </c>
      <c r="G264">
        <v>92.76</v>
      </c>
      <c r="H264">
        <v>6.37</v>
      </c>
      <c r="I264">
        <v>1.1477599999999999</v>
      </c>
      <c r="J264">
        <v>0.32463999999999998</v>
      </c>
      <c r="K264">
        <v>-6.8870000000000001E-2</v>
      </c>
      <c r="L264">
        <v>6.36</v>
      </c>
      <c r="M264">
        <v>1.32</v>
      </c>
      <c r="N264">
        <v>0.76300000000000001</v>
      </c>
      <c r="O264">
        <v>53.6</v>
      </c>
      <c r="P264">
        <v>152</v>
      </c>
      <c r="Q264">
        <v>427</v>
      </c>
      <c r="R264" s="18">
        <v>0.35597189695550352</v>
      </c>
    </row>
    <row r="265" spans="1:18" hidden="1" x14ac:dyDescent="0.3">
      <c r="A265">
        <v>680735</v>
      </c>
      <c r="B265" t="s">
        <v>41</v>
      </c>
      <c r="C265" t="s">
        <v>18</v>
      </c>
      <c r="D265">
        <v>0.2</v>
      </c>
      <c r="F265">
        <v>2119</v>
      </c>
      <c r="G265">
        <v>92.15</v>
      </c>
      <c r="H265">
        <v>6.25</v>
      </c>
      <c r="I265">
        <v>1.29</v>
      </c>
      <c r="J265">
        <v>1.095</v>
      </c>
      <c r="K265">
        <v>0.30499999999999999</v>
      </c>
      <c r="L265">
        <v>6.28</v>
      </c>
      <c r="M265">
        <v>1.5</v>
      </c>
      <c r="O265">
        <v>48.9</v>
      </c>
      <c r="P265">
        <v>2</v>
      </c>
      <c r="Q265">
        <v>427</v>
      </c>
      <c r="R265" s="18">
        <v>4.6838407494145199E-3</v>
      </c>
    </row>
    <row r="266" spans="1:18" hidden="1" x14ac:dyDescent="0.3">
      <c r="A266">
        <v>572362</v>
      </c>
      <c r="B266" t="s">
        <v>124</v>
      </c>
      <c r="C266" t="s">
        <v>37</v>
      </c>
      <c r="D266">
        <v>4.5</v>
      </c>
      <c r="E266">
        <v>0.39</v>
      </c>
      <c r="F266">
        <v>1465</v>
      </c>
      <c r="G266">
        <v>82.73</v>
      </c>
      <c r="H266">
        <v>6.14</v>
      </c>
      <c r="I266">
        <v>2.61415</v>
      </c>
      <c r="J266">
        <v>0.81830999999999998</v>
      </c>
      <c r="K266">
        <v>-0.42137999999999998</v>
      </c>
      <c r="L266">
        <v>5.7</v>
      </c>
      <c r="M266">
        <v>2.57</v>
      </c>
      <c r="N266">
        <v>0.55000000000000004</v>
      </c>
      <c r="O266">
        <v>45.6</v>
      </c>
      <c r="P266">
        <v>65</v>
      </c>
      <c r="Q266">
        <v>397</v>
      </c>
      <c r="R266" s="18">
        <v>0.16372795969773299</v>
      </c>
    </row>
    <row r="267" spans="1:18" hidden="1" x14ac:dyDescent="0.3">
      <c r="A267">
        <v>572362</v>
      </c>
      <c r="B267" t="s">
        <v>124</v>
      </c>
      <c r="C267" t="s">
        <v>16</v>
      </c>
      <c r="D267">
        <v>14.8</v>
      </c>
      <c r="E267">
        <v>0.36299999999999999</v>
      </c>
      <c r="F267">
        <v>2251</v>
      </c>
      <c r="G267">
        <v>88.85</v>
      </c>
      <c r="H267">
        <v>6.18</v>
      </c>
      <c r="I267">
        <v>1.45167</v>
      </c>
      <c r="J267">
        <v>0.69462999999999997</v>
      </c>
      <c r="K267">
        <v>-0.36407</v>
      </c>
      <c r="L267">
        <v>5.8</v>
      </c>
      <c r="M267">
        <v>2.4500000000000002</v>
      </c>
      <c r="N267">
        <v>0.58299999999999996</v>
      </c>
      <c r="O267">
        <v>47.2</v>
      </c>
      <c r="P267">
        <v>216</v>
      </c>
      <c r="Q267">
        <v>397</v>
      </c>
      <c r="R267" s="18">
        <v>0.54408060453400509</v>
      </c>
    </row>
    <row r="268" spans="1:18" hidden="1" x14ac:dyDescent="0.3">
      <c r="A268">
        <v>572362</v>
      </c>
      <c r="B268" t="s">
        <v>124</v>
      </c>
      <c r="C268" t="s">
        <v>18</v>
      </c>
      <c r="D268">
        <v>0.1</v>
      </c>
      <c r="F268">
        <v>2327</v>
      </c>
      <c r="G268">
        <v>89.85</v>
      </c>
      <c r="H268">
        <v>6.25</v>
      </c>
      <c r="I268">
        <v>1.5</v>
      </c>
      <c r="J268">
        <v>1.0149999999999999</v>
      </c>
      <c r="K268">
        <v>2.5000000000000001E-2</v>
      </c>
      <c r="L268">
        <v>5.71</v>
      </c>
      <c r="M268">
        <v>2.63</v>
      </c>
      <c r="O268">
        <v>42.7</v>
      </c>
      <c r="P268">
        <v>2</v>
      </c>
      <c r="Q268">
        <v>397</v>
      </c>
      <c r="R268" s="18">
        <v>5.0377833753148613E-3</v>
      </c>
    </row>
    <row r="269" spans="1:18" hidden="1" x14ac:dyDescent="0.3">
      <c r="A269">
        <v>572362</v>
      </c>
      <c r="B269" t="s">
        <v>124</v>
      </c>
      <c r="C269" t="s">
        <v>23</v>
      </c>
      <c r="D269">
        <v>7.8</v>
      </c>
      <c r="E269">
        <v>0.31900000000000001</v>
      </c>
      <c r="F269">
        <v>2584</v>
      </c>
      <c r="G269">
        <v>75.17</v>
      </c>
      <c r="H269">
        <v>6.1</v>
      </c>
      <c r="I269">
        <v>5.2916699999999999</v>
      </c>
      <c r="J269">
        <v>-0.60228000000000004</v>
      </c>
      <c r="K269">
        <v>0.28719</v>
      </c>
      <c r="L269">
        <v>5.79</v>
      </c>
      <c r="M269">
        <v>2.46</v>
      </c>
      <c r="N269">
        <v>0.42899999999999999</v>
      </c>
      <c r="O269">
        <v>49.8</v>
      </c>
      <c r="P269">
        <v>114</v>
      </c>
      <c r="Q269">
        <v>397</v>
      </c>
      <c r="R269" s="18">
        <v>0.2871536523929471</v>
      </c>
    </row>
    <row r="270" spans="1:18" hidden="1" x14ac:dyDescent="0.3">
      <c r="A270">
        <v>630023</v>
      </c>
      <c r="B270" t="s">
        <v>125</v>
      </c>
      <c r="C270" t="s">
        <v>33</v>
      </c>
      <c r="D270">
        <v>3.7</v>
      </c>
      <c r="E270">
        <v>0.317</v>
      </c>
      <c r="F270">
        <v>1356</v>
      </c>
      <c r="G270">
        <v>85.92</v>
      </c>
      <c r="H270">
        <v>6.35</v>
      </c>
      <c r="I270">
        <v>2.7916400000000001</v>
      </c>
      <c r="J270">
        <v>0.50519999999999998</v>
      </c>
      <c r="K270">
        <v>-0.11888</v>
      </c>
      <c r="L270">
        <v>6.81</v>
      </c>
      <c r="M270">
        <v>-0.55000000000000004</v>
      </c>
      <c r="N270">
        <v>0.439</v>
      </c>
      <c r="O270">
        <v>50.7</v>
      </c>
      <c r="P270">
        <v>152</v>
      </c>
      <c r="Q270">
        <v>395</v>
      </c>
      <c r="R270" s="18">
        <v>0.38481012658227848</v>
      </c>
    </row>
    <row r="271" spans="1:18" hidden="1" x14ac:dyDescent="0.3">
      <c r="A271">
        <v>630023</v>
      </c>
      <c r="B271" t="s">
        <v>125</v>
      </c>
      <c r="C271" t="s">
        <v>16</v>
      </c>
      <c r="D271">
        <v>0.3</v>
      </c>
      <c r="E271">
        <v>0.36299999999999999</v>
      </c>
      <c r="F271">
        <v>2189</v>
      </c>
      <c r="G271">
        <v>92.91</v>
      </c>
      <c r="H271">
        <v>6.16</v>
      </c>
      <c r="I271">
        <v>1.47167</v>
      </c>
      <c r="J271">
        <v>0.80332999999999999</v>
      </c>
      <c r="K271">
        <v>-0.505</v>
      </c>
      <c r="L271">
        <v>6.53</v>
      </c>
      <c r="M271">
        <v>-0.76</v>
      </c>
      <c r="O271">
        <v>44.2</v>
      </c>
      <c r="P271">
        <v>12</v>
      </c>
      <c r="Q271">
        <v>395</v>
      </c>
      <c r="R271" s="18">
        <v>3.0379746835443037E-2</v>
      </c>
    </row>
    <row r="272" spans="1:18" hidden="1" x14ac:dyDescent="0.3">
      <c r="A272">
        <v>630023</v>
      </c>
      <c r="B272" t="s">
        <v>125</v>
      </c>
      <c r="C272" t="s">
        <v>20</v>
      </c>
      <c r="D272">
        <v>1.2</v>
      </c>
      <c r="E272">
        <v>0.27800000000000002</v>
      </c>
      <c r="F272">
        <v>2211</v>
      </c>
      <c r="G272">
        <v>90.51</v>
      </c>
      <c r="H272">
        <v>6.32</v>
      </c>
      <c r="I272">
        <v>2.1939199999999999</v>
      </c>
      <c r="J272">
        <v>0.12</v>
      </c>
      <c r="K272">
        <v>-2.3140000000000001E-2</v>
      </c>
      <c r="L272">
        <v>6.62</v>
      </c>
      <c r="M272">
        <v>-0.77</v>
      </c>
      <c r="N272">
        <v>0.308</v>
      </c>
      <c r="O272">
        <v>45.2</v>
      </c>
      <c r="P272">
        <v>51</v>
      </c>
      <c r="Q272">
        <v>395</v>
      </c>
      <c r="R272" s="18">
        <v>0.12911392405063291</v>
      </c>
    </row>
    <row r="273" spans="1:18" hidden="1" x14ac:dyDescent="0.3">
      <c r="A273">
        <v>630023</v>
      </c>
      <c r="B273" t="s">
        <v>125</v>
      </c>
      <c r="C273" t="s">
        <v>18</v>
      </c>
      <c r="D273">
        <v>4.4000000000000004</v>
      </c>
      <c r="E273">
        <v>0.40400000000000003</v>
      </c>
      <c r="F273">
        <v>2037</v>
      </c>
      <c r="G273">
        <v>92.96</v>
      </c>
      <c r="H273">
        <v>6.33</v>
      </c>
      <c r="I273">
        <v>2.0786699999999998</v>
      </c>
      <c r="J273">
        <v>1.3393299999999999</v>
      </c>
      <c r="K273">
        <v>-3.2779999999999997E-2</v>
      </c>
      <c r="L273">
        <v>6.61</v>
      </c>
      <c r="M273">
        <v>-0.8</v>
      </c>
      <c r="N273">
        <v>0.52900000000000003</v>
      </c>
      <c r="O273">
        <v>43.3</v>
      </c>
      <c r="P273">
        <v>180</v>
      </c>
      <c r="Q273">
        <v>395</v>
      </c>
      <c r="R273" s="18">
        <v>0.45569620253164556</v>
      </c>
    </row>
    <row r="274" spans="1:18" hidden="1" x14ac:dyDescent="0.3">
      <c r="A274">
        <v>593144</v>
      </c>
      <c r="B274" t="s">
        <v>126</v>
      </c>
      <c r="C274" t="s">
        <v>16</v>
      </c>
      <c r="D274">
        <v>13.1</v>
      </c>
      <c r="E274">
        <v>0.40899999999999997</v>
      </c>
      <c r="F274">
        <v>2312</v>
      </c>
      <c r="G274">
        <v>93.56</v>
      </c>
      <c r="H274">
        <v>6.74</v>
      </c>
      <c r="I274">
        <v>1.4457100000000001</v>
      </c>
      <c r="J274">
        <v>1.06233</v>
      </c>
      <c r="K274">
        <v>0.23626</v>
      </c>
      <c r="L274">
        <v>5.92</v>
      </c>
      <c r="M274">
        <v>-3</v>
      </c>
      <c r="N274">
        <v>0.65300000000000002</v>
      </c>
      <c r="O274">
        <v>34.200000000000003</v>
      </c>
      <c r="P274">
        <v>326</v>
      </c>
      <c r="Q274">
        <v>384</v>
      </c>
      <c r="R274" s="18">
        <v>0.84895833333333337</v>
      </c>
    </row>
    <row r="275" spans="1:18" hidden="1" x14ac:dyDescent="0.3">
      <c r="A275">
        <v>593144</v>
      </c>
      <c r="B275" t="s">
        <v>126</v>
      </c>
      <c r="C275" t="s">
        <v>20</v>
      </c>
      <c r="D275">
        <v>2.2999999999999998</v>
      </c>
      <c r="E275">
        <v>0.246</v>
      </c>
      <c r="F275">
        <v>1950</v>
      </c>
      <c r="G275">
        <v>81.52</v>
      </c>
      <c r="H275">
        <v>6.68</v>
      </c>
      <c r="I275">
        <v>3.92672</v>
      </c>
      <c r="J275">
        <v>-0.51385999999999998</v>
      </c>
      <c r="K275">
        <v>0.15561</v>
      </c>
      <c r="L275">
        <v>5.93</v>
      </c>
      <c r="M275">
        <v>-3.24</v>
      </c>
      <c r="N275">
        <v>0.245</v>
      </c>
      <c r="O275">
        <v>35.5</v>
      </c>
      <c r="P275">
        <v>58</v>
      </c>
      <c r="Q275">
        <v>384</v>
      </c>
      <c r="R275" s="18">
        <v>0.15104166666666666</v>
      </c>
    </row>
    <row r="276" spans="1:18" hidden="1" x14ac:dyDescent="0.3">
      <c r="A276">
        <v>678061</v>
      </c>
      <c r="B276" t="s">
        <v>127</v>
      </c>
      <c r="C276" t="s">
        <v>23</v>
      </c>
      <c r="D276">
        <v>20</v>
      </c>
      <c r="E276">
        <v>0.26100000000000001</v>
      </c>
      <c r="F276">
        <v>1966</v>
      </c>
      <c r="G276">
        <v>82.01</v>
      </c>
      <c r="H276">
        <v>6.14</v>
      </c>
      <c r="I276">
        <v>3.5862799999999999</v>
      </c>
      <c r="J276">
        <v>-4.7099999999999998E-3</v>
      </c>
      <c r="K276">
        <v>3.0799999999999998E-3</v>
      </c>
      <c r="L276">
        <v>5.62</v>
      </c>
      <c r="M276">
        <v>1.56</v>
      </c>
      <c r="N276">
        <v>0.29399999999999998</v>
      </c>
      <c r="O276">
        <v>32.1</v>
      </c>
      <c r="P276">
        <v>180</v>
      </c>
      <c r="Q276">
        <v>383</v>
      </c>
      <c r="R276" s="18">
        <v>0.4699738903394256</v>
      </c>
    </row>
    <row r="277" spans="1:18" hidden="1" x14ac:dyDescent="0.3">
      <c r="A277">
        <v>678061</v>
      </c>
      <c r="B277" t="s">
        <v>127</v>
      </c>
      <c r="C277" t="s">
        <v>34</v>
      </c>
      <c r="D277">
        <v>1.7</v>
      </c>
      <c r="F277">
        <v>2029</v>
      </c>
      <c r="G277">
        <v>90.06</v>
      </c>
      <c r="H277">
        <v>5.99</v>
      </c>
      <c r="I277">
        <v>2.1160000000000001</v>
      </c>
      <c r="J277">
        <v>-2.6700000000000001E-3</v>
      </c>
      <c r="K277">
        <v>0.10267</v>
      </c>
      <c r="L277">
        <v>5.52</v>
      </c>
      <c r="M277">
        <v>1.69</v>
      </c>
      <c r="O277">
        <v>27.7</v>
      </c>
      <c r="P277">
        <v>15</v>
      </c>
      <c r="Q277">
        <v>383</v>
      </c>
      <c r="R277" s="18">
        <v>3.91644908616188E-2</v>
      </c>
    </row>
    <row r="278" spans="1:18" hidden="1" x14ac:dyDescent="0.3">
      <c r="A278">
        <v>678061</v>
      </c>
      <c r="B278" t="s">
        <v>127</v>
      </c>
      <c r="C278" t="s">
        <v>33</v>
      </c>
      <c r="D278">
        <v>1.9</v>
      </c>
      <c r="E278">
        <v>0.55200000000000005</v>
      </c>
      <c r="F278">
        <v>1523</v>
      </c>
      <c r="G278">
        <v>89.68</v>
      </c>
      <c r="H278">
        <v>6.25</v>
      </c>
      <c r="I278">
        <v>2.2017600000000002</v>
      </c>
      <c r="J278">
        <v>1.0605899999999999</v>
      </c>
      <c r="K278">
        <v>-0.92528999999999995</v>
      </c>
      <c r="L278">
        <v>5.6</v>
      </c>
      <c r="M278">
        <v>1.77</v>
      </c>
      <c r="N278">
        <v>0.67500000000000004</v>
      </c>
      <c r="O278">
        <v>30.3</v>
      </c>
      <c r="P278">
        <v>17</v>
      </c>
      <c r="Q278">
        <v>383</v>
      </c>
      <c r="R278" s="18">
        <v>4.4386422976501305E-2</v>
      </c>
    </row>
    <row r="279" spans="1:18" hidden="1" x14ac:dyDescent="0.3">
      <c r="A279">
        <v>678061</v>
      </c>
      <c r="B279" t="s">
        <v>127</v>
      </c>
      <c r="C279" t="s">
        <v>16</v>
      </c>
      <c r="D279">
        <v>19</v>
      </c>
      <c r="E279">
        <v>0.38600000000000001</v>
      </c>
      <c r="F279">
        <v>2313</v>
      </c>
      <c r="G279">
        <v>94.99</v>
      </c>
      <c r="H279">
        <v>6.13</v>
      </c>
      <c r="I279">
        <v>1.20468</v>
      </c>
      <c r="J279">
        <v>0.55537999999999998</v>
      </c>
      <c r="K279">
        <v>-0.13794999999999999</v>
      </c>
      <c r="L279">
        <v>5.78</v>
      </c>
      <c r="M279">
        <v>1.52</v>
      </c>
      <c r="N279">
        <v>0.52900000000000003</v>
      </c>
      <c r="O279">
        <v>33.1</v>
      </c>
      <c r="P279">
        <v>171</v>
      </c>
      <c r="Q279">
        <v>383</v>
      </c>
      <c r="R279" s="18">
        <v>0.44647519582245432</v>
      </c>
    </row>
    <row r="280" spans="1:18" hidden="1" x14ac:dyDescent="0.3">
      <c r="A280">
        <v>641755</v>
      </c>
      <c r="B280" t="s">
        <v>38</v>
      </c>
      <c r="C280" t="s">
        <v>20</v>
      </c>
      <c r="D280">
        <v>4.8</v>
      </c>
      <c r="E280">
        <v>0.27</v>
      </c>
      <c r="F280">
        <v>2553</v>
      </c>
      <c r="G280">
        <v>86.78</v>
      </c>
      <c r="H280">
        <v>5.58</v>
      </c>
      <c r="I280">
        <v>2.66865</v>
      </c>
      <c r="J280">
        <v>-0.16925999999999999</v>
      </c>
      <c r="K280">
        <v>-3.4709999999999998E-2</v>
      </c>
      <c r="L280">
        <v>6.59</v>
      </c>
      <c r="M280">
        <v>-0.82</v>
      </c>
      <c r="N280">
        <v>0.36899999999999999</v>
      </c>
      <c r="O280">
        <v>45.1</v>
      </c>
      <c r="P280">
        <v>260</v>
      </c>
      <c r="Q280">
        <v>353</v>
      </c>
      <c r="R280" s="18">
        <v>0.73654390934844194</v>
      </c>
    </row>
    <row r="281" spans="1:18" hidden="1" x14ac:dyDescent="0.3">
      <c r="A281">
        <v>641755</v>
      </c>
      <c r="B281" t="s">
        <v>38</v>
      </c>
      <c r="C281" t="s">
        <v>16</v>
      </c>
      <c r="D281">
        <v>0.9</v>
      </c>
      <c r="E281">
        <v>0.39900000000000002</v>
      </c>
      <c r="F281">
        <v>2407</v>
      </c>
      <c r="G281">
        <v>93.86</v>
      </c>
      <c r="H281">
        <v>5.57</v>
      </c>
      <c r="I281">
        <v>1.2110000000000001</v>
      </c>
      <c r="J281">
        <v>0.25646000000000002</v>
      </c>
      <c r="K281">
        <v>-5.1459999999999999E-2</v>
      </c>
      <c r="L281">
        <v>6.63</v>
      </c>
      <c r="M281">
        <v>-0.76</v>
      </c>
      <c r="N281">
        <v>0.60899999999999999</v>
      </c>
      <c r="O281">
        <v>44.7</v>
      </c>
      <c r="P281">
        <v>50</v>
      </c>
      <c r="Q281">
        <v>353</v>
      </c>
      <c r="R281" s="18">
        <v>0.14164305949008499</v>
      </c>
    </row>
    <row r="282" spans="1:18" hidden="1" x14ac:dyDescent="0.3">
      <c r="A282">
        <v>641755</v>
      </c>
      <c r="B282" t="s">
        <v>38</v>
      </c>
      <c r="C282" t="s">
        <v>23</v>
      </c>
      <c r="D282">
        <v>0.8</v>
      </c>
      <c r="E282">
        <v>0.13500000000000001</v>
      </c>
      <c r="F282">
        <v>2783</v>
      </c>
      <c r="G282">
        <v>83.35</v>
      </c>
      <c r="H282">
        <v>5.57</v>
      </c>
      <c r="I282">
        <v>3.84023</v>
      </c>
      <c r="J282">
        <v>-0.24953</v>
      </c>
      <c r="K282">
        <v>6.7400000000000003E-3</v>
      </c>
      <c r="L282">
        <v>6.62</v>
      </c>
      <c r="M282">
        <v>-0.72</v>
      </c>
      <c r="N282">
        <v>6.0999999999999999E-2</v>
      </c>
      <c r="O282">
        <v>46.7</v>
      </c>
      <c r="P282">
        <v>43</v>
      </c>
      <c r="Q282">
        <v>353</v>
      </c>
      <c r="R282" s="18">
        <v>0.12181303116147309</v>
      </c>
    </row>
    <row r="283" spans="1:18" hidden="1" x14ac:dyDescent="0.3">
      <c r="A283">
        <v>543272</v>
      </c>
      <c r="B283" t="s">
        <v>128</v>
      </c>
      <c r="C283" t="s">
        <v>16</v>
      </c>
      <c r="D283">
        <v>2.2999999999999998</v>
      </c>
      <c r="E283">
        <v>0.314</v>
      </c>
      <c r="F283">
        <v>2312</v>
      </c>
      <c r="G283">
        <v>91.56</v>
      </c>
      <c r="H283">
        <v>5.84</v>
      </c>
      <c r="I283">
        <v>1.6971099999999999</v>
      </c>
      <c r="J283">
        <v>0.95474000000000003</v>
      </c>
      <c r="K283">
        <v>7.5980000000000006E-2</v>
      </c>
      <c r="L283">
        <v>6</v>
      </c>
      <c r="M283">
        <v>2.88</v>
      </c>
      <c r="N283">
        <v>0.436</v>
      </c>
      <c r="O283">
        <v>30.8</v>
      </c>
      <c r="P283">
        <v>97</v>
      </c>
      <c r="Q283">
        <v>315</v>
      </c>
      <c r="R283" s="18">
        <v>0.30793650793650795</v>
      </c>
    </row>
    <row r="284" spans="1:18" hidden="1" x14ac:dyDescent="0.3">
      <c r="A284">
        <v>543272</v>
      </c>
      <c r="B284" t="s">
        <v>128</v>
      </c>
      <c r="C284" t="s">
        <v>40</v>
      </c>
      <c r="D284">
        <v>4.3</v>
      </c>
      <c r="E284">
        <v>0.31</v>
      </c>
      <c r="F284">
        <v>2424</v>
      </c>
      <c r="G284">
        <v>79.56</v>
      </c>
      <c r="H284">
        <v>5.64</v>
      </c>
      <c r="I284">
        <v>3.6162399999999999</v>
      </c>
      <c r="J284">
        <v>-1.28729</v>
      </c>
      <c r="K284">
        <v>4.4200000000000003E-2</v>
      </c>
      <c r="L284">
        <v>6</v>
      </c>
      <c r="M284">
        <v>2.9</v>
      </c>
      <c r="N284">
        <v>0.34799999999999998</v>
      </c>
      <c r="O284">
        <v>31.3</v>
      </c>
      <c r="P284">
        <v>181</v>
      </c>
      <c r="Q284">
        <v>315</v>
      </c>
      <c r="R284" s="18">
        <v>0.57460317460317456</v>
      </c>
    </row>
    <row r="285" spans="1:18" hidden="1" x14ac:dyDescent="0.3">
      <c r="A285">
        <v>543272</v>
      </c>
      <c r="B285" t="s">
        <v>128</v>
      </c>
      <c r="C285" t="s">
        <v>18</v>
      </c>
      <c r="D285">
        <v>0.9</v>
      </c>
      <c r="E285">
        <v>0.48699999999999999</v>
      </c>
      <c r="F285">
        <v>2195</v>
      </c>
      <c r="G285">
        <v>92.37</v>
      </c>
      <c r="H285">
        <v>5.91</v>
      </c>
      <c r="I285">
        <v>1.9943200000000001</v>
      </c>
      <c r="J285">
        <v>1.4</v>
      </c>
      <c r="K285">
        <v>-0.74378</v>
      </c>
      <c r="L285">
        <v>6.16</v>
      </c>
      <c r="M285">
        <v>2.73</v>
      </c>
      <c r="N285">
        <v>0.67400000000000004</v>
      </c>
      <c r="O285">
        <v>36.299999999999997</v>
      </c>
      <c r="P285">
        <v>37</v>
      </c>
      <c r="Q285">
        <v>315</v>
      </c>
      <c r="R285" s="18">
        <v>0.11746031746031746</v>
      </c>
    </row>
    <row r="286" spans="1:18" hidden="1" x14ac:dyDescent="0.3">
      <c r="A286">
        <v>621294</v>
      </c>
      <c r="B286" t="s">
        <v>129</v>
      </c>
      <c r="C286" t="s">
        <v>40</v>
      </c>
      <c r="D286">
        <v>5.3</v>
      </c>
      <c r="E286">
        <v>0.17</v>
      </c>
      <c r="F286">
        <v>2477</v>
      </c>
      <c r="G286">
        <v>78.349999999999994</v>
      </c>
      <c r="H286">
        <v>6.24</v>
      </c>
      <c r="I286">
        <v>3.8102399999999998</v>
      </c>
      <c r="J286">
        <v>-1.2868299999999999</v>
      </c>
      <c r="K286">
        <v>-0.77268000000000003</v>
      </c>
      <c r="L286">
        <v>5.36</v>
      </c>
      <c r="M286">
        <v>-2.5099999999999998</v>
      </c>
      <c r="N286">
        <v>0.09</v>
      </c>
      <c r="O286">
        <v>17.600000000000001</v>
      </c>
      <c r="P286">
        <v>41</v>
      </c>
      <c r="Q286">
        <v>308</v>
      </c>
      <c r="R286" s="18">
        <v>0.13311688311688311</v>
      </c>
    </row>
    <row r="287" spans="1:18" hidden="1" x14ac:dyDescent="0.3">
      <c r="A287">
        <v>621294</v>
      </c>
      <c r="B287" t="s">
        <v>129</v>
      </c>
      <c r="C287" t="s">
        <v>37</v>
      </c>
      <c r="D287">
        <v>5</v>
      </c>
      <c r="E287">
        <v>0.442</v>
      </c>
      <c r="F287">
        <v>1516</v>
      </c>
      <c r="G287">
        <v>84.72</v>
      </c>
      <c r="H287">
        <v>6.49</v>
      </c>
      <c r="I287">
        <v>2.9123100000000002</v>
      </c>
      <c r="J287">
        <v>1.17154</v>
      </c>
      <c r="K287">
        <v>-1.0464100000000001</v>
      </c>
      <c r="L287">
        <v>5.46</v>
      </c>
      <c r="M287">
        <v>-2.34</v>
      </c>
      <c r="N287">
        <v>0.59499999999999997</v>
      </c>
      <c r="O287">
        <v>19.8</v>
      </c>
      <c r="P287">
        <v>39</v>
      </c>
      <c r="Q287">
        <v>308</v>
      </c>
      <c r="R287" s="18">
        <v>0.12662337662337661</v>
      </c>
    </row>
    <row r="288" spans="1:18" hidden="1" x14ac:dyDescent="0.3">
      <c r="A288">
        <v>621294</v>
      </c>
      <c r="B288" t="s">
        <v>129</v>
      </c>
      <c r="C288" t="s">
        <v>34</v>
      </c>
      <c r="D288">
        <v>11.6</v>
      </c>
      <c r="E288">
        <v>0.36699999999999999</v>
      </c>
      <c r="F288">
        <v>2231</v>
      </c>
      <c r="G288">
        <v>89.79</v>
      </c>
      <c r="H288">
        <v>6.31</v>
      </c>
      <c r="I288">
        <v>2.2480000000000002</v>
      </c>
      <c r="J288">
        <v>0.14011000000000001</v>
      </c>
      <c r="K288">
        <v>-1.3979999999999999E-2</v>
      </c>
      <c r="L288">
        <v>5.53</v>
      </c>
      <c r="M288">
        <v>-2.38</v>
      </c>
      <c r="N288">
        <v>0.379</v>
      </c>
      <c r="O288">
        <v>21</v>
      </c>
      <c r="P288">
        <v>90</v>
      </c>
      <c r="Q288">
        <v>308</v>
      </c>
      <c r="R288" s="18">
        <v>0.29220779220779219</v>
      </c>
    </row>
    <row r="289" spans="1:18" hidden="1" x14ac:dyDescent="0.3">
      <c r="A289">
        <v>621294</v>
      </c>
      <c r="B289" t="s">
        <v>129</v>
      </c>
      <c r="C289" t="s">
        <v>18</v>
      </c>
      <c r="D289">
        <v>15.5</v>
      </c>
      <c r="E289">
        <v>0.32800000000000001</v>
      </c>
      <c r="F289">
        <v>2161</v>
      </c>
      <c r="G289">
        <v>94.92</v>
      </c>
      <c r="H289">
        <v>6.32</v>
      </c>
      <c r="I289">
        <v>2.1629999999999998</v>
      </c>
      <c r="J289">
        <v>1.4850000000000001</v>
      </c>
      <c r="K289">
        <v>0.4335</v>
      </c>
      <c r="L289">
        <v>5.53</v>
      </c>
      <c r="M289">
        <v>-2.31</v>
      </c>
      <c r="N289">
        <v>0.379</v>
      </c>
      <c r="O289">
        <v>19.100000000000001</v>
      </c>
      <c r="P289">
        <v>120</v>
      </c>
      <c r="Q289">
        <v>308</v>
      </c>
      <c r="R289" s="18">
        <v>0.38961038961038963</v>
      </c>
    </row>
    <row r="290" spans="1:18" hidden="1" x14ac:dyDescent="0.3">
      <c r="A290">
        <v>621294</v>
      </c>
      <c r="B290" t="s">
        <v>129</v>
      </c>
      <c r="C290" t="s">
        <v>16</v>
      </c>
      <c r="D290">
        <v>2.2999999999999998</v>
      </c>
      <c r="E290">
        <v>0.50900000000000001</v>
      </c>
      <c r="F290">
        <v>2321</v>
      </c>
      <c r="G290">
        <v>95.69</v>
      </c>
      <c r="H290">
        <v>6.34</v>
      </c>
      <c r="I290">
        <v>1.63</v>
      </c>
      <c r="J290">
        <v>1.26111</v>
      </c>
      <c r="K290">
        <v>-0.98889000000000005</v>
      </c>
      <c r="L290">
        <v>5.49</v>
      </c>
      <c r="M290">
        <v>-2.35</v>
      </c>
      <c r="N290">
        <v>0.84699999999999998</v>
      </c>
      <c r="O290">
        <v>18.600000000000001</v>
      </c>
      <c r="P290">
        <v>18</v>
      </c>
      <c r="Q290">
        <v>308</v>
      </c>
      <c r="R290" s="18">
        <v>5.844155844155844E-2</v>
      </c>
    </row>
    <row r="291" spans="1:18" hidden="1" x14ac:dyDescent="0.3">
      <c r="A291">
        <v>660761</v>
      </c>
      <c r="B291" t="s">
        <v>43</v>
      </c>
      <c r="C291" t="s">
        <v>40</v>
      </c>
      <c r="D291">
        <v>0.1</v>
      </c>
      <c r="E291">
        <v>0.10199999999999999</v>
      </c>
      <c r="F291">
        <v>2859</v>
      </c>
      <c r="G291">
        <v>75.260000000000005</v>
      </c>
      <c r="H291">
        <v>6</v>
      </c>
      <c r="I291">
        <v>4.266</v>
      </c>
      <c r="J291">
        <v>-1.266</v>
      </c>
      <c r="K291">
        <v>-1.266</v>
      </c>
      <c r="L291">
        <v>5.71</v>
      </c>
      <c r="M291">
        <v>2.36</v>
      </c>
      <c r="N291">
        <v>0.221</v>
      </c>
      <c r="O291">
        <v>42.3</v>
      </c>
      <c r="P291">
        <v>5</v>
      </c>
      <c r="Q291">
        <v>295</v>
      </c>
      <c r="R291" s="18">
        <v>1.6949152542372881E-2</v>
      </c>
    </row>
    <row r="292" spans="1:18" hidden="1" x14ac:dyDescent="0.3">
      <c r="A292">
        <v>660761</v>
      </c>
      <c r="B292" t="s">
        <v>43</v>
      </c>
      <c r="C292" t="s">
        <v>23</v>
      </c>
      <c r="D292">
        <v>0</v>
      </c>
      <c r="F292">
        <v>2944</v>
      </c>
      <c r="G292">
        <v>77.599999999999994</v>
      </c>
      <c r="H292">
        <v>6</v>
      </c>
      <c r="I292">
        <v>4.49</v>
      </c>
      <c r="J292">
        <v>-0.91</v>
      </c>
      <c r="K292">
        <v>0.91</v>
      </c>
      <c r="L292">
        <v>5.84</v>
      </c>
      <c r="M292">
        <v>1.97</v>
      </c>
      <c r="O292">
        <v>43.9</v>
      </c>
      <c r="P292">
        <v>1</v>
      </c>
      <c r="Q292">
        <v>295</v>
      </c>
      <c r="R292" s="18">
        <v>3.3898305084745762E-3</v>
      </c>
    </row>
    <row r="293" spans="1:18" hidden="1" x14ac:dyDescent="0.3">
      <c r="A293">
        <v>660761</v>
      </c>
      <c r="B293" t="s">
        <v>43</v>
      </c>
      <c r="C293" t="s">
        <v>18</v>
      </c>
      <c r="D293">
        <v>0.3</v>
      </c>
      <c r="E293">
        <v>0.27900000000000003</v>
      </c>
      <c r="F293">
        <v>2319</v>
      </c>
      <c r="G293">
        <v>92.41</v>
      </c>
      <c r="H293">
        <v>6.1</v>
      </c>
      <c r="I293">
        <v>1.597</v>
      </c>
      <c r="J293">
        <v>1.365</v>
      </c>
      <c r="K293">
        <v>1.365</v>
      </c>
      <c r="L293">
        <v>5.68</v>
      </c>
      <c r="M293">
        <v>2.06</v>
      </c>
      <c r="N293">
        <v>0.34799999999999998</v>
      </c>
      <c r="O293">
        <v>40</v>
      </c>
      <c r="P293">
        <v>20</v>
      </c>
      <c r="Q293">
        <v>295</v>
      </c>
      <c r="R293" s="18">
        <v>6.7796610169491525E-2</v>
      </c>
    </row>
    <row r="294" spans="1:18" hidden="1" x14ac:dyDescent="0.3">
      <c r="A294">
        <v>660761</v>
      </c>
      <c r="B294" t="s">
        <v>43</v>
      </c>
      <c r="C294" t="s">
        <v>20</v>
      </c>
      <c r="D294">
        <v>0.9</v>
      </c>
      <c r="E294">
        <v>0.41099999999999998</v>
      </c>
      <c r="F294">
        <v>2869</v>
      </c>
      <c r="G294">
        <v>82.07</v>
      </c>
      <c r="H294">
        <v>6.06</v>
      </c>
      <c r="I294">
        <v>3.3564500000000002</v>
      </c>
      <c r="J294">
        <v>-0.55418999999999996</v>
      </c>
      <c r="K294">
        <v>-0.15290000000000001</v>
      </c>
      <c r="L294">
        <v>5.65</v>
      </c>
      <c r="M294">
        <v>2.21</v>
      </c>
      <c r="N294">
        <v>0.58899999999999997</v>
      </c>
      <c r="O294">
        <v>40.799999999999997</v>
      </c>
      <c r="P294">
        <v>62</v>
      </c>
      <c r="Q294">
        <v>295</v>
      </c>
      <c r="R294" s="18">
        <v>0.21016949152542372</v>
      </c>
    </row>
    <row r="295" spans="1:18" hidden="1" x14ac:dyDescent="0.3">
      <c r="A295">
        <v>660761</v>
      </c>
      <c r="B295" t="s">
        <v>43</v>
      </c>
      <c r="C295" t="s">
        <v>16</v>
      </c>
      <c r="D295">
        <v>1.8</v>
      </c>
      <c r="E295">
        <v>0.38900000000000001</v>
      </c>
      <c r="F295">
        <v>2418</v>
      </c>
      <c r="G295">
        <v>92.6</v>
      </c>
      <c r="H295">
        <v>6.06</v>
      </c>
      <c r="I295">
        <v>1.14984</v>
      </c>
      <c r="J295">
        <v>0.69593000000000005</v>
      </c>
      <c r="K295">
        <v>-5.1060000000000001E-2</v>
      </c>
      <c r="L295">
        <v>5.68</v>
      </c>
      <c r="M295">
        <v>2.0699999999999998</v>
      </c>
      <c r="N295">
        <v>0.44</v>
      </c>
      <c r="O295">
        <v>39.5</v>
      </c>
      <c r="P295">
        <v>123</v>
      </c>
      <c r="Q295">
        <v>295</v>
      </c>
      <c r="R295" s="18">
        <v>0.41694915254237286</v>
      </c>
    </row>
    <row r="296" spans="1:18" hidden="1" x14ac:dyDescent="0.3">
      <c r="A296">
        <v>660761</v>
      </c>
      <c r="B296" t="s">
        <v>43</v>
      </c>
      <c r="C296" t="s">
        <v>37</v>
      </c>
      <c r="D296">
        <v>1.2</v>
      </c>
      <c r="E296">
        <v>0.252</v>
      </c>
      <c r="F296">
        <v>1589</v>
      </c>
      <c r="G296">
        <v>83.06</v>
      </c>
      <c r="H296">
        <v>6.17</v>
      </c>
      <c r="I296">
        <v>3.0247600000000001</v>
      </c>
      <c r="J296">
        <v>1.2661899999999999</v>
      </c>
      <c r="K296">
        <v>-0.71904999999999997</v>
      </c>
      <c r="L296">
        <v>5.65</v>
      </c>
      <c r="M296">
        <v>2.13</v>
      </c>
      <c r="N296">
        <v>0.30499999999999999</v>
      </c>
      <c r="O296">
        <v>41.3</v>
      </c>
      <c r="P296">
        <v>84</v>
      </c>
      <c r="Q296">
        <v>295</v>
      </c>
      <c r="R296" s="18">
        <v>0.28474576271186441</v>
      </c>
    </row>
    <row r="297" spans="1:18" hidden="1" x14ac:dyDescent="0.3">
      <c r="A297">
        <v>800311</v>
      </c>
      <c r="B297" t="s">
        <v>39</v>
      </c>
      <c r="C297" t="s">
        <v>40</v>
      </c>
      <c r="D297">
        <v>27.3</v>
      </c>
      <c r="E297">
        <v>0.26700000000000002</v>
      </c>
      <c r="F297">
        <v>2488</v>
      </c>
      <c r="G297">
        <v>84.1</v>
      </c>
      <c r="H297">
        <v>6.72</v>
      </c>
      <c r="I297">
        <v>3.3612500000000001</v>
      </c>
      <c r="J297">
        <v>-0.68788000000000005</v>
      </c>
      <c r="K297">
        <v>-0.31986999999999999</v>
      </c>
      <c r="L297">
        <v>5.05</v>
      </c>
      <c r="M297">
        <v>-2.42</v>
      </c>
      <c r="N297">
        <v>0.373</v>
      </c>
      <c r="O297">
        <v>26.3</v>
      </c>
      <c r="P297">
        <v>80</v>
      </c>
      <c r="Q297">
        <v>293</v>
      </c>
      <c r="R297" s="18">
        <v>0.27303754266211605</v>
      </c>
    </row>
    <row r="298" spans="1:18" hidden="1" x14ac:dyDescent="0.3">
      <c r="A298">
        <v>800311</v>
      </c>
      <c r="B298" t="s">
        <v>39</v>
      </c>
      <c r="C298" t="s">
        <v>33</v>
      </c>
      <c r="D298">
        <v>3.1</v>
      </c>
      <c r="E298">
        <v>0.32900000000000001</v>
      </c>
      <c r="F298">
        <v>1802</v>
      </c>
      <c r="G298">
        <v>89.07</v>
      </c>
      <c r="H298">
        <v>6.86</v>
      </c>
      <c r="I298">
        <v>2.3511099999999998</v>
      </c>
      <c r="J298">
        <v>1.22</v>
      </c>
      <c r="K298">
        <v>1.7780000000000001E-2</v>
      </c>
      <c r="L298">
        <v>4.96</v>
      </c>
      <c r="M298">
        <v>-2.41</v>
      </c>
      <c r="N298">
        <v>0.38500000000000001</v>
      </c>
      <c r="O298">
        <v>20</v>
      </c>
      <c r="P298">
        <v>9</v>
      </c>
      <c r="Q298">
        <v>293</v>
      </c>
      <c r="R298" s="18">
        <v>3.0716723549488054E-2</v>
      </c>
    </row>
    <row r="299" spans="1:18" hidden="1" x14ac:dyDescent="0.3">
      <c r="A299">
        <v>800311</v>
      </c>
      <c r="B299" t="s">
        <v>39</v>
      </c>
      <c r="C299" t="s">
        <v>16</v>
      </c>
      <c r="D299">
        <v>57.7</v>
      </c>
      <c r="E299">
        <v>0.48199999999999998</v>
      </c>
      <c r="F299">
        <v>2199</v>
      </c>
      <c r="G299">
        <v>96.54</v>
      </c>
      <c r="H299">
        <v>6.77</v>
      </c>
      <c r="I299">
        <v>1.17828</v>
      </c>
      <c r="J299">
        <v>0.77981999999999996</v>
      </c>
      <c r="K299">
        <v>0.11792999999999999</v>
      </c>
      <c r="L299">
        <v>5.14</v>
      </c>
      <c r="M299">
        <v>-2.33</v>
      </c>
      <c r="N299">
        <v>0.66800000000000004</v>
      </c>
      <c r="O299">
        <v>30.3</v>
      </c>
      <c r="P299">
        <v>169</v>
      </c>
      <c r="Q299">
        <v>293</v>
      </c>
      <c r="R299" s="18">
        <v>0.57679180887372017</v>
      </c>
    </row>
    <row r="300" spans="1:18" hidden="1" x14ac:dyDescent="0.3">
      <c r="A300">
        <v>800311</v>
      </c>
      <c r="B300" t="s">
        <v>39</v>
      </c>
      <c r="C300" t="s">
        <v>23</v>
      </c>
      <c r="D300">
        <v>11.9</v>
      </c>
      <c r="E300">
        <v>0.36</v>
      </c>
      <c r="F300">
        <v>2634</v>
      </c>
      <c r="G300">
        <v>79.66</v>
      </c>
      <c r="H300">
        <v>6.73</v>
      </c>
      <c r="I300">
        <v>4.4785700000000004</v>
      </c>
      <c r="J300">
        <v>-1.216</v>
      </c>
      <c r="K300">
        <v>0.60114000000000001</v>
      </c>
      <c r="L300">
        <v>5.21</v>
      </c>
      <c r="M300">
        <v>-2.3199999999999998</v>
      </c>
      <c r="N300">
        <v>0.59399999999999997</v>
      </c>
      <c r="O300">
        <v>35.200000000000003</v>
      </c>
      <c r="P300">
        <v>35</v>
      </c>
      <c r="Q300">
        <v>293</v>
      </c>
      <c r="R300" s="18">
        <v>0.11945392491467577</v>
      </c>
    </row>
    <row r="301" spans="1:18" hidden="1" x14ac:dyDescent="0.3">
      <c r="A301">
        <v>476595</v>
      </c>
      <c r="B301" t="s">
        <v>130</v>
      </c>
      <c r="C301" t="s">
        <v>23</v>
      </c>
      <c r="D301">
        <v>1.5</v>
      </c>
      <c r="E301">
        <v>1E-3</v>
      </c>
      <c r="F301">
        <v>2499</v>
      </c>
      <c r="G301">
        <v>72.86</v>
      </c>
      <c r="H301">
        <v>6.5</v>
      </c>
      <c r="I301">
        <v>5.5852599999999999</v>
      </c>
      <c r="J301">
        <v>-0.86341999999999997</v>
      </c>
      <c r="K301">
        <v>0.63605</v>
      </c>
      <c r="L301">
        <v>6.47</v>
      </c>
      <c r="M301">
        <v>0.67</v>
      </c>
      <c r="N301">
        <v>1E-3</v>
      </c>
      <c r="O301">
        <v>51.6</v>
      </c>
      <c r="P301">
        <v>38</v>
      </c>
      <c r="Q301">
        <v>286</v>
      </c>
      <c r="R301" s="18">
        <v>0.13286713286713286</v>
      </c>
    </row>
    <row r="302" spans="1:18" hidden="1" x14ac:dyDescent="0.3">
      <c r="A302">
        <v>476595</v>
      </c>
      <c r="B302" t="s">
        <v>130</v>
      </c>
      <c r="C302" t="s">
        <v>34</v>
      </c>
      <c r="D302">
        <v>5.6</v>
      </c>
      <c r="E302">
        <v>0.47099999999999997</v>
      </c>
      <c r="F302">
        <v>2548</v>
      </c>
      <c r="G302">
        <v>87.47</v>
      </c>
      <c r="H302">
        <v>6.59</v>
      </c>
      <c r="I302">
        <v>2.4774799999999999</v>
      </c>
      <c r="J302">
        <v>-0.40179999999999999</v>
      </c>
      <c r="K302">
        <v>0.14827000000000001</v>
      </c>
      <c r="L302">
        <v>6.37</v>
      </c>
      <c r="M302">
        <v>0.82</v>
      </c>
      <c r="N302">
        <v>0.56399999999999995</v>
      </c>
      <c r="O302">
        <v>47.6</v>
      </c>
      <c r="P302">
        <v>139</v>
      </c>
      <c r="Q302">
        <v>286</v>
      </c>
      <c r="R302" s="18">
        <v>0.48601398601398599</v>
      </c>
    </row>
    <row r="303" spans="1:18" hidden="1" x14ac:dyDescent="0.3">
      <c r="A303">
        <v>476595</v>
      </c>
      <c r="B303" t="s">
        <v>130</v>
      </c>
      <c r="C303" t="s">
        <v>16</v>
      </c>
      <c r="D303">
        <v>0</v>
      </c>
      <c r="F303">
        <v>2619</v>
      </c>
      <c r="G303">
        <v>90.2</v>
      </c>
      <c r="H303">
        <v>7</v>
      </c>
      <c r="I303">
        <v>1.94</v>
      </c>
      <c r="J303">
        <v>0.01</v>
      </c>
      <c r="K303">
        <v>0.01</v>
      </c>
      <c r="L303">
        <v>6.34</v>
      </c>
      <c r="M303">
        <v>0.93</v>
      </c>
      <c r="O303">
        <v>46.2</v>
      </c>
      <c r="P303">
        <v>1</v>
      </c>
      <c r="Q303">
        <v>286</v>
      </c>
      <c r="R303" s="18">
        <v>3.4965034965034965E-3</v>
      </c>
    </row>
    <row r="304" spans="1:18" hidden="1" x14ac:dyDescent="0.3">
      <c r="A304">
        <v>476595</v>
      </c>
      <c r="B304" t="s">
        <v>130</v>
      </c>
      <c r="C304" t="s">
        <v>40</v>
      </c>
      <c r="D304">
        <v>4</v>
      </c>
      <c r="E304">
        <v>0.28599999999999998</v>
      </c>
      <c r="F304">
        <v>2689</v>
      </c>
      <c r="G304">
        <v>76.27</v>
      </c>
      <c r="H304">
        <v>6.36</v>
      </c>
      <c r="I304">
        <v>4.08188</v>
      </c>
      <c r="J304">
        <v>-1.6246499999999999</v>
      </c>
      <c r="K304">
        <v>5.45E-3</v>
      </c>
      <c r="L304">
        <v>6.1</v>
      </c>
      <c r="M304">
        <v>1.21</v>
      </c>
      <c r="N304">
        <v>0.316</v>
      </c>
      <c r="O304">
        <v>38.9</v>
      </c>
      <c r="P304">
        <v>101</v>
      </c>
      <c r="Q304">
        <v>286</v>
      </c>
      <c r="R304" s="18">
        <v>0.35314685314685312</v>
      </c>
    </row>
    <row r="305" spans="1:18" hidden="1" x14ac:dyDescent="0.3">
      <c r="A305">
        <v>476595</v>
      </c>
      <c r="B305" t="s">
        <v>130</v>
      </c>
      <c r="C305" t="s">
        <v>18</v>
      </c>
      <c r="D305">
        <v>0.3</v>
      </c>
      <c r="E305">
        <v>0.69799999999999995</v>
      </c>
      <c r="F305">
        <v>2444</v>
      </c>
      <c r="G305">
        <v>87.06</v>
      </c>
      <c r="H305">
        <v>6.47</v>
      </c>
      <c r="I305">
        <v>1.90429</v>
      </c>
      <c r="J305">
        <v>0.24714</v>
      </c>
      <c r="K305">
        <v>-5.8569999999999997E-2</v>
      </c>
      <c r="L305">
        <v>6.21</v>
      </c>
      <c r="M305">
        <v>1.02</v>
      </c>
      <c r="N305">
        <v>1.39</v>
      </c>
      <c r="O305">
        <v>41.6</v>
      </c>
      <c r="P305">
        <v>7</v>
      </c>
      <c r="Q305">
        <v>286</v>
      </c>
      <c r="R305" s="18">
        <v>2.4475524475524476E-2</v>
      </c>
    </row>
    <row r="306" spans="1:18" hidden="1" x14ac:dyDescent="0.3">
      <c r="A306">
        <v>471911</v>
      </c>
      <c r="B306" t="s">
        <v>46</v>
      </c>
      <c r="C306" t="s">
        <v>20</v>
      </c>
      <c r="D306">
        <v>0.5</v>
      </c>
      <c r="E306">
        <v>0.318</v>
      </c>
      <c r="F306">
        <v>2324</v>
      </c>
      <c r="G306">
        <v>85.45</v>
      </c>
      <c r="H306">
        <v>6.68</v>
      </c>
      <c r="I306">
        <v>2.6998099999999998</v>
      </c>
      <c r="J306">
        <v>-6.8199999999999997E-2</v>
      </c>
      <c r="K306">
        <v>-6.7000000000000004E-2</v>
      </c>
      <c r="L306">
        <v>5.88</v>
      </c>
      <c r="M306">
        <v>-1.19</v>
      </c>
      <c r="N306">
        <v>0.38</v>
      </c>
      <c r="O306">
        <v>34.200000000000003</v>
      </c>
      <c r="P306">
        <v>52</v>
      </c>
      <c r="Q306">
        <v>265</v>
      </c>
      <c r="R306" s="18">
        <v>0.19622641509433963</v>
      </c>
    </row>
    <row r="307" spans="1:18" hidden="1" x14ac:dyDescent="0.3">
      <c r="A307">
        <v>471911</v>
      </c>
      <c r="B307" t="s">
        <v>46</v>
      </c>
      <c r="C307" t="s">
        <v>16</v>
      </c>
      <c r="D307">
        <v>0.5</v>
      </c>
      <c r="E307">
        <v>0.45400000000000001</v>
      </c>
      <c r="F307">
        <v>2176</v>
      </c>
      <c r="G307">
        <v>91.8</v>
      </c>
      <c r="H307">
        <v>6.64</v>
      </c>
      <c r="I307">
        <v>1.70075</v>
      </c>
      <c r="J307">
        <v>0.52170000000000005</v>
      </c>
      <c r="K307">
        <v>-0.15717</v>
      </c>
      <c r="L307">
        <v>5.96</v>
      </c>
      <c r="M307">
        <v>-1.17</v>
      </c>
      <c r="N307">
        <v>0.71299999999999997</v>
      </c>
      <c r="O307">
        <v>35.700000000000003</v>
      </c>
      <c r="P307">
        <v>53</v>
      </c>
      <c r="Q307">
        <v>265</v>
      </c>
      <c r="R307" s="18">
        <v>0.2</v>
      </c>
    </row>
    <row r="308" spans="1:18" hidden="1" x14ac:dyDescent="0.3">
      <c r="A308">
        <v>471911</v>
      </c>
      <c r="B308" t="s">
        <v>46</v>
      </c>
      <c r="C308" t="s">
        <v>23</v>
      </c>
      <c r="D308">
        <v>0.3</v>
      </c>
      <c r="E308">
        <v>0.21199999999999999</v>
      </c>
      <c r="F308">
        <v>2619</v>
      </c>
      <c r="G308">
        <v>77.88</v>
      </c>
      <c r="H308">
        <v>6.52</v>
      </c>
      <c r="I308">
        <v>4.3014700000000001</v>
      </c>
      <c r="J308">
        <v>-0.63090999999999997</v>
      </c>
      <c r="K308">
        <v>0.29758000000000001</v>
      </c>
      <c r="L308">
        <v>6.06</v>
      </c>
      <c r="M308">
        <v>-1.1399999999999999</v>
      </c>
      <c r="N308">
        <v>0.27700000000000002</v>
      </c>
      <c r="O308">
        <v>37.9</v>
      </c>
      <c r="P308">
        <v>34</v>
      </c>
      <c r="Q308">
        <v>265</v>
      </c>
      <c r="R308" s="18">
        <v>0.12830188679245283</v>
      </c>
    </row>
    <row r="309" spans="1:18" hidden="1" x14ac:dyDescent="0.3">
      <c r="A309">
        <v>471911</v>
      </c>
      <c r="B309" t="s">
        <v>46</v>
      </c>
      <c r="C309" t="s">
        <v>18</v>
      </c>
      <c r="D309">
        <v>0.6</v>
      </c>
      <c r="E309">
        <v>0.47799999999999998</v>
      </c>
      <c r="F309">
        <v>2065</v>
      </c>
      <c r="G309">
        <v>90.41</v>
      </c>
      <c r="H309">
        <v>6.65</v>
      </c>
      <c r="I309">
        <v>2.40544</v>
      </c>
      <c r="J309">
        <v>1.17211</v>
      </c>
      <c r="K309">
        <v>2.5090000000000001E-2</v>
      </c>
      <c r="L309">
        <v>5.92</v>
      </c>
      <c r="M309">
        <v>-1.23</v>
      </c>
      <c r="N309">
        <v>0.65600000000000003</v>
      </c>
      <c r="O309">
        <v>34</v>
      </c>
      <c r="P309">
        <v>57</v>
      </c>
      <c r="Q309">
        <v>265</v>
      </c>
      <c r="R309" s="18">
        <v>0.21509433962264152</v>
      </c>
    </row>
    <row r="310" spans="1:18" hidden="1" x14ac:dyDescent="0.3">
      <c r="A310">
        <v>471911</v>
      </c>
      <c r="B310" t="s">
        <v>46</v>
      </c>
      <c r="C310" t="s">
        <v>37</v>
      </c>
      <c r="D310">
        <v>0.7</v>
      </c>
      <c r="E310">
        <v>0.32700000000000001</v>
      </c>
      <c r="F310">
        <v>1247</v>
      </c>
      <c r="G310">
        <v>85.43</v>
      </c>
      <c r="H310">
        <v>6.68</v>
      </c>
      <c r="I310">
        <v>3.10493</v>
      </c>
      <c r="J310">
        <v>0.68057999999999996</v>
      </c>
      <c r="K310">
        <v>-0.37564999999999998</v>
      </c>
      <c r="L310">
        <v>5.89</v>
      </c>
      <c r="M310">
        <v>-1.34</v>
      </c>
      <c r="N310">
        <v>0.34599999999999997</v>
      </c>
      <c r="O310">
        <v>32.5</v>
      </c>
      <c r="P310">
        <v>69</v>
      </c>
      <c r="Q310">
        <v>265</v>
      </c>
      <c r="R310" s="18">
        <v>0.26037735849056604</v>
      </c>
    </row>
    <row r="311" spans="1:18" hidden="1" x14ac:dyDescent="0.3">
      <c r="A311">
        <v>656240</v>
      </c>
      <c r="B311" t="s">
        <v>45</v>
      </c>
      <c r="C311" t="s">
        <v>20</v>
      </c>
      <c r="D311">
        <v>9.1</v>
      </c>
      <c r="E311">
        <v>0.32700000000000001</v>
      </c>
      <c r="F311">
        <v>2140</v>
      </c>
      <c r="G311">
        <v>85.16</v>
      </c>
      <c r="H311">
        <v>7.12</v>
      </c>
      <c r="I311">
        <v>3.3648099999999999</v>
      </c>
      <c r="J311">
        <v>-0.19685</v>
      </c>
      <c r="K311">
        <v>-1.9259999999999999E-2</v>
      </c>
      <c r="L311">
        <v>6.13</v>
      </c>
      <c r="M311">
        <v>-1.97</v>
      </c>
      <c r="N311">
        <v>0.43099999999999999</v>
      </c>
      <c r="O311">
        <v>43.1</v>
      </c>
      <c r="P311">
        <v>108</v>
      </c>
      <c r="Q311">
        <v>256</v>
      </c>
      <c r="R311" s="18">
        <v>0.421875</v>
      </c>
    </row>
    <row r="312" spans="1:18" hidden="1" x14ac:dyDescent="0.3">
      <c r="A312">
        <v>656240</v>
      </c>
      <c r="B312" t="s">
        <v>45</v>
      </c>
      <c r="C312" t="s">
        <v>33</v>
      </c>
      <c r="D312">
        <v>4</v>
      </c>
      <c r="E312">
        <v>0.19700000000000001</v>
      </c>
      <c r="F312">
        <v>1031</v>
      </c>
      <c r="G312">
        <v>86.08</v>
      </c>
      <c r="H312">
        <v>7.11</v>
      </c>
      <c r="I312">
        <v>2.9283000000000001</v>
      </c>
      <c r="J312">
        <v>0.55467999999999995</v>
      </c>
      <c r="K312">
        <v>-0.13084999999999999</v>
      </c>
      <c r="L312">
        <v>6.08</v>
      </c>
      <c r="M312">
        <v>-2</v>
      </c>
      <c r="N312">
        <v>0.32200000000000001</v>
      </c>
      <c r="O312">
        <v>43.2</v>
      </c>
      <c r="P312">
        <v>47</v>
      </c>
      <c r="Q312">
        <v>256</v>
      </c>
      <c r="R312" s="18">
        <v>0.18359375</v>
      </c>
    </row>
    <row r="313" spans="1:18" hidden="1" x14ac:dyDescent="0.3">
      <c r="A313">
        <v>656240</v>
      </c>
      <c r="B313" t="s">
        <v>45</v>
      </c>
      <c r="C313" t="s">
        <v>16</v>
      </c>
      <c r="D313">
        <v>8.5</v>
      </c>
      <c r="E313">
        <v>0.45500000000000002</v>
      </c>
      <c r="F313">
        <v>2247</v>
      </c>
      <c r="G313">
        <v>95.01</v>
      </c>
      <c r="H313">
        <v>7.19</v>
      </c>
      <c r="I313">
        <v>1.4402999999999999</v>
      </c>
      <c r="J313">
        <v>0.41297</v>
      </c>
      <c r="K313">
        <v>1E-4</v>
      </c>
      <c r="L313">
        <v>6.19</v>
      </c>
      <c r="M313">
        <v>-1.82</v>
      </c>
      <c r="N313">
        <v>0.58799999999999997</v>
      </c>
      <c r="O313">
        <v>45.9</v>
      </c>
      <c r="P313">
        <v>101</v>
      </c>
      <c r="Q313">
        <v>256</v>
      </c>
      <c r="R313" s="18">
        <v>0.39453125</v>
      </c>
    </row>
    <row r="314" spans="1:18" hidden="1" x14ac:dyDescent="0.3">
      <c r="A314">
        <v>676702</v>
      </c>
      <c r="B314" t="s">
        <v>44</v>
      </c>
      <c r="C314" t="s">
        <v>16</v>
      </c>
      <c r="D314">
        <v>11.1</v>
      </c>
      <c r="E314">
        <v>0.35399999999999998</v>
      </c>
      <c r="F314">
        <v>2500</v>
      </c>
      <c r="G314">
        <v>96.3</v>
      </c>
      <c r="H314">
        <v>6.42</v>
      </c>
      <c r="I314">
        <v>1.2097500000000001</v>
      </c>
      <c r="J314">
        <v>0.36645</v>
      </c>
      <c r="K314">
        <v>1.455E-2</v>
      </c>
      <c r="L314">
        <v>6.02</v>
      </c>
      <c r="M314">
        <v>-1.52</v>
      </c>
      <c r="N314">
        <v>0.501</v>
      </c>
      <c r="O314">
        <v>38.4</v>
      </c>
      <c r="P314">
        <v>122</v>
      </c>
      <c r="Q314">
        <v>252</v>
      </c>
      <c r="R314" s="18">
        <v>0.48412698412698413</v>
      </c>
    </row>
    <row r="315" spans="1:18" hidden="1" x14ac:dyDescent="0.3">
      <c r="A315">
        <v>676702</v>
      </c>
      <c r="B315" t="s">
        <v>44</v>
      </c>
      <c r="C315" t="s">
        <v>33</v>
      </c>
      <c r="D315">
        <v>0.4</v>
      </c>
      <c r="E315">
        <v>0.314</v>
      </c>
      <c r="F315">
        <v>1642</v>
      </c>
      <c r="G315">
        <v>91.73</v>
      </c>
      <c r="H315">
        <v>6.48</v>
      </c>
      <c r="I315">
        <v>2.0150000000000001</v>
      </c>
      <c r="J315">
        <v>0.77</v>
      </c>
      <c r="K315">
        <v>-0.14000000000000001</v>
      </c>
      <c r="L315">
        <v>6</v>
      </c>
      <c r="M315">
        <v>-1.1299999999999999</v>
      </c>
      <c r="N315">
        <v>0.371</v>
      </c>
      <c r="O315">
        <v>40.6</v>
      </c>
      <c r="P315">
        <v>4</v>
      </c>
      <c r="Q315">
        <v>252</v>
      </c>
      <c r="R315" s="18">
        <v>1.5873015873015872E-2</v>
      </c>
    </row>
    <row r="316" spans="1:18" hidden="1" x14ac:dyDescent="0.3">
      <c r="A316">
        <v>676702</v>
      </c>
      <c r="B316" t="s">
        <v>44</v>
      </c>
      <c r="C316" t="s">
        <v>18</v>
      </c>
      <c r="D316">
        <v>0.5</v>
      </c>
      <c r="E316">
        <v>7.6999999999999999E-2</v>
      </c>
      <c r="F316">
        <v>2529</v>
      </c>
      <c r="G316">
        <v>95.75</v>
      </c>
      <c r="H316">
        <v>6.45</v>
      </c>
      <c r="I316">
        <v>1.33833</v>
      </c>
      <c r="J316">
        <v>0.82833000000000001</v>
      </c>
      <c r="K316">
        <v>7.8329999999999997E-2</v>
      </c>
      <c r="L316">
        <v>5.95</v>
      </c>
      <c r="M316">
        <v>-1.71</v>
      </c>
      <c r="N316">
        <v>8.5000000000000006E-2</v>
      </c>
      <c r="O316">
        <v>38.1</v>
      </c>
      <c r="P316">
        <v>6</v>
      </c>
      <c r="Q316">
        <v>252</v>
      </c>
      <c r="R316" s="18">
        <v>2.3809523809523808E-2</v>
      </c>
    </row>
    <row r="317" spans="1:18" hidden="1" x14ac:dyDescent="0.3">
      <c r="A317">
        <v>676702</v>
      </c>
      <c r="B317" t="s">
        <v>44</v>
      </c>
      <c r="C317" t="s">
        <v>20</v>
      </c>
      <c r="D317">
        <v>5.8</v>
      </c>
      <c r="E317">
        <v>0.255</v>
      </c>
      <c r="F317">
        <v>2684</v>
      </c>
      <c r="G317">
        <v>86.05</v>
      </c>
      <c r="H317">
        <v>6.58</v>
      </c>
      <c r="I317">
        <v>3.0810900000000001</v>
      </c>
      <c r="J317">
        <v>-0.72921999999999998</v>
      </c>
      <c r="K317">
        <v>-8.2970000000000002E-2</v>
      </c>
      <c r="L317">
        <v>5.85</v>
      </c>
      <c r="M317">
        <v>-1.96</v>
      </c>
      <c r="N317">
        <v>0.23499999999999999</v>
      </c>
      <c r="O317">
        <v>35.200000000000003</v>
      </c>
      <c r="P317">
        <v>64</v>
      </c>
      <c r="Q317">
        <v>252</v>
      </c>
      <c r="R317" s="18">
        <v>0.25396825396825395</v>
      </c>
    </row>
    <row r="318" spans="1:18" hidden="1" x14ac:dyDescent="0.3">
      <c r="A318">
        <v>676702</v>
      </c>
      <c r="B318" t="s">
        <v>44</v>
      </c>
      <c r="C318" t="s">
        <v>34</v>
      </c>
      <c r="D318">
        <v>5.0999999999999996</v>
      </c>
      <c r="E318">
        <v>0.36599999999999999</v>
      </c>
      <c r="F318">
        <v>2547</v>
      </c>
      <c r="G318">
        <v>93.98</v>
      </c>
      <c r="H318">
        <v>6.49</v>
      </c>
      <c r="I318">
        <v>1.72214</v>
      </c>
      <c r="J318">
        <v>-0.24964</v>
      </c>
      <c r="K318">
        <v>-4.5269999999999998E-2</v>
      </c>
      <c r="L318">
        <v>5.94</v>
      </c>
      <c r="M318">
        <v>-1.74</v>
      </c>
      <c r="N318">
        <v>0.39600000000000002</v>
      </c>
      <c r="O318">
        <v>36.9</v>
      </c>
      <c r="P318">
        <v>56</v>
      </c>
      <c r="Q318">
        <v>252</v>
      </c>
      <c r="R318" s="18">
        <v>0.22222222222222221</v>
      </c>
    </row>
    <row r="319" spans="1:18" hidden="1" x14ac:dyDescent="0.3">
      <c r="A319">
        <v>592804</v>
      </c>
      <c r="B319" t="s">
        <v>131</v>
      </c>
      <c r="C319" t="s">
        <v>16</v>
      </c>
      <c r="D319">
        <v>13.1</v>
      </c>
      <c r="E319">
        <v>0.221</v>
      </c>
      <c r="F319">
        <v>2416</v>
      </c>
      <c r="G319">
        <v>93.22</v>
      </c>
      <c r="H319">
        <v>6.29</v>
      </c>
      <c r="I319">
        <v>0.97521000000000002</v>
      </c>
      <c r="J319">
        <v>0.50009000000000003</v>
      </c>
      <c r="K319">
        <v>6.2820000000000001E-2</v>
      </c>
      <c r="L319">
        <v>5.85</v>
      </c>
      <c r="M319">
        <v>-1.48</v>
      </c>
      <c r="N319">
        <v>0.20100000000000001</v>
      </c>
      <c r="O319">
        <v>54.7</v>
      </c>
      <c r="P319">
        <v>117</v>
      </c>
      <c r="Q319">
        <v>213</v>
      </c>
      <c r="R319" s="18">
        <v>0.54929577464788737</v>
      </c>
    </row>
    <row r="320" spans="1:18" hidden="1" x14ac:dyDescent="0.3">
      <c r="A320">
        <v>592804</v>
      </c>
      <c r="B320" t="s">
        <v>131</v>
      </c>
      <c r="C320" t="s">
        <v>23</v>
      </c>
      <c r="D320">
        <v>7</v>
      </c>
      <c r="E320">
        <v>0.38900000000000001</v>
      </c>
      <c r="F320">
        <v>2615</v>
      </c>
      <c r="G320">
        <v>75.63</v>
      </c>
      <c r="H320">
        <v>6.27</v>
      </c>
      <c r="I320">
        <v>5.2987099999999998</v>
      </c>
      <c r="J320">
        <v>-0.66210000000000002</v>
      </c>
      <c r="K320">
        <v>-0.12177</v>
      </c>
      <c r="L320">
        <v>5.82</v>
      </c>
      <c r="M320">
        <v>-1.56</v>
      </c>
      <c r="N320">
        <v>0.48799999999999999</v>
      </c>
      <c r="O320">
        <v>55.5</v>
      </c>
      <c r="P320">
        <v>62</v>
      </c>
      <c r="Q320">
        <v>213</v>
      </c>
      <c r="R320" s="18">
        <v>0.29107981220657275</v>
      </c>
    </row>
    <row r="321" spans="1:18" hidden="1" x14ac:dyDescent="0.3">
      <c r="A321">
        <v>592804</v>
      </c>
      <c r="B321" t="s">
        <v>131</v>
      </c>
      <c r="C321" t="s">
        <v>20</v>
      </c>
      <c r="D321">
        <v>0.4</v>
      </c>
      <c r="E321">
        <v>3.2000000000000001E-2</v>
      </c>
      <c r="F321">
        <v>2183</v>
      </c>
      <c r="G321">
        <v>82.83</v>
      </c>
      <c r="H321">
        <v>6.3</v>
      </c>
      <c r="I321">
        <v>3.5825</v>
      </c>
      <c r="J321">
        <v>-0.09</v>
      </c>
      <c r="K321">
        <v>-0.09</v>
      </c>
      <c r="L321">
        <v>5.76</v>
      </c>
      <c r="M321">
        <v>-1.56</v>
      </c>
      <c r="N321">
        <v>4.9000000000000002E-2</v>
      </c>
      <c r="O321">
        <v>54.3</v>
      </c>
      <c r="P321">
        <v>4</v>
      </c>
      <c r="Q321">
        <v>213</v>
      </c>
      <c r="R321" s="18">
        <v>1.8779342723004695E-2</v>
      </c>
    </row>
    <row r="322" spans="1:18" hidden="1" x14ac:dyDescent="0.3">
      <c r="A322">
        <v>592804</v>
      </c>
      <c r="B322" t="s">
        <v>131</v>
      </c>
      <c r="C322" t="s">
        <v>37</v>
      </c>
      <c r="D322">
        <v>3.4</v>
      </c>
      <c r="E322">
        <v>0.33</v>
      </c>
      <c r="F322">
        <v>1439</v>
      </c>
      <c r="G322">
        <v>85.05</v>
      </c>
      <c r="H322">
        <v>6.44</v>
      </c>
      <c r="I322">
        <v>2.2146699999999999</v>
      </c>
      <c r="J322">
        <v>0.97467000000000004</v>
      </c>
      <c r="K322">
        <v>-3.6670000000000001E-2</v>
      </c>
      <c r="L322">
        <v>5.77</v>
      </c>
      <c r="M322">
        <v>-1.38</v>
      </c>
      <c r="N322">
        <v>0.53100000000000003</v>
      </c>
      <c r="O322">
        <v>55.3</v>
      </c>
      <c r="P322">
        <v>30</v>
      </c>
      <c r="Q322">
        <v>213</v>
      </c>
      <c r="R322" s="18">
        <v>0.14084507042253522</v>
      </c>
    </row>
    <row r="323" spans="1:18" hidden="1" x14ac:dyDescent="0.3">
      <c r="A323">
        <v>543548</v>
      </c>
      <c r="B323" t="s">
        <v>132</v>
      </c>
      <c r="C323" t="s">
        <v>37</v>
      </c>
      <c r="D323">
        <v>2.8</v>
      </c>
      <c r="E323">
        <v>0.376</v>
      </c>
      <c r="F323">
        <v>1639</v>
      </c>
      <c r="G323">
        <v>78.87</v>
      </c>
      <c r="H323">
        <v>6.18</v>
      </c>
      <c r="I323">
        <v>2.8692899999999999</v>
      </c>
      <c r="J323">
        <v>1.16381</v>
      </c>
      <c r="K323">
        <v>-1.0049999999999999</v>
      </c>
      <c r="L323">
        <v>6.11</v>
      </c>
      <c r="M323">
        <v>3.41</v>
      </c>
      <c r="N323">
        <v>0.48499999999999999</v>
      </c>
      <c r="O323">
        <v>43.8</v>
      </c>
      <c r="P323">
        <v>84</v>
      </c>
      <c r="Q323">
        <v>210</v>
      </c>
      <c r="R323" s="18">
        <v>0.4</v>
      </c>
    </row>
    <row r="324" spans="1:18" hidden="1" x14ac:dyDescent="0.3">
      <c r="A324">
        <v>543548</v>
      </c>
      <c r="B324" t="s">
        <v>132</v>
      </c>
      <c r="C324" t="s">
        <v>20</v>
      </c>
      <c r="D324">
        <v>0.8</v>
      </c>
      <c r="E324">
        <v>0.182</v>
      </c>
      <c r="F324">
        <v>2272</v>
      </c>
      <c r="G324">
        <v>79.33</v>
      </c>
      <c r="H324">
        <v>6.13</v>
      </c>
      <c r="I324">
        <v>3.0973899999999999</v>
      </c>
      <c r="J324">
        <v>-0.25130000000000002</v>
      </c>
      <c r="K324">
        <v>-7.0430000000000006E-2</v>
      </c>
      <c r="L324">
        <v>6.08</v>
      </c>
      <c r="M324">
        <v>3.41</v>
      </c>
      <c r="N324">
        <v>0.28499999999999998</v>
      </c>
      <c r="O324">
        <v>44</v>
      </c>
      <c r="P324">
        <v>23</v>
      </c>
      <c r="Q324">
        <v>210</v>
      </c>
      <c r="R324" s="18">
        <v>0.10952380952380952</v>
      </c>
    </row>
    <row r="325" spans="1:18" hidden="1" x14ac:dyDescent="0.3">
      <c r="A325">
        <v>543548</v>
      </c>
      <c r="B325" t="s">
        <v>132</v>
      </c>
      <c r="C325" t="s">
        <v>23</v>
      </c>
      <c r="D325">
        <v>0.2</v>
      </c>
      <c r="E325">
        <v>1.73</v>
      </c>
      <c r="F325">
        <v>2450</v>
      </c>
      <c r="G325">
        <v>74.83</v>
      </c>
      <c r="H325">
        <v>6.02</v>
      </c>
      <c r="I325">
        <v>4.2466699999999999</v>
      </c>
      <c r="J325">
        <v>-0.20333000000000001</v>
      </c>
      <c r="K325">
        <v>0.20333000000000001</v>
      </c>
      <c r="L325">
        <v>6.04</v>
      </c>
      <c r="M325">
        <v>3.5</v>
      </c>
      <c r="N325">
        <v>3.4710000000000001</v>
      </c>
      <c r="O325">
        <v>43</v>
      </c>
      <c r="P325">
        <v>6</v>
      </c>
      <c r="Q325">
        <v>210</v>
      </c>
      <c r="R325" s="18">
        <v>2.8571428571428571E-2</v>
      </c>
    </row>
    <row r="326" spans="1:18" hidden="1" x14ac:dyDescent="0.3">
      <c r="A326">
        <v>543548</v>
      </c>
      <c r="B326" t="s">
        <v>132</v>
      </c>
      <c r="C326" t="s">
        <v>18</v>
      </c>
      <c r="D326">
        <v>0</v>
      </c>
      <c r="F326">
        <v>2207</v>
      </c>
      <c r="G326">
        <v>84.7</v>
      </c>
      <c r="H326">
        <v>5.9</v>
      </c>
      <c r="I326">
        <v>1.63</v>
      </c>
      <c r="J326">
        <v>0.86</v>
      </c>
      <c r="K326">
        <v>-0.86</v>
      </c>
      <c r="L326">
        <v>6.18</v>
      </c>
      <c r="M326">
        <v>3.22</v>
      </c>
      <c r="O326">
        <v>44.8</v>
      </c>
      <c r="P326">
        <v>1</v>
      </c>
      <c r="Q326">
        <v>210</v>
      </c>
      <c r="R326" s="18">
        <v>4.7619047619047623E-3</v>
      </c>
    </row>
    <row r="327" spans="1:18" hidden="1" x14ac:dyDescent="0.3">
      <c r="A327">
        <v>543548</v>
      </c>
      <c r="B327" t="s">
        <v>132</v>
      </c>
      <c r="C327" t="s">
        <v>16</v>
      </c>
      <c r="D327">
        <v>3.2</v>
      </c>
      <c r="E327">
        <v>0.33500000000000002</v>
      </c>
      <c r="F327">
        <v>2190</v>
      </c>
      <c r="G327">
        <v>85.84</v>
      </c>
      <c r="H327">
        <v>6.17</v>
      </c>
      <c r="I327">
        <v>1.5742700000000001</v>
      </c>
      <c r="J327">
        <v>0.66166999999999998</v>
      </c>
      <c r="K327">
        <v>-0.51458000000000004</v>
      </c>
      <c r="L327">
        <v>6.09</v>
      </c>
      <c r="M327">
        <v>3.29</v>
      </c>
      <c r="N327">
        <v>0.58299999999999996</v>
      </c>
      <c r="O327">
        <v>45</v>
      </c>
      <c r="P327">
        <v>96</v>
      </c>
      <c r="Q327">
        <v>210</v>
      </c>
      <c r="R327" s="18">
        <v>0.45714285714285713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0E7-4DCA-4173-AF11-2B640A26597E}">
  <dimension ref="A1:BV173"/>
  <sheetViews>
    <sheetView tabSelected="1" workbookViewId="0">
      <selection activeCell="A146" sqref="A146"/>
    </sheetView>
  </sheetViews>
  <sheetFormatPr defaultRowHeight="14.4" x14ac:dyDescent="0.3"/>
  <cols>
    <col min="1" max="1" width="22.88671875" bestFit="1" customWidth="1"/>
    <col min="2" max="2" width="16.88671875" bestFit="1" customWidth="1"/>
    <col min="3" max="3" width="15" bestFit="1" customWidth="1"/>
    <col min="4" max="4" width="15.33203125" bestFit="1" customWidth="1"/>
    <col min="5" max="5" width="11.44140625" bestFit="1" customWidth="1"/>
    <col min="6" max="6" width="10.109375" bestFit="1" customWidth="1"/>
    <col min="7" max="7" width="13.44140625" bestFit="1" customWidth="1"/>
    <col min="8" max="8" width="11.109375" bestFit="1" customWidth="1"/>
    <col min="9" max="9" width="11.88671875" bestFit="1" customWidth="1"/>
    <col min="10" max="10" width="22.88671875" bestFit="1" customWidth="1"/>
    <col min="11" max="11" width="15.109375" bestFit="1" customWidth="1"/>
    <col min="12" max="12" width="13.109375" bestFit="1" customWidth="1"/>
    <col min="13" max="13" width="14" bestFit="1" customWidth="1"/>
    <col min="14" max="14" width="12.88671875" bestFit="1" customWidth="1"/>
    <col min="15" max="15" width="10.109375" bestFit="1" customWidth="1"/>
    <col min="16" max="16" width="13.6640625" bestFit="1" customWidth="1"/>
    <col min="17" max="17" width="12" bestFit="1" customWidth="1"/>
    <col min="18" max="18" width="12.88671875" bestFit="1" customWidth="1"/>
    <col min="19" max="19" width="15.44140625" bestFit="1" customWidth="1"/>
    <col min="20" max="20" width="15" bestFit="1" customWidth="1"/>
    <col min="21" max="21" width="15.5546875" bestFit="1" customWidth="1"/>
    <col min="22" max="22" width="12" bestFit="1" customWidth="1"/>
    <col min="23" max="23" width="22.88671875" bestFit="1" customWidth="1"/>
    <col min="24" max="24" width="13.33203125" bestFit="1" customWidth="1"/>
    <col min="25" max="25" width="15.44140625" bestFit="1" customWidth="1"/>
    <col min="26" max="26" width="12.33203125" bestFit="1" customWidth="1"/>
    <col min="27" max="27" width="10.6640625" bestFit="1" customWidth="1"/>
    <col min="28" max="28" width="17.33203125" bestFit="1" customWidth="1"/>
    <col min="29" max="29" width="15" bestFit="1" customWidth="1"/>
    <col min="30" max="30" width="15.109375" bestFit="1" customWidth="1"/>
    <col min="31" max="31" width="17.6640625" bestFit="1" customWidth="1"/>
    <col min="32" max="32" width="17.33203125" bestFit="1" customWidth="1"/>
    <col min="33" max="33" width="12.33203125" bestFit="1" customWidth="1"/>
    <col min="34" max="34" width="11.33203125" bestFit="1" customWidth="1"/>
    <col min="35" max="35" width="13.109375" bestFit="1" customWidth="1"/>
    <col min="36" max="37" width="11.6640625" bestFit="1" customWidth="1"/>
    <col min="38" max="38" width="18.88671875" bestFit="1" customWidth="1"/>
    <col min="39" max="39" width="14.109375" bestFit="1" customWidth="1"/>
    <col min="40" max="40" width="12.109375" bestFit="1" customWidth="1"/>
    <col min="41" max="41" width="14.33203125" bestFit="1" customWidth="1"/>
    <col min="42" max="42" width="16.6640625" bestFit="1" customWidth="1"/>
    <col min="43" max="43" width="13.33203125" bestFit="1" customWidth="1"/>
    <col min="44" max="44" width="11.6640625" bestFit="1" customWidth="1"/>
    <col min="45" max="45" width="13.5546875" bestFit="1" customWidth="1"/>
    <col min="46" max="46" width="13.33203125" bestFit="1" customWidth="1"/>
    <col min="47" max="47" width="19.109375" bestFit="1" customWidth="1"/>
    <col min="48" max="49" width="13.33203125" bestFit="1" customWidth="1"/>
    <col min="50" max="50" width="15.33203125" bestFit="1" customWidth="1"/>
    <col min="51" max="51" width="15.44140625" bestFit="1" customWidth="1"/>
    <col min="52" max="52" width="13.6640625" bestFit="1" customWidth="1"/>
    <col min="53" max="53" width="16.109375" bestFit="1" customWidth="1"/>
    <col min="54" max="54" width="14" bestFit="1" customWidth="1"/>
    <col min="55" max="55" width="12.5546875" bestFit="1" customWidth="1"/>
    <col min="56" max="56" width="14.5546875" bestFit="1" customWidth="1"/>
    <col min="57" max="57" width="11.6640625" bestFit="1" customWidth="1"/>
    <col min="58" max="58" width="12.44140625" bestFit="1" customWidth="1"/>
    <col min="59" max="59" width="11" bestFit="1" customWidth="1"/>
    <col min="60" max="60" width="12.33203125" bestFit="1" customWidth="1"/>
    <col min="61" max="61" width="14.88671875" bestFit="1" customWidth="1"/>
    <col min="62" max="62" width="17.5546875" bestFit="1" customWidth="1"/>
    <col min="63" max="63" width="8.88671875" bestFit="1" customWidth="1"/>
    <col min="64" max="64" width="12" bestFit="1" customWidth="1"/>
    <col min="65" max="65" width="10.5546875" bestFit="1" customWidth="1"/>
    <col min="66" max="66" width="10.88671875" bestFit="1" customWidth="1"/>
    <col min="67" max="67" width="11.6640625" bestFit="1" customWidth="1"/>
    <col min="68" max="68" width="14.6640625" bestFit="1" customWidth="1"/>
    <col min="69" max="69" width="12.6640625" bestFit="1" customWidth="1"/>
    <col min="70" max="70" width="15" bestFit="1" customWidth="1"/>
    <col min="71" max="71" width="13.5546875" bestFit="1" customWidth="1"/>
    <col min="72" max="72" width="15.44140625" bestFit="1" customWidth="1"/>
    <col min="73" max="73" width="15.6640625" bestFit="1" customWidth="1"/>
    <col min="74" max="74" width="15" bestFit="1" customWidth="1"/>
  </cols>
  <sheetData>
    <row r="1" spans="1:40" x14ac:dyDescent="0.3">
      <c r="A1" s="2" t="s">
        <v>82</v>
      </c>
    </row>
    <row r="3" spans="1:40" ht="15" thickBot="1" x14ac:dyDescent="0.35">
      <c r="A3" s="33" t="s">
        <v>55</v>
      </c>
      <c r="B3" s="34"/>
      <c r="C3" s="16"/>
      <c r="E3" s="33" t="s">
        <v>133</v>
      </c>
      <c r="F3" s="34"/>
      <c r="G3" s="34"/>
      <c r="H3" s="34"/>
      <c r="I3" s="34"/>
      <c r="J3" s="34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  <c r="W3" s="5" t="s">
        <v>134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</row>
    <row r="4" spans="1:40" x14ac:dyDescent="0.3">
      <c r="A4" s="13" t="s">
        <v>16</v>
      </c>
      <c r="B4" s="9" t="s">
        <v>61</v>
      </c>
      <c r="C4" s="10" t="s">
        <v>56</v>
      </c>
      <c r="E4" s="6"/>
      <c r="F4" s="20" t="s">
        <v>16</v>
      </c>
      <c r="G4" s="20" t="s">
        <v>18</v>
      </c>
      <c r="H4" s="20" t="s">
        <v>20</v>
      </c>
      <c r="I4" s="20" t="s">
        <v>23</v>
      </c>
      <c r="J4" s="20" t="s">
        <v>33</v>
      </c>
      <c r="K4" s="20" t="s">
        <v>34</v>
      </c>
      <c r="L4" s="20" t="s">
        <v>37</v>
      </c>
      <c r="M4" s="20" t="s">
        <v>40</v>
      </c>
      <c r="N4" s="20" t="s">
        <v>48</v>
      </c>
      <c r="O4" s="20" t="s">
        <v>50</v>
      </c>
      <c r="P4" s="20" t="s">
        <v>52</v>
      </c>
      <c r="Q4" s="20" t="s">
        <v>72</v>
      </c>
      <c r="R4" s="20" t="s">
        <v>75</v>
      </c>
      <c r="S4" s="20" t="s">
        <v>77</v>
      </c>
      <c r="T4" s="20" t="s">
        <v>78</v>
      </c>
      <c r="U4" s="8" t="s">
        <v>80</v>
      </c>
      <c r="W4" s="6"/>
      <c r="X4" s="20" t="s">
        <v>16</v>
      </c>
      <c r="Y4" s="20" t="s">
        <v>18</v>
      </c>
      <c r="Z4" s="20" t="s">
        <v>20</v>
      </c>
      <c r="AA4" s="20" t="s">
        <v>23</v>
      </c>
      <c r="AB4" s="20" t="s">
        <v>33</v>
      </c>
      <c r="AC4" s="20" t="s">
        <v>34</v>
      </c>
      <c r="AD4" s="20" t="s">
        <v>37</v>
      </c>
      <c r="AE4" s="20" t="s">
        <v>40</v>
      </c>
      <c r="AF4" s="20" t="s">
        <v>48</v>
      </c>
      <c r="AG4" s="20" t="s">
        <v>50</v>
      </c>
      <c r="AH4" s="20" t="s">
        <v>52</v>
      </c>
      <c r="AI4" s="20" t="s">
        <v>72</v>
      </c>
      <c r="AJ4" s="20" t="s">
        <v>75</v>
      </c>
      <c r="AK4" s="20" t="s">
        <v>77</v>
      </c>
      <c r="AL4" s="20" t="s">
        <v>78</v>
      </c>
      <c r="AM4" s="8" t="s">
        <v>80</v>
      </c>
      <c r="AN4" t="s">
        <v>136</v>
      </c>
    </row>
    <row r="5" spans="1:40" x14ac:dyDescent="0.3">
      <c r="A5" s="14" t="s">
        <v>18</v>
      </c>
      <c r="B5" s="9" t="s">
        <v>62</v>
      </c>
      <c r="C5" s="10" t="s">
        <v>56</v>
      </c>
      <c r="E5" s="14" t="s">
        <v>16</v>
      </c>
      <c r="F5">
        <f t="shared" ref="F5:U14" si="0">IF(F$4=$E5,1,IF(_xlfn.XLOOKUP(F$4,$A$4:$A$19,$C$4:$C$19)=_xlfn.XLOOKUP($E5,$A$4:$A$19,$C$4:$C$19),0.7,0))</f>
        <v>1</v>
      </c>
      <c r="G5">
        <f t="shared" si="0"/>
        <v>0.7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0.7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 s="7">
        <f t="shared" si="0"/>
        <v>0</v>
      </c>
      <c r="W5" s="14" t="str" cm="1">
        <f t="array" ref="W5:W77">_xlfn.UNIQUE(braves_19_25__2[player_name])</f>
        <v>Fried, Max</v>
      </c>
      <c r="X5" s="19" cm="1">
        <f t="array" ref="X5">IFERROR(_xlfn.XLOOKUP($W5&amp;X$4,braves_19_25!$B:$B&amp;braves_19_25!$C:$C,braves_19_25!$R:$R),0)</f>
        <v>0.38206672845227063</v>
      </c>
      <c r="Y5" s="19" cm="1">
        <f t="array" ref="Y5">IFERROR(_xlfn.XLOOKUP($W5&amp;Y$4,braves_19_25!$B:$B&amp;braves_19_25!$C:$C,braves_19_25!$R:$R),0)</f>
        <v>0.11584800741427248</v>
      </c>
      <c r="Z5" s="19" cm="1">
        <f t="array" ref="Z5">IFERROR(_xlfn.XLOOKUP($W5&amp;Z$4,braves_19_25!$B:$B&amp;braves_19_25!$C:$C,braves_19_25!$R:$R),0)</f>
        <v>0.14836268149521162</v>
      </c>
      <c r="AA5" s="19" cm="1">
        <f t="array" ref="AA5">IFERROR(_xlfn.XLOOKUP($W5&amp;AA$4,braves_19_25!$B:$B&amp;braves_19_25!$C:$C,braves_19_25!$R:$R),0)</f>
        <v>0.23084646277417362</v>
      </c>
      <c r="AB5" s="19" cm="1">
        <f t="array" ref="AB5">IFERROR(_xlfn.XLOOKUP($W5&amp;AB$4,braves_19_25!$B:$B&amp;braves_19_25!$C:$C,braves_19_25!$R:$R),0)</f>
        <v>0</v>
      </c>
      <c r="AC5" s="19" cm="1">
        <f t="array" ref="AC5">IFERROR(_xlfn.XLOOKUP($W5&amp;AC$4,braves_19_25!$B:$B&amp;braves_19_25!$C:$C,braves_19_25!$R:$R),0)</f>
        <v>1.5600864998455359E-2</v>
      </c>
      <c r="AD5" s="19" cm="1">
        <f t="array" ref="AD5">IFERROR(_xlfn.XLOOKUP($W5&amp;AD$4,braves_19_25!$B:$B&amp;braves_19_25!$C:$C,braves_19_25!$R:$R),0)</f>
        <v>8.819894964473278E-2</v>
      </c>
      <c r="AE5" s="19" cm="1">
        <f t="array" ref="AE5">IFERROR(_xlfn.XLOOKUP($W5&amp;AE$4,braves_19_25!$B:$B&amp;braves_19_25!$C:$C,braves_19_25!$R:$R),0)</f>
        <v>1.9076305220883535E-2</v>
      </c>
      <c r="AF5" s="19" cm="1">
        <f t="array" ref="AF5">IFERROR(_xlfn.XLOOKUP($W5&amp;AF$4,braves_19_25!$B:$B&amp;braves_19_25!$C:$C,braves_19_25!$R:$R),0)</f>
        <v>0</v>
      </c>
      <c r="AG5" s="19" cm="1">
        <f t="array" ref="AG5">IFERROR(_xlfn.XLOOKUP($W5&amp;AG$4,braves_19_25!$B:$B&amp;braves_19_25!$C:$C,braves_19_25!$R:$R),0)</f>
        <v>0</v>
      </c>
      <c r="AH5" s="19" cm="1">
        <f t="array" ref="AH5">IFERROR(_xlfn.XLOOKUP($W5&amp;AH$4,braves_19_25!$B:$B&amp;braves_19_25!$C:$C,braves_19_25!$R:$R),0)</f>
        <v>0</v>
      </c>
      <c r="AI5" s="19" cm="1">
        <f t="array" ref="AI5">IFERROR(_xlfn.XLOOKUP($W5&amp;AI$4,braves_19_25!$B:$B&amp;braves_19_25!$C:$C,braves_19_25!$R:$R),0)</f>
        <v>0</v>
      </c>
      <c r="AJ5" s="19" cm="1">
        <f t="array" ref="AJ5">IFERROR(_xlfn.XLOOKUP($W5&amp;AJ$4,braves_19_25!$B:$B&amp;braves_19_25!$C:$C,braves_19_25!$R:$R),0)</f>
        <v>0</v>
      </c>
      <c r="AK5" s="19" cm="1">
        <f t="array" ref="AK5">IFERROR(_xlfn.XLOOKUP($W5&amp;AK$4,braves_19_25!$B:$B&amp;braves_19_25!$C:$C,braves_19_25!$R:$R),0)</f>
        <v>0</v>
      </c>
      <c r="AL5" s="19" cm="1">
        <f t="array" ref="AL5">IFERROR(_xlfn.XLOOKUP($W5&amp;AL$4,braves_19_25!$B:$B&amp;braves_19_25!$C:$C,braves_19_25!$R:$R),0)</f>
        <v>0</v>
      </c>
      <c r="AM5" s="24" cm="1">
        <f t="array" ref="AM5">IFERROR(_xlfn.XLOOKUP($W5&amp;AM$4,braves_19_25!$B:$B&amp;braves_19_25!$C:$C,braves_19_25!$R:$R),0)</f>
        <v>0</v>
      </c>
      <c r="AN5" s="27" cm="1">
        <f t="array" ref="AN5">SQRT(
    MMULT(
        MMULT(
            $X5:$AM5,
            $F$5:$U$20
        ),
        TRANSPOSE($X5:$AM5)
    )
)</f>
        <v>0.56558585710870779</v>
      </c>
    </row>
    <row r="6" spans="1:40" x14ac:dyDescent="0.3">
      <c r="A6" s="14" t="s">
        <v>20</v>
      </c>
      <c r="B6" s="9" t="s">
        <v>63</v>
      </c>
      <c r="C6" s="10" t="s">
        <v>57</v>
      </c>
      <c r="E6" s="14" t="s">
        <v>18</v>
      </c>
      <c r="F6">
        <f t="shared" si="0"/>
        <v>0.7</v>
      </c>
      <c r="G6">
        <f t="shared" si="0"/>
        <v>1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0.7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 s="7">
        <f t="shared" si="0"/>
        <v>0</v>
      </c>
      <c r="W6" s="14" t="str">
        <v>Morton, Charlie</v>
      </c>
      <c r="X6" s="19" cm="1">
        <f t="array" ref="X6">IFERROR(_xlfn.XLOOKUP($W6&amp;X$4,braves_19_25!$B:$B&amp;braves_19_25!$C:$C,braves_19_25!$R:$R),0)</f>
        <v>0.32825220855707604</v>
      </c>
      <c r="Y6" s="19" cm="1">
        <f t="array" ref="Y6">IFERROR(_xlfn.XLOOKUP($W6&amp;Y$4,braves_19_25!$B:$B&amp;braves_19_25!$C:$C,braves_19_25!$R:$R),0)</f>
        <v>0.10029447427680582</v>
      </c>
      <c r="Z6" s="19" cm="1">
        <f t="array" ref="Z6">IFERROR(_xlfn.XLOOKUP($W6&amp;Z$4,braves_19_25!$B:$B&amp;braves_19_25!$C:$C,braves_19_25!$R:$R),0)</f>
        <v>0</v>
      </c>
      <c r="AA6" s="19" cm="1">
        <f t="array" ref="AA6">IFERROR(_xlfn.XLOOKUP($W6&amp;AA$4,braves_19_25!$B:$B&amp;braves_19_25!$C:$C,braves_19_25!$R:$R),0)</f>
        <v>0.40039840637450197</v>
      </c>
      <c r="AB6" s="19" cm="1">
        <f t="array" ref="AB6">IFERROR(_xlfn.XLOOKUP($W6&amp;AB$4,braves_19_25!$B:$B&amp;braves_19_25!$C:$C,braves_19_25!$R:$R),0)</f>
        <v>0</v>
      </c>
      <c r="AC6" s="19" cm="1">
        <f t="array" ref="AC6">IFERROR(_xlfn.XLOOKUP($W6&amp;AC$4,braves_19_25!$B:$B&amp;braves_19_25!$C:$C,braves_19_25!$R:$R),0)</f>
        <v>8.3925168889658758E-2</v>
      </c>
      <c r="AD6" s="19" cm="1">
        <f t="array" ref="AD6">IFERROR(_xlfn.XLOOKUP($W6&amp;AD$4,braves_19_25!$B:$B&amp;braves_19_25!$C:$C,braves_19_25!$R:$R),0)</f>
        <v>8.7129741901957394E-2</v>
      </c>
      <c r="AE6" s="19" cm="1">
        <f t="array" ref="AE6">IFERROR(_xlfn.XLOOKUP($W6&amp;AE$4,braves_19_25!$B:$B&amp;braves_19_25!$C:$C,braves_19_25!$R:$R),0)</f>
        <v>0</v>
      </c>
      <c r="AF6" s="19" cm="1">
        <f t="array" ref="AF6">IFERROR(_xlfn.XLOOKUP($W6&amp;AF$4,braves_19_25!$B:$B&amp;braves_19_25!$C:$C,braves_19_25!$R:$R),0)</f>
        <v>0</v>
      </c>
      <c r="AG6" s="19" cm="1">
        <f t="array" ref="AG6">IFERROR(_xlfn.XLOOKUP($W6&amp;AG$4,braves_19_25!$B:$B&amp;braves_19_25!$C:$C,braves_19_25!$R:$R),0)</f>
        <v>0</v>
      </c>
      <c r="AH6" s="19" cm="1">
        <f t="array" ref="AH6">IFERROR(_xlfn.XLOOKUP($W6&amp;AH$4,braves_19_25!$B:$B&amp;braves_19_25!$C:$C,braves_19_25!$R:$R),0)</f>
        <v>0</v>
      </c>
      <c r="AI6" s="19" cm="1">
        <f t="array" ref="AI6">IFERROR(_xlfn.XLOOKUP($W6&amp;AI$4,braves_19_25!$B:$B&amp;braves_19_25!$C:$C,braves_19_25!$R:$R),0)</f>
        <v>0</v>
      </c>
      <c r="AJ6" s="19" cm="1">
        <f t="array" ref="AJ6">IFERROR(_xlfn.XLOOKUP($W6&amp;AJ$4,braves_19_25!$B:$B&amp;braves_19_25!$C:$C,braves_19_25!$R:$R),0)</f>
        <v>0</v>
      </c>
      <c r="AK6" s="19" cm="1">
        <f t="array" ref="AK6">IFERROR(_xlfn.XLOOKUP($W6&amp;AK$4,braves_19_25!$B:$B&amp;braves_19_25!$C:$C,braves_19_25!$R:$R),0)</f>
        <v>0</v>
      </c>
      <c r="AL6" s="19" cm="1">
        <f t="array" ref="AL6">IFERROR(_xlfn.XLOOKUP($W6&amp;AL$4,braves_19_25!$B:$B&amp;braves_19_25!$C:$C,braves_19_25!$R:$R),0)</f>
        <v>0</v>
      </c>
      <c r="AM6" s="24" cm="1">
        <f t="array" ref="AM6">IFERROR(_xlfn.XLOOKUP($W6&amp;AM$4,braves_19_25!$B:$B&amp;braves_19_25!$C:$C,braves_19_25!$R:$R),0)</f>
        <v>0</v>
      </c>
      <c r="AN6" s="27" cm="1">
        <f t="array" ref="AN6">SQRT(
    MMULT(
        MMULT(
            $X6:$AM6,
            $F$5:$U$20
        ),
        TRANSPOSE($X6:$AM6)
    )
)</f>
        <v>0.62386315270840909</v>
      </c>
    </row>
    <row r="7" spans="1:40" x14ac:dyDescent="0.3">
      <c r="A7" s="14" t="s">
        <v>23</v>
      </c>
      <c r="B7" s="9" t="s">
        <v>64</v>
      </c>
      <c r="C7" s="10" t="s">
        <v>58</v>
      </c>
      <c r="E7" s="14" t="s">
        <v>20</v>
      </c>
      <c r="F7">
        <f t="shared" si="0"/>
        <v>0</v>
      </c>
      <c r="G7">
        <f t="shared" si="0"/>
        <v>0</v>
      </c>
      <c r="H7">
        <f t="shared" si="0"/>
        <v>1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0.7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0.7</v>
      </c>
      <c r="R7">
        <f t="shared" si="0"/>
        <v>0</v>
      </c>
      <c r="S7">
        <f t="shared" si="0"/>
        <v>0</v>
      </c>
      <c r="T7">
        <f t="shared" si="0"/>
        <v>0</v>
      </c>
      <c r="U7" s="7">
        <f t="shared" si="0"/>
        <v>0</v>
      </c>
      <c r="W7" s="14" t="str">
        <v>Strider, Spencer</v>
      </c>
      <c r="X7" s="19" cm="1">
        <f t="array" ref="X7">IFERROR(_xlfn.XLOOKUP($W7&amp;X$4,braves_19_25!$B:$B&amp;braves_19_25!$C:$C,braves_19_25!$R:$R),0)</f>
        <v>0.59106841490328443</v>
      </c>
      <c r="Y7" s="19" cm="1">
        <f t="array" ref="Y7">IFERROR(_xlfn.XLOOKUP($W7&amp;Y$4,braves_19_25!$B:$B&amp;braves_19_25!$C:$C,braves_19_25!$R:$R),0)</f>
        <v>0</v>
      </c>
      <c r="Z7" s="19" cm="1">
        <f t="array" ref="Z7">IFERROR(_xlfn.XLOOKUP($W7&amp;Z$4,braves_19_25!$B:$B&amp;braves_19_25!$C:$C,braves_19_25!$R:$R),0)</f>
        <v>0.32467869661170973</v>
      </c>
      <c r="AA7" s="19" cm="1">
        <f t="array" ref="AA7">IFERROR(_xlfn.XLOOKUP($W7&amp;AA$4,braves_19_25!$B:$B&amp;braves_19_25!$C:$C,braves_19_25!$R:$R),0)</f>
        <v>2.7132286122290017E-2</v>
      </c>
      <c r="AB7" s="19" cm="1">
        <f t="array" ref="AB7">IFERROR(_xlfn.XLOOKUP($W7&amp;AB$4,braves_19_25!$B:$B&amp;braves_19_25!$C:$C,braves_19_25!$R:$R),0)</f>
        <v>0</v>
      </c>
      <c r="AC7" s="19" cm="1">
        <f t="array" ref="AC7">IFERROR(_xlfn.XLOOKUP($W7&amp;AC$4,braves_19_25!$B:$B&amp;braves_19_25!$C:$C,braves_19_25!$R:$R),0)</f>
        <v>0</v>
      </c>
      <c r="AD7" s="19" cm="1">
        <f t="array" ref="AD7">IFERROR(_xlfn.XLOOKUP($W7&amp;AD$4,braves_19_25!$B:$B&amp;braves_19_25!$C:$C,braves_19_25!$R:$R),0)</f>
        <v>5.6990782811891467E-2</v>
      </c>
      <c r="AE7" s="19" cm="1">
        <f t="array" ref="AE7">IFERROR(_xlfn.XLOOKUP($W7&amp;AE$4,braves_19_25!$B:$B&amp;braves_19_25!$C:$C,braves_19_25!$R:$R),0)</f>
        <v>0</v>
      </c>
      <c r="AF7" s="19" cm="1">
        <f t="array" ref="AF7">IFERROR(_xlfn.XLOOKUP($W7&amp;AF$4,braves_19_25!$B:$B&amp;braves_19_25!$C:$C,braves_19_25!$R:$R),0)</f>
        <v>0</v>
      </c>
      <c r="AG7" s="19" cm="1">
        <f t="array" ref="AG7">IFERROR(_xlfn.XLOOKUP($W7&amp;AG$4,braves_19_25!$B:$B&amp;braves_19_25!$C:$C,braves_19_25!$R:$R),0)</f>
        <v>0</v>
      </c>
      <c r="AH7" s="19" cm="1">
        <f t="array" ref="AH7">IFERROR(_xlfn.XLOOKUP($W7&amp;AH$4,braves_19_25!$B:$B&amp;braves_19_25!$C:$C,braves_19_25!$R:$R),0)</f>
        <v>0</v>
      </c>
      <c r="AI7" s="19" cm="1">
        <f t="array" ref="AI7">IFERROR(_xlfn.XLOOKUP($W7&amp;AI$4,braves_19_25!$B:$B&amp;braves_19_25!$C:$C,braves_19_25!$R:$R),0)</f>
        <v>0</v>
      </c>
      <c r="AJ7" s="19" cm="1">
        <f t="array" ref="AJ7">IFERROR(_xlfn.XLOOKUP($W7&amp;AJ$4,braves_19_25!$B:$B&amp;braves_19_25!$C:$C,braves_19_25!$R:$R),0)</f>
        <v>0</v>
      </c>
      <c r="AK7" s="19" cm="1">
        <f t="array" ref="AK7">IFERROR(_xlfn.XLOOKUP($W7&amp;AK$4,braves_19_25!$B:$B&amp;braves_19_25!$C:$C,braves_19_25!$R:$R),0)</f>
        <v>0</v>
      </c>
      <c r="AL7" s="19" cm="1">
        <f t="array" ref="AL7">IFERROR(_xlfn.XLOOKUP($W7&amp;AL$4,braves_19_25!$B:$B&amp;braves_19_25!$C:$C,braves_19_25!$R:$R),0)</f>
        <v>0</v>
      </c>
      <c r="AM7" s="24" cm="1">
        <f t="array" ref="AM7">IFERROR(_xlfn.XLOOKUP($W7&amp;AM$4,braves_19_25!$B:$B&amp;braves_19_25!$C:$C,braves_19_25!$R:$R),0)</f>
        <v>0</v>
      </c>
      <c r="AN7" s="27" cm="1">
        <f t="array" ref="AN7">SQRT(
    MMULT(
        MMULT(
            $X7:$AM7,
            $F$5:$U$20
        ),
        TRANSPOSE($X7:$AM7)
    )
)</f>
        <v>0.67731989296453854</v>
      </c>
    </row>
    <row r="8" spans="1:40" x14ac:dyDescent="0.3">
      <c r="A8" s="14" t="s">
        <v>33</v>
      </c>
      <c r="B8" s="9" t="s">
        <v>65</v>
      </c>
      <c r="C8" s="10" t="s">
        <v>59</v>
      </c>
      <c r="E8" s="14" t="s">
        <v>23</v>
      </c>
      <c r="F8">
        <f t="shared" si="0"/>
        <v>0</v>
      </c>
      <c r="G8">
        <f t="shared" si="0"/>
        <v>0</v>
      </c>
      <c r="H8">
        <f t="shared" si="0"/>
        <v>0</v>
      </c>
      <c r="I8">
        <f t="shared" si="0"/>
        <v>1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0.7</v>
      </c>
      <c r="Q8">
        <f t="shared" si="0"/>
        <v>0</v>
      </c>
      <c r="R8">
        <f t="shared" si="0"/>
        <v>0.7</v>
      </c>
      <c r="S8">
        <f t="shared" si="0"/>
        <v>0</v>
      </c>
      <c r="T8">
        <f t="shared" si="0"/>
        <v>0</v>
      </c>
      <c r="U8" s="7">
        <f t="shared" si="0"/>
        <v>0</v>
      </c>
      <c r="W8" s="14" t="str">
        <v>Elder, Bryce</v>
      </c>
      <c r="X8" s="19" cm="1">
        <f t="array" ref="X8">IFERROR(_xlfn.XLOOKUP($W8&amp;X$4,braves_19_25!$B:$B&amp;braves_19_25!$C:$C,braves_19_25!$R:$R),0)</f>
        <v>0.13183098591549297</v>
      </c>
      <c r="Y8" s="19" cm="1">
        <f t="array" ref="Y8">IFERROR(_xlfn.XLOOKUP($W8&amp;Y$4,braves_19_25!$B:$B&amp;braves_19_25!$C:$C,braves_19_25!$R:$R),0)</f>
        <v>0.40619718309859154</v>
      </c>
      <c r="Z8" s="19" cm="1">
        <f t="array" ref="Z8">IFERROR(_xlfn.XLOOKUP($W8&amp;Z$4,braves_19_25!$B:$B&amp;braves_19_25!$C:$C,braves_19_25!$R:$R),0)</f>
        <v>0.33760563380281688</v>
      </c>
      <c r="AA8" s="19" cm="1">
        <f t="array" ref="AA8">IFERROR(_xlfn.XLOOKUP($W8&amp;AA$4,braves_19_25!$B:$B&amp;braves_19_25!$C:$C,braves_19_25!$R:$R),0)</f>
        <v>0</v>
      </c>
      <c r="AB8" s="19" cm="1">
        <f t="array" ref="AB8">IFERROR(_xlfn.XLOOKUP($W8&amp;AB$4,braves_19_25!$B:$B&amp;braves_19_25!$C:$C,braves_19_25!$R:$R),0)</f>
        <v>0</v>
      </c>
      <c r="AC8" s="19" cm="1">
        <f t="array" ref="AC8">IFERROR(_xlfn.XLOOKUP($W8&amp;AC$4,braves_19_25!$B:$B&amp;braves_19_25!$C:$C,braves_19_25!$R:$R),0)</f>
        <v>1.4084507042253522E-4</v>
      </c>
      <c r="AD8" s="19" cm="1">
        <f t="array" ref="AD8">IFERROR(_xlfn.XLOOKUP($W8&amp;AD$4,braves_19_25!$B:$B&amp;braves_19_25!$C:$C,braves_19_25!$R:$R),0)</f>
        <v>0.12422535211267606</v>
      </c>
      <c r="AE8" s="19" cm="1">
        <f t="array" ref="AE8">IFERROR(_xlfn.XLOOKUP($W8&amp;AE$4,braves_19_25!$B:$B&amp;braves_19_25!$C:$C,braves_19_25!$R:$R),0)</f>
        <v>0</v>
      </c>
      <c r="AF8" s="19" cm="1">
        <f t="array" ref="AF8">IFERROR(_xlfn.XLOOKUP($W8&amp;AF$4,braves_19_25!$B:$B&amp;braves_19_25!$C:$C,braves_19_25!$R:$R),0)</f>
        <v>0</v>
      </c>
      <c r="AG8" s="19" cm="1">
        <f t="array" ref="AG8">IFERROR(_xlfn.XLOOKUP($W8&amp;AG$4,braves_19_25!$B:$B&amp;braves_19_25!$C:$C,braves_19_25!$R:$R),0)</f>
        <v>0</v>
      </c>
      <c r="AH8" s="19" cm="1">
        <f t="array" ref="AH8">IFERROR(_xlfn.XLOOKUP($W8&amp;AH$4,braves_19_25!$B:$B&amp;braves_19_25!$C:$C,braves_19_25!$R:$R),0)</f>
        <v>0</v>
      </c>
      <c r="AI8" s="19" cm="1">
        <f t="array" ref="AI8">IFERROR(_xlfn.XLOOKUP($W8&amp;AI$4,braves_19_25!$B:$B&amp;braves_19_25!$C:$C,braves_19_25!$R:$R),0)</f>
        <v>0</v>
      </c>
      <c r="AJ8" s="19" cm="1">
        <f t="array" ref="AJ8">IFERROR(_xlfn.XLOOKUP($W8&amp;AJ$4,braves_19_25!$B:$B&amp;braves_19_25!$C:$C,braves_19_25!$R:$R),0)</f>
        <v>0</v>
      </c>
      <c r="AK8" s="19" cm="1">
        <f t="array" ref="AK8">IFERROR(_xlfn.XLOOKUP($W8&amp;AK$4,braves_19_25!$B:$B&amp;braves_19_25!$C:$C,braves_19_25!$R:$R),0)</f>
        <v>0</v>
      </c>
      <c r="AL8" s="19" cm="1">
        <f t="array" ref="AL8">IFERROR(_xlfn.XLOOKUP($W8&amp;AL$4,braves_19_25!$B:$B&amp;braves_19_25!$C:$C,braves_19_25!$R:$R),0)</f>
        <v>0</v>
      </c>
      <c r="AM8" s="24" cm="1">
        <f t="array" ref="AM8">IFERROR(_xlfn.XLOOKUP($W8&amp;AM$4,braves_19_25!$B:$B&amp;braves_19_25!$C:$C,braves_19_25!$R:$R),0)</f>
        <v>0</v>
      </c>
      <c r="AN8" s="27" cm="1">
        <f t="array" ref="AN8">SQRT(
    MMULT(
        MMULT(
            $X8:$AM8,
            $F$5:$U$20
        ),
        TRANSPOSE($X8:$AM8)
    )
)</f>
        <v>0.6219809462998106</v>
      </c>
    </row>
    <row r="9" spans="1:40" x14ac:dyDescent="0.3">
      <c r="A9" s="14" t="s">
        <v>34</v>
      </c>
      <c r="B9" s="9" t="s">
        <v>66</v>
      </c>
      <c r="C9" s="10" t="s">
        <v>56</v>
      </c>
      <c r="E9" s="14" t="s">
        <v>33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1</v>
      </c>
      <c r="K9">
        <f t="shared" si="0"/>
        <v>0</v>
      </c>
      <c r="L9">
        <f t="shared" si="0"/>
        <v>0.7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0.7</v>
      </c>
      <c r="T9">
        <f t="shared" si="0"/>
        <v>0.7</v>
      </c>
      <c r="U9" s="7">
        <f t="shared" si="0"/>
        <v>0</v>
      </c>
      <c r="W9" s="14" t="str">
        <v>Sale, Chris</v>
      </c>
      <c r="X9" s="19" cm="1">
        <f t="array" ref="X9">IFERROR(_xlfn.XLOOKUP($W9&amp;X$4,braves_19_25!$B:$B&amp;braves_19_25!$C:$C,braves_19_25!$R:$R),0)</f>
        <v>0.39661576557985967</v>
      </c>
      <c r="Y9" s="19" cm="1">
        <f t="array" ref="Y9">IFERROR(_xlfn.XLOOKUP($W9&amp;Y$4,braves_19_25!$B:$B&amp;braves_19_25!$C:$C,braves_19_25!$R:$R),0)</f>
        <v>5.6747833264548082E-2</v>
      </c>
      <c r="Z9" s="19" cm="1">
        <f t="array" ref="Z9">IFERROR(_xlfn.XLOOKUP($W9&amp;Z$4,braves_19_25!$B:$B&amp;braves_19_25!$C:$C,braves_19_25!$R:$R),0)</f>
        <v>0.43231531159719355</v>
      </c>
      <c r="AA9" s="19" cm="1">
        <f t="array" ref="AA9">IFERROR(_xlfn.XLOOKUP($W9&amp;AA$4,braves_19_25!$B:$B&amp;braves_19_25!$C:$C,braves_19_25!$R:$R),0)</f>
        <v>0</v>
      </c>
      <c r="AB9" s="19" cm="1">
        <f t="array" ref="AB9">IFERROR(_xlfn.XLOOKUP($W9&amp;AB$4,braves_19_25!$B:$B&amp;braves_19_25!$C:$C,braves_19_25!$R:$R),0)</f>
        <v>0</v>
      </c>
      <c r="AC9" s="19" cm="1">
        <f t="array" ref="AC9">IFERROR(_xlfn.XLOOKUP($W9&amp;AC$4,braves_19_25!$B:$B&amp;braves_19_25!$C:$C,braves_19_25!$R:$R),0)</f>
        <v>0</v>
      </c>
      <c r="AD9" s="19" cm="1">
        <f t="array" ref="AD9">IFERROR(_xlfn.XLOOKUP($W9&amp;AD$4,braves_19_25!$B:$B&amp;braves_19_25!$C:$C,braves_19_25!$R:$R),0)</f>
        <v>0.11432108955839868</v>
      </c>
      <c r="AE9" s="19" cm="1">
        <f t="array" ref="AE9">IFERROR(_xlfn.XLOOKUP($W9&amp;AE$4,braves_19_25!$B:$B&amp;braves_19_25!$C:$C,braves_19_25!$R:$R),0)</f>
        <v>0</v>
      </c>
      <c r="AF9" s="19" cm="1">
        <f t="array" ref="AF9">IFERROR(_xlfn.XLOOKUP($W9&amp;AF$4,braves_19_25!$B:$B&amp;braves_19_25!$C:$C,braves_19_25!$R:$R),0)</f>
        <v>0</v>
      </c>
      <c r="AG9" s="19" cm="1">
        <f t="array" ref="AG9">IFERROR(_xlfn.XLOOKUP($W9&amp;AG$4,braves_19_25!$B:$B&amp;braves_19_25!$C:$C,braves_19_25!$R:$R),0)</f>
        <v>0</v>
      </c>
      <c r="AH9" s="19" cm="1">
        <f t="array" ref="AH9">IFERROR(_xlfn.XLOOKUP($W9&amp;AH$4,braves_19_25!$B:$B&amp;braves_19_25!$C:$C,braves_19_25!$R:$R),0)</f>
        <v>0</v>
      </c>
      <c r="AI9" s="19" cm="1">
        <f t="array" ref="AI9">IFERROR(_xlfn.XLOOKUP($W9&amp;AI$4,braves_19_25!$B:$B&amp;braves_19_25!$C:$C,braves_19_25!$R:$R),0)</f>
        <v>0</v>
      </c>
      <c r="AJ9" s="19" cm="1">
        <f t="array" ref="AJ9">IFERROR(_xlfn.XLOOKUP($W9&amp;AJ$4,braves_19_25!$B:$B&amp;braves_19_25!$C:$C,braves_19_25!$R:$R),0)</f>
        <v>0</v>
      </c>
      <c r="AK9" s="19" cm="1">
        <f t="array" ref="AK9">IFERROR(_xlfn.XLOOKUP($W9&amp;AK$4,braves_19_25!$B:$B&amp;braves_19_25!$C:$C,braves_19_25!$R:$R),0)</f>
        <v>0</v>
      </c>
      <c r="AL9" s="19" cm="1">
        <f t="array" ref="AL9">IFERROR(_xlfn.XLOOKUP($W9&amp;AL$4,braves_19_25!$B:$B&amp;braves_19_25!$C:$C,braves_19_25!$R:$R),0)</f>
        <v>0</v>
      </c>
      <c r="AM9" s="24" cm="1">
        <f t="array" ref="AM9">IFERROR(_xlfn.XLOOKUP($W9&amp;AM$4,braves_19_25!$B:$B&amp;braves_19_25!$C:$C,braves_19_25!$R:$R),0)</f>
        <v>0</v>
      </c>
      <c r="AN9" s="27" cm="1">
        <f t="array" ref="AN9">SQRT(
    MMULT(
        MMULT(
            $X9:$AM9,
            $F$5:$U$20
        ),
        TRANSPOSE($X9:$AM9)
    )
)</f>
        <v>0.62609914687309787</v>
      </c>
    </row>
    <row r="10" spans="1:40" x14ac:dyDescent="0.3">
      <c r="A10" s="14" t="s">
        <v>37</v>
      </c>
      <c r="B10" s="9" t="s">
        <v>67</v>
      </c>
      <c r="C10" s="10" t="s">
        <v>59</v>
      </c>
      <c r="E10" s="14" t="s">
        <v>34</v>
      </c>
      <c r="F10">
        <f t="shared" si="0"/>
        <v>0.7</v>
      </c>
      <c r="G10">
        <f t="shared" si="0"/>
        <v>0.7</v>
      </c>
      <c r="H10">
        <f t="shared" si="0"/>
        <v>0</v>
      </c>
      <c r="I10">
        <f t="shared" si="0"/>
        <v>0</v>
      </c>
      <c r="J10">
        <f t="shared" si="0"/>
        <v>0</v>
      </c>
      <c r="K10">
        <f t="shared" si="0"/>
        <v>1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  <c r="S10">
        <f t="shared" si="0"/>
        <v>0</v>
      </c>
      <c r="T10">
        <f t="shared" si="0"/>
        <v>0</v>
      </c>
      <c r="U10" s="7">
        <f t="shared" si="0"/>
        <v>0</v>
      </c>
      <c r="W10" s="14" t="str">
        <v>Anderson, Ian</v>
      </c>
      <c r="X10" s="19" cm="1">
        <f t="array" ref="X10">IFERROR(_xlfn.XLOOKUP($W10&amp;X$4,braves_19_25!$B:$B&amp;braves_19_25!$C:$C,braves_19_25!$R:$R),0)</f>
        <v>0.47484740054725322</v>
      </c>
      <c r="Y10" s="19" cm="1">
        <f t="array" ref="Y10">IFERROR(_xlfn.XLOOKUP($W10&amp;Y$4,braves_19_25!$B:$B&amp;braves_19_25!$C:$C,braves_19_25!$R:$R),0)</f>
        <v>2.7362660492527887E-3</v>
      </c>
      <c r="Z10" s="19" cm="1">
        <f t="array" ref="Z10">IFERROR(_xlfn.XLOOKUP($W10&amp;Z$4,braves_19_25!$B:$B&amp;braves_19_25!$C:$C,braves_19_25!$R:$R),0)</f>
        <v>0</v>
      </c>
      <c r="AA10" s="19" cm="1">
        <f t="array" ref="AA10">IFERROR(_xlfn.XLOOKUP($W10&amp;AA$4,braves_19_25!$B:$B&amp;braves_19_25!$C:$C,braves_19_25!$R:$R),0)</f>
        <v>0.19364344348558199</v>
      </c>
      <c r="AB10" s="19" cm="1">
        <f t="array" ref="AB10">IFERROR(_xlfn.XLOOKUP($W10&amp;AB$4,braves_19_25!$B:$B&amp;braves_19_25!$C:$C,braves_19_25!$R:$R),0)</f>
        <v>0</v>
      </c>
      <c r="AC10" s="19" cm="1">
        <f t="array" ref="AC10">IFERROR(_xlfn.XLOOKUP($W10&amp;AC$4,braves_19_25!$B:$B&amp;braves_19_25!$C:$C,braves_19_25!$R:$R),0)</f>
        <v>0</v>
      </c>
      <c r="AD10" s="19" cm="1">
        <f t="array" ref="AD10">IFERROR(_xlfn.XLOOKUP($W10&amp;AD$4,braves_19_25!$B:$B&amp;braves_19_25!$C:$C,braves_19_25!$R:$R),0)</f>
        <v>0.32182698379288571</v>
      </c>
      <c r="AE10" s="19" cm="1">
        <f t="array" ref="AE10">IFERROR(_xlfn.XLOOKUP($W10&amp;AE$4,braves_19_25!$B:$B&amp;braves_19_25!$C:$C,braves_19_25!$R:$R),0)</f>
        <v>6.9459061250263104E-3</v>
      </c>
      <c r="AF10" s="19" cm="1">
        <f t="array" ref="AF10">IFERROR(_xlfn.XLOOKUP($W10&amp;AF$4,braves_19_25!$B:$B&amp;braves_19_25!$C:$C,braves_19_25!$R:$R),0)</f>
        <v>0</v>
      </c>
      <c r="AG10" s="19" cm="1">
        <f t="array" ref="AG10">IFERROR(_xlfn.XLOOKUP($W10&amp;AG$4,braves_19_25!$B:$B&amp;braves_19_25!$C:$C,braves_19_25!$R:$R),0)</f>
        <v>0</v>
      </c>
      <c r="AH10" s="19" cm="1">
        <f t="array" ref="AH10">IFERROR(_xlfn.XLOOKUP($W10&amp;AH$4,braves_19_25!$B:$B&amp;braves_19_25!$C:$C,braves_19_25!$R:$R),0)</f>
        <v>0</v>
      </c>
      <c r="AI10" s="19" cm="1">
        <f t="array" ref="AI10">IFERROR(_xlfn.XLOOKUP($W10&amp;AI$4,braves_19_25!$B:$B&amp;braves_19_25!$C:$C,braves_19_25!$R:$R),0)</f>
        <v>0</v>
      </c>
      <c r="AJ10" s="19" cm="1">
        <f t="array" ref="AJ10">IFERROR(_xlfn.XLOOKUP($W10&amp;AJ$4,braves_19_25!$B:$B&amp;braves_19_25!$C:$C,braves_19_25!$R:$R),0)</f>
        <v>0</v>
      </c>
      <c r="AK10" s="19" cm="1">
        <f t="array" ref="AK10">IFERROR(_xlfn.XLOOKUP($W10&amp;AK$4,braves_19_25!$B:$B&amp;braves_19_25!$C:$C,braves_19_25!$R:$R),0)</f>
        <v>0</v>
      </c>
      <c r="AL10" s="19" cm="1">
        <f t="array" ref="AL10">IFERROR(_xlfn.XLOOKUP($W10&amp;AL$4,braves_19_25!$B:$B&amp;braves_19_25!$C:$C,braves_19_25!$R:$R),0)</f>
        <v>0</v>
      </c>
      <c r="AM10" s="24" cm="1">
        <f t="array" ref="AM10">IFERROR(_xlfn.XLOOKUP($W10&amp;AM$4,braves_19_25!$B:$B&amp;braves_19_25!$C:$C,braves_19_25!$R:$R),0)</f>
        <v>0</v>
      </c>
      <c r="AN10" s="27" cm="1">
        <f t="array" ref="AN10">SQRT(
    MMULT(
        MMULT(
            $X10:$AM10,
            $F$5:$U$20
        ),
        TRANSPOSE($X10:$AM10)
    )
)</f>
        <v>0.60698040299619593</v>
      </c>
    </row>
    <row r="11" spans="1:40" x14ac:dyDescent="0.3">
      <c r="A11" s="14" t="s">
        <v>40</v>
      </c>
      <c r="B11" s="9" t="s">
        <v>68</v>
      </c>
      <c r="C11" s="10" t="s">
        <v>57</v>
      </c>
      <c r="E11" s="14" t="s">
        <v>37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0.7</v>
      </c>
      <c r="K11">
        <f t="shared" si="0"/>
        <v>0</v>
      </c>
      <c r="L11">
        <f t="shared" si="0"/>
        <v>1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0.7</v>
      </c>
      <c r="T11">
        <f t="shared" si="0"/>
        <v>0.7</v>
      </c>
      <c r="U11" s="7">
        <f t="shared" si="0"/>
        <v>0</v>
      </c>
      <c r="W11" s="14" t="str">
        <v>Minter, A.J.</v>
      </c>
      <c r="X11" s="19" cm="1">
        <f t="array" ref="X11">IFERROR(_xlfn.XLOOKUP($W11&amp;X$4,braves_19_25!$B:$B&amp;braves_19_25!$C:$C,braves_19_25!$R:$R),0)</f>
        <v>0.45212999560825645</v>
      </c>
      <c r="Y11" s="19" cm="1">
        <f t="array" ref="Y11">IFERROR(_xlfn.XLOOKUP($W11&amp;Y$4,braves_19_25!$B:$B&amp;braves_19_25!$C:$C,braves_19_25!$R:$R),0)</f>
        <v>0</v>
      </c>
      <c r="Z11" s="19" cm="1">
        <f t="array" ref="Z11">IFERROR(_xlfn.XLOOKUP($W11&amp;Z$4,braves_19_25!$B:$B&amp;braves_19_25!$C:$C,braves_19_25!$R:$R),0)</f>
        <v>0</v>
      </c>
      <c r="AA11" s="19" cm="1">
        <f t="array" ref="AA11">IFERROR(_xlfn.XLOOKUP($W11&amp;AA$4,braves_19_25!$B:$B&amp;braves_19_25!$C:$C,braves_19_25!$R:$R),0)</f>
        <v>0</v>
      </c>
      <c r="AB11" s="19" cm="1">
        <f t="array" ref="AB11">IFERROR(_xlfn.XLOOKUP($W11&amp;AB$4,braves_19_25!$B:$B&amp;braves_19_25!$C:$C,braves_19_25!$R:$R),0)</f>
        <v>0</v>
      </c>
      <c r="AC11" s="19" cm="1">
        <f t="array" ref="AC11">IFERROR(_xlfn.XLOOKUP($W11&amp;AC$4,braves_19_25!$B:$B&amp;braves_19_25!$C:$C,braves_19_25!$R:$R),0)</f>
        <v>0.38801054018445325</v>
      </c>
      <c r="AD11" s="19" cm="1">
        <f t="array" ref="AD11">IFERROR(_xlfn.XLOOKUP($W11&amp;AD$4,braves_19_25!$B:$B&amp;braves_19_25!$C:$C,braves_19_25!$R:$R),0)</f>
        <v>0.1598594642072903</v>
      </c>
      <c r="AE11" s="19" cm="1">
        <f t="array" ref="AE11">IFERROR(_xlfn.XLOOKUP($W11&amp;AE$4,braves_19_25!$B:$B&amp;braves_19_25!$C:$C,braves_19_25!$R:$R),0)</f>
        <v>0</v>
      </c>
      <c r="AF11" s="19" cm="1">
        <f t="array" ref="AF11">IFERROR(_xlfn.XLOOKUP($W11&amp;AF$4,braves_19_25!$B:$B&amp;braves_19_25!$C:$C,braves_19_25!$R:$R),0)</f>
        <v>0</v>
      </c>
      <c r="AG11" s="19" cm="1">
        <f t="array" ref="AG11">IFERROR(_xlfn.XLOOKUP($W11&amp;AG$4,braves_19_25!$B:$B&amp;braves_19_25!$C:$C,braves_19_25!$R:$R),0)</f>
        <v>0</v>
      </c>
      <c r="AH11" s="19" cm="1">
        <f t="array" ref="AH11">IFERROR(_xlfn.XLOOKUP($W11&amp;AH$4,braves_19_25!$B:$B&amp;braves_19_25!$C:$C,braves_19_25!$R:$R),0)</f>
        <v>0</v>
      </c>
      <c r="AI11" s="19" cm="1">
        <f t="array" ref="AI11">IFERROR(_xlfn.XLOOKUP($W11&amp;AI$4,braves_19_25!$B:$B&amp;braves_19_25!$C:$C,braves_19_25!$R:$R),0)</f>
        <v>0</v>
      </c>
      <c r="AJ11" s="19" cm="1">
        <f t="array" ref="AJ11">IFERROR(_xlfn.XLOOKUP($W11&amp;AJ$4,braves_19_25!$B:$B&amp;braves_19_25!$C:$C,braves_19_25!$R:$R),0)</f>
        <v>0</v>
      </c>
      <c r="AK11" s="19" cm="1">
        <f t="array" ref="AK11">IFERROR(_xlfn.XLOOKUP($W11&amp;AK$4,braves_19_25!$B:$B&amp;braves_19_25!$C:$C,braves_19_25!$R:$R),0)</f>
        <v>0</v>
      </c>
      <c r="AL11" s="19" cm="1">
        <f t="array" ref="AL11">IFERROR(_xlfn.XLOOKUP($W11&amp;AL$4,braves_19_25!$B:$B&amp;braves_19_25!$C:$C,braves_19_25!$R:$R),0)</f>
        <v>0</v>
      </c>
      <c r="AM11" s="24" cm="1">
        <f t="array" ref="AM11">IFERROR(_xlfn.XLOOKUP($W11&amp;AM$4,braves_19_25!$B:$B&amp;braves_19_25!$C:$C,braves_19_25!$R:$R),0)</f>
        <v>0</v>
      </c>
      <c r="AN11" s="27" cm="1">
        <f t="array" ref="AN11">SQRT(
    MMULT(
        MMULT(
            $X11:$AM11,
            $F$5:$U$20
        ),
        TRANSPOSE($X11:$AM11)
    )
)</f>
        <v>0.79128531256492485</v>
      </c>
    </row>
    <row r="12" spans="1:40" x14ac:dyDescent="0.3">
      <c r="A12" s="14" t="s">
        <v>48</v>
      </c>
      <c r="B12" s="9" t="s">
        <v>69</v>
      </c>
      <c r="C12" s="10" t="s">
        <v>60</v>
      </c>
      <c r="E12" s="14" t="s">
        <v>40</v>
      </c>
      <c r="F12">
        <f t="shared" si="0"/>
        <v>0</v>
      </c>
      <c r="G12">
        <f t="shared" si="0"/>
        <v>0</v>
      </c>
      <c r="H12">
        <f t="shared" si="0"/>
        <v>0.7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0</v>
      </c>
      <c r="M12">
        <f t="shared" si="0"/>
        <v>1</v>
      </c>
      <c r="N12">
        <f t="shared" si="0"/>
        <v>0</v>
      </c>
      <c r="O12">
        <f t="shared" si="0"/>
        <v>0</v>
      </c>
      <c r="P12">
        <f t="shared" si="0"/>
        <v>0</v>
      </c>
      <c r="Q12">
        <f t="shared" si="0"/>
        <v>0.7</v>
      </c>
      <c r="R12">
        <f t="shared" si="0"/>
        <v>0</v>
      </c>
      <c r="S12">
        <f t="shared" si="0"/>
        <v>0</v>
      </c>
      <c r="T12">
        <f t="shared" si="0"/>
        <v>0</v>
      </c>
      <c r="U12" s="7">
        <f t="shared" si="0"/>
        <v>0</v>
      </c>
      <c r="W12" s="14" t="str">
        <v>Wright, Kyle</v>
      </c>
      <c r="X12" s="19" cm="1">
        <f t="array" ref="X12">IFERROR(_xlfn.XLOOKUP($W12&amp;X$4,braves_19_25!$B:$B&amp;braves_19_25!$C:$C,braves_19_25!$R:$R),0)</f>
        <v>0.2049124403002047</v>
      </c>
      <c r="Y12" s="19" cm="1">
        <f t="array" ref="Y12">IFERROR(_xlfn.XLOOKUP($W12&amp;Y$4,braves_19_25!$B:$B&amp;braves_19_25!$C:$C,braves_19_25!$R:$R),0)</f>
        <v>0.2485785763020241</v>
      </c>
      <c r="Z12" s="19" cm="1">
        <f t="array" ref="Z12">IFERROR(_xlfn.XLOOKUP($W12&amp;Z$4,braves_19_25!$B:$B&amp;braves_19_25!$C:$C,braves_19_25!$R:$R),0)</f>
        <v>0.11030247896292927</v>
      </c>
      <c r="AA12" s="19" cm="1">
        <f t="array" ref="AA12">IFERROR(_xlfn.XLOOKUP($W12&amp;AA$4,braves_19_25!$B:$B&amp;braves_19_25!$C:$C,braves_19_25!$R:$R),0)</f>
        <v>0</v>
      </c>
      <c r="AB12" s="19" cm="1">
        <f t="array" ref="AB12">IFERROR(_xlfn.XLOOKUP($W12&amp;AB$4,braves_19_25!$B:$B&amp;braves_19_25!$C:$C,braves_19_25!$R:$R),0)</f>
        <v>0</v>
      </c>
      <c r="AC12" s="19" cm="1">
        <f t="array" ref="AC12">IFERROR(_xlfn.XLOOKUP($W12&amp;AC$4,braves_19_25!$B:$B&amp;braves_19_25!$C:$C,braves_19_25!$R:$R),0)</f>
        <v>0</v>
      </c>
      <c r="AD12" s="19" cm="1">
        <f t="array" ref="AD12">IFERROR(_xlfn.XLOOKUP($W12&amp;AD$4,braves_19_25!$B:$B&amp;braves_19_25!$C:$C,braves_19_25!$R:$R),0)</f>
        <v>0.13236297475551512</v>
      </c>
      <c r="AE12" s="19" cm="1">
        <f t="array" ref="AE12">IFERROR(_xlfn.XLOOKUP($W12&amp;AE$4,braves_19_25!$B:$B&amp;braves_19_25!$C:$C,braves_19_25!$R:$R),0)</f>
        <v>0</v>
      </c>
      <c r="AF12" s="19" cm="1">
        <f t="array" ref="AF12">IFERROR(_xlfn.XLOOKUP($W12&amp;AF$4,braves_19_25!$B:$B&amp;braves_19_25!$C:$C,braves_19_25!$R:$R),0)</f>
        <v>0</v>
      </c>
      <c r="AG12" s="19" cm="1">
        <f t="array" ref="AG12">IFERROR(_xlfn.XLOOKUP($W12&amp;AG$4,braves_19_25!$B:$B&amp;braves_19_25!$C:$C,braves_19_25!$R:$R),0)</f>
        <v>0</v>
      </c>
      <c r="AH12" s="19" cm="1">
        <f t="array" ref="AH12">IFERROR(_xlfn.XLOOKUP($W12&amp;AH$4,braves_19_25!$B:$B&amp;braves_19_25!$C:$C,braves_19_25!$R:$R),0)</f>
        <v>0</v>
      </c>
      <c r="AI12" s="19" cm="1">
        <f t="array" ref="AI12">IFERROR(_xlfn.XLOOKUP($W12&amp;AI$4,braves_19_25!$B:$B&amp;braves_19_25!$C:$C,braves_19_25!$R:$R),0)</f>
        <v>0</v>
      </c>
      <c r="AJ12" s="19" cm="1">
        <f t="array" ref="AJ12">IFERROR(_xlfn.XLOOKUP($W12&amp;AJ$4,braves_19_25!$B:$B&amp;braves_19_25!$C:$C,braves_19_25!$R:$R),0)</f>
        <v>0.30384352967932682</v>
      </c>
      <c r="AK12" s="19" cm="1">
        <f t="array" ref="AK12">IFERROR(_xlfn.XLOOKUP($W12&amp;AK$4,braves_19_25!$B:$B&amp;braves_19_25!$C:$C,braves_19_25!$R:$R),0)</f>
        <v>0</v>
      </c>
      <c r="AL12" s="19" cm="1">
        <f t="array" ref="AL12">IFERROR(_xlfn.XLOOKUP($W12&amp;AL$4,braves_19_25!$B:$B&amp;braves_19_25!$C:$C,braves_19_25!$R:$R),0)</f>
        <v>0</v>
      </c>
      <c r="AM12" s="24" cm="1">
        <f t="array" ref="AM12">IFERROR(_xlfn.XLOOKUP($W12&amp;AM$4,braves_19_25!$B:$B&amp;braves_19_25!$C:$C,braves_19_25!$R:$R),0)</f>
        <v>0</v>
      </c>
      <c r="AN12" s="27" cm="1">
        <f t="array" ref="AN12">SQRT(
    MMULT(
        MMULT(
            $X12:$AM12,
            $F$5:$U$20
        ),
        TRANSPOSE($X12:$AM12)
    )
)</f>
        <v>0.54506832692110496</v>
      </c>
    </row>
    <row r="13" spans="1:40" x14ac:dyDescent="0.3">
      <c r="A13" s="14" t="s">
        <v>50</v>
      </c>
      <c r="B13" s="9" t="s">
        <v>70</v>
      </c>
      <c r="C13" s="10" t="s">
        <v>60</v>
      </c>
      <c r="E13" s="14" t="s">
        <v>48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0</v>
      </c>
      <c r="N13">
        <f t="shared" si="0"/>
        <v>1</v>
      </c>
      <c r="O13">
        <f t="shared" si="0"/>
        <v>0.7</v>
      </c>
      <c r="P13">
        <f t="shared" si="0"/>
        <v>0</v>
      </c>
      <c r="Q13">
        <f t="shared" si="0"/>
        <v>0</v>
      </c>
      <c r="R13">
        <f t="shared" si="0"/>
        <v>0</v>
      </c>
      <c r="S13">
        <f t="shared" si="0"/>
        <v>0</v>
      </c>
      <c r="T13">
        <f t="shared" si="0"/>
        <v>0</v>
      </c>
      <c r="U13" s="7">
        <f t="shared" si="0"/>
        <v>0.7</v>
      </c>
      <c r="W13" s="14" t="str">
        <v>Schwellenbach, Spencer</v>
      </c>
      <c r="X13" s="19" cm="1">
        <f t="array" ref="X13">IFERROR(_xlfn.XLOOKUP($W13&amp;X$4,braves_19_25!$B:$B&amp;braves_19_25!$C:$C,braves_19_25!$R:$R),0)</f>
        <v>0.3176300578034682</v>
      </c>
      <c r="Y13" s="19" cm="1">
        <f t="array" ref="Y13">IFERROR(_xlfn.XLOOKUP($W13&amp;Y$4,braves_19_25!$B:$B&amp;braves_19_25!$C:$C,braves_19_25!$R:$R),0)</f>
        <v>8.4104046242774566E-2</v>
      </c>
      <c r="Z13" s="19" cm="1">
        <f t="array" ref="Z13">IFERROR(_xlfn.XLOOKUP($W13&amp;Z$4,braves_19_25!$B:$B&amp;braves_19_25!$C:$C,braves_19_25!$R:$R),0)</f>
        <v>0.19075144508670519</v>
      </c>
      <c r="AA13" s="19" cm="1">
        <f t="array" ref="AA13">IFERROR(_xlfn.XLOOKUP($W13&amp;AA$4,braves_19_25!$B:$B&amp;braves_19_25!$C:$C,braves_19_25!$R:$R),0)</f>
        <v>0.13150289017341041</v>
      </c>
      <c r="AB13" s="19" cm="1">
        <f t="array" ref="AB13">IFERROR(_xlfn.XLOOKUP($W13&amp;AB$4,braves_19_25!$B:$B&amp;braves_19_25!$C:$C,braves_19_25!$R:$R),0)</f>
        <v>0.13294797687861271</v>
      </c>
      <c r="AC13" s="19" cm="1">
        <f t="array" ref="AC13">IFERROR(_xlfn.XLOOKUP($W13&amp;AC$4,braves_19_25!$B:$B&amp;braves_19_25!$C:$C,braves_19_25!$R:$R),0)</f>
        <v>0.1430635838150289</v>
      </c>
      <c r="AD13" s="19" cm="1">
        <f t="array" ref="AD13">IFERROR(_xlfn.XLOOKUP($W13&amp;AD$4,braves_19_25!$B:$B&amp;braves_19_25!$C:$C,braves_19_25!$R:$R),0)</f>
        <v>0</v>
      </c>
      <c r="AE13" s="19" cm="1">
        <f t="array" ref="AE13">IFERROR(_xlfn.XLOOKUP($W13&amp;AE$4,braves_19_25!$B:$B&amp;braves_19_25!$C:$C,braves_19_25!$R:$R),0)</f>
        <v>0</v>
      </c>
      <c r="AF13" s="19" cm="1">
        <f t="array" ref="AF13">IFERROR(_xlfn.XLOOKUP($W13&amp;AF$4,braves_19_25!$B:$B&amp;braves_19_25!$C:$C,braves_19_25!$R:$R),0)</f>
        <v>0</v>
      </c>
      <c r="AG13" s="19" cm="1">
        <f t="array" ref="AG13">IFERROR(_xlfn.XLOOKUP($W13&amp;AG$4,braves_19_25!$B:$B&amp;braves_19_25!$C:$C,braves_19_25!$R:$R),0)</f>
        <v>0</v>
      </c>
      <c r="AH13" s="19" cm="1">
        <f t="array" ref="AH13">IFERROR(_xlfn.XLOOKUP($W13&amp;AH$4,braves_19_25!$B:$B&amp;braves_19_25!$C:$C,braves_19_25!$R:$R),0)</f>
        <v>0</v>
      </c>
      <c r="AI13" s="19" cm="1">
        <f t="array" ref="AI13">IFERROR(_xlfn.XLOOKUP($W13&amp;AI$4,braves_19_25!$B:$B&amp;braves_19_25!$C:$C,braves_19_25!$R:$R),0)</f>
        <v>0</v>
      </c>
      <c r="AJ13" s="19" cm="1">
        <f t="array" ref="AJ13">IFERROR(_xlfn.XLOOKUP($W13&amp;AJ$4,braves_19_25!$B:$B&amp;braves_19_25!$C:$C,braves_19_25!$R:$R),0)</f>
        <v>0</v>
      </c>
      <c r="AK13" s="19" cm="1">
        <f t="array" ref="AK13">IFERROR(_xlfn.XLOOKUP($W13&amp;AK$4,braves_19_25!$B:$B&amp;braves_19_25!$C:$C,braves_19_25!$R:$R),0)</f>
        <v>0</v>
      </c>
      <c r="AL13" s="19" cm="1">
        <f t="array" ref="AL13">IFERROR(_xlfn.XLOOKUP($W13&amp;AL$4,braves_19_25!$B:$B&amp;braves_19_25!$C:$C,braves_19_25!$R:$R),0)</f>
        <v>0</v>
      </c>
      <c r="AM13" s="24" cm="1">
        <f t="array" ref="AM13">IFERROR(_xlfn.XLOOKUP($W13&amp;AM$4,braves_19_25!$B:$B&amp;braves_19_25!$C:$C,braves_19_25!$R:$R),0)</f>
        <v>0</v>
      </c>
      <c r="AN13" s="27" cm="1">
        <f t="array" ref="AN13">SQRT(
    MMULT(
        MMULT(
            $X13:$AM13,
            $F$5:$U$20
        ),
        TRANSPOSE($X13:$AM13)
    )
)</f>
        <v>0.5636012002654236</v>
      </c>
    </row>
    <row r="14" spans="1:40" x14ac:dyDescent="0.3">
      <c r="A14" s="14" t="s">
        <v>52</v>
      </c>
      <c r="B14" s="9" t="s">
        <v>71</v>
      </c>
      <c r="C14" s="10" t="s">
        <v>58</v>
      </c>
      <c r="E14" s="14" t="s">
        <v>50</v>
      </c>
      <c r="F14">
        <f t="shared" si="0"/>
        <v>0</v>
      </c>
      <c r="G14">
        <f t="shared" si="0"/>
        <v>0</v>
      </c>
      <c r="H14">
        <f t="shared" si="0"/>
        <v>0</v>
      </c>
      <c r="I14">
        <f t="shared" si="0"/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0.7</v>
      </c>
      <c r="O14">
        <f t="shared" si="0"/>
        <v>1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 s="7">
        <f t="shared" si="0"/>
        <v>0.7</v>
      </c>
      <c r="W14" s="14" t="str">
        <v>Soroka, Michael</v>
      </c>
      <c r="X14" s="19" cm="1">
        <f t="array" ref="X14">IFERROR(_xlfn.XLOOKUP($W14&amp;X$4,braves_19_25!$B:$B&amp;braves_19_25!$C:$C,braves_19_25!$R:$R),0)</f>
        <v>0.21526299787169353</v>
      </c>
      <c r="Y14" s="19" cm="1">
        <f t="array" ref="Y14">IFERROR(_xlfn.XLOOKUP($W14&amp;Y$4,braves_19_25!$B:$B&amp;braves_19_25!$C:$C,braves_19_25!$R:$R),0)</f>
        <v>0.4025539677713591</v>
      </c>
      <c r="Z14" s="19" cm="1">
        <f t="array" ref="Z14">IFERROR(_xlfn.XLOOKUP($W14&amp;Z$4,braves_19_25!$B:$B&amp;braves_19_25!$C:$C,braves_19_25!$R:$R),0)</f>
        <v>0.24657950744907267</v>
      </c>
      <c r="AA14" s="19" cm="1">
        <f t="array" ref="AA14">IFERROR(_xlfn.XLOOKUP($W14&amp;AA$4,braves_19_25!$B:$B&amp;braves_19_25!$C:$C,braves_19_25!$R:$R),0)</f>
        <v>0</v>
      </c>
      <c r="AB14" s="19" cm="1">
        <f t="array" ref="AB14">IFERROR(_xlfn.XLOOKUP($W14&amp;AB$4,braves_19_25!$B:$B&amp;braves_19_25!$C:$C,braves_19_25!$R:$R),0)</f>
        <v>0</v>
      </c>
      <c r="AC14" s="19" cm="1">
        <f t="array" ref="AC14">IFERROR(_xlfn.XLOOKUP($W14&amp;AC$4,braves_19_25!$B:$B&amp;braves_19_25!$C:$C,braves_19_25!$R:$R),0)</f>
        <v>0</v>
      </c>
      <c r="AD14" s="19" cm="1">
        <f t="array" ref="AD14">IFERROR(_xlfn.XLOOKUP($W14&amp;AD$4,braves_19_25!$B:$B&amp;braves_19_25!$C:$C,braves_19_25!$R:$R),0)</f>
        <v>0.13317117664943751</v>
      </c>
      <c r="AE14" s="19" cm="1">
        <f t="array" ref="AE14">IFERROR(_xlfn.XLOOKUP($W14&amp;AE$4,braves_19_25!$B:$B&amp;braves_19_25!$C:$C,braves_19_25!$R:$R),0)</f>
        <v>0</v>
      </c>
      <c r="AF14" s="19" cm="1">
        <f t="array" ref="AF14">IFERROR(_xlfn.XLOOKUP($W14&amp;AF$4,braves_19_25!$B:$B&amp;braves_19_25!$C:$C,braves_19_25!$R:$R),0)</f>
        <v>0</v>
      </c>
      <c r="AG14" s="19" cm="1">
        <f t="array" ref="AG14">IFERROR(_xlfn.XLOOKUP($W14&amp;AG$4,braves_19_25!$B:$B&amp;braves_19_25!$C:$C,braves_19_25!$R:$R),0)</f>
        <v>0</v>
      </c>
      <c r="AH14" s="19" cm="1">
        <f t="array" ref="AH14">IFERROR(_xlfn.XLOOKUP($W14&amp;AH$4,braves_19_25!$B:$B&amp;braves_19_25!$C:$C,braves_19_25!$R:$R),0)</f>
        <v>0</v>
      </c>
      <c r="AI14" s="19" cm="1">
        <f t="array" ref="AI14">IFERROR(_xlfn.XLOOKUP($W14&amp;AI$4,braves_19_25!$B:$B&amp;braves_19_25!$C:$C,braves_19_25!$R:$R),0)</f>
        <v>2.432350258437215E-3</v>
      </c>
      <c r="AJ14" s="19" cm="1">
        <f t="array" ref="AJ14">IFERROR(_xlfn.XLOOKUP($W14&amp;AJ$4,braves_19_25!$B:$B&amp;braves_19_25!$C:$C,braves_19_25!$R:$R),0)</f>
        <v>0</v>
      </c>
      <c r="AK14" s="19" cm="1">
        <f t="array" ref="AK14">IFERROR(_xlfn.XLOOKUP($W14&amp;AK$4,braves_19_25!$B:$B&amp;braves_19_25!$C:$C,braves_19_25!$R:$R),0)</f>
        <v>0</v>
      </c>
      <c r="AL14" s="19" cm="1">
        <f t="array" ref="AL14">IFERROR(_xlfn.XLOOKUP($W14&amp;AL$4,braves_19_25!$B:$B&amp;braves_19_25!$C:$C,braves_19_25!$R:$R),0)</f>
        <v>0</v>
      </c>
      <c r="AM14" s="24" cm="1">
        <f t="array" ref="AM14">IFERROR(_xlfn.XLOOKUP($W14&amp;AM$4,braves_19_25!$B:$B&amp;braves_19_25!$C:$C,braves_19_25!$R:$R),0)</f>
        <v>0</v>
      </c>
      <c r="AN14" s="27" cm="1">
        <f t="array" ref="AN14">SQRT(
    MMULT(
        MMULT(
            $X14:$AM14,
            $F$5:$U$20
        ),
        TRANSPOSE($X14:$AM14)
    )
)</f>
        <v>0.63959864416973522</v>
      </c>
    </row>
    <row r="15" spans="1:40" x14ac:dyDescent="0.3">
      <c r="A15" s="14" t="s">
        <v>72</v>
      </c>
      <c r="B15" s="9" t="s">
        <v>73</v>
      </c>
      <c r="C15" s="10" t="s">
        <v>57</v>
      </c>
      <c r="E15" s="14" t="s">
        <v>52</v>
      </c>
      <c r="F15">
        <f t="shared" ref="F15:U20" si="1">IF(F$4=$E15,1,IF(_xlfn.XLOOKUP(F$4,$A$4:$A$19,$C$4:$C$19)=_xlfn.XLOOKUP($E15,$A$4:$A$19,$C$4:$C$19),0.7,0))</f>
        <v>0</v>
      </c>
      <c r="G15">
        <f t="shared" si="1"/>
        <v>0</v>
      </c>
      <c r="H15">
        <f t="shared" si="1"/>
        <v>0</v>
      </c>
      <c r="I15">
        <f t="shared" si="1"/>
        <v>0.7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1</v>
      </c>
      <c r="Q15">
        <f t="shared" si="1"/>
        <v>0</v>
      </c>
      <c r="R15">
        <f t="shared" si="1"/>
        <v>0.7</v>
      </c>
      <c r="S15">
        <f t="shared" si="1"/>
        <v>0</v>
      </c>
      <c r="T15">
        <f t="shared" si="1"/>
        <v>0</v>
      </c>
      <c r="U15" s="7">
        <f t="shared" si="1"/>
        <v>0</v>
      </c>
      <c r="W15" s="14" t="str">
        <v>Chavez, Jesse</v>
      </c>
      <c r="X15" s="19" cm="1">
        <f t="array" ref="X15">IFERROR(_xlfn.XLOOKUP($W15&amp;X$4,braves_19_25!$B:$B&amp;braves_19_25!$C:$C,braves_19_25!$R:$R),0)</f>
        <v>6.5359477124183009E-3</v>
      </c>
      <c r="Y15" s="19" cm="1">
        <f t="array" ref="Y15">IFERROR(_xlfn.XLOOKUP($W15&amp;Y$4,braves_19_25!$B:$B&amp;braves_19_25!$C:$C,braves_19_25!$R:$R),0)</f>
        <v>0.28695922813569874</v>
      </c>
      <c r="Z15" s="19" cm="1">
        <f t="array" ref="Z15">IFERROR(_xlfn.XLOOKUP($W15&amp;Z$4,braves_19_25!$B:$B&amp;braves_19_25!$C:$C,braves_19_25!$R:$R),0)</f>
        <v>2.0230314347961405E-2</v>
      </c>
      <c r="AA15" s="19" cm="1">
        <f t="array" ref="AA15">IFERROR(_xlfn.XLOOKUP($W15&amp;AA$4,braves_19_25!$B:$B&amp;braves_19_25!$C:$C,braves_19_25!$R:$R),0)</f>
        <v>4.0149393090569564E-2</v>
      </c>
      <c r="AB15" s="19" cm="1">
        <f t="array" ref="AB15">IFERROR(_xlfn.XLOOKUP($W15&amp;AB$4,braves_19_25!$B:$B&amp;braves_19_25!$C:$C,braves_19_25!$R:$R),0)</f>
        <v>0</v>
      </c>
      <c r="AC15" s="19" cm="1">
        <f t="array" ref="AC15">IFERROR(_xlfn.XLOOKUP($W15&amp;AC$4,braves_19_25!$B:$B&amp;braves_19_25!$C:$C,braves_19_25!$R:$R),0)</f>
        <v>0.51260504201680668</v>
      </c>
      <c r="AD15" s="19" cm="1">
        <f t="array" ref="AD15">IFERROR(_xlfn.XLOOKUP($W15&amp;AD$4,braves_19_25!$B:$B&amp;braves_19_25!$C:$C,braves_19_25!$R:$R),0)</f>
        <v>0.13320883909119202</v>
      </c>
      <c r="AE15" s="19" cm="1">
        <f t="array" ref="AE15">IFERROR(_xlfn.XLOOKUP($W15&amp;AE$4,braves_19_25!$B:$B&amp;braves_19_25!$C:$C,braves_19_25!$R:$R),0)</f>
        <v>0</v>
      </c>
      <c r="AF15" s="19" cm="1">
        <f t="array" ref="AF15">IFERROR(_xlfn.XLOOKUP($W15&amp;AF$4,braves_19_25!$B:$B&amp;braves_19_25!$C:$C,braves_19_25!$R:$R),0)</f>
        <v>0</v>
      </c>
      <c r="AG15" s="19" cm="1">
        <f t="array" ref="AG15">IFERROR(_xlfn.XLOOKUP($W15&amp;AG$4,braves_19_25!$B:$B&amp;braves_19_25!$C:$C,braves_19_25!$R:$R),0)</f>
        <v>0</v>
      </c>
      <c r="AH15" s="19" cm="1">
        <f t="array" ref="AH15">IFERROR(_xlfn.XLOOKUP($W15&amp;AH$4,braves_19_25!$B:$B&amp;braves_19_25!$C:$C,braves_19_25!$R:$R),0)</f>
        <v>0</v>
      </c>
      <c r="AI15" s="19" cm="1">
        <f t="array" ref="AI15">IFERROR(_xlfn.XLOOKUP($W15&amp;AI$4,braves_19_25!$B:$B&amp;braves_19_25!$C:$C,braves_19_25!$R:$R),0)</f>
        <v>0</v>
      </c>
      <c r="AJ15" s="19" cm="1">
        <f t="array" ref="AJ15">IFERROR(_xlfn.XLOOKUP($W15&amp;AJ$4,braves_19_25!$B:$B&amp;braves_19_25!$C:$C,braves_19_25!$R:$R),0)</f>
        <v>0</v>
      </c>
      <c r="AK15" s="19" cm="1">
        <f t="array" ref="AK15">IFERROR(_xlfn.XLOOKUP($W15&amp;AK$4,braves_19_25!$B:$B&amp;braves_19_25!$C:$C,braves_19_25!$R:$R),0)</f>
        <v>0</v>
      </c>
      <c r="AL15" s="19" cm="1">
        <f t="array" ref="AL15">IFERROR(_xlfn.XLOOKUP($W15&amp;AL$4,braves_19_25!$B:$B&amp;braves_19_25!$C:$C,braves_19_25!$R:$R),0)</f>
        <v>0</v>
      </c>
      <c r="AM15" s="24" cm="1">
        <f t="array" ref="AM15">IFERROR(_xlfn.XLOOKUP($W15&amp;AM$4,braves_19_25!$B:$B&amp;braves_19_25!$C:$C,braves_19_25!$R:$R),0)</f>
        <v>0</v>
      </c>
      <c r="AN15" s="27" cm="1">
        <f t="array" ref="AN15">SQRT(
    MMULT(
        MMULT(
            $X15:$AM15,
            $F$5:$U$20
        ),
        TRANSPOSE($X15:$AM15)
    )
)</f>
        <v>0.76037477664848407</v>
      </c>
    </row>
    <row r="16" spans="1:40" x14ac:dyDescent="0.3">
      <c r="A16" s="14" t="s">
        <v>75</v>
      </c>
      <c r="B16" t="s">
        <v>74</v>
      </c>
      <c r="C16" s="10" t="s">
        <v>58</v>
      </c>
      <c r="E16" s="14" t="s">
        <v>72</v>
      </c>
      <c r="F16">
        <f t="shared" si="1"/>
        <v>0</v>
      </c>
      <c r="G16">
        <f t="shared" si="1"/>
        <v>0</v>
      </c>
      <c r="H16">
        <f t="shared" si="1"/>
        <v>0.7</v>
      </c>
      <c r="I16">
        <f t="shared" si="1"/>
        <v>0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0.7</v>
      </c>
      <c r="N16">
        <f t="shared" si="1"/>
        <v>0</v>
      </c>
      <c r="O16">
        <f t="shared" si="1"/>
        <v>0</v>
      </c>
      <c r="P16">
        <f t="shared" si="1"/>
        <v>0</v>
      </c>
      <c r="Q16">
        <f t="shared" si="1"/>
        <v>1</v>
      </c>
      <c r="R16">
        <f t="shared" si="1"/>
        <v>0</v>
      </c>
      <c r="S16">
        <f t="shared" si="1"/>
        <v>0</v>
      </c>
      <c r="T16">
        <f t="shared" si="1"/>
        <v>0</v>
      </c>
      <c r="U16" s="7">
        <f t="shared" si="1"/>
        <v>0</v>
      </c>
      <c r="W16" s="14" t="str">
        <v>Iglesias, Raisel</v>
      </c>
      <c r="X16" s="19" cm="1">
        <f t="array" ref="X16">IFERROR(_xlfn.XLOOKUP($W16&amp;X$4,braves_19_25!$B:$B&amp;braves_19_25!$C:$C,braves_19_25!$R:$R),0)</f>
        <v>0.35108729908603847</v>
      </c>
      <c r="Y16" s="19" cm="1">
        <f t="array" ref="Y16">IFERROR(_xlfn.XLOOKUP($W16&amp;Y$4,braves_19_25!$B:$B&amp;braves_19_25!$C:$C,braves_19_25!$R:$R),0)</f>
        <v>0.18373778758272927</v>
      </c>
      <c r="Z16" s="19" cm="1">
        <f t="array" ref="Z16">IFERROR(_xlfn.XLOOKUP($W16&amp;Z$4,braves_19_25!$B:$B&amp;braves_19_25!$C:$C,braves_19_25!$R:$R),0)</f>
        <v>0.15537346359911755</v>
      </c>
      <c r="AA16" s="19" cm="1">
        <f t="array" ref="AA16">IFERROR(_xlfn.XLOOKUP($W16&amp;AA$4,braves_19_25!$B:$B&amp;braves_19_25!$C:$C,braves_19_25!$R:$R),0)</f>
        <v>0</v>
      </c>
      <c r="AB16" s="19" cm="1">
        <f t="array" ref="AB16">IFERROR(_xlfn.XLOOKUP($W16&amp;AB$4,braves_19_25!$B:$B&amp;braves_19_25!$C:$C,braves_19_25!$R:$R),0)</f>
        <v>0</v>
      </c>
      <c r="AC16" s="19" cm="1">
        <f t="array" ref="AC16">IFERROR(_xlfn.XLOOKUP($W16&amp;AC$4,braves_19_25!$B:$B&amp;braves_19_25!$C:$C,braves_19_25!$R:$R),0)</f>
        <v>0</v>
      </c>
      <c r="AD16" s="19" cm="1">
        <f t="array" ref="AD16">IFERROR(_xlfn.XLOOKUP($W16&amp;AD$4,braves_19_25!$B:$B&amp;braves_19_25!$C:$C,braves_19_25!$R:$R),0)</f>
        <v>0.30980144973211471</v>
      </c>
      <c r="AE16" s="19" cm="1">
        <f t="array" ref="AE16">IFERROR(_xlfn.XLOOKUP($W16&amp;AE$4,braves_19_25!$B:$B&amp;braves_19_25!$C:$C,braves_19_25!$R:$R),0)</f>
        <v>0</v>
      </c>
      <c r="AF16" s="19" cm="1">
        <f t="array" ref="AF16">IFERROR(_xlfn.XLOOKUP($W16&amp;AF$4,braves_19_25!$B:$B&amp;braves_19_25!$C:$C,braves_19_25!$R:$R),0)</f>
        <v>0</v>
      </c>
      <c r="AG16" s="19" cm="1">
        <f t="array" ref="AG16">IFERROR(_xlfn.XLOOKUP($W16&amp;AG$4,braves_19_25!$B:$B&amp;braves_19_25!$C:$C,braves_19_25!$R:$R),0)</f>
        <v>0</v>
      </c>
      <c r="AH16" s="19" cm="1">
        <f t="array" ref="AH16">IFERROR(_xlfn.XLOOKUP($W16&amp;AH$4,braves_19_25!$B:$B&amp;braves_19_25!$C:$C,braves_19_25!$R:$R),0)</f>
        <v>0</v>
      </c>
      <c r="AI16" s="19" cm="1">
        <f t="array" ref="AI16">IFERROR(_xlfn.XLOOKUP($W16&amp;AI$4,braves_19_25!$B:$B&amp;braves_19_25!$C:$C,braves_19_25!$R:$R),0)</f>
        <v>0</v>
      </c>
      <c r="AJ16" s="19" cm="1">
        <f t="array" ref="AJ16">IFERROR(_xlfn.XLOOKUP($W16&amp;AJ$4,braves_19_25!$B:$B&amp;braves_19_25!$C:$C,braves_19_25!$R:$R),0)</f>
        <v>0</v>
      </c>
      <c r="AK16" s="19" cm="1">
        <f t="array" ref="AK16">IFERROR(_xlfn.XLOOKUP($W16&amp;AK$4,braves_19_25!$B:$B&amp;braves_19_25!$C:$C,braves_19_25!$R:$R),0)</f>
        <v>0</v>
      </c>
      <c r="AL16" s="19" cm="1">
        <f t="array" ref="AL16">IFERROR(_xlfn.XLOOKUP($W16&amp;AL$4,braves_19_25!$B:$B&amp;braves_19_25!$C:$C,braves_19_25!$R:$R),0)</f>
        <v>0</v>
      </c>
      <c r="AM16" s="24" cm="1">
        <f t="array" ref="AM16">IFERROR(_xlfn.XLOOKUP($W16&amp;AM$4,braves_19_25!$B:$B&amp;braves_19_25!$C:$C,braves_19_25!$R:$R),0)</f>
        <v>0</v>
      </c>
      <c r="AN16" s="27" cm="1">
        <f t="array" ref="AN16">SQRT(
    MMULT(
        MMULT(
            $X16:$AM16,
            $F$5:$U$20
        ),
        TRANSPOSE($X16:$AM16)
    )
)</f>
        <v>0.6061773029631532</v>
      </c>
    </row>
    <row r="17" spans="1:40" x14ac:dyDescent="0.3">
      <c r="A17" s="14" t="s">
        <v>77</v>
      </c>
      <c r="B17" t="s">
        <v>76</v>
      </c>
      <c r="C17" s="10" t="s">
        <v>59</v>
      </c>
      <c r="E17" s="14" t="s">
        <v>75</v>
      </c>
      <c r="F17">
        <f t="shared" si="1"/>
        <v>0</v>
      </c>
      <c r="G17">
        <f t="shared" si="1"/>
        <v>0</v>
      </c>
      <c r="H17">
        <f t="shared" si="1"/>
        <v>0</v>
      </c>
      <c r="I17">
        <f t="shared" si="1"/>
        <v>0.7</v>
      </c>
      <c r="J17">
        <f t="shared" si="1"/>
        <v>0</v>
      </c>
      <c r="K17">
        <f t="shared" si="1"/>
        <v>0</v>
      </c>
      <c r="L17">
        <f t="shared" si="1"/>
        <v>0</v>
      </c>
      <c r="M17">
        <f t="shared" si="1"/>
        <v>0</v>
      </c>
      <c r="N17">
        <f t="shared" si="1"/>
        <v>0</v>
      </c>
      <c r="O17">
        <f t="shared" si="1"/>
        <v>0</v>
      </c>
      <c r="P17">
        <f t="shared" si="1"/>
        <v>0.7</v>
      </c>
      <c r="Q17">
        <f t="shared" si="1"/>
        <v>0</v>
      </c>
      <c r="R17">
        <f t="shared" si="1"/>
        <v>1</v>
      </c>
      <c r="S17">
        <f t="shared" si="1"/>
        <v>0</v>
      </c>
      <c r="T17">
        <f t="shared" si="1"/>
        <v>0</v>
      </c>
      <c r="U17" s="7">
        <f t="shared" si="1"/>
        <v>0</v>
      </c>
      <c r="W17" s="14" t="str">
        <v>Jackson, Luke</v>
      </c>
      <c r="X17" s="19" cm="1">
        <f t="array" ref="X17">IFERROR(_xlfn.XLOOKUP($W17&amp;X$4,braves_19_25!$B:$B&amp;braves_19_25!$C:$C,braves_19_25!$R:$R),0)</f>
        <v>0.36128826530612246</v>
      </c>
      <c r="Y17" s="19" cm="1">
        <f t="array" ref="Y17">IFERROR(_xlfn.XLOOKUP($W17&amp;Y$4,braves_19_25!$B:$B&amp;braves_19_25!$C:$C,braves_19_25!$R:$R),0)</f>
        <v>0</v>
      </c>
      <c r="Z17" s="19" cm="1">
        <f t="array" ref="Z17">IFERROR(_xlfn.XLOOKUP($W17&amp;Z$4,braves_19_25!$B:$B&amp;braves_19_25!$C:$C,braves_19_25!$R:$R),0)</f>
        <v>0.5066964285714286</v>
      </c>
      <c r="AA17" s="19" cm="1">
        <f t="array" ref="AA17">IFERROR(_xlfn.XLOOKUP($W17&amp;AA$4,braves_19_25!$B:$B&amp;braves_19_25!$C:$C,braves_19_25!$R:$R),0)</f>
        <v>0.12882653061224489</v>
      </c>
      <c r="AB17" s="19" cm="1">
        <f t="array" ref="AB17">IFERROR(_xlfn.XLOOKUP($W17&amp;AB$4,braves_19_25!$B:$B&amp;braves_19_25!$C:$C,braves_19_25!$R:$R),0)</f>
        <v>0</v>
      </c>
      <c r="AC17" s="19" cm="1">
        <f t="array" ref="AC17">IFERROR(_xlfn.XLOOKUP($W17&amp;AC$4,braves_19_25!$B:$B&amp;braves_19_25!$C:$C,braves_19_25!$R:$R),0)</f>
        <v>3.1887755102040817E-3</v>
      </c>
      <c r="AD17" s="19" cm="1">
        <f t="array" ref="AD17">IFERROR(_xlfn.XLOOKUP($W17&amp;AD$4,braves_19_25!$B:$B&amp;braves_19_25!$C:$C,braves_19_25!$R:$R),0)</f>
        <v>0</v>
      </c>
      <c r="AE17" s="19" cm="1">
        <f t="array" ref="AE17">IFERROR(_xlfn.XLOOKUP($W17&amp;AE$4,braves_19_25!$B:$B&amp;braves_19_25!$C:$C,braves_19_25!$R:$R),0)</f>
        <v>0</v>
      </c>
      <c r="AF17" s="19" cm="1">
        <f t="array" ref="AF17">IFERROR(_xlfn.XLOOKUP($W17&amp;AF$4,braves_19_25!$B:$B&amp;braves_19_25!$C:$C,braves_19_25!$R:$R),0)</f>
        <v>0</v>
      </c>
      <c r="AG17" s="19" cm="1">
        <f t="array" ref="AG17">IFERROR(_xlfn.XLOOKUP($W17&amp;AG$4,braves_19_25!$B:$B&amp;braves_19_25!$C:$C,braves_19_25!$R:$R),0)</f>
        <v>0</v>
      </c>
      <c r="AH17" s="19" cm="1">
        <f t="array" ref="AH17">IFERROR(_xlfn.XLOOKUP($W17&amp;AH$4,braves_19_25!$B:$B&amp;braves_19_25!$C:$C,braves_19_25!$R:$R),0)</f>
        <v>0</v>
      </c>
      <c r="AI17" s="19" cm="1">
        <f t="array" ref="AI17">IFERROR(_xlfn.XLOOKUP($W17&amp;AI$4,braves_19_25!$B:$B&amp;braves_19_25!$C:$C,braves_19_25!$R:$R),0)</f>
        <v>0</v>
      </c>
      <c r="AJ17" s="19" cm="1">
        <f t="array" ref="AJ17">IFERROR(_xlfn.XLOOKUP($W17&amp;AJ$4,braves_19_25!$B:$B&amp;braves_19_25!$C:$C,braves_19_25!$R:$R),0)</f>
        <v>0</v>
      </c>
      <c r="AK17" s="19" cm="1">
        <f t="array" ref="AK17">IFERROR(_xlfn.XLOOKUP($W17&amp;AK$4,braves_19_25!$B:$B&amp;braves_19_25!$C:$C,braves_19_25!$R:$R),0)</f>
        <v>0</v>
      </c>
      <c r="AL17" s="19" cm="1">
        <f t="array" ref="AL17">IFERROR(_xlfn.XLOOKUP($W17&amp;AL$4,braves_19_25!$B:$B&amp;braves_19_25!$C:$C,braves_19_25!$R:$R),0)</f>
        <v>0</v>
      </c>
      <c r="AM17" s="24" cm="1">
        <f t="array" ref="AM17">IFERROR(_xlfn.XLOOKUP($W17&amp;AM$4,braves_19_25!$B:$B&amp;braves_19_25!$C:$C,braves_19_25!$R:$R),0)</f>
        <v>0</v>
      </c>
      <c r="AN17" s="27" cm="1">
        <f t="array" ref="AN17">SQRT(
    MMULT(
        MMULT(
            $X17:$AM17,
            $F$5:$U$20
        ),
        TRANSPOSE($X17:$AM17)
    )
)</f>
        <v>0.63678082469193065</v>
      </c>
    </row>
    <row r="18" spans="1:40" x14ac:dyDescent="0.3">
      <c r="A18" s="14" t="s">
        <v>78</v>
      </c>
      <c r="B18" s="9" t="s">
        <v>79</v>
      </c>
      <c r="C18" s="10" t="s">
        <v>59</v>
      </c>
      <c r="E18" s="14" t="s">
        <v>77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0.7</v>
      </c>
      <c r="K18">
        <f t="shared" si="1"/>
        <v>0</v>
      </c>
      <c r="L18">
        <f t="shared" si="1"/>
        <v>0.7</v>
      </c>
      <c r="M18">
        <f t="shared" si="1"/>
        <v>0</v>
      </c>
      <c r="N18">
        <f t="shared" si="1"/>
        <v>0</v>
      </c>
      <c r="O18">
        <f t="shared" si="1"/>
        <v>0</v>
      </c>
      <c r="P18">
        <f t="shared" si="1"/>
        <v>0</v>
      </c>
      <c r="Q18">
        <f t="shared" si="1"/>
        <v>0</v>
      </c>
      <c r="R18">
        <f t="shared" si="1"/>
        <v>0</v>
      </c>
      <c r="S18">
        <f t="shared" si="1"/>
        <v>1</v>
      </c>
      <c r="T18">
        <f t="shared" si="1"/>
        <v>0.7</v>
      </c>
      <c r="U18" s="7">
        <f t="shared" si="1"/>
        <v>0</v>
      </c>
      <c r="W18" s="14" t="str">
        <v>Lee, Dylan</v>
      </c>
      <c r="X18" s="19" cm="1">
        <f t="array" ref="X18">IFERROR(_xlfn.XLOOKUP($W18&amp;X$4,braves_19_25!$B:$B&amp;braves_19_25!$C:$C,braves_19_25!$R:$R),0)</f>
        <v>0.36343331206126356</v>
      </c>
      <c r="Y18" s="19" cm="1">
        <f t="array" ref="Y18">IFERROR(_xlfn.XLOOKUP($W18&amp;Y$4,braves_19_25!$B:$B&amp;braves_19_25!$C:$C,braves_19_25!$R:$R),0)</f>
        <v>3.1908104658583282E-4</v>
      </c>
      <c r="Z18" s="19" cm="1">
        <f t="array" ref="Z18">IFERROR(_xlfn.XLOOKUP($W18&amp;Z$4,braves_19_25!$B:$B&amp;braves_19_25!$C:$C,braves_19_25!$R:$R),0)</f>
        <v>0.52233567326100827</v>
      </c>
      <c r="AA18" s="19" cm="1">
        <f t="array" ref="AA18">IFERROR(_xlfn.XLOOKUP($W18&amp;AA$4,braves_19_25!$B:$B&amp;braves_19_25!$C:$C,braves_19_25!$R:$R),0)</f>
        <v>0</v>
      </c>
      <c r="AB18" s="19" cm="1">
        <f t="array" ref="AB18">IFERROR(_xlfn.XLOOKUP($W18&amp;AB$4,braves_19_25!$B:$B&amp;braves_19_25!$C:$C,braves_19_25!$R:$R),0)</f>
        <v>0</v>
      </c>
      <c r="AC18" s="19" cm="1">
        <f t="array" ref="AC18">IFERROR(_xlfn.XLOOKUP($W18&amp;AC$4,braves_19_25!$B:$B&amp;braves_19_25!$C:$C,braves_19_25!$R:$R),0)</f>
        <v>0</v>
      </c>
      <c r="AD18" s="19" cm="1">
        <f t="array" ref="AD18">IFERROR(_xlfn.XLOOKUP($W18&amp;AD$4,braves_19_25!$B:$B&amp;braves_19_25!$C:$C,braves_19_25!$R:$R),0)</f>
        <v>0.11391193363114231</v>
      </c>
      <c r="AE18" s="19" cm="1">
        <f t="array" ref="AE18">IFERROR(_xlfn.XLOOKUP($W18&amp;AE$4,braves_19_25!$B:$B&amp;braves_19_25!$C:$C,braves_19_25!$R:$R),0)</f>
        <v>0</v>
      </c>
      <c r="AF18" s="19" cm="1">
        <f t="array" ref="AF18">IFERROR(_xlfn.XLOOKUP($W18&amp;AF$4,braves_19_25!$B:$B&amp;braves_19_25!$C:$C,braves_19_25!$R:$R),0)</f>
        <v>0</v>
      </c>
      <c r="AG18" s="19" cm="1">
        <f t="array" ref="AG18">IFERROR(_xlfn.XLOOKUP($W18&amp;AG$4,braves_19_25!$B:$B&amp;braves_19_25!$C:$C,braves_19_25!$R:$R),0)</f>
        <v>0</v>
      </c>
      <c r="AH18" s="19" cm="1">
        <f t="array" ref="AH18">IFERROR(_xlfn.XLOOKUP($W18&amp;AH$4,braves_19_25!$B:$B&amp;braves_19_25!$C:$C,braves_19_25!$R:$R),0)</f>
        <v>0</v>
      </c>
      <c r="AI18" s="19" cm="1">
        <f t="array" ref="AI18">IFERROR(_xlfn.XLOOKUP($W18&amp;AI$4,braves_19_25!$B:$B&amp;braves_19_25!$C:$C,braves_19_25!$R:$R),0)</f>
        <v>0</v>
      </c>
      <c r="AJ18" s="19" cm="1">
        <f t="array" ref="AJ18">IFERROR(_xlfn.XLOOKUP($W18&amp;AJ$4,braves_19_25!$B:$B&amp;braves_19_25!$C:$C,braves_19_25!$R:$R),0)</f>
        <v>0</v>
      </c>
      <c r="AK18" s="19" cm="1">
        <f t="array" ref="AK18">IFERROR(_xlfn.XLOOKUP($W18&amp;AK$4,braves_19_25!$B:$B&amp;braves_19_25!$C:$C,braves_19_25!$R:$R),0)</f>
        <v>0</v>
      </c>
      <c r="AL18" s="19" cm="1">
        <f t="array" ref="AL18">IFERROR(_xlfn.XLOOKUP($W18&amp;AL$4,braves_19_25!$B:$B&amp;braves_19_25!$C:$C,braves_19_25!$R:$R),0)</f>
        <v>0</v>
      </c>
      <c r="AM18" s="24" cm="1">
        <f t="array" ref="AM18">IFERROR(_xlfn.XLOOKUP($W18&amp;AM$4,braves_19_25!$B:$B&amp;braves_19_25!$C:$C,braves_19_25!$R:$R),0)</f>
        <v>0</v>
      </c>
      <c r="AN18" s="27" cm="1">
        <f t="array" ref="AN18">SQRT(
    MMULT(
        MMULT(
            $X18:$AM18,
            $F$5:$U$20
        ),
        TRANSPOSE($X18:$AM18)
    )
)</f>
        <v>0.64657304990801923</v>
      </c>
    </row>
    <row r="19" spans="1:40" x14ac:dyDescent="0.3">
      <c r="A19" s="15" t="s">
        <v>80</v>
      </c>
      <c r="B19" s="11" t="s">
        <v>81</v>
      </c>
      <c r="C19" s="12" t="s">
        <v>60</v>
      </c>
      <c r="E19" s="14" t="s">
        <v>78</v>
      </c>
      <c r="F19">
        <f t="shared" si="1"/>
        <v>0</v>
      </c>
      <c r="G19">
        <f t="shared" si="1"/>
        <v>0</v>
      </c>
      <c r="H19">
        <f t="shared" si="1"/>
        <v>0</v>
      </c>
      <c r="I19">
        <f t="shared" si="1"/>
        <v>0</v>
      </c>
      <c r="J19">
        <f t="shared" si="1"/>
        <v>0.7</v>
      </c>
      <c r="K19">
        <f t="shared" si="1"/>
        <v>0</v>
      </c>
      <c r="L19">
        <f t="shared" si="1"/>
        <v>0.7</v>
      </c>
      <c r="M19">
        <f t="shared" si="1"/>
        <v>0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0.7</v>
      </c>
      <c r="T19">
        <f t="shared" si="1"/>
        <v>1</v>
      </c>
      <c r="U19" s="7">
        <f t="shared" si="1"/>
        <v>0</v>
      </c>
      <c r="W19" s="14" t="str">
        <v>Holmes, Grant</v>
      </c>
      <c r="X19" s="19" cm="1">
        <f t="array" ref="X19">IFERROR(_xlfn.XLOOKUP($W19&amp;X$4,braves_19_25!$B:$B&amp;braves_19_25!$C:$C,braves_19_25!$R:$R),0)</f>
        <v>0.34236947791164657</v>
      </c>
      <c r="Y19" s="19" cm="1">
        <f t="array" ref="Y19">IFERROR(_xlfn.XLOOKUP($W19&amp;Y$4,braves_19_25!$B:$B&amp;braves_19_25!$C:$C,braves_19_25!$R:$R),0)</f>
        <v>6.6934404283801872E-4</v>
      </c>
      <c r="Z19" s="19" cm="1">
        <f t="array" ref="Z19">IFERROR(_xlfn.XLOOKUP($W19&amp;Z$4,braves_19_25!$B:$B&amp;braves_19_25!$C:$C,braves_19_25!$R:$R),0)</f>
        <v>0.3457161981258367</v>
      </c>
      <c r="AA19" s="19" cm="1">
        <f t="array" ref="AA19">IFERROR(_xlfn.XLOOKUP($W19&amp;AA$4,braves_19_25!$B:$B&amp;braves_19_25!$C:$C,braves_19_25!$R:$R),0)</f>
        <v>0.17202141900937082</v>
      </c>
      <c r="AB19" s="19" cm="1">
        <f t="array" ref="AB19">IFERROR(_xlfn.XLOOKUP($W19&amp;AB$4,braves_19_25!$B:$B&amp;braves_19_25!$C:$C,braves_19_25!$R:$R),0)</f>
        <v>0</v>
      </c>
      <c r="AC19" s="19" cm="1">
        <f t="array" ref="AC19">IFERROR(_xlfn.XLOOKUP($W19&amp;AC$4,braves_19_25!$B:$B&amp;braves_19_25!$C:$C,braves_19_25!$R:$R),0)</f>
        <v>0.12751004016064257</v>
      </c>
      <c r="AD19" s="19" cm="1">
        <f t="array" ref="AD19">IFERROR(_xlfn.XLOOKUP($W19&amp;AD$4,braves_19_25!$B:$B&amp;braves_19_25!$C:$C,braves_19_25!$R:$R),0)</f>
        <v>1.1713520749665328E-2</v>
      </c>
      <c r="AE19" s="19" cm="1">
        <f t="array" ref="AE19">IFERROR(_xlfn.XLOOKUP($W19&amp;AE$4,braves_19_25!$B:$B&amp;braves_19_25!$C:$C,braves_19_25!$R:$R),0)</f>
        <v>0</v>
      </c>
      <c r="AF19" s="19" cm="1">
        <f t="array" ref="AF19">IFERROR(_xlfn.XLOOKUP($W19&amp;AF$4,braves_19_25!$B:$B&amp;braves_19_25!$C:$C,braves_19_25!$R:$R),0)</f>
        <v>0</v>
      </c>
      <c r="AG19" s="19" cm="1">
        <f t="array" ref="AG19">IFERROR(_xlfn.XLOOKUP($W19&amp;AG$4,braves_19_25!$B:$B&amp;braves_19_25!$C:$C,braves_19_25!$R:$R),0)</f>
        <v>0</v>
      </c>
      <c r="AH19" s="19" cm="1">
        <f t="array" ref="AH19">IFERROR(_xlfn.XLOOKUP($W19&amp;AH$4,braves_19_25!$B:$B&amp;braves_19_25!$C:$C,braves_19_25!$R:$R),0)</f>
        <v>0</v>
      </c>
      <c r="AI19" s="19" cm="1">
        <f t="array" ref="AI19">IFERROR(_xlfn.XLOOKUP($W19&amp;AI$4,braves_19_25!$B:$B&amp;braves_19_25!$C:$C,braves_19_25!$R:$R),0)</f>
        <v>0</v>
      </c>
      <c r="AJ19" s="19" cm="1">
        <f t="array" ref="AJ19">IFERROR(_xlfn.XLOOKUP($W19&amp;AJ$4,braves_19_25!$B:$B&amp;braves_19_25!$C:$C,braves_19_25!$R:$R),0)</f>
        <v>0</v>
      </c>
      <c r="AK19" s="19" cm="1">
        <f t="array" ref="AK19">IFERROR(_xlfn.XLOOKUP($W19&amp;AK$4,braves_19_25!$B:$B&amp;braves_19_25!$C:$C,braves_19_25!$R:$R),0)</f>
        <v>0</v>
      </c>
      <c r="AL19" s="19" cm="1">
        <f t="array" ref="AL19">IFERROR(_xlfn.XLOOKUP($W19&amp;AL$4,braves_19_25!$B:$B&amp;braves_19_25!$C:$C,braves_19_25!$R:$R),0)</f>
        <v>0</v>
      </c>
      <c r="AM19" s="24" cm="1">
        <f t="array" ref="AM19">IFERROR(_xlfn.XLOOKUP($W19&amp;AM$4,braves_19_25!$B:$B&amp;braves_19_25!$C:$C,braves_19_25!$R:$R),0)</f>
        <v>0</v>
      </c>
      <c r="AN19" s="27" cm="1">
        <f t="array" ref="AN19">SQRT(
    MMULT(
        MMULT(
            $X19:$AM19,
            $F$5:$U$20
        ),
        TRANSPOSE($X19:$AM19)
    )
)</f>
        <v>0.5867558796382315</v>
      </c>
    </row>
    <row r="20" spans="1:40" x14ac:dyDescent="0.3">
      <c r="E20" s="15" t="s">
        <v>80</v>
      </c>
      <c r="F20" s="20">
        <f t="shared" si="1"/>
        <v>0</v>
      </c>
      <c r="G20" s="20">
        <f t="shared" si="1"/>
        <v>0</v>
      </c>
      <c r="H20" s="20">
        <f t="shared" si="1"/>
        <v>0</v>
      </c>
      <c r="I20" s="20">
        <f t="shared" si="1"/>
        <v>0</v>
      </c>
      <c r="J20" s="20">
        <f t="shared" si="1"/>
        <v>0</v>
      </c>
      <c r="K20" s="20">
        <f t="shared" si="1"/>
        <v>0</v>
      </c>
      <c r="L20" s="20">
        <f t="shared" si="1"/>
        <v>0</v>
      </c>
      <c r="M20" s="20">
        <f t="shared" si="1"/>
        <v>0</v>
      </c>
      <c r="N20" s="20">
        <f t="shared" si="1"/>
        <v>0.7</v>
      </c>
      <c r="O20" s="20">
        <f t="shared" si="1"/>
        <v>0.7</v>
      </c>
      <c r="P20" s="20">
        <f t="shared" si="1"/>
        <v>0</v>
      </c>
      <c r="Q20" s="20">
        <f t="shared" si="1"/>
        <v>0</v>
      </c>
      <c r="R20" s="20">
        <f t="shared" si="1"/>
        <v>0</v>
      </c>
      <c r="S20" s="20">
        <f t="shared" si="1"/>
        <v>0</v>
      </c>
      <c r="T20" s="20">
        <f t="shared" si="1"/>
        <v>0</v>
      </c>
      <c r="U20" s="8">
        <f t="shared" si="1"/>
        <v>1</v>
      </c>
      <c r="W20" s="14" t="str">
        <v>Tomlin, Josh</v>
      </c>
      <c r="X20" s="19" cm="1">
        <f t="array" ref="X20">IFERROR(_xlfn.XLOOKUP($W20&amp;X$4,braves_19_25!$B:$B&amp;braves_19_25!$C:$C,braves_19_25!$R:$R),0)</f>
        <v>0.2278682016673283</v>
      </c>
      <c r="Y20" s="19" cm="1">
        <f t="array" ref="Y20">IFERROR(_xlfn.XLOOKUP($W20&amp;Y$4,braves_19_25!$B:$B&amp;braves_19_25!$C:$C,braves_19_25!$R:$R),0)</f>
        <v>2.6994839221913456E-2</v>
      </c>
      <c r="Z20" s="19" cm="1">
        <f t="array" ref="Z20">IFERROR(_xlfn.XLOOKUP($W20&amp;Z$4,braves_19_25!$B:$B&amp;braves_19_25!$C:$C,braves_19_25!$R:$R),0)</f>
        <v>0</v>
      </c>
      <c r="AA20" s="19" cm="1">
        <f t="array" ref="AA20">IFERROR(_xlfn.XLOOKUP($W20&amp;AA$4,braves_19_25!$B:$B&amp;braves_19_25!$C:$C,braves_19_25!$R:$R),0)</f>
        <v>0.23025009924573242</v>
      </c>
      <c r="AB20" s="19" cm="1">
        <f t="array" ref="AB20">IFERROR(_xlfn.XLOOKUP($W20&amp;AB$4,braves_19_25!$B:$B&amp;braves_19_25!$C:$C,braves_19_25!$R:$R),0)</f>
        <v>0</v>
      </c>
      <c r="AC20" s="19" cm="1">
        <f t="array" ref="AC20">IFERROR(_xlfn.XLOOKUP($W20&amp;AC$4,braves_19_25!$B:$B&amp;braves_19_25!$C:$C,braves_19_25!$R:$R),0)</f>
        <v>0.46248511314013496</v>
      </c>
      <c r="AD20" s="19" cm="1">
        <f t="array" ref="AD20">IFERROR(_xlfn.XLOOKUP($W20&amp;AD$4,braves_19_25!$B:$B&amp;braves_19_25!$C:$C,braves_19_25!$R:$R),0)</f>
        <v>5.2401746724890827E-2</v>
      </c>
      <c r="AE20" s="19" cm="1">
        <f t="array" ref="AE20">IFERROR(_xlfn.XLOOKUP($W20&amp;AE$4,braves_19_25!$B:$B&amp;braves_19_25!$C:$C,braves_19_25!$R:$R),0)</f>
        <v>0</v>
      </c>
      <c r="AF20" s="19" cm="1">
        <f t="array" ref="AF20">IFERROR(_xlfn.XLOOKUP($W20&amp;AF$4,braves_19_25!$B:$B&amp;braves_19_25!$C:$C,braves_19_25!$R:$R),0)</f>
        <v>0</v>
      </c>
      <c r="AG20" s="19" cm="1">
        <f t="array" ref="AG20">IFERROR(_xlfn.XLOOKUP($W20&amp;AG$4,braves_19_25!$B:$B&amp;braves_19_25!$C:$C,braves_19_25!$R:$R),0)</f>
        <v>0</v>
      </c>
      <c r="AH20" s="19" cm="1">
        <f t="array" ref="AH20">IFERROR(_xlfn.XLOOKUP($W20&amp;AH$4,braves_19_25!$B:$B&amp;braves_19_25!$C:$C,braves_19_25!$R:$R),0)</f>
        <v>0</v>
      </c>
      <c r="AI20" s="19" cm="1">
        <f t="array" ref="AI20">IFERROR(_xlfn.XLOOKUP($W20&amp;AI$4,braves_19_25!$B:$B&amp;braves_19_25!$C:$C,braves_19_25!$R:$R),0)</f>
        <v>0</v>
      </c>
      <c r="AJ20" s="19" cm="1">
        <f t="array" ref="AJ20">IFERROR(_xlfn.XLOOKUP($W20&amp;AJ$4,braves_19_25!$B:$B&amp;braves_19_25!$C:$C,braves_19_25!$R:$R),0)</f>
        <v>0</v>
      </c>
      <c r="AK20" s="19" cm="1">
        <f t="array" ref="AK20">IFERROR(_xlfn.XLOOKUP($W20&amp;AK$4,braves_19_25!$B:$B&amp;braves_19_25!$C:$C,braves_19_25!$R:$R),0)</f>
        <v>0</v>
      </c>
      <c r="AL20" s="19" cm="1">
        <f t="array" ref="AL20">IFERROR(_xlfn.XLOOKUP($W20&amp;AL$4,braves_19_25!$B:$B&amp;braves_19_25!$C:$C,braves_19_25!$R:$R),0)</f>
        <v>0</v>
      </c>
      <c r="AM20" s="24" cm="1">
        <f t="array" ref="AM20">IFERROR(_xlfn.XLOOKUP($W20&amp;AM$4,braves_19_25!$B:$B&amp;braves_19_25!$C:$C,braves_19_25!$R:$R),0)</f>
        <v>0</v>
      </c>
      <c r="AN20" s="27" cm="1">
        <f t="array" ref="AN20">SQRT(
    MMULT(
        MMULT(
            $X20:$AM20,
            $F$5:$U$20
        ),
        TRANSPOSE($X20:$AM20)
    )
)</f>
        <v>0.70422755462323827</v>
      </c>
    </row>
    <row r="21" spans="1:40" x14ac:dyDescent="0.3">
      <c r="W21" s="14" t="str">
        <v>Matzek, Tyler</v>
      </c>
      <c r="X21" s="19" cm="1">
        <f t="array" ref="X21">IFERROR(_xlfn.XLOOKUP($W21&amp;X$4,braves_19_25!$B:$B&amp;braves_19_25!$C:$C,braves_19_25!$R:$R),0)</f>
        <v>0.70286885245901642</v>
      </c>
      <c r="Y21" s="19" cm="1">
        <f t="array" ref="Y21">IFERROR(_xlfn.XLOOKUP($W21&amp;Y$4,braves_19_25!$B:$B&amp;braves_19_25!$C:$C,braves_19_25!$R:$R),0)</f>
        <v>1.639344262295082E-3</v>
      </c>
      <c r="Z21" s="19" cm="1">
        <f t="array" ref="Z21">IFERROR(_xlfn.XLOOKUP($W21&amp;Z$4,braves_19_25!$B:$B&amp;braves_19_25!$C:$C,braves_19_25!$R:$R),0)</f>
        <v>0.2512295081967213</v>
      </c>
      <c r="AA21" s="19" cm="1">
        <f t="array" ref="AA21">IFERROR(_xlfn.XLOOKUP($W21&amp;AA$4,braves_19_25!$B:$B&amp;braves_19_25!$C:$C,braves_19_25!$R:$R),0)</f>
        <v>2.5000000000000001E-2</v>
      </c>
      <c r="AB21" s="19" cm="1">
        <f t="array" ref="AB21">IFERROR(_xlfn.XLOOKUP($W21&amp;AB$4,braves_19_25!$B:$B&amp;braves_19_25!$C:$C,braves_19_25!$R:$R),0)</f>
        <v>0</v>
      </c>
      <c r="AC21" s="19" cm="1">
        <f t="array" ref="AC21">IFERROR(_xlfn.XLOOKUP($W21&amp;AC$4,braves_19_25!$B:$B&amp;braves_19_25!$C:$C,braves_19_25!$R:$R),0)</f>
        <v>1.9262295081967213E-2</v>
      </c>
      <c r="AD21" s="19" cm="1">
        <f t="array" ref="AD21">IFERROR(_xlfn.XLOOKUP($W21&amp;AD$4,braves_19_25!$B:$B&amp;braves_19_25!$C:$C,braves_19_25!$R:$R),0)</f>
        <v>0</v>
      </c>
      <c r="AE21" s="19" cm="1">
        <f t="array" ref="AE21">IFERROR(_xlfn.XLOOKUP($W21&amp;AE$4,braves_19_25!$B:$B&amp;braves_19_25!$C:$C,braves_19_25!$R:$R),0)</f>
        <v>0</v>
      </c>
      <c r="AF21" s="19" cm="1">
        <f t="array" ref="AF21">IFERROR(_xlfn.XLOOKUP($W21&amp;AF$4,braves_19_25!$B:$B&amp;braves_19_25!$C:$C,braves_19_25!$R:$R),0)</f>
        <v>0</v>
      </c>
      <c r="AG21" s="19" cm="1">
        <f t="array" ref="AG21">IFERROR(_xlfn.XLOOKUP($W21&amp;AG$4,braves_19_25!$B:$B&amp;braves_19_25!$C:$C,braves_19_25!$R:$R),0)</f>
        <v>0</v>
      </c>
      <c r="AH21" s="19" cm="1">
        <f t="array" ref="AH21">IFERROR(_xlfn.XLOOKUP($W21&amp;AH$4,braves_19_25!$B:$B&amp;braves_19_25!$C:$C,braves_19_25!$R:$R),0)</f>
        <v>0</v>
      </c>
      <c r="AI21" s="19" cm="1">
        <f t="array" ref="AI21">IFERROR(_xlfn.XLOOKUP($W21&amp;AI$4,braves_19_25!$B:$B&amp;braves_19_25!$C:$C,braves_19_25!$R:$R),0)</f>
        <v>0</v>
      </c>
      <c r="AJ21" s="19" cm="1">
        <f t="array" ref="AJ21">IFERROR(_xlfn.XLOOKUP($W21&amp;AJ$4,braves_19_25!$B:$B&amp;braves_19_25!$C:$C,braves_19_25!$R:$R),0)</f>
        <v>0</v>
      </c>
      <c r="AK21" s="19" cm="1">
        <f t="array" ref="AK21">IFERROR(_xlfn.XLOOKUP($W21&amp;AK$4,braves_19_25!$B:$B&amp;braves_19_25!$C:$C,braves_19_25!$R:$R),0)</f>
        <v>0</v>
      </c>
      <c r="AL21" s="19" cm="1">
        <f t="array" ref="AL21">IFERROR(_xlfn.XLOOKUP($W21&amp;AL$4,braves_19_25!$B:$B&amp;braves_19_25!$C:$C,braves_19_25!$R:$R),0)</f>
        <v>0</v>
      </c>
      <c r="AM21" s="24" cm="1">
        <f t="array" ref="AM21">IFERROR(_xlfn.XLOOKUP($W21&amp;AM$4,braves_19_25!$B:$B&amp;braves_19_25!$C:$C,braves_19_25!$R:$R),0)</f>
        <v>0</v>
      </c>
      <c r="AN21" s="27" cm="1">
        <f t="array" ref="AN21">SQRT(
    MMULT(
        MMULT(
            $X21:$AM21,
            $F$5:$U$20
        ),
        TRANSPOSE($X21:$AM21)
    )
)</f>
        <v>0.76075710796411589</v>
      </c>
    </row>
    <row r="22" spans="1:40" x14ac:dyDescent="0.3">
      <c r="W22" s="14" t="str">
        <v>Newcomb, Sean</v>
      </c>
      <c r="X22" s="19" cm="1">
        <f t="array" ref="X22">IFERROR(_xlfn.XLOOKUP($W22&amp;X$4,braves_19_25!$B:$B&amp;braves_19_25!$C:$C,braves_19_25!$R:$R),0)</f>
        <v>0.61217236783651707</v>
      </c>
      <c r="Y22" s="19" cm="1">
        <f t="array" ref="Y22">IFERROR(_xlfn.XLOOKUP($W22&amp;Y$4,braves_19_25!$B:$B&amp;braves_19_25!$C:$C,braves_19_25!$R:$R),0)</f>
        <v>4.4424700133274098E-4</v>
      </c>
      <c r="Z22" s="19" cm="1">
        <f t="array" ref="Z22">IFERROR(_xlfn.XLOOKUP($W22&amp;Z$4,braves_19_25!$B:$B&amp;braves_19_25!$C:$C,braves_19_25!$R:$R),0)</f>
        <v>5.3309640159928923E-2</v>
      </c>
      <c r="AA22" s="19" cm="1">
        <f t="array" ref="AA22">IFERROR(_xlfn.XLOOKUP($W22&amp;AA$4,braves_19_25!$B:$B&amp;braves_19_25!$C:$C,braves_19_25!$R:$R),0)</f>
        <v>0.17858729453576189</v>
      </c>
      <c r="AB22" s="19" cm="1">
        <f t="array" ref="AB22">IFERROR(_xlfn.XLOOKUP($W22&amp;AB$4,braves_19_25!$B:$B&amp;braves_19_25!$C:$C,braves_19_25!$R:$R),0)</f>
        <v>0</v>
      </c>
      <c r="AC22" s="19" cm="1">
        <f t="array" ref="AC22">IFERROR(_xlfn.XLOOKUP($W22&amp;AC$4,braves_19_25!$B:$B&amp;braves_19_25!$C:$C,braves_19_25!$R:$R),0)</f>
        <v>8.6628165259884496E-2</v>
      </c>
      <c r="AD22" s="19" cm="1">
        <f t="array" ref="AD22">IFERROR(_xlfn.XLOOKUP($W22&amp;AD$4,braves_19_25!$B:$B&amp;braves_19_25!$C:$C,braves_19_25!$R:$R),0)</f>
        <v>6.7081297201243895E-2</v>
      </c>
      <c r="AE22" s="19" cm="1">
        <f t="array" ref="AE22">IFERROR(_xlfn.XLOOKUP($W22&amp;AE$4,braves_19_25!$B:$B&amp;braves_19_25!$C:$C,braves_19_25!$R:$R),0)</f>
        <v>0</v>
      </c>
      <c r="AF22" s="19" cm="1">
        <f t="array" ref="AF22">IFERROR(_xlfn.XLOOKUP($W22&amp;AF$4,braves_19_25!$B:$B&amp;braves_19_25!$C:$C,braves_19_25!$R:$R),0)</f>
        <v>0</v>
      </c>
      <c r="AG22" s="19" cm="1">
        <f t="array" ref="AG22">IFERROR(_xlfn.XLOOKUP($W22&amp;AG$4,braves_19_25!$B:$B&amp;braves_19_25!$C:$C,braves_19_25!$R:$R),0)</f>
        <v>0</v>
      </c>
      <c r="AH22" s="19" cm="1">
        <f t="array" ref="AH22">IFERROR(_xlfn.XLOOKUP($W22&amp;AH$4,braves_19_25!$B:$B&amp;braves_19_25!$C:$C,braves_19_25!$R:$R),0)</f>
        <v>0</v>
      </c>
      <c r="AI22" s="19" cm="1">
        <f t="array" ref="AI22">IFERROR(_xlfn.XLOOKUP($W22&amp;AI$4,braves_19_25!$B:$B&amp;braves_19_25!$C:$C,braves_19_25!$R:$R),0)</f>
        <v>1.7769880053309639E-3</v>
      </c>
      <c r="AJ22" s="19" cm="1">
        <f t="array" ref="AJ22">IFERROR(_xlfn.XLOOKUP($W22&amp;AJ$4,braves_19_25!$B:$B&amp;braves_19_25!$C:$C,braves_19_25!$R:$R),0)</f>
        <v>0</v>
      </c>
      <c r="AK22" s="19" cm="1">
        <f t="array" ref="AK22">IFERROR(_xlfn.XLOOKUP($W22&amp;AK$4,braves_19_25!$B:$B&amp;braves_19_25!$C:$C,braves_19_25!$R:$R),0)</f>
        <v>0</v>
      </c>
      <c r="AL22" s="19" cm="1">
        <f t="array" ref="AL22">IFERROR(_xlfn.XLOOKUP($W22&amp;AL$4,braves_19_25!$B:$B&amp;braves_19_25!$C:$C,braves_19_25!$R:$R),0)</f>
        <v>0</v>
      </c>
      <c r="AM22" s="24" cm="1">
        <f t="array" ref="AM22">IFERROR(_xlfn.XLOOKUP($W22&amp;AM$4,braves_19_25!$B:$B&amp;braves_19_25!$C:$C,braves_19_25!$R:$R),0)</f>
        <v>0</v>
      </c>
      <c r="AN22" s="27" cm="1">
        <f t="array" ref="AN22">SQRT(
    MMULT(
        MMULT(
            $X22:$AM22,
            $F$5:$U$20
        ),
        TRANSPOSE($X22:$AM22)
    )
)</f>
        <v>0.70449215573473267</v>
      </c>
    </row>
    <row r="23" spans="1:40" x14ac:dyDescent="0.3">
      <c r="A23" s="2" t="s">
        <v>137</v>
      </c>
      <c r="W23" s="14" t="str">
        <v>Johnson, Pierce</v>
      </c>
      <c r="X23" s="19" cm="1">
        <f t="array" ref="X23">IFERROR(_xlfn.XLOOKUP($W23&amp;X$4,braves_19_25!$B:$B&amp;braves_19_25!$C:$C,braves_19_25!$R:$R),0)</f>
        <v>0.2376460017969452</v>
      </c>
      <c r="Y23" s="19" cm="1">
        <f t="array" ref="Y23">IFERROR(_xlfn.XLOOKUP($W23&amp;Y$4,braves_19_25!$B:$B&amp;braves_19_25!$C:$C,braves_19_25!$R:$R),0)</f>
        <v>0</v>
      </c>
      <c r="Z23" s="19" cm="1">
        <f t="array" ref="Z23">IFERROR(_xlfn.XLOOKUP($W23&amp;Z$4,braves_19_25!$B:$B&amp;braves_19_25!$C:$C,braves_19_25!$R:$R),0)</f>
        <v>6.2893081761006293E-3</v>
      </c>
      <c r="AA23" s="19" cm="1">
        <f t="array" ref="AA23">IFERROR(_xlfn.XLOOKUP($W23&amp;AA$4,braves_19_25!$B:$B&amp;braves_19_25!$C:$C,braves_19_25!$R:$R),0)</f>
        <v>0.71787960467205747</v>
      </c>
      <c r="AB23" s="19" cm="1">
        <f t="array" ref="AB23">IFERROR(_xlfn.XLOOKUP($W23&amp;AB$4,braves_19_25!$B:$B&amp;braves_19_25!$C:$C,braves_19_25!$R:$R),0)</f>
        <v>0</v>
      </c>
      <c r="AC23" s="19" cm="1">
        <f t="array" ref="AC23">IFERROR(_xlfn.XLOOKUP($W23&amp;AC$4,braves_19_25!$B:$B&amp;braves_19_25!$C:$C,braves_19_25!$R:$R),0)</f>
        <v>3.8185085354896675E-2</v>
      </c>
      <c r="AD23" s="19" cm="1">
        <f t="array" ref="AD23">IFERROR(_xlfn.XLOOKUP($W23&amp;AD$4,braves_19_25!$B:$B&amp;braves_19_25!$C:$C,braves_19_25!$R:$R),0)</f>
        <v>0</v>
      </c>
      <c r="AE23" s="19" cm="1">
        <f t="array" ref="AE23">IFERROR(_xlfn.XLOOKUP($W23&amp;AE$4,braves_19_25!$B:$B&amp;braves_19_25!$C:$C,braves_19_25!$R:$R),0)</f>
        <v>0</v>
      </c>
      <c r="AF23" s="19" cm="1">
        <f t="array" ref="AF23">IFERROR(_xlfn.XLOOKUP($W23&amp;AF$4,braves_19_25!$B:$B&amp;braves_19_25!$C:$C,braves_19_25!$R:$R),0)</f>
        <v>0</v>
      </c>
      <c r="AG23" s="19" cm="1">
        <f t="array" ref="AG23">IFERROR(_xlfn.XLOOKUP($W23&amp;AG$4,braves_19_25!$B:$B&amp;braves_19_25!$C:$C,braves_19_25!$R:$R),0)</f>
        <v>0</v>
      </c>
      <c r="AH23" s="19" cm="1">
        <f t="array" ref="AH23">IFERROR(_xlfn.XLOOKUP($W23&amp;AH$4,braves_19_25!$B:$B&amp;braves_19_25!$C:$C,braves_19_25!$R:$R),0)</f>
        <v>0</v>
      </c>
      <c r="AI23" s="19" cm="1">
        <f t="array" ref="AI23">IFERROR(_xlfn.XLOOKUP($W23&amp;AI$4,braves_19_25!$B:$B&amp;braves_19_25!$C:$C,braves_19_25!$R:$R),0)</f>
        <v>0</v>
      </c>
      <c r="AJ23" s="19" cm="1">
        <f t="array" ref="AJ23">IFERROR(_xlfn.XLOOKUP($W23&amp;AJ$4,braves_19_25!$B:$B&amp;braves_19_25!$C:$C,braves_19_25!$R:$R),0)</f>
        <v>0</v>
      </c>
      <c r="AK23" s="19" cm="1">
        <f t="array" ref="AK23">IFERROR(_xlfn.XLOOKUP($W23&amp;AK$4,braves_19_25!$B:$B&amp;braves_19_25!$C:$C,braves_19_25!$R:$R),0)</f>
        <v>0</v>
      </c>
      <c r="AL23" s="19" cm="1">
        <f t="array" ref="AL23">IFERROR(_xlfn.XLOOKUP($W23&amp;AL$4,braves_19_25!$B:$B&amp;braves_19_25!$C:$C,braves_19_25!$R:$R),0)</f>
        <v>0</v>
      </c>
      <c r="AM23" s="24" cm="1">
        <f t="array" ref="AM23">IFERROR(_xlfn.XLOOKUP($W23&amp;AM$4,braves_19_25!$B:$B&amp;braves_19_25!$C:$C,braves_19_25!$R:$R),0)</f>
        <v>0</v>
      </c>
      <c r="AN23" s="27" cm="1">
        <f t="array" ref="AN23">SQRT(
    MMULT(
        MMULT(
            $X23:$AM23,
            $F$5:$U$20
        ),
        TRANSPOSE($X23:$AM23)
    )
)</f>
        <v>0.76552514728328203</v>
      </c>
    </row>
    <row r="24" spans="1:40" x14ac:dyDescent="0.3">
      <c r="W24" s="14" t="str">
        <v>López, Reynaldo</v>
      </c>
      <c r="X24" s="19" cm="1">
        <f t="array" ref="X24">IFERROR(_xlfn.XLOOKUP($W24&amp;X$4,braves_19_25!$B:$B&amp;braves_19_25!$C:$C,braves_19_25!$R:$R),0)</f>
        <v>0.55036297640653353</v>
      </c>
      <c r="Y24" s="19" cm="1">
        <f t="array" ref="Y24">IFERROR(_xlfn.XLOOKUP($W24&amp;Y$4,braves_19_25!$B:$B&amp;braves_19_25!$C:$C,braves_19_25!$R:$R),0)</f>
        <v>0</v>
      </c>
      <c r="Z24" s="19" cm="1">
        <f t="array" ref="Z24">IFERROR(_xlfn.XLOOKUP($W24&amp;Z$4,braves_19_25!$B:$B&amp;braves_19_25!$C:$C,braves_19_25!$R:$R),0)</f>
        <v>0.29537205081669693</v>
      </c>
      <c r="AA24" s="19" cm="1">
        <f t="array" ref="AA24">IFERROR(_xlfn.XLOOKUP($W24&amp;AA$4,braves_19_25!$B:$B&amp;braves_19_25!$C:$C,braves_19_25!$R:$R),0)</f>
        <v>0.1161524500907441</v>
      </c>
      <c r="AB24" s="19" cm="1">
        <f t="array" ref="AB24">IFERROR(_xlfn.XLOOKUP($W24&amp;AB$4,braves_19_25!$B:$B&amp;braves_19_25!$C:$C,braves_19_25!$R:$R),0)</f>
        <v>0</v>
      </c>
      <c r="AC24" s="19" cm="1">
        <f t="array" ref="AC24">IFERROR(_xlfn.XLOOKUP($W24&amp;AC$4,braves_19_25!$B:$B&amp;braves_19_25!$C:$C,braves_19_25!$R:$R),0)</f>
        <v>0</v>
      </c>
      <c r="AD24" s="19" cm="1">
        <f t="array" ref="AD24">IFERROR(_xlfn.XLOOKUP($W24&amp;AD$4,braves_19_25!$B:$B&amp;braves_19_25!$C:$C,braves_19_25!$R:$R),0)</f>
        <v>3.8112522686025406E-2</v>
      </c>
      <c r="AE24" s="19" cm="1">
        <f t="array" ref="AE24">IFERROR(_xlfn.XLOOKUP($W24&amp;AE$4,braves_19_25!$B:$B&amp;braves_19_25!$C:$C,braves_19_25!$R:$R),0)</f>
        <v>0</v>
      </c>
      <c r="AF24" s="19" cm="1">
        <f t="array" ref="AF24">IFERROR(_xlfn.XLOOKUP($W24&amp;AF$4,braves_19_25!$B:$B&amp;braves_19_25!$C:$C,braves_19_25!$R:$R),0)</f>
        <v>0</v>
      </c>
      <c r="AG24" s="19" cm="1">
        <f t="array" ref="AG24">IFERROR(_xlfn.XLOOKUP($W24&amp;AG$4,braves_19_25!$B:$B&amp;braves_19_25!$C:$C,braves_19_25!$R:$R),0)</f>
        <v>0</v>
      </c>
      <c r="AH24" s="19" cm="1">
        <f t="array" ref="AH24">IFERROR(_xlfn.XLOOKUP($W24&amp;AH$4,braves_19_25!$B:$B&amp;braves_19_25!$C:$C,braves_19_25!$R:$R),0)</f>
        <v>0</v>
      </c>
      <c r="AI24" s="19" cm="1">
        <f t="array" ref="AI24">IFERROR(_xlfn.XLOOKUP($W24&amp;AI$4,braves_19_25!$B:$B&amp;braves_19_25!$C:$C,braves_19_25!$R:$R),0)</f>
        <v>0</v>
      </c>
      <c r="AJ24" s="19" cm="1">
        <f t="array" ref="AJ24">IFERROR(_xlfn.XLOOKUP($W24&amp;AJ$4,braves_19_25!$B:$B&amp;braves_19_25!$C:$C,braves_19_25!$R:$R),0)</f>
        <v>0</v>
      </c>
      <c r="AK24" s="19" cm="1">
        <f t="array" ref="AK24">IFERROR(_xlfn.XLOOKUP($W24&amp;AK$4,braves_19_25!$B:$B&amp;braves_19_25!$C:$C,braves_19_25!$R:$R),0)</f>
        <v>0</v>
      </c>
      <c r="AL24" s="19" cm="1">
        <f t="array" ref="AL24">IFERROR(_xlfn.XLOOKUP($W24&amp;AL$4,braves_19_25!$B:$B&amp;braves_19_25!$C:$C,braves_19_25!$R:$R),0)</f>
        <v>0</v>
      </c>
      <c r="AM24" s="24" cm="1">
        <f t="array" ref="AM24">IFERROR(_xlfn.XLOOKUP($W24&amp;AM$4,braves_19_25!$B:$B&amp;braves_19_25!$C:$C,braves_19_25!$R:$R),0)</f>
        <v>0</v>
      </c>
      <c r="AN24" s="27" cm="1">
        <f t="array" ref="AN24">SQRT(
    MMULT(
        MMULT(
            $X24:$AM24,
            $F$5:$U$20
        ),
        TRANSPOSE($X24:$AM24)
    )
)</f>
        <v>0.63646524669481808</v>
      </c>
    </row>
    <row r="25" spans="1:40" x14ac:dyDescent="0.3">
      <c r="A25" t="str" cm="1">
        <f t="array" ref="A25:A97">_xlfn.UNIQUE(braves_19_25__2[player_name])</f>
        <v>Fried, Max</v>
      </c>
      <c r="W25" s="14" t="str">
        <v>Smyly, Drew</v>
      </c>
      <c r="X25" s="19" cm="1">
        <f t="array" ref="X25">IFERROR(_xlfn.XLOOKUP($W25&amp;X$4,braves_19_25!$B:$B&amp;braves_19_25!$C:$C,braves_19_25!$R:$R),0)</f>
        <v>0</v>
      </c>
      <c r="Y25" s="19" cm="1">
        <f t="array" ref="Y25">IFERROR(_xlfn.XLOOKUP($W25&amp;Y$4,braves_19_25!$B:$B&amp;braves_19_25!$C:$C,braves_19_25!$R:$R),0)</f>
        <v>0.46538821328344249</v>
      </c>
      <c r="Z25" s="19" cm="1">
        <f t="array" ref="Z25">IFERROR(_xlfn.XLOOKUP($W25&amp;Z$4,braves_19_25!$B:$B&amp;braves_19_25!$C:$C,braves_19_25!$R:$R),0)</f>
        <v>0</v>
      </c>
      <c r="AA25" s="19" cm="1">
        <f t="array" ref="AA25">IFERROR(_xlfn.XLOOKUP($W25&amp;AA$4,braves_19_25!$B:$B&amp;braves_19_25!$C:$C,braves_19_25!$R:$R),0)</f>
        <v>0</v>
      </c>
      <c r="AB25" s="19" cm="1">
        <f t="array" ref="AB25">IFERROR(_xlfn.XLOOKUP($W25&amp;AB$4,braves_19_25!$B:$B&amp;braves_19_25!$C:$C,braves_19_25!$R:$R),0)</f>
        <v>0</v>
      </c>
      <c r="AC25" s="19" cm="1">
        <f t="array" ref="AC25">IFERROR(_xlfn.XLOOKUP($W25&amp;AC$4,braves_19_25!$B:$B&amp;braves_19_25!$C:$C,braves_19_25!$R:$R),0)</f>
        <v>0.11506080449017773</v>
      </c>
      <c r="AD25" s="19" cm="1">
        <f t="array" ref="AD25">IFERROR(_xlfn.XLOOKUP($W25&amp;AD$4,braves_19_25!$B:$B&amp;braves_19_25!$C:$C,braves_19_25!$R:$R),0)</f>
        <v>0</v>
      </c>
      <c r="AE25" s="19" cm="1">
        <f t="array" ref="AE25">IFERROR(_xlfn.XLOOKUP($W25&amp;AE$4,braves_19_25!$B:$B&amp;braves_19_25!$C:$C,braves_19_25!$R:$R),0)</f>
        <v>0</v>
      </c>
      <c r="AF25" s="19" cm="1">
        <f t="array" ref="AF25">IFERROR(_xlfn.XLOOKUP($W25&amp;AF$4,braves_19_25!$B:$B&amp;braves_19_25!$C:$C,braves_19_25!$R:$R),0)</f>
        <v>0</v>
      </c>
      <c r="AG25" s="19" cm="1">
        <f t="array" ref="AG25">IFERROR(_xlfn.XLOOKUP($W25&amp;AG$4,braves_19_25!$B:$B&amp;braves_19_25!$C:$C,braves_19_25!$R:$R),0)</f>
        <v>0</v>
      </c>
      <c r="AH25" s="19" cm="1">
        <f t="array" ref="AH25">IFERROR(_xlfn.XLOOKUP($W25&amp;AH$4,braves_19_25!$B:$B&amp;braves_19_25!$C:$C,braves_19_25!$R:$R),0)</f>
        <v>0</v>
      </c>
      <c r="AI25" s="19" cm="1">
        <f t="array" ref="AI25">IFERROR(_xlfn.XLOOKUP($W25&amp;AI$4,braves_19_25!$B:$B&amp;braves_19_25!$C:$C,braves_19_25!$R:$R),0)</f>
        <v>0</v>
      </c>
      <c r="AJ25" s="19" cm="1">
        <f t="array" ref="AJ25">IFERROR(_xlfn.XLOOKUP($W25&amp;AJ$4,braves_19_25!$B:$B&amp;braves_19_25!$C:$C,braves_19_25!$R:$R),0)</f>
        <v>0.41955098222637982</v>
      </c>
      <c r="AK25" s="19" cm="1">
        <f t="array" ref="AK25">IFERROR(_xlfn.XLOOKUP($W25&amp;AK$4,braves_19_25!$B:$B&amp;braves_19_25!$C:$C,braves_19_25!$R:$R),0)</f>
        <v>0</v>
      </c>
      <c r="AL25" s="19" cm="1">
        <f t="array" ref="AL25">IFERROR(_xlfn.XLOOKUP($W25&amp;AL$4,braves_19_25!$B:$B&amp;braves_19_25!$C:$C,braves_19_25!$R:$R),0)</f>
        <v>0</v>
      </c>
      <c r="AM25" s="24" cm="1">
        <f t="array" ref="AM25">IFERROR(_xlfn.XLOOKUP($W25&amp;AM$4,braves_19_25!$B:$B&amp;braves_19_25!$C:$C,braves_19_25!$R:$R),0)</f>
        <v>0</v>
      </c>
      <c r="AN25" s="27" cm="1">
        <f t="array" ref="AN25">SQRT(
    MMULT(
        MMULT(
            $X25:$AM25,
            $F$5:$U$20
        ),
        TRANSPOSE($X25:$AM25)
    )
)</f>
        <v>0.69340848249000886</v>
      </c>
    </row>
    <row r="26" spans="1:40" x14ac:dyDescent="0.3">
      <c r="A26" t="str">
        <v>Morton, Charlie</v>
      </c>
      <c r="W26" s="14" t="str">
        <v>McHugh, Collin</v>
      </c>
      <c r="X26" s="19" cm="1">
        <f t="array" ref="X26">IFERROR(_xlfn.XLOOKUP($W26&amp;X$4,braves_19_25!$B:$B&amp;braves_19_25!$C:$C,braves_19_25!$R:$R),0)</f>
        <v>2.328897338403042E-2</v>
      </c>
      <c r="Y26" s="19" cm="1">
        <f t="array" ref="Y26">IFERROR(_xlfn.XLOOKUP($W26&amp;Y$4,braves_19_25!$B:$B&amp;braves_19_25!$C:$C,braves_19_25!$R:$R),0)</f>
        <v>0</v>
      </c>
      <c r="Z26" s="19" cm="1">
        <f t="array" ref="Z26">IFERROR(_xlfn.XLOOKUP($W26&amp;Z$4,braves_19_25!$B:$B&amp;braves_19_25!$C:$C,braves_19_25!$R:$R),0)</f>
        <v>0</v>
      </c>
      <c r="AA26" s="19" cm="1">
        <f t="array" ref="AA26">IFERROR(_xlfn.XLOOKUP($W26&amp;AA$4,braves_19_25!$B:$B&amp;braves_19_25!$C:$C,braves_19_25!$R:$R),0)</f>
        <v>2.1387832699619771E-2</v>
      </c>
      <c r="AB26" s="19" cm="1">
        <f t="array" ref="AB26">IFERROR(_xlfn.XLOOKUP($W26&amp;AB$4,braves_19_25!$B:$B&amp;braves_19_25!$C:$C,braves_19_25!$R:$R),0)</f>
        <v>0</v>
      </c>
      <c r="AC26" s="19" cm="1">
        <f t="array" ref="AC26">IFERROR(_xlfn.XLOOKUP($W26&amp;AC$4,braves_19_25!$B:$B&amp;braves_19_25!$C:$C,braves_19_25!$R:$R),0)</f>
        <v>0.46673003802281371</v>
      </c>
      <c r="AD26" s="19" cm="1">
        <f t="array" ref="AD26">IFERROR(_xlfn.XLOOKUP($W26&amp;AD$4,braves_19_25!$B:$B&amp;braves_19_25!$C:$C,braves_19_25!$R:$R),0)</f>
        <v>1.9011406844106464E-3</v>
      </c>
      <c r="AE26" s="19" cm="1">
        <f t="array" ref="AE26">IFERROR(_xlfn.XLOOKUP($W26&amp;AE$4,braves_19_25!$B:$B&amp;braves_19_25!$C:$C,braves_19_25!$R:$R),0)</f>
        <v>0.48098859315589354</v>
      </c>
      <c r="AF26" s="19" cm="1">
        <f t="array" ref="AF26">IFERROR(_xlfn.XLOOKUP($W26&amp;AF$4,braves_19_25!$B:$B&amp;braves_19_25!$C:$C,braves_19_25!$R:$R),0)</f>
        <v>0</v>
      </c>
      <c r="AG26" s="19" cm="1">
        <f t="array" ref="AG26">IFERROR(_xlfn.XLOOKUP($W26&amp;AG$4,braves_19_25!$B:$B&amp;braves_19_25!$C:$C,braves_19_25!$R:$R),0)</f>
        <v>0</v>
      </c>
      <c r="AH26" s="19" cm="1">
        <f t="array" ref="AH26">IFERROR(_xlfn.XLOOKUP($W26&amp;AH$4,braves_19_25!$B:$B&amp;braves_19_25!$C:$C,braves_19_25!$R:$R),0)</f>
        <v>5.7034220532319393E-3</v>
      </c>
      <c r="AI26" s="19" cm="1">
        <f t="array" ref="AI26">IFERROR(_xlfn.XLOOKUP($W26&amp;AI$4,braves_19_25!$B:$B&amp;braves_19_25!$C:$C,braves_19_25!$R:$R),0)</f>
        <v>0</v>
      </c>
      <c r="AJ26" s="19" cm="1">
        <f t="array" ref="AJ26">IFERROR(_xlfn.XLOOKUP($W26&amp;AJ$4,braves_19_25!$B:$B&amp;braves_19_25!$C:$C,braves_19_25!$R:$R),0)</f>
        <v>0</v>
      </c>
      <c r="AK26" s="19" cm="1">
        <f t="array" ref="AK26">IFERROR(_xlfn.XLOOKUP($W26&amp;AK$4,braves_19_25!$B:$B&amp;braves_19_25!$C:$C,braves_19_25!$R:$R),0)</f>
        <v>0</v>
      </c>
      <c r="AL26" s="19" cm="1">
        <f t="array" ref="AL26">IFERROR(_xlfn.XLOOKUP($W26&amp;AL$4,braves_19_25!$B:$B&amp;braves_19_25!$C:$C,braves_19_25!$R:$R),0)</f>
        <v>0</v>
      </c>
      <c r="AM26" s="24" cm="1">
        <f t="array" ref="AM26">IFERROR(_xlfn.XLOOKUP($W26&amp;AM$4,braves_19_25!$B:$B&amp;braves_19_25!$C:$C,braves_19_25!$R:$R),0)</f>
        <v>0</v>
      </c>
      <c r="AN26" s="27" cm="1">
        <f t="array" ref="AN26">SQRT(
    MMULT(
        MMULT(
            $X26:$AM26,
            $F$5:$U$20
        ),
        TRANSPOSE($X26:$AM26)
    )
)</f>
        <v>0.68235710617269452</v>
      </c>
    </row>
    <row r="27" spans="1:40" x14ac:dyDescent="0.3">
      <c r="A27" t="str">
        <v>Strider, Spencer</v>
      </c>
      <c r="W27" s="14" t="str">
        <v>Ynoa, Huascar</v>
      </c>
      <c r="X27" s="19" cm="1">
        <f t="array" ref="X27">IFERROR(_xlfn.XLOOKUP($W27&amp;X$4,braves_19_25!$B:$B&amp;braves_19_25!$C:$C,braves_19_25!$R:$R),0)</f>
        <v>0.44306220095693782</v>
      </c>
      <c r="Y27" s="19" cm="1">
        <f t="array" ref="Y27">IFERROR(_xlfn.XLOOKUP($W27&amp;Y$4,braves_19_25!$B:$B&amp;braves_19_25!$C:$C,braves_19_25!$R:$R),0)</f>
        <v>1.7224880382775119E-2</v>
      </c>
      <c r="Z27" s="19" cm="1">
        <f t="array" ref="Z27">IFERROR(_xlfn.XLOOKUP($W27&amp;Z$4,braves_19_25!$B:$B&amp;braves_19_25!$C:$C,braves_19_25!$R:$R),0)</f>
        <v>0.46650717703349281</v>
      </c>
      <c r="AA27" s="19" cm="1">
        <f t="array" ref="AA27">IFERROR(_xlfn.XLOOKUP($W27&amp;AA$4,braves_19_25!$B:$B&amp;braves_19_25!$C:$C,braves_19_25!$R:$R),0)</f>
        <v>0</v>
      </c>
      <c r="AB27" s="19" cm="1">
        <f t="array" ref="AB27">IFERROR(_xlfn.XLOOKUP($W27&amp;AB$4,braves_19_25!$B:$B&amp;braves_19_25!$C:$C,braves_19_25!$R:$R),0)</f>
        <v>0</v>
      </c>
      <c r="AC27" s="19" cm="1">
        <f t="array" ref="AC27">IFERROR(_xlfn.XLOOKUP($W27&amp;AC$4,braves_19_25!$B:$B&amp;braves_19_25!$C:$C,braves_19_25!$R:$R),0)</f>
        <v>0</v>
      </c>
      <c r="AD27" s="19" cm="1">
        <f t="array" ref="AD27">IFERROR(_xlfn.XLOOKUP($W27&amp;AD$4,braves_19_25!$B:$B&amp;braves_19_25!$C:$C,braves_19_25!$R:$R),0)</f>
        <v>7.320574162679426E-2</v>
      </c>
      <c r="AE27" s="19" cm="1">
        <f t="array" ref="AE27">IFERROR(_xlfn.XLOOKUP($W27&amp;AE$4,braves_19_25!$B:$B&amp;braves_19_25!$C:$C,braves_19_25!$R:$R),0)</f>
        <v>0</v>
      </c>
      <c r="AF27" s="19" cm="1">
        <f t="array" ref="AF27">IFERROR(_xlfn.XLOOKUP($W27&amp;AF$4,braves_19_25!$B:$B&amp;braves_19_25!$C:$C,braves_19_25!$R:$R),0)</f>
        <v>0</v>
      </c>
      <c r="AG27" s="19" cm="1">
        <f t="array" ref="AG27">IFERROR(_xlfn.XLOOKUP($W27&amp;AG$4,braves_19_25!$B:$B&amp;braves_19_25!$C:$C,braves_19_25!$R:$R),0)</f>
        <v>0</v>
      </c>
      <c r="AH27" s="19" cm="1">
        <f t="array" ref="AH27">IFERROR(_xlfn.XLOOKUP($W27&amp;AH$4,braves_19_25!$B:$B&amp;braves_19_25!$C:$C,braves_19_25!$R:$R),0)</f>
        <v>0</v>
      </c>
      <c r="AI27" s="19" cm="1">
        <f t="array" ref="AI27">IFERROR(_xlfn.XLOOKUP($W27&amp;AI$4,braves_19_25!$B:$B&amp;braves_19_25!$C:$C,braves_19_25!$R:$R),0)</f>
        <v>0</v>
      </c>
      <c r="AJ27" s="19" cm="1">
        <f t="array" ref="AJ27">IFERROR(_xlfn.XLOOKUP($W27&amp;AJ$4,braves_19_25!$B:$B&amp;braves_19_25!$C:$C,braves_19_25!$R:$R),0)</f>
        <v>0</v>
      </c>
      <c r="AK27" s="19" cm="1">
        <f t="array" ref="AK27">IFERROR(_xlfn.XLOOKUP($W27&amp;AK$4,braves_19_25!$B:$B&amp;braves_19_25!$C:$C,braves_19_25!$R:$R),0)</f>
        <v>0</v>
      </c>
      <c r="AL27" s="19" cm="1">
        <f t="array" ref="AL27">IFERROR(_xlfn.XLOOKUP($W27&amp;AL$4,braves_19_25!$B:$B&amp;braves_19_25!$C:$C,braves_19_25!$R:$R),0)</f>
        <v>0</v>
      </c>
      <c r="AM27" s="24" cm="1">
        <f t="array" ref="AM27">IFERROR(_xlfn.XLOOKUP($W27&amp;AM$4,braves_19_25!$B:$B&amp;braves_19_25!$C:$C,braves_19_25!$R:$R),0)</f>
        <v>0</v>
      </c>
      <c r="AN27" s="27" cm="1">
        <f t="array" ref="AN27">SQRT(
    MMULT(
        MMULT(
            $X27:$AM27,
            $F$5:$U$20
        ),
        TRANSPOSE($X27:$AM27)
    )
)</f>
        <v>0.65595213852151724</v>
      </c>
    </row>
    <row r="28" spans="1:40" x14ac:dyDescent="0.3">
      <c r="A28" t="str">
        <v>Elder, Bryce</v>
      </c>
      <c r="W28" s="14" t="str">
        <v>Toussaint, Touki</v>
      </c>
      <c r="X28" s="19" cm="1">
        <f t="array" ref="X28">IFERROR(_xlfn.XLOOKUP($W28&amp;X$4,braves_19_25!$B:$B&amp;braves_19_25!$C:$C,braves_19_25!$R:$R),0)</f>
        <v>0.19061302681992337</v>
      </c>
      <c r="Y28" s="19" cm="1">
        <f t="array" ref="Y28">IFERROR(_xlfn.XLOOKUP($W28&amp;Y$4,braves_19_25!$B:$B&amp;braves_19_25!$C:$C,braves_19_25!$R:$R),0)</f>
        <v>0.29166666666666669</v>
      </c>
      <c r="Z28" s="19" cm="1">
        <f t="array" ref="Z28">IFERROR(_xlfn.XLOOKUP($W28&amp;Z$4,braves_19_25!$B:$B&amp;braves_19_25!$C:$C,braves_19_25!$R:$R),0)</f>
        <v>2.2509578544061302E-2</v>
      </c>
      <c r="AA28" s="19" cm="1">
        <f t="array" ref="AA28">IFERROR(_xlfn.XLOOKUP($W28&amp;AA$4,braves_19_25!$B:$B&amp;braves_19_25!$C:$C,braves_19_25!$R:$R),0)</f>
        <v>0.27681992337164751</v>
      </c>
      <c r="AB28" s="19" cm="1">
        <f t="array" ref="AB28">IFERROR(_xlfn.XLOOKUP($W28&amp;AB$4,braves_19_25!$B:$B&amp;braves_19_25!$C:$C,braves_19_25!$R:$R),0)</f>
        <v>0.21839080459770116</v>
      </c>
      <c r="AC28" s="19" cm="1">
        <f t="array" ref="AC28">IFERROR(_xlfn.XLOOKUP($W28&amp;AC$4,braves_19_25!$B:$B&amp;braves_19_25!$C:$C,braves_19_25!$R:$R),0)</f>
        <v>0</v>
      </c>
      <c r="AD28" s="19" cm="1">
        <f t="array" ref="AD28">IFERROR(_xlfn.XLOOKUP($W28&amp;AD$4,braves_19_25!$B:$B&amp;braves_19_25!$C:$C,braves_19_25!$R:$R),0)</f>
        <v>0</v>
      </c>
      <c r="AE28" s="19" cm="1">
        <f t="array" ref="AE28">IFERROR(_xlfn.XLOOKUP($W28&amp;AE$4,braves_19_25!$B:$B&amp;braves_19_25!$C:$C,braves_19_25!$R:$R),0)</f>
        <v>0</v>
      </c>
      <c r="AF28" s="19" cm="1">
        <f t="array" ref="AF28">IFERROR(_xlfn.XLOOKUP($W28&amp;AF$4,braves_19_25!$B:$B&amp;braves_19_25!$C:$C,braves_19_25!$R:$R),0)</f>
        <v>0</v>
      </c>
      <c r="AG28" s="19" cm="1">
        <f t="array" ref="AG28">IFERROR(_xlfn.XLOOKUP($W28&amp;AG$4,braves_19_25!$B:$B&amp;braves_19_25!$C:$C,braves_19_25!$R:$R),0)</f>
        <v>0</v>
      </c>
      <c r="AH28" s="19" cm="1">
        <f t="array" ref="AH28">IFERROR(_xlfn.XLOOKUP($W28&amp;AH$4,braves_19_25!$B:$B&amp;braves_19_25!$C:$C,braves_19_25!$R:$R),0)</f>
        <v>0</v>
      </c>
      <c r="AI28" s="19" cm="1">
        <f t="array" ref="AI28">IFERROR(_xlfn.XLOOKUP($W28&amp;AI$4,braves_19_25!$B:$B&amp;braves_19_25!$C:$C,braves_19_25!$R:$R),0)</f>
        <v>0</v>
      </c>
      <c r="AJ28" s="19" cm="1">
        <f t="array" ref="AJ28">IFERROR(_xlfn.XLOOKUP($W28&amp;AJ$4,braves_19_25!$B:$B&amp;braves_19_25!$C:$C,braves_19_25!$R:$R),0)</f>
        <v>0</v>
      </c>
      <c r="AK28" s="19" cm="1">
        <f t="array" ref="AK28">IFERROR(_xlfn.XLOOKUP($W28&amp;AK$4,braves_19_25!$B:$B&amp;braves_19_25!$C:$C,braves_19_25!$R:$R),0)</f>
        <v>0</v>
      </c>
      <c r="AL28" s="19" cm="1">
        <f t="array" ref="AL28">IFERROR(_xlfn.XLOOKUP($W28&amp;AL$4,braves_19_25!$B:$B&amp;braves_19_25!$C:$C,braves_19_25!$R:$R),0)</f>
        <v>0</v>
      </c>
      <c r="AM28" s="24" cm="1">
        <f t="array" ref="AM28">IFERROR(_xlfn.XLOOKUP($W28&amp;AM$4,braves_19_25!$B:$B&amp;braves_19_25!$C:$C,braves_19_25!$R:$R),0)</f>
        <v>0</v>
      </c>
      <c r="AN28" s="27" cm="1">
        <f t="array" ref="AN28">SQRT(
    MMULT(
        MMULT(
            $X28:$AM28,
            $F$5:$U$20
        ),
        TRANSPOSE($X28:$AM28)
    )
)</f>
        <v>0.56926875699495405</v>
      </c>
    </row>
    <row r="29" spans="1:40" x14ac:dyDescent="0.3">
      <c r="A29" t="str">
        <v>Sale, Chris</v>
      </c>
      <c r="W29" s="14" t="str">
        <v>Jiménez, Joe</v>
      </c>
      <c r="X29" s="19" cm="1">
        <f t="array" ref="X29">IFERROR(_xlfn.XLOOKUP($W29&amp;X$4,braves_19_25!$B:$B&amp;braves_19_25!$C:$C,braves_19_25!$R:$R),0)</f>
        <v>0.53580246913580243</v>
      </c>
      <c r="Y29" s="19" cm="1">
        <f t="array" ref="Y29">IFERROR(_xlfn.XLOOKUP($W29&amp;Y$4,braves_19_25!$B:$B&amp;braves_19_25!$C:$C,braves_19_25!$R:$R),0)</f>
        <v>0</v>
      </c>
      <c r="Z29" s="19" cm="1">
        <f t="array" ref="Z29">IFERROR(_xlfn.XLOOKUP($W29&amp;Z$4,braves_19_25!$B:$B&amp;braves_19_25!$C:$C,braves_19_25!$R:$R),0)</f>
        <v>0.40839506172839507</v>
      </c>
      <c r="AA29" s="19" cm="1">
        <f t="array" ref="AA29">IFERROR(_xlfn.XLOOKUP($W29&amp;AA$4,braves_19_25!$B:$B&amp;braves_19_25!$C:$C,braves_19_25!$R:$R),0)</f>
        <v>0</v>
      </c>
      <c r="AB29" s="19" cm="1">
        <f t="array" ref="AB29">IFERROR(_xlfn.XLOOKUP($W29&amp;AB$4,braves_19_25!$B:$B&amp;braves_19_25!$C:$C,braves_19_25!$R:$R),0)</f>
        <v>0</v>
      </c>
      <c r="AC29" s="19" cm="1">
        <f t="array" ref="AC29">IFERROR(_xlfn.XLOOKUP($W29&amp;AC$4,braves_19_25!$B:$B&amp;braves_19_25!$C:$C,braves_19_25!$R:$R),0)</f>
        <v>0</v>
      </c>
      <c r="AD29" s="19" cm="1">
        <f t="array" ref="AD29">IFERROR(_xlfn.XLOOKUP($W29&amp;AD$4,braves_19_25!$B:$B&amp;braves_19_25!$C:$C,braves_19_25!$R:$R),0)</f>
        <v>5.5308641975308645E-2</v>
      </c>
      <c r="AE29" s="19" cm="1">
        <f t="array" ref="AE29">IFERROR(_xlfn.XLOOKUP($W29&amp;AE$4,braves_19_25!$B:$B&amp;braves_19_25!$C:$C,braves_19_25!$R:$R),0)</f>
        <v>0</v>
      </c>
      <c r="AF29" s="19" cm="1">
        <f t="array" ref="AF29">IFERROR(_xlfn.XLOOKUP($W29&amp;AF$4,braves_19_25!$B:$B&amp;braves_19_25!$C:$C,braves_19_25!$R:$R),0)</f>
        <v>0</v>
      </c>
      <c r="AG29" s="19" cm="1">
        <f t="array" ref="AG29">IFERROR(_xlfn.XLOOKUP($W29&amp;AG$4,braves_19_25!$B:$B&amp;braves_19_25!$C:$C,braves_19_25!$R:$R),0)</f>
        <v>0</v>
      </c>
      <c r="AH29" s="19" cm="1">
        <f t="array" ref="AH29">IFERROR(_xlfn.XLOOKUP($W29&amp;AH$4,braves_19_25!$B:$B&amp;braves_19_25!$C:$C,braves_19_25!$R:$R),0)</f>
        <v>0</v>
      </c>
      <c r="AI29" s="19" cm="1">
        <f t="array" ref="AI29">IFERROR(_xlfn.XLOOKUP($W29&amp;AI$4,braves_19_25!$B:$B&amp;braves_19_25!$C:$C,braves_19_25!$R:$R),0)</f>
        <v>0</v>
      </c>
      <c r="AJ29" s="19" cm="1">
        <f t="array" ref="AJ29">IFERROR(_xlfn.XLOOKUP($W29&amp;AJ$4,braves_19_25!$B:$B&amp;braves_19_25!$C:$C,braves_19_25!$R:$R),0)</f>
        <v>0</v>
      </c>
      <c r="AK29" s="19" cm="1">
        <f t="array" ref="AK29">IFERROR(_xlfn.XLOOKUP($W29&amp;AK$4,braves_19_25!$B:$B&amp;braves_19_25!$C:$C,braves_19_25!$R:$R),0)</f>
        <v>0</v>
      </c>
      <c r="AL29" s="19" cm="1">
        <f t="array" ref="AL29">IFERROR(_xlfn.XLOOKUP($W29&amp;AL$4,braves_19_25!$B:$B&amp;braves_19_25!$C:$C,braves_19_25!$R:$R),0)</f>
        <v>0</v>
      </c>
      <c r="AM29" s="24" cm="1">
        <f t="array" ref="AM29">IFERROR(_xlfn.XLOOKUP($W29&amp;AM$4,braves_19_25!$B:$B&amp;braves_19_25!$C:$C,braves_19_25!$R:$R),0)</f>
        <v>0</v>
      </c>
      <c r="AN29" s="27" cm="1">
        <f t="array" ref="AN29">SQRT(
    MMULT(
        MMULT(
            $X29:$AM29,
            $F$5:$U$20
        ),
        TRANSPOSE($X29:$AM29)
    )
)</f>
        <v>0.6759658706275895</v>
      </c>
    </row>
    <row r="30" spans="1:40" x14ac:dyDescent="0.3">
      <c r="A30" t="str">
        <v>Anderson, Ian</v>
      </c>
      <c r="W30" s="14" t="str">
        <v>Smith, Will</v>
      </c>
      <c r="X30" s="19" cm="1">
        <f t="array" ref="X30">IFERROR(_xlfn.XLOOKUP($W30&amp;X$4,braves_19_25!$B:$B&amp;braves_19_25!$C:$C,braves_19_25!$R:$R),0)</f>
        <v>0.45216515609264851</v>
      </c>
      <c r="Y30" s="19" cm="1">
        <f t="array" ref="Y30">IFERROR(_xlfn.XLOOKUP($W30&amp;Y$4,braves_19_25!$B:$B&amp;braves_19_25!$C:$C,braves_19_25!$R:$R),0)</f>
        <v>0</v>
      </c>
      <c r="Z30" s="19" cm="1">
        <f t="array" ref="Z30">IFERROR(_xlfn.XLOOKUP($W30&amp;Z$4,braves_19_25!$B:$B&amp;braves_19_25!$C:$C,braves_19_25!$R:$R),0)</f>
        <v>0.43856998992950652</v>
      </c>
      <c r="AA30" s="19" cm="1">
        <f t="array" ref="AA30">IFERROR(_xlfn.XLOOKUP($W30&amp;AA$4,braves_19_25!$B:$B&amp;braves_19_25!$C:$C,braves_19_25!$R:$R),0)</f>
        <v>0.10926485397784491</v>
      </c>
      <c r="AB30" s="19" cm="1">
        <f t="array" ref="AB30">IFERROR(_xlfn.XLOOKUP($W30&amp;AB$4,braves_19_25!$B:$B&amp;braves_19_25!$C:$C,braves_19_25!$R:$R),0)</f>
        <v>0</v>
      </c>
      <c r="AC30" s="19" cm="1">
        <f t="array" ref="AC30">IFERROR(_xlfn.XLOOKUP($W30&amp;AC$4,braves_19_25!$B:$B&amp;braves_19_25!$C:$C,braves_19_25!$R:$R),0)</f>
        <v>0</v>
      </c>
      <c r="AD30" s="19" cm="1">
        <f t="array" ref="AD30">IFERROR(_xlfn.XLOOKUP($W30&amp;AD$4,braves_19_25!$B:$B&amp;braves_19_25!$C:$C,braves_19_25!$R:$R),0)</f>
        <v>0</v>
      </c>
      <c r="AE30" s="19" cm="1">
        <f t="array" ref="AE30">IFERROR(_xlfn.XLOOKUP($W30&amp;AE$4,braves_19_25!$B:$B&amp;braves_19_25!$C:$C,braves_19_25!$R:$R),0)</f>
        <v>0</v>
      </c>
      <c r="AF30" s="19" cm="1">
        <f t="array" ref="AF30">IFERROR(_xlfn.XLOOKUP($W30&amp;AF$4,braves_19_25!$B:$B&amp;braves_19_25!$C:$C,braves_19_25!$R:$R),0)</f>
        <v>0</v>
      </c>
      <c r="AG30" s="19" cm="1">
        <f t="array" ref="AG30">IFERROR(_xlfn.XLOOKUP($W30&amp;AG$4,braves_19_25!$B:$B&amp;braves_19_25!$C:$C,braves_19_25!$R:$R),0)</f>
        <v>0</v>
      </c>
      <c r="AH30" s="19" cm="1">
        <f t="array" ref="AH30">IFERROR(_xlfn.XLOOKUP($W30&amp;AH$4,braves_19_25!$B:$B&amp;braves_19_25!$C:$C,braves_19_25!$R:$R),0)</f>
        <v>0</v>
      </c>
      <c r="AI30" s="19" cm="1">
        <f t="array" ref="AI30">IFERROR(_xlfn.XLOOKUP($W30&amp;AI$4,braves_19_25!$B:$B&amp;braves_19_25!$C:$C,braves_19_25!$R:$R),0)</f>
        <v>0</v>
      </c>
      <c r="AJ30" s="19" cm="1">
        <f t="array" ref="AJ30">IFERROR(_xlfn.XLOOKUP($W30&amp;AJ$4,braves_19_25!$B:$B&amp;braves_19_25!$C:$C,braves_19_25!$R:$R),0)</f>
        <v>0</v>
      </c>
      <c r="AK30" s="19" cm="1">
        <f t="array" ref="AK30">IFERROR(_xlfn.XLOOKUP($W30&amp;AK$4,braves_19_25!$B:$B&amp;braves_19_25!$C:$C,braves_19_25!$R:$R),0)</f>
        <v>0</v>
      </c>
      <c r="AL30" s="19" cm="1">
        <f t="array" ref="AL30">IFERROR(_xlfn.XLOOKUP($W30&amp;AL$4,braves_19_25!$B:$B&amp;braves_19_25!$C:$C,braves_19_25!$R:$R),0)</f>
        <v>0</v>
      </c>
      <c r="AM30" s="24" cm="1">
        <f t="array" ref="AM30">IFERROR(_xlfn.XLOOKUP($W30&amp;AM$4,braves_19_25!$B:$B&amp;braves_19_25!$C:$C,braves_19_25!$R:$R),0)</f>
        <v>0</v>
      </c>
      <c r="AN30" s="27" cm="1">
        <f t="array" ref="AN30">SQRT(
    MMULT(
        MMULT(
            $X30:$AM30,
            $F$5:$U$20
        ),
        TRANSPOSE($X30:$AM30)
    )
)</f>
        <v>0.63932446595281833</v>
      </c>
    </row>
    <row r="31" spans="1:40" x14ac:dyDescent="0.3">
      <c r="A31" t="str">
        <v>Minter, A.J.</v>
      </c>
      <c r="W31" s="14" t="str">
        <v>Foltynewicz, Mike</v>
      </c>
      <c r="X31" s="19" cm="1">
        <f t="array" ref="X31">IFERROR(_xlfn.XLOOKUP($W31&amp;X$4,braves_19_25!$B:$B&amp;braves_19_25!$C:$C,braves_19_25!$R:$R),0)</f>
        <v>0.26149131767109296</v>
      </c>
      <c r="Y31" s="19" cm="1">
        <f t="array" ref="Y31">IFERROR(_xlfn.XLOOKUP($W31&amp;Y$4,braves_19_25!$B:$B&amp;braves_19_25!$C:$C,braves_19_25!$R:$R),0)</f>
        <v>0.25536261491317669</v>
      </c>
      <c r="Z31" s="19" cm="1">
        <f t="array" ref="Z31">IFERROR(_xlfn.XLOOKUP($W31&amp;Z$4,braves_19_25!$B:$B&amp;braves_19_25!$C:$C,braves_19_25!$R:$R),0)</f>
        <v>0.28600612870275793</v>
      </c>
      <c r="AA31" s="19" cm="1">
        <f t="array" ref="AA31">IFERROR(_xlfn.XLOOKUP($W31&amp;AA$4,braves_19_25!$B:$B&amp;braves_19_25!$C:$C,braves_19_25!$R:$R),0)</f>
        <v>0.10112359550561797</v>
      </c>
      <c r="AB31" s="19" cm="1">
        <f t="array" ref="AB31">IFERROR(_xlfn.XLOOKUP($W31&amp;AB$4,braves_19_25!$B:$B&amp;braves_19_25!$C:$C,braves_19_25!$R:$R),0)</f>
        <v>0</v>
      </c>
      <c r="AC31" s="19" cm="1">
        <f t="array" ref="AC31">IFERROR(_xlfn.XLOOKUP($W31&amp;AC$4,braves_19_25!$B:$B&amp;braves_19_25!$C:$C,braves_19_25!$R:$R),0)</f>
        <v>0</v>
      </c>
      <c r="AD31" s="19" cm="1">
        <f t="array" ref="AD31">IFERROR(_xlfn.XLOOKUP($W31&amp;AD$4,braves_19_25!$B:$B&amp;braves_19_25!$C:$C,braves_19_25!$R:$R),0)</f>
        <v>9.6016343207354443E-2</v>
      </c>
      <c r="AE31" s="19" cm="1">
        <f t="array" ref="AE31">IFERROR(_xlfn.XLOOKUP($W31&amp;AE$4,braves_19_25!$B:$B&amp;braves_19_25!$C:$C,braves_19_25!$R:$R),0)</f>
        <v>0</v>
      </c>
      <c r="AF31" s="19" cm="1">
        <f t="array" ref="AF31">IFERROR(_xlfn.XLOOKUP($W31&amp;AF$4,braves_19_25!$B:$B&amp;braves_19_25!$C:$C,braves_19_25!$R:$R),0)</f>
        <v>0</v>
      </c>
      <c r="AG31" s="19" cm="1">
        <f t="array" ref="AG31">IFERROR(_xlfn.XLOOKUP($W31&amp;AG$4,braves_19_25!$B:$B&amp;braves_19_25!$C:$C,braves_19_25!$R:$R),0)</f>
        <v>0</v>
      </c>
      <c r="AH31" s="19" cm="1">
        <f t="array" ref="AH31">IFERROR(_xlfn.XLOOKUP($W31&amp;AH$4,braves_19_25!$B:$B&amp;braves_19_25!$C:$C,braves_19_25!$R:$R),0)</f>
        <v>0</v>
      </c>
      <c r="AI31" s="19" cm="1">
        <f t="array" ref="AI31">IFERROR(_xlfn.XLOOKUP($W31&amp;AI$4,braves_19_25!$B:$B&amp;braves_19_25!$C:$C,braves_19_25!$R:$R),0)</f>
        <v>0</v>
      </c>
      <c r="AJ31" s="19" cm="1">
        <f t="array" ref="AJ31">IFERROR(_xlfn.XLOOKUP($W31&amp;AJ$4,braves_19_25!$B:$B&amp;braves_19_25!$C:$C,braves_19_25!$R:$R),0)</f>
        <v>0</v>
      </c>
      <c r="AK31" s="19" cm="1">
        <f t="array" ref="AK31">IFERROR(_xlfn.XLOOKUP($W31&amp;AK$4,braves_19_25!$B:$B&amp;braves_19_25!$C:$C,braves_19_25!$R:$R),0)</f>
        <v>0</v>
      </c>
      <c r="AL31" s="19" cm="1">
        <f t="array" ref="AL31">IFERROR(_xlfn.XLOOKUP($W31&amp;AL$4,braves_19_25!$B:$B&amp;braves_19_25!$C:$C,braves_19_25!$R:$R),0)</f>
        <v>0</v>
      </c>
      <c r="AM31" s="24" cm="1">
        <f t="array" ref="AM31">IFERROR(_xlfn.XLOOKUP($W31&amp;AM$4,braves_19_25!$B:$B&amp;braves_19_25!$C:$C,braves_19_25!$R:$R),0)</f>
        <v>0</v>
      </c>
      <c r="AN31" s="27" cm="1">
        <f t="array" ref="AN31">SQRT(
    MMULT(
        MMULT(
            $X31:$AM31,
            $F$5:$U$20
        ),
        TRANSPOSE($X31:$AM31)
    )
)</f>
        <v>0.57299000778347797</v>
      </c>
    </row>
    <row r="32" spans="1:40" x14ac:dyDescent="0.3">
      <c r="A32" t="str">
        <v>Wright, Kyle</v>
      </c>
      <c r="W32" s="14" t="str">
        <v>Bummer, Aaron</v>
      </c>
      <c r="X32" s="19" cm="1">
        <f t="array" ref="X32">IFERROR(_xlfn.XLOOKUP($W32&amp;X$4,braves_19_25!$B:$B&amp;braves_19_25!$C:$C,braves_19_25!$R:$R),0)</f>
        <v>0.11175236096537251</v>
      </c>
      <c r="Y32" s="19" cm="1">
        <f t="array" ref="Y32">IFERROR(_xlfn.XLOOKUP($W32&amp;Y$4,braves_19_25!$B:$B&amp;braves_19_25!$C:$C,braves_19_25!$R:$R),0)</f>
        <v>0.37355718782791186</v>
      </c>
      <c r="Z32" s="19" cm="1">
        <f t="array" ref="Z32">IFERROR(_xlfn.XLOOKUP($W32&amp;Z$4,braves_19_25!$B:$B&amp;braves_19_25!$C:$C,braves_19_25!$R:$R),0)</f>
        <v>0</v>
      </c>
      <c r="AA32" s="19" cm="1">
        <f t="array" ref="AA32">IFERROR(_xlfn.XLOOKUP($W32&amp;AA$4,braves_19_25!$B:$B&amp;braves_19_25!$C:$C,braves_19_25!$R:$R),0)</f>
        <v>0.18310598111227702</v>
      </c>
      <c r="AB32" s="19" cm="1">
        <f t="array" ref="AB32">IFERROR(_xlfn.XLOOKUP($W32&amp;AB$4,braves_19_25!$B:$B&amp;braves_19_25!$C:$C,braves_19_25!$R:$R),0)</f>
        <v>0</v>
      </c>
      <c r="AC32" s="19" cm="1">
        <f t="array" ref="AC32">IFERROR(_xlfn.XLOOKUP($W32&amp;AC$4,braves_19_25!$B:$B&amp;braves_19_25!$C:$C,braves_19_25!$R:$R),0)</f>
        <v>2.6232948583420776E-2</v>
      </c>
      <c r="AD32" s="19" cm="1">
        <f t="array" ref="AD32">IFERROR(_xlfn.XLOOKUP($W32&amp;AD$4,braves_19_25!$B:$B&amp;braves_19_25!$C:$C,braves_19_25!$R:$R),0)</f>
        <v>5.7712486883525708E-3</v>
      </c>
      <c r="AE32" s="19" cm="1">
        <f t="array" ref="AE32">IFERROR(_xlfn.XLOOKUP($W32&amp;AE$4,braves_19_25!$B:$B&amp;braves_19_25!$C:$C,braves_19_25!$R:$R),0)</f>
        <v>0.29958027282266525</v>
      </c>
      <c r="AF32" s="19" cm="1">
        <f t="array" ref="AF32">IFERROR(_xlfn.XLOOKUP($W32&amp;AF$4,braves_19_25!$B:$B&amp;braves_19_25!$C:$C,braves_19_25!$R:$R),0)</f>
        <v>0</v>
      </c>
      <c r="AG32" s="19" cm="1">
        <f t="array" ref="AG32">IFERROR(_xlfn.XLOOKUP($W32&amp;AG$4,braves_19_25!$B:$B&amp;braves_19_25!$C:$C,braves_19_25!$R:$R),0)</f>
        <v>0</v>
      </c>
      <c r="AH32" s="19" cm="1">
        <f t="array" ref="AH32">IFERROR(_xlfn.XLOOKUP($W32&amp;AH$4,braves_19_25!$B:$B&amp;braves_19_25!$C:$C,braves_19_25!$R:$R),0)</f>
        <v>0</v>
      </c>
      <c r="AI32" s="19" cm="1">
        <f t="array" ref="AI32">IFERROR(_xlfn.XLOOKUP($W32&amp;AI$4,braves_19_25!$B:$B&amp;braves_19_25!$C:$C,braves_19_25!$R:$R),0)</f>
        <v>0</v>
      </c>
      <c r="AJ32" s="19" cm="1">
        <f t="array" ref="AJ32">IFERROR(_xlfn.XLOOKUP($W32&amp;AJ$4,braves_19_25!$B:$B&amp;braves_19_25!$C:$C,braves_19_25!$R:$R),0)</f>
        <v>0</v>
      </c>
      <c r="AK32" s="19" cm="1">
        <f t="array" ref="AK32">IFERROR(_xlfn.XLOOKUP($W32&amp;AK$4,braves_19_25!$B:$B&amp;braves_19_25!$C:$C,braves_19_25!$R:$R),0)</f>
        <v>0</v>
      </c>
      <c r="AL32" s="19" cm="1">
        <f t="array" ref="AL32">IFERROR(_xlfn.XLOOKUP($W32&amp;AL$4,braves_19_25!$B:$B&amp;braves_19_25!$C:$C,braves_19_25!$R:$R),0)</f>
        <v>0</v>
      </c>
      <c r="AM32" s="24" cm="1">
        <f t="array" ref="AM32">IFERROR(_xlfn.XLOOKUP($W32&amp;AM$4,braves_19_25!$B:$B&amp;braves_19_25!$C:$C,braves_19_25!$R:$R),0)</f>
        <v>0</v>
      </c>
      <c r="AN32" s="27" cm="1">
        <f t="array" ref="AN32">SQRT(
    MMULT(
        MMULT(
            $X32:$AM32,
            $F$5:$U$20
        ),
        TRANSPOSE($X32:$AM32)
    )
)</f>
        <v>0.59354778681743581</v>
      </c>
    </row>
    <row r="33" spans="1:40" x14ac:dyDescent="0.3">
      <c r="A33" t="str">
        <v>Schwellenbach, Spencer</v>
      </c>
      <c r="W33" s="14" t="str">
        <v>Tonkin, Michael</v>
      </c>
      <c r="X33" s="19" cm="1">
        <f t="array" ref="X33">IFERROR(_xlfn.XLOOKUP($W33&amp;X$4,braves_19_25!$B:$B&amp;braves_19_25!$C:$C,braves_19_25!$R:$R),0)</f>
        <v>0.61184723304754485</v>
      </c>
      <c r="Y33" s="19" cm="1">
        <f t="array" ref="Y33">IFERROR(_xlfn.XLOOKUP($W33&amp;Y$4,braves_19_25!$B:$B&amp;braves_19_25!$C:$C,braves_19_25!$R:$R),0)</f>
        <v>0</v>
      </c>
      <c r="Z33" s="19" cm="1">
        <f t="array" ref="Z33">IFERROR(_xlfn.XLOOKUP($W33&amp;Z$4,braves_19_25!$B:$B&amp;braves_19_25!$C:$C,braves_19_25!$R:$R),0)</f>
        <v>0.37256430241621202</v>
      </c>
      <c r="AA33" s="19" cm="1">
        <f t="array" ref="AA33">IFERROR(_xlfn.XLOOKUP($W33&amp;AA$4,braves_19_25!$B:$B&amp;braves_19_25!$C:$C,braves_19_25!$R:$R),0)</f>
        <v>0</v>
      </c>
      <c r="AB33" s="19" cm="1">
        <f t="array" ref="AB33">IFERROR(_xlfn.XLOOKUP($W33&amp;AB$4,braves_19_25!$B:$B&amp;braves_19_25!$C:$C,braves_19_25!$R:$R),0)</f>
        <v>0</v>
      </c>
      <c r="AC33" s="19" cm="1">
        <f t="array" ref="AC33">IFERROR(_xlfn.XLOOKUP($W33&amp;AC$4,braves_19_25!$B:$B&amp;braves_19_25!$C:$C,braves_19_25!$R:$R),0)</f>
        <v>0</v>
      </c>
      <c r="AD33" s="19" cm="1">
        <f t="array" ref="AD33">IFERROR(_xlfn.XLOOKUP($W33&amp;AD$4,braves_19_25!$B:$B&amp;braves_19_25!$C:$C,braves_19_25!$R:$R),0)</f>
        <v>0</v>
      </c>
      <c r="AE33" s="19" cm="1">
        <f t="array" ref="AE33">IFERROR(_xlfn.XLOOKUP($W33&amp;AE$4,braves_19_25!$B:$B&amp;braves_19_25!$C:$C,braves_19_25!$R:$R),0)</f>
        <v>1.558846453624318E-2</v>
      </c>
      <c r="AF33" s="19" cm="1">
        <f t="array" ref="AF33">IFERROR(_xlfn.XLOOKUP($W33&amp;AF$4,braves_19_25!$B:$B&amp;braves_19_25!$C:$C,braves_19_25!$R:$R),0)</f>
        <v>0</v>
      </c>
      <c r="AG33" s="19" cm="1">
        <f t="array" ref="AG33">IFERROR(_xlfn.XLOOKUP($W33&amp;AG$4,braves_19_25!$B:$B&amp;braves_19_25!$C:$C,braves_19_25!$R:$R),0)</f>
        <v>0</v>
      </c>
      <c r="AH33" s="19" cm="1">
        <f t="array" ref="AH33">IFERROR(_xlfn.XLOOKUP($W33&amp;AH$4,braves_19_25!$B:$B&amp;braves_19_25!$C:$C,braves_19_25!$R:$R),0)</f>
        <v>0</v>
      </c>
      <c r="AI33" s="19" cm="1">
        <f t="array" ref="AI33">IFERROR(_xlfn.XLOOKUP($W33&amp;AI$4,braves_19_25!$B:$B&amp;braves_19_25!$C:$C,braves_19_25!$R:$R),0)</f>
        <v>0</v>
      </c>
      <c r="AJ33" s="19" cm="1">
        <f t="array" ref="AJ33">IFERROR(_xlfn.XLOOKUP($W33&amp;AJ$4,braves_19_25!$B:$B&amp;braves_19_25!$C:$C,braves_19_25!$R:$R),0)</f>
        <v>0</v>
      </c>
      <c r="AK33" s="19" cm="1">
        <f t="array" ref="AK33">IFERROR(_xlfn.XLOOKUP($W33&amp;AK$4,braves_19_25!$B:$B&amp;braves_19_25!$C:$C,braves_19_25!$R:$R),0)</f>
        <v>0</v>
      </c>
      <c r="AL33" s="19" cm="1">
        <f t="array" ref="AL33">IFERROR(_xlfn.XLOOKUP($W33&amp;AL$4,braves_19_25!$B:$B&amp;braves_19_25!$C:$C,braves_19_25!$R:$R),0)</f>
        <v>0</v>
      </c>
      <c r="AM33" s="24" cm="1">
        <f t="array" ref="AM33">IFERROR(_xlfn.XLOOKUP($W33&amp;AM$4,braves_19_25!$B:$B&amp;braves_19_25!$C:$C,braves_19_25!$R:$R),0)</f>
        <v>0</v>
      </c>
      <c r="AN33" s="27" cm="1">
        <f t="array" ref="AN33">SQRT(
    MMULT(
        MMULT(
            $X33:$AM33,
            $F$5:$U$20
        ),
        TRANSPOSE($X33:$AM33)
    )
)</f>
        <v>0.7221737906012462</v>
      </c>
    </row>
    <row r="34" spans="1:40" x14ac:dyDescent="0.3">
      <c r="A34" t="str">
        <v>Soroka, Michael</v>
      </c>
      <c r="W34" s="14" t="str">
        <v>Smith-Shawver, AJ</v>
      </c>
      <c r="X34" s="19" cm="1">
        <f t="array" ref="X34">IFERROR(_xlfn.XLOOKUP($W34&amp;X$4,braves_19_25!$B:$B&amp;braves_19_25!$C:$C,braves_19_25!$R:$R),0)</f>
        <v>0.49840255591054311</v>
      </c>
      <c r="Y34" s="19" cm="1">
        <f t="array" ref="Y34">IFERROR(_xlfn.XLOOKUP($W34&amp;Y$4,braves_19_25!$B:$B&amp;braves_19_25!$C:$C,braves_19_25!$R:$R),0)</f>
        <v>0</v>
      </c>
      <c r="Z34" s="19" cm="1">
        <f t="array" ref="Z34">IFERROR(_xlfn.XLOOKUP($W34&amp;Z$4,braves_19_25!$B:$B&amp;braves_19_25!$C:$C,braves_19_25!$R:$R),0)</f>
        <v>0.10862619808306709</v>
      </c>
      <c r="AA34" s="19" cm="1">
        <f t="array" ref="AA34">IFERROR(_xlfn.XLOOKUP($W34&amp;AA$4,braves_19_25!$B:$B&amp;braves_19_25!$C:$C,braves_19_25!$R:$R),0)</f>
        <v>0.14456869009584664</v>
      </c>
      <c r="AB34" s="19" cm="1">
        <f t="array" ref="AB34">IFERROR(_xlfn.XLOOKUP($W34&amp;AB$4,braves_19_25!$B:$B&amp;braves_19_25!$C:$C,braves_19_25!$R:$R),0)</f>
        <v>0.22044728434504793</v>
      </c>
      <c r="AC34" s="19" cm="1">
        <f t="array" ref="AC34">IFERROR(_xlfn.XLOOKUP($W34&amp;AC$4,braves_19_25!$B:$B&amp;braves_19_25!$C:$C,braves_19_25!$R:$R),0)</f>
        <v>0</v>
      </c>
      <c r="AD34" s="19" cm="1">
        <f t="array" ref="AD34">IFERROR(_xlfn.XLOOKUP($W34&amp;AD$4,braves_19_25!$B:$B&amp;braves_19_25!$C:$C,braves_19_25!$R:$R),0)</f>
        <v>2.7955271565495207E-2</v>
      </c>
      <c r="AE34" s="19" cm="1">
        <f t="array" ref="AE34">IFERROR(_xlfn.XLOOKUP($W34&amp;AE$4,braves_19_25!$B:$B&amp;braves_19_25!$C:$C,braves_19_25!$R:$R),0)</f>
        <v>0</v>
      </c>
      <c r="AF34" s="19" cm="1">
        <f t="array" ref="AF34">IFERROR(_xlfn.XLOOKUP($W34&amp;AF$4,braves_19_25!$B:$B&amp;braves_19_25!$C:$C,braves_19_25!$R:$R),0)</f>
        <v>0</v>
      </c>
      <c r="AG34" s="19" cm="1">
        <f t="array" ref="AG34">IFERROR(_xlfn.XLOOKUP($W34&amp;AG$4,braves_19_25!$B:$B&amp;braves_19_25!$C:$C,braves_19_25!$R:$R),0)</f>
        <v>0</v>
      </c>
      <c r="AH34" s="19" cm="1">
        <f t="array" ref="AH34">IFERROR(_xlfn.XLOOKUP($W34&amp;AH$4,braves_19_25!$B:$B&amp;braves_19_25!$C:$C,braves_19_25!$R:$R),0)</f>
        <v>0</v>
      </c>
      <c r="AI34" s="19" cm="1">
        <f t="array" ref="AI34">IFERROR(_xlfn.XLOOKUP($W34&amp;AI$4,braves_19_25!$B:$B&amp;braves_19_25!$C:$C,braves_19_25!$R:$R),0)</f>
        <v>0</v>
      </c>
      <c r="AJ34" s="19" cm="1">
        <f t="array" ref="AJ34">IFERROR(_xlfn.XLOOKUP($W34&amp;AJ$4,braves_19_25!$B:$B&amp;braves_19_25!$C:$C,braves_19_25!$R:$R),0)</f>
        <v>0</v>
      </c>
      <c r="AK34" s="19" cm="1">
        <f t="array" ref="AK34">IFERROR(_xlfn.XLOOKUP($W34&amp;AK$4,braves_19_25!$B:$B&amp;braves_19_25!$C:$C,braves_19_25!$R:$R),0)</f>
        <v>0</v>
      </c>
      <c r="AL34" s="19" cm="1">
        <f t="array" ref="AL34">IFERROR(_xlfn.XLOOKUP($W34&amp;AL$4,braves_19_25!$B:$B&amp;braves_19_25!$C:$C,braves_19_25!$R:$R),0)</f>
        <v>0</v>
      </c>
      <c r="AM34" s="24" cm="1">
        <f t="array" ref="AM34">IFERROR(_xlfn.XLOOKUP($W34&amp;AM$4,braves_19_25!$B:$B&amp;braves_19_25!$C:$C,braves_19_25!$R:$R),0)</f>
        <v>0</v>
      </c>
      <c r="AN34" s="27" cm="1">
        <f t="array" ref="AN34">SQRT(
    MMULT(
        MMULT(
            $X34:$AM34,
            $F$5:$U$20
        ),
        TRANSPOSE($X34:$AM34)
    )
)</f>
        <v>0.58233246205858913</v>
      </c>
    </row>
    <row r="35" spans="1:40" x14ac:dyDescent="0.3">
      <c r="A35" t="str">
        <v>Chavez, Jesse</v>
      </c>
      <c r="W35" s="14" t="str">
        <v>Stephens, Jackson</v>
      </c>
      <c r="X35" s="19" cm="1">
        <f t="array" ref="X35">IFERROR(_xlfn.XLOOKUP($W35&amp;X$4,braves_19_25!$B:$B&amp;braves_19_25!$C:$C,braves_19_25!$R:$R),0)</f>
        <v>0.32186732186732187</v>
      </c>
      <c r="Y35" s="19" cm="1">
        <f t="array" ref="Y35">IFERROR(_xlfn.XLOOKUP($W35&amp;Y$4,braves_19_25!$B:$B&amp;braves_19_25!$C:$C,braves_19_25!$R:$R),0)</f>
        <v>0.22358722358722358</v>
      </c>
      <c r="Z35" s="19" cm="1">
        <f t="array" ref="Z35">IFERROR(_xlfn.XLOOKUP($W35&amp;Z$4,braves_19_25!$B:$B&amp;braves_19_25!$C:$C,braves_19_25!$R:$R),0)</f>
        <v>5.8149058149058151E-2</v>
      </c>
      <c r="AA35" s="19" cm="1">
        <f t="array" ref="AA35">IFERROR(_xlfn.XLOOKUP($W35&amp;AA$4,braves_19_25!$B:$B&amp;braves_19_25!$C:$C,braves_19_25!$R:$R),0)</f>
        <v>0.26863226863226863</v>
      </c>
      <c r="AB35" s="19" cm="1">
        <f t="array" ref="AB35">IFERROR(_xlfn.XLOOKUP($W35&amp;AB$4,braves_19_25!$B:$B&amp;braves_19_25!$C:$C,braves_19_25!$R:$R),0)</f>
        <v>0</v>
      </c>
      <c r="AC35" s="19" cm="1">
        <f t="array" ref="AC35">IFERROR(_xlfn.XLOOKUP($W35&amp;AC$4,braves_19_25!$B:$B&amp;braves_19_25!$C:$C,braves_19_25!$R:$R),0)</f>
        <v>3.5217035217035217E-2</v>
      </c>
      <c r="AD35" s="19" cm="1">
        <f t="array" ref="AD35">IFERROR(_xlfn.XLOOKUP($W35&amp;AD$4,braves_19_25!$B:$B&amp;braves_19_25!$C:$C,braves_19_25!$R:$R),0)</f>
        <v>9.2547092547092549E-2</v>
      </c>
      <c r="AE35" s="19" cm="1">
        <f t="array" ref="AE35">IFERROR(_xlfn.XLOOKUP($W35&amp;AE$4,braves_19_25!$B:$B&amp;braves_19_25!$C:$C,braves_19_25!$R:$R),0)</f>
        <v>0</v>
      </c>
      <c r="AF35" s="19" cm="1">
        <f t="array" ref="AF35">IFERROR(_xlfn.XLOOKUP($W35&amp;AF$4,braves_19_25!$B:$B&amp;braves_19_25!$C:$C,braves_19_25!$R:$R),0)</f>
        <v>0</v>
      </c>
      <c r="AG35" s="19" cm="1">
        <f t="array" ref="AG35">IFERROR(_xlfn.XLOOKUP($W35&amp;AG$4,braves_19_25!$B:$B&amp;braves_19_25!$C:$C,braves_19_25!$R:$R),0)</f>
        <v>0</v>
      </c>
      <c r="AH35" s="19" cm="1">
        <f t="array" ref="AH35">IFERROR(_xlfn.XLOOKUP($W35&amp;AH$4,braves_19_25!$B:$B&amp;braves_19_25!$C:$C,braves_19_25!$R:$R),0)</f>
        <v>0</v>
      </c>
      <c r="AI35" s="19" cm="1">
        <f t="array" ref="AI35">IFERROR(_xlfn.XLOOKUP($W35&amp;AI$4,braves_19_25!$B:$B&amp;braves_19_25!$C:$C,braves_19_25!$R:$R),0)</f>
        <v>0</v>
      </c>
      <c r="AJ35" s="19" cm="1">
        <f t="array" ref="AJ35">IFERROR(_xlfn.XLOOKUP($W35&amp;AJ$4,braves_19_25!$B:$B&amp;braves_19_25!$C:$C,braves_19_25!$R:$R),0)</f>
        <v>0</v>
      </c>
      <c r="AK35" s="19" cm="1">
        <f t="array" ref="AK35">IFERROR(_xlfn.XLOOKUP($W35&amp;AK$4,braves_19_25!$B:$B&amp;braves_19_25!$C:$C,braves_19_25!$R:$R),0)</f>
        <v>0</v>
      </c>
      <c r="AL35" s="19" cm="1">
        <f t="array" ref="AL35">IFERROR(_xlfn.XLOOKUP($W35&amp;AL$4,braves_19_25!$B:$B&amp;braves_19_25!$C:$C,braves_19_25!$R:$R),0)</f>
        <v>0</v>
      </c>
      <c r="AM35" s="24" cm="1">
        <f t="array" ref="AM35">IFERROR(_xlfn.XLOOKUP($W35&amp;AM$4,braves_19_25!$B:$B&amp;braves_19_25!$C:$C,braves_19_25!$R:$R),0)</f>
        <v>0</v>
      </c>
      <c r="AN35" s="27" cm="1">
        <f t="array" ref="AN35">SQRT(
    MMULT(
        MMULT(
            $X35:$AM35,
            $F$5:$U$20
        ),
        TRANSPOSE($X35:$AM35)
    )
)</f>
        <v>0.60546199713515747</v>
      </c>
    </row>
    <row r="36" spans="1:40" x14ac:dyDescent="0.3">
      <c r="A36" t="str">
        <v>Iglesias, Raisel</v>
      </c>
      <c r="W36" s="14" t="str">
        <v>Martin, Chris</v>
      </c>
      <c r="X36" s="19" cm="1">
        <f t="array" ref="X36">IFERROR(_xlfn.XLOOKUP($W36&amp;X$4,braves_19_25!$B:$B&amp;braves_19_25!$C:$C,braves_19_25!$R:$R),0)</f>
        <v>0.43645484949832775</v>
      </c>
      <c r="Y36" s="19" cm="1">
        <f t="array" ref="Y36">IFERROR(_xlfn.XLOOKUP($W36&amp;Y$4,braves_19_25!$B:$B&amp;braves_19_25!$C:$C,braves_19_25!$R:$R),0)</f>
        <v>0.10702341137123746</v>
      </c>
      <c r="Z36" s="19" cm="1">
        <f t="array" ref="Z36">IFERROR(_xlfn.XLOOKUP($W36&amp;Z$4,braves_19_25!$B:$B&amp;braves_19_25!$C:$C,braves_19_25!$R:$R),0)</f>
        <v>0</v>
      </c>
      <c r="AA36" s="19" cm="1">
        <f t="array" ref="AA36">IFERROR(_xlfn.XLOOKUP($W36&amp;AA$4,braves_19_25!$B:$B&amp;braves_19_25!$C:$C,braves_19_25!$R:$R),0)</f>
        <v>4.3478260869565216E-2</v>
      </c>
      <c r="AB36" s="19" cm="1">
        <f t="array" ref="AB36">IFERROR(_xlfn.XLOOKUP($W36&amp;AB$4,braves_19_25!$B:$B&amp;braves_19_25!$C:$C,braves_19_25!$R:$R),0)</f>
        <v>0.13461538461538461</v>
      </c>
      <c r="AC36" s="19" cm="1">
        <f t="array" ref="AC36">IFERROR(_xlfn.XLOOKUP($W36&amp;AC$4,braves_19_25!$B:$B&amp;braves_19_25!$C:$C,braves_19_25!$R:$R),0)</f>
        <v>0.17140468227424749</v>
      </c>
      <c r="AD36" s="19" cm="1">
        <f t="array" ref="AD36">IFERROR(_xlfn.XLOOKUP($W36&amp;AD$4,braves_19_25!$B:$B&amp;braves_19_25!$C:$C,braves_19_25!$R:$R),0)</f>
        <v>0</v>
      </c>
      <c r="AE36" s="19" cm="1">
        <f t="array" ref="AE36">IFERROR(_xlfn.XLOOKUP($W36&amp;AE$4,braves_19_25!$B:$B&amp;braves_19_25!$C:$C,braves_19_25!$R:$R),0)</f>
        <v>0.10702341137123746</v>
      </c>
      <c r="AF36" s="19" cm="1">
        <f t="array" ref="AF36">IFERROR(_xlfn.XLOOKUP($W36&amp;AF$4,braves_19_25!$B:$B&amp;braves_19_25!$C:$C,braves_19_25!$R:$R),0)</f>
        <v>0</v>
      </c>
      <c r="AG36" s="19" cm="1">
        <f t="array" ref="AG36">IFERROR(_xlfn.XLOOKUP($W36&amp;AG$4,braves_19_25!$B:$B&amp;braves_19_25!$C:$C,braves_19_25!$R:$R),0)</f>
        <v>0</v>
      </c>
      <c r="AH36" s="19" cm="1">
        <f t="array" ref="AH36">IFERROR(_xlfn.XLOOKUP($W36&amp;AH$4,braves_19_25!$B:$B&amp;braves_19_25!$C:$C,braves_19_25!$R:$R),0)</f>
        <v>0</v>
      </c>
      <c r="AI36" s="19" cm="1">
        <f t="array" ref="AI36">IFERROR(_xlfn.XLOOKUP($W36&amp;AI$4,braves_19_25!$B:$B&amp;braves_19_25!$C:$C,braves_19_25!$R:$R),0)</f>
        <v>0</v>
      </c>
      <c r="AJ36" s="19" cm="1">
        <f t="array" ref="AJ36">IFERROR(_xlfn.XLOOKUP($W36&amp;AJ$4,braves_19_25!$B:$B&amp;braves_19_25!$C:$C,braves_19_25!$R:$R),0)</f>
        <v>0</v>
      </c>
      <c r="AK36" s="19" cm="1">
        <f t="array" ref="AK36">IFERROR(_xlfn.XLOOKUP($W36&amp;AK$4,braves_19_25!$B:$B&amp;braves_19_25!$C:$C,braves_19_25!$R:$R),0)</f>
        <v>0</v>
      </c>
      <c r="AL36" s="19" cm="1">
        <f t="array" ref="AL36">IFERROR(_xlfn.XLOOKUP($W36&amp;AL$4,braves_19_25!$B:$B&amp;braves_19_25!$C:$C,braves_19_25!$R:$R),0)</f>
        <v>0</v>
      </c>
      <c r="AM36" s="24" cm="1">
        <f t="array" ref="AM36">IFERROR(_xlfn.XLOOKUP($W36&amp;AM$4,braves_19_25!$B:$B&amp;braves_19_25!$C:$C,braves_19_25!$R:$R),0)</f>
        <v>0</v>
      </c>
      <c r="AN36" s="27" cm="1">
        <f t="array" ref="AN36">SQRT(
    MMULT(
        MMULT(
            $X36:$AM36,
            $F$5:$U$20
        ),
        TRANSPOSE($X36:$AM36)
    )
)</f>
        <v>0.6772030202271716</v>
      </c>
    </row>
    <row r="37" spans="1:40" x14ac:dyDescent="0.3">
      <c r="A37" t="str">
        <v>Jackson, Luke</v>
      </c>
      <c r="W37" s="14" t="str">
        <v>Yates, Kirby</v>
      </c>
      <c r="X37" s="19" cm="1">
        <f t="array" ref="X37">IFERROR(_xlfn.XLOOKUP($W37&amp;X$4,braves_19_25!$B:$B&amp;braves_19_25!$C:$C,braves_19_25!$R:$R),0)</f>
        <v>0.53389121338912138</v>
      </c>
      <c r="Y37" s="19" cm="1">
        <f t="array" ref="Y37">IFERROR(_xlfn.XLOOKUP($W37&amp;Y$4,braves_19_25!$B:$B&amp;braves_19_25!$C:$C,braves_19_25!$R:$R),0)</f>
        <v>0</v>
      </c>
      <c r="Z37" s="19" cm="1">
        <f t="array" ref="Z37">IFERROR(_xlfn.XLOOKUP($W37&amp;Z$4,braves_19_25!$B:$B&amp;braves_19_25!$C:$C,braves_19_25!$R:$R),0)</f>
        <v>2.5104602510460251E-3</v>
      </c>
      <c r="AA37" s="19" cm="1">
        <f t="array" ref="AA37">IFERROR(_xlfn.XLOOKUP($W37&amp;AA$4,braves_19_25!$B:$B&amp;braves_19_25!$C:$C,braves_19_25!$R:$R),0)</f>
        <v>0</v>
      </c>
      <c r="AB37" s="19" cm="1">
        <f t="array" ref="AB37">IFERROR(_xlfn.XLOOKUP($W37&amp;AB$4,braves_19_25!$B:$B&amp;braves_19_25!$C:$C,braves_19_25!$R:$R),0)</f>
        <v>0.45020920502092049</v>
      </c>
      <c r="AC37" s="19" cm="1">
        <f t="array" ref="AC37">IFERROR(_xlfn.XLOOKUP($W37&amp;AC$4,braves_19_25!$B:$B&amp;braves_19_25!$C:$C,braves_19_25!$R:$R),0)</f>
        <v>0</v>
      </c>
      <c r="AD37" s="19" cm="1">
        <f t="array" ref="AD37">IFERROR(_xlfn.XLOOKUP($W37&amp;AD$4,braves_19_25!$B:$B&amp;braves_19_25!$C:$C,braves_19_25!$R:$R),0)</f>
        <v>0</v>
      </c>
      <c r="AE37" s="19" cm="1">
        <f t="array" ref="AE37">IFERROR(_xlfn.XLOOKUP($W37&amp;AE$4,braves_19_25!$B:$B&amp;braves_19_25!$C:$C,braves_19_25!$R:$R),0)</f>
        <v>1.1715481171548118E-2</v>
      </c>
      <c r="AF37" s="19" cm="1">
        <f t="array" ref="AF37">IFERROR(_xlfn.XLOOKUP($W37&amp;AF$4,braves_19_25!$B:$B&amp;braves_19_25!$C:$C,braves_19_25!$R:$R),0)</f>
        <v>0</v>
      </c>
      <c r="AG37" s="19" cm="1">
        <f t="array" ref="AG37">IFERROR(_xlfn.XLOOKUP($W37&amp;AG$4,braves_19_25!$B:$B&amp;braves_19_25!$C:$C,braves_19_25!$R:$R),0)</f>
        <v>0</v>
      </c>
      <c r="AH37" s="19" cm="1">
        <f t="array" ref="AH37">IFERROR(_xlfn.XLOOKUP($W37&amp;AH$4,braves_19_25!$B:$B&amp;braves_19_25!$C:$C,braves_19_25!$R:$R),0)</f>
        <v>0</v>
      </c>
      <c r="AI37" s="19" cm="1">
        <f t="array" ref="AI37">IFERROR(_xlfn.XLOOKUP($W37&amp;AI$4,braves_19_25!$B:$B&amp;braves_19_25!$C:$C,braves_19_25!$R:$R),0)</f>
        <v>0</v>
      </c>
      <c r="AJ37" s="19" cm="1">
        <f t="array" ref="AJ37">IFERROR(_xlfn.XLOOKUP($W37&amp;AJ$4,braves_19_25!$B:$B&amp;braves_19_25!$C:$C,braves_19_25!$R:$R),0)</f>
        <v>0</v>
      </c>
      <c r="AK37" s="19" cm="1">
        <f t="array" ref="AK37">IFERROR(_xlfn.XLOOKUP($W37&amp;AK$4,braves_19_25!$B:$B&amp;braves_19_25!$C:$C,braves_19_25!$R:$R),0)</f>
        <v>0</v>
      </c>
      <c r="AL37" s="19" cm="1">
        <f t="array" ref="AL37">IFERROR(_xlfn.XLOOKUP($W37&amp;AL$4,braves_19_25!$B:$B&amp;braves_19_25!$C:$C,braves_19_25!$R:$R),0)</f>
        <v>0</v>
      </c>
      <c r="AM37" s="24" cm="1">
        <f t="array" ref="AM37">IFERROR(_xlfn.XLOOKUP($W37&amp;AM$4,braves_19_25!$B:$B&amp;braves_19_25!$C:$C,braves_19_25!$R:$R),0)</f>
        <v>0</v>
      </c>
      <c r="AN37" s="27" cm="1">
        <f t="array" ref="AN37">SQRT(
    MMULT(
        MMULT(
            $X37:$AM37,
            $F$5:$U$20
        ),
        TRANSPOSE($X37:$AM37)
    )
)</f>
        <v>0.69850761390206395</v>
      </c>
    </row>
    <row r="38" spans="1:40" x14ac:dyDescent="0.3">
      <c r="A38" t="str">
        <v>Lee, Dylan</v>
      </c>
      <c r="W38" s="14" t="str">
        <v>Wilson, Bryse</v>
      </c>
      <c r="X38" s="19" cm="1">
        <f t="array" ref="X38">IFERROR(_xlfn.XLOOKUP($W38&amp;X$4,braves_19_25!$B:$B&amp;braves_19_25!$C:$C,braves_19_25!$R:$R),0)</f>
        <v>0.50550381033022862</v>
      </c>
      <c r="Y38" s="19" cm="1">
        <f t="array" ref="Y38">IFERROR(_xlfn.XLOOKUP($W38&amp;Y$4,braves_19_25!$B:$B&amp;braves_19_25!$C:$C,braves_19_25!$R:$R),0)</f>
        <v>0.16172734970364097</v>
      </c>
      <c r="Z38" s="19" cm="1">
        <f t="array" ref="Z38">IFERROR(_xlfn.XLOOKUP($W38&amp;Z$4,braves_19_25!$B:$B&amp;braves_19_25!$C:$C,braves_19_25!$R:$R),0)</f>
        <v>9.4834885690093143E-2</v>
      </c>
      <c r="AA38" s="19" cm="1">
        <f t="array" ref="AA38">IFERROR(_xlfn.XLOOKUP($W38&amp;AA$4,braves_19_25!$B:$B&amp;braves_19_25!$C:$C,braves_19_25!$R:$R),0)</f>
        <v>7.7053344623200681E-2</v>
      </c>
      <c r="AB38" s="19" cm="1">
        <f t="array" ref="AB38">IFERROR(_xlfn.XLOOKUP($W38&amp;AB$4,braves_19_25!$B:$B&amp;braves_19_25!$C:$C,braves_19_25!$R:$R),0)</f>
        <v>0</v>
      </c>
      <c r="AC38" s="19" cm="1">
        <f t="array" ref="AC38">IFERROR(_xlfn.XLOOKUP($W38&amp;AC$4,braves_19_25!$B:$B&amp;braves_19_25!$C:$C,braves_19_25!$R:$R),0)</f>
        <v>0</v>
      </c>
      <c r="AD38" s="19" cm="1">
        <f t="array" ref="AD38">IFERROR(_xlfn.XLOOKUP($W38&amp;AD$4,braves_19_25!$B:$B&amp;braves_19_25!$C:$C,braves_19_25!$R:$R),0)</f>
        <v>0.16088060965283657</v>
      </c>
      <c r="AE38" s="19" cm="1">
        <f t="array" ref="AE38">IFERROR(_xlfn.XLOOKUP($W38&amp;AE$4,braves_19_25!$B:$B&amp;braves_19_25!$C:$C,braves_19_25!$R:$R),0)</f>
        <v>0</v>
      </c>
      <c r="AF38" s="19" cm="1">
        <f t="array" ref="AF38">IFERROR(_xlfn.XLOOKUP($W38&amp;AF$4,braves_19_25!$B:$B&amp;braves_19_25!$C:$C,braves_19_25!$R:$R),0)</f>
        <v>0</v>
      </c>
      <c r="AG38" s="19" cm="1">
        <f t="array" ref="AG38">IFERROR(_xlfn.XLOOKUP($W38&amp;AG$4,braves_19_25!$B:$B&amp;braves_19_25!$C:$C,braves_19_25!$R:$R),0)</f>
        <v>0</v>
      </c>
      <c r="AH38" s="19" cm="1">
        <f t="array" ref="AH38">IFERROR(_xlfn.XLOOKUP($W38&amp;AH$4,braves_19_25!$B:$B&amp;braves_19_25!$C:$C,braves_19_25!$R:$R),0)</f>
        <v>0</v>
      </c>
      <c r="AI38" s="19" cm="1">
        <f t="array" ref="AI38">IFERROR(_xlfn.XLOOKUP($W38&amp;AI$4,braves_19_25!$B:$B&amp;braves_19_25!$C:$C,braves_19_25!$R:$R),0)</f>
        <v>0</v>
      </c>
      <c r="AJ38" s="19" cm="1">
        <f t="array" ref="AJ38">IFERROR(_xlfn.XLOOKUP($W38&amp;AJ$4,braves_19_25!$B:$B&amp;braves_19_25!$C:$C,braves_19_25!$R:$R),0)</f>
        <v>0</v>
      </c>
      <c r="AK38" s="19" cm="1">
        <f t="array" ref="AK38">IFERROR(_xlfn.XLOOKUP($W38&amp;AK$4,braves_19_25!$B:$B&amp;braves_19_25!$C:$C,braves_19_25!$R:$R),0)</f>
        <v>0</v>
      </c>
      <c r="AL38" s="19" cm="1">
        <f t="array" ref="AL38">IFERROR(_xlfn.XLOOKUP($W38&amp;AL$4,braves_19_25!$B:$B&amp;braves_19_25!$C:$C,braves_19_25!$R:$R),0)</f>
        <v>0</v>
      </c>
      <c r="AM38" s="24" cm="1">
        <f t="array" ref="AM38">IFERROR(_xlfn.XLOOKUP($W38&amp;AM$4,braves_19_25!$B:$B&amp;braves_19_25!$C:$C,braves_19_25!$R:$R),0)</f>
        <v>0</v>
      </c>
      <c r="AN38" s="27" cm="1">
        <f t="array" ref="AN38">SQRT(
    MMULT(
        MMULT(
            $X38:$AM38,
            $F$5:$U$20
        ),
        TRANSPOSE($X38:$AM38)
    )
)</f>
        <v>0.66102843360781882</v>
      </c>
    </row>
    <row r="39" spans="1:40" x14ac:dyDescent="0.3">
      <c r="A39" t="str">
        <v>Holmes, Grant</v>
      </c>
      <c r="W39" s="14" t="str">
        <v>Wentz, Joey</v>
      </c>
      <c r="X39" s="19" cm="1">
        <f t="array" ref="X39">IFERROR(_xlfn.XLOOKUP($W39&amp;X$4,braves_19_25!$B:$B&amp;braves_19_25!$C:$C,braves_19_25!$R:$R),0)</f>
        <v>0.41652323580034423</v>
      </c>
      <c r="Y39" s="19" cm="1">
        <f t="array" ref="Y39">IFERROR(_xlfn.XLOOKUP($W39&amp;Y$4,braves_19_25!$B:$B&amp;braves_19_25!$C:$C,braves_19_25!$R:$R),0)</f>
        <v>0</v>
      </c>
      <c r="Z39" s="19" cm="1">
        <f t="array" ref="Z39">IFERROR(_xlfn.XLOOKUP($W39&amp;Z$4,braves_19_25!$B:$B&amp;braves_19_25!$C:$C,braves_19_25!$R:$R),0)</f>
        <v>0.35197934595524955</v>
      </c>
      <c r="AA39" s="19" cm="1">
        <f t="array" ref="AA39">IFERROR(_xlfn.XLOOKUP($W39&amp;AA$4,braves_19_25!$B:$B&amp;braves_19_25!$C:$C,braves_19_25!$R:$R),0)</f>
        <v>0.18416523235800344</v>
      </c>
      <c r="AB39" s="19" cm="1">
        <f t="array" ref="AB39">IFERROR(_xlfn.XLOOKUP($W39&amp;AB$4,braves_19_25!$B:$B&amp;braves_19_25!$C:$C,braves_19_25!$R:$R),0)</f>
        <v>0</v>
      </c>
      <c r="AC39" s="19" cm="1">
        <f t="array" ref="AC39">IFERROR(_xlfn.XLOOKUP($W39&amp;AC$4,braves_19_25!$B:$B&amp;braves_19_25!$C:$C,braves_19_25!$R:$R),0)</f>
        <v>0</v>
      </c>
      <c r="AD39" s="19" cm="1">
        <f t="array" ref="AD39">IFERROR(_xlfn.XLOOKUP($W39&amp;AD$4,braves_19_25!$B:$B&amp;braves_19_25!$C:$C,braves_19_25!$R:$R),0)</f>
        <v>4.7332185886402756E-2</v>
      </c>
      <c r="AE39" s="19" cm="1">
        <f t="array" ref="AE39">IFERROR(_xlfn.XLOOKUP($W39&amp;AE$4,braves_19_25!$B:$B&amp;braves_19_25!$C:$C,braves_19_25!$R:$R),0)</f>
        <v>0</v>
      </c>
      <c r="AF39" s="19" cm="1">
        <f t="array" ref="AF39">IFERROR(_xlfn.XLOOKUP($W39&amp;AF$4,braves_19_25!$B:$B&amp;braves_19_25!$C:$C,braves_19_25!$R:$R),0)</f>
        <v>0</v>
      </c>
      <c r="AG39" s="19" cm="1">
        <f t="array" ref="AG39">IFERROR(_xlfn.XLOOKUP($W39&amp;AG$4,braves_19_25!$B:$B&amp;braves_19_25!$C:$C,braves_19_25!$R:$R),0)</f>
        <v>0</v>
      </c>
      <c r="AH39" s="19" cm="1">
        <f t="array" ref="AH39">IFERROR(_xlfn.XLOOKUP($W39&amp;AH$4,braves_19_25!$B:$B&amp;braves_19_25!$C:$C,braves_19_25!$R:$R),0)</f>
        <v>0</v>
      </c>
      <c r="AI39" s="19" cm="1">
        <f t="array" ref="AI39">IFERROR(_xlfn.XLOOKUP($W39&amp;AI$4,braves_19_25!$B:$B&amp;braves_19_25!$C:$C,braves_19_25!$R:$R),0)</f>
        <v>0</v>
      </c>
      <c r="AJ39" s="19" cm="1">
        <f t="array" ref="AJ39">IFERROR(_xlfn.XLOOKUP($W39&amp;AJ$4,braves_19_25!$B:$B&amp;braves_19_25!$C:$C,braves_19_25!$R:$R),0)</f>
        <v>0</v>
      </c>
      <c r="AK39" s="19" cm="1">
        <f t="array" ref="AK39">IFERROR(_xlfn.XLOOKUP($W39&amp;AK$4,braves_19_25!$B:$B&amp;braves_19_25!$C:$C,braves_19_25!$R:$R),0)</f>
        <v>0</v>
      </c>
      <c r="AL39" s="19" cm="1">
        <f t="array" ref="AL39">IFERROR(_xlfn.XLOOKUP($W39&amp;AL$4,braves_19_25!$B:$B&amp;braves_19_25!$C:$C,braves_19_25!$R:$R),0)</f>
        <v>0</v>
      </c>
      <c r="AM39" s="24" cm="1">
        <f t="array" ref="AM39">IFERROR(_xlfn.XLOOKUP($W39&amp;AM$4,braves_19_25!$B:$B&amp;braves_19_25!$C:$C,braves_19_25!$R:$R),0)</f>
        <v>0</v>
      </c>
      <c r="AN39" s="27" cm="1">
        <f t="array" ref="AN39">SQRT(
    MMULT(
        MMULT(
            $X39:$AM39,
            $F$5:$U$20
        ),
        TRANSPOSE($X39:$AM39)
    )
)</f>
        <v>0.5775276916052916</v>
      </c>
    </row>
    <row r="40" spans="1:40" x14ac:dyDescent="0.3">
      <c r="A40" t="str">
        <v>Tomlin, Josh</v>
      </c>
      <c r="W40" s="14" t="str">
        <v>Dodd, Dylan</v>
      </c>
      <c r="X40" s="19" cm="1">
        <f t="array" ref="X40">IFERROR(_xlfn.XLOOKUP($W40&amp;X$4,braves_19_25!$B:$B&amp;braves_19_25!$C:$C,braves_19_25!$R:$R),0)</f>
        <v>0.25659050966608082</v>
      </c>
      <c r="Y40" s="19" cm="1">
        <f t="array" ref="Y40">IFERROR(_xlfn.XLOOKUP($W40&amp;Y$4,braves_19_25!$B:$B&amp;braves_19_25!$C:$C,braves_19_25!$R:$R),0)</f>
        <v>0.16608084358523725</v>
      </c>
      <c r="Z40" s="19" cm="1">
        <f t="array" ref="Z40">IFERROR(_xlfn.XLOOKUP($W40&amp;Z$4,braves_19_25!$B:$B&amp;braves_19_25!$C:$C,braves_19_25!$R:$R),0)</f>
        <v>0.18892794376098418</v>
      </c>
      <c r="AA40" s="19" cm="1">
        <f t="array" ref="AA40">IFERROR(_xlfn.XLOOKUP($W40&amp;AA$4,braves_19_25!$B:$B&amp;braves_19_25!$C:$C,braves_19_25!$R:$R),0)</f>
        <v>0</v>
      </c>
      <c r="AB40" s="19" cm="1">
        <f t="array" ref="AB40">IFERROR(_xlfn.XLOOKUP($W40&amp;AB$4,braves_19_25!$B:$B&amp;braves_19_25!$C:$C,braves_19_25!$R:$R),0)</f>
        <v>0</v>
      </c>
      <c r="AC40" s="19" cm="1">
        <f t="array" ref="AC40">IFERROR(_xlfn.XLOOKUP($W40&amp;AC$4,braves_19_25!$B:$B&amp;braves_19_25!$C:$C,braves_19_25!$R:$R),0)</f>
        <v>0.28383128295254834</v>
      </c>
      <c r="AD40" s="19" cm="1">
        <f t="array" ref="AD40">IFERROR(_xlfn.XLOOKUP($W40&amp;AD$4,braves_19_25!$B:$B&amp;braves_19_25!$C:$C,braves_19_25!$R:$R),0)</f>
        <v>0.10456942003514938</v>
      </c>
      <c r="AE40" s="19" cm="1">
        <f t="array" ref="AE40">IFERROR(_xlfn.XLOOKUP($W40&amp;AE$4,braves_19_25!$B:$B&amp;braves_19_25!$C:$C,braves_19_25!$R:$R),0)</f>
        <v>0</v>
      </c>
      <c r="AF40" s="19" cm="1">
        <f t="array" ref="AF40">IFERROR(_xlfn.XLOOKUP($W40&amp;AF$4,braves_19_25!$B:$B&amp;braves_19_25!$C:$C,braves_19_25!$R:$R),0)</f>
        <v>0</v>
      </c>
      <c r="AG40" s="19" cm="1">
        <f t="array" ref="AG40">IFERROR(_xlfn.XLOOKUP($W40&amp;AG$4,braves_19_25!$B:$B&amp;braves_19_25!$C:$C,braves_19_25!$R:$R),0)</f>
        <v>0</v>
      </c>
      <c r="AH40" s="19" cm="1">
        <f t="array" ref="AH40">IFERROR(_xlfn.XLOOKUP($W40&amp;AH$4,braves_19_25!$B:$B&amp;braves_19_25!$C:$C,braves_19_25!$R:$R),0)</f>
        <v>0</v>
      </c>
      <c r="AI40" s="19" cm="1">
        <f t="array" ref="AI40">IFERROR(_xlfn.XLOOKUP($W40&amp;AI$4,braves_19_25!$B:$B&amp;braves_19_25!$C:$C,braves_19_25!$R:$R),0)</f>
        <v>0</v>
      </c>
      <c r="AJ40" s="19" cm="1">
        <f t="array" ref="AJ40">IFERROR(_xlfn.XLOOKUP($W40&amp;AJ$4,braves_19_25!$B:$B&amp;braves_19_25!$C:$C,braves_19_25!$R:$R),0)</f>
        <v>0</v>
      </c>
      <c r="AK40" s="19" cm="1">
        <f t="array" ref="AK40">IFERROR(_xlfn.XLOOKUP($W40&amp;AK$4,braves_19_25!$B:$B&amp;braves_19_25!$C:$C,braves_19_25!$R:$R),0)</f>
        <v>0</v>
      </c>
      <c r="AL40" s="19" cm="1">
        <f t="array" ref="AL40">IFERROR(_xlfn.XLOOKUP($W40&amp;AL$4,braves_19_25!$B:$B&amp;braves_19_25!$C:$C,braves_19_25!$R:$R),0)</f>
        <v>0</v>
      </c>
      <c r="AM40" s="24" cm="1">
        <f t="array" ref="AM40">IFERROR(_xlfn.XLOOKUP($W40&amp;AM$4,braves_19_25!$B:$B&amp;braves_19_25!$C:$C,braves_19_25!$R:$R),0)</f>
        <v>0</v>
      </c>
      <c r="AN40" s="27" cm="1">
        <f t="array" ref="AN40">SQRT(
    MMULT(
        MMULT(
            $X40:$AM40,
            $F$5:$U$20
        ),
        TRANSPOSE($X40:$AM40)
    )
)</f>
        <v>0.66949625394478629</v>
      </c>
    </row>
    <row r="41" spans="1:40" x14ac:dyDescent="0.3">
      <c r="A41" t="str">
        <v>Matzek, Tyler</v>
      </c>
      <c r="W41" s="14" t="str">
        <v>Hernández, Daysbel</v>
      </c>
      <c r="X41" s="19" cm="1">
        <f t="array" ref="X41">IFERROR(_xlfn.XLOOKUP($W41&amp;X$4,braves_19_25!$B:$B&amp;braves_19_25!$C:$C,braves_19_25!$R:$R),0)</f>
        <v>0.44247787610619471</v>
      </c>
      <c r="Y41" s="19" cm="1">
        <f t="array" ref="Y41">IFERROR(_xlfn.XLOOKUP($W41&amp;Y$4,braves_19_25!$B:$B&amp;braves_19_25!$C:$C,braves_19_25!$R:$R),0)</f>
        <v>5.3097345132743362E-3</v>
      </c>
      <c r="Z41" s="19" cm="1">
        <f t="array" ref="Z41">IFERROR(_xlfn.XLOOKUP($W41&amp;Z$4,braves_19_25!$B:$B&amp;braves_19_25!$C:$C,braves_19_25!$R:$R),0)</f>
        <v>0.55221238938053097</v>
      </c>
      <c r="AA41" s="19" cm="1">
        <f t="array" ref="AA41">IFERROR(_xlfn.XLOOKUP($W41&amp;AA$4,braves_19_25!$B:$B&amp;braves_19_25!$C:$C,braves_19_25!$R:$R),0)</f>
        <v>0</v>
      </c>
      <c r="AB41" s="19" cm="1">
        <f t="array" ref="AB41">IFERROR(_xlfn.XLOOKUP($W41&amp;AB$4,braves_19_25!$B:$B&amp;braves_19_25!$C:$C,braves_19_25!$R:$R),0)</f>
        <v>0</v>
      </c>
      <c r="AC41" s="19" cm="1">
        <f t="array" ref="AC41">IFERROR(_xlfn.XLOOKUP($W41&amp;AC$4,braves_19_25!$B:$B&amp;braves_19_25!$C:$C,braves_19_25!$R:$R),0)</f>
        <v>0</v>
      </c>
      <c r="AD41" s="19" cm="1">
        <f t="array" ref="AD41">IFERROR(_xlfn.XLOOKUP($W41&amp;AD$4,braves_19_25!$B:$B&amp;braves_19_25!$C:$C,braves_19_25!$R:$R),0)</f>
        <v>0</v>
      </c>
      <c r="AE41" s="19" cm="1">
        <f t="array" ref="AE41">IFERROR(_xlfn.XLOOKUP($W41&amp;AE$4,braves_19_25!$B:$B&amp;braves_19_25!$C:$C,braves_19_25!$R:$R),0)</f>
        <v>0</v>
      </c>
      <c r="AF41" s="19" cm="1">
        <f t="array" ref="AF41">IFERROR(_xlfn.XLOOKUP($W41&amp;AF$4,braves_19_25!$B:$B&amp;braves_19_25!$C:$C,braves_19_25!$R:$R),0)</f>
        <v>0</v>
      </c>
      <c r="AG41" s="19" cm="1">
        <f t="array" ref="AG41">IFERROR(_xlfn.XLOOKUP($W41&amp;AG$4,braves_19_25!$B:$B&amp;braves_19_25!$C:$C,braves_19_25!$R:$R),0)</f>
        <v>0</v>
      </c>
      <c r="AH41" s="19" cm="1">
        <f t="array" ref="AH41">IFERROR(_xlfn.XLOOKUP($W41&amp;AH$4,braves_19_25!$B:$B&amp;braves_19_25!$C:$C,braves_19_25!$R:$R),0)</f>
        <v>0</v>
      </c>
      <c r="AI41" s="19" cm="1">
        <f t="array" ref="AI41">IFERROR(_xlfn.XLOOKUP($W41&amp;AI$4,braves_19_25!$B:$B&amp;braves_19_25!$C:$C,braves_19_25!$R:$R),0)</f>
        <v>0</v>
      </c>
      <c r="AJ41" s="19" cm="1">
        <f t="array" ref="AJ41">IFERROR(_xlfn.XLOOKUP($W41&amp;AJ$4,braves_19_25!$B:$B&amp;braves_19_25!$C:$C,braves_19_25!$R:$R),0)</f>
        <v>0</v>
      </c>
      <c r="AK41" s="19" cm="1">
        <f t="array" ref="AK41">IFERROR(_xlfn.XLOOKUP($W41&amp;AK$4,braves_19_25!$B:$B&amp;braves_19_25!$C:$C,braves_19_25!$R:$R),0)</f>
        <v>0</v>
      </c>
      <c r="AL41" s="19" cm="1">
        <f t="array" ref="AL41">IFERROR(_xlfn.XLOOKUP($W41&amp;AL$4,braves_19_25!$B:$B&amp;braves_19_25!$C:$C,braves_19_25!$R:$R),0)</f>
        <v>0</v>
      </c>
      <c r="AM41" s="24" cm="1">
        <f t="array" ref="AM41">IFERROR(_xlfn.XLOOKUP($W41&amp;AM$4,braves_19_25!$B:$B&amp;braves_19_25!$C:$C,braves_19_25!$R:$R),0)</f>
        <v>0</v>
      </c>
      <c r="AN41" s="27" cm="1">
        <f t="array" ref="AN41">SQRT(
    MMULT(
        MMULT(
            $X41:$AM41,
            $F$5:$U$20
        ),
        TRANSPOSE($X41:$AM41)
    )
)</f>
        <v>0.70995957855329728</v>
      </c>
    </row>
    <row r="42" spans="1:40" x14ac:dyDescent="0.3">
      <c r="A42" t="str">
        <v>Newcomb, Sean</v>
      </c>
      <c r="W42" s="14" t="str">
        <v>Greene, Shane</v>
      </c>
      <c r="X42" s="19" cm="1">
        <f t="array" ref="X42">IFERROR(_xlfn.XLOOKUP($W42&amp;X$4,braves_19_25!$B:$B&amp;braves_19_25!$C:$C,braves_19_25!$R:$R),0)</f>
        <v>1.1648745519713262E-2</v>
      </c>
      <c r="Y42" s="19" cm="1">
        <f t="array" ref="Y42">IFERROR(_xlfn.XLOOKUP($W42&amp;Y$4,braves_19_25!$B:$B&amp;braves_19_25!$C:$C,braves_19_25!$R:$R),0)</f>
        <v>0.39874551971326166</v>
      </c>
      <c r="Z42" s="19" cm="1">
        <f t="array" ref="Z42">IFERROR(_xlfn.XLOOKUP($W42&amp;Z$4,braves_19_25!$B:$B&amp;braves_19_25!$C:$C,braves_19_25!$R:$R),0)</f>
        <v>0</v>
      </c>
      <c r="AA42" s="19" cm="1">
        <f t="array" ref="AA42">IFERROR(_xlfn.XLOOKUP($W42&amp;AA$4,braves_19_25!$B:$B&amp;braves_19_25!$C:$C,braves_19_25!$R:$R),0)</f>
        <v>0</v>
      </c>
      <c r="AB42" s="19" cm="1">
        <f t="array" ref="AB42">IFERROR(_xlfn.XLOOKUP($W42&amp;AB$4,braves_19_25!$B:$B&amp;braves_19_25!$C:$C,braves_19_25!$R:$R),0)</f>
        <v>0</v>
      </c>
      <c r="AC42" s="19" cm="1">
        <f t="array" ref="AC42">IFERROR(_xlfn.XLOOKUP($W42&amp;AC$4,braves_19_25!$B:$B&amp;braves_19_25!$C:$C,braves_19_25!$R:$R),0)</f>
        <v>0.29121863799283154</v>
      </c>
      <c r="AD42" s="19" cm="1">
        <f t="array" ref="AD42">IFERROR(_xlfn.XLOOKUP($W42&amp;AD$4,braves_19_25!$B:$B&amp;braves_19_25!$C:$C,braves_19_25!$R:$R),0)</f>
        <v>6.2724014336917558E-2</v>
      </c>
      <c r="AE42" s="19" cm="1">
        <f t="array" ref="AE42">IFERROR(_xlfn.XLOOKUP($W42&amp;AE$4,braves_19_25!$B:$B&amp;braves_19_25!$C:$C,braves_19_25!$R:$R),0)</f>
        <v>0.23566308243727599</v>
      </c>
      <c r="AF42" s="19" cm="1">
        <f t="array" ref="AF42">IFERROR(_xlfn.XLOOKUP($W42&amp;AF$4,braves_19_25!$B:$B&amp;braves_19_25!$C:$C,braves_19_25!$R:$R),0)</f>
        <v>0</v>
      </c>
      <c r="AG42" s="19" cm="1">
        <f t="array" ref="AG42">IFERROR(_xlfn.XLOOKUP($W42&amp;AG$4,braves_19_25!$B:$B&amp;braves_19_25!$C:$C,braves_19_25!$R:$R),0)</f>
        <v>0</v>
      </c>
      <c r="AH42" s="19" cm="1">
        <f t="array" ref="AH42">IFERROR(_xlfn.XLOOKUP($W42&amp;AH$4,braves_19_25!$B:$B&amp;braves_19_25!$C:$C,braves_19_25!$R:$R),0)</f>
        <v>0</v>
      </c>
      <c r="AI42" s="19" cm="1">
        <f t="array" ref="AI42">IFERROR(_xlfn.XLOOKUP($W42&amp;AI$4,braves_19_25!$B:$B&amp;braves_19_25!$C:$C,braves_19_25!$R:$R),0)</f>
        <v>0</v>
      </c>
      <c r="AJ42" s="19" cm="1">
        <f t="array" ref="AJ42">IFERROR(_xlfn.XLOOKUP($W42&amp;AJ$4,braves_19_25!$B:$B&amp;braves_19_25!$C:$C,braves_19_25!$R:$R),0)</f>
        <v>0</v>
      </c>
      <c r="AK42" s="19" cm="1">
        <f t="array" ref="AK42">IFERROR(_xlfn.XLOOKUP($W42&amp;AK$4,braves_19_25!$B:$B&amp;braves_19_25!$C:$C,braves_19_25!$R:$R),0)</f>
        <v>0</v>
      </c>
      <c r="AL42" s="19" cm="1">
        <f t="array" ref="AL42">IFERROR(_xlfn.XLOOKUP($W42&amp;AL$4,braves_19_25!$B:$B&amp;braves_19_25!$C:$C,braves_19_25!$R:$R),0)</f>
        <v>0</v>
      </c>
      <c r="AM42" s="24" cm="1">
        <f t="array" ref="AM42">IFERROR(_xlfn.XLOOKUP($W42&amp;AM$4,braves_19_25!$B:$B&amp;braves_19_25!$C:$C,braves_19_25!$R:$R),0)</f>
        <v>0</v>
      </c>
      <c r="AN42" s="27" cm="1">
        <f t="array" ref="AN42">SQRT(
    MMULT(
        MMULT(
            $X42:$AM42,
            $F$5:$U$20
        ),
        TRANSPOSE($X42:$AM42)
    )
)</f>
        <v>0.69082302360505621</v>
      </c>
    </row>
    <row r="43" spans="1:40" x14ac:dyDescent="0.3">
      <c r="A43" t="str">
        <v>Johnson, Pierce</v>
      </c>
      <c r="W43" s="14" t="str">
        <v>Webb, Jacob</v>
      </c>
      <c r="X43" s="19" cm="1">
        <f t="array" ref="X43">IFERROR(_xlfn.XLOOKUP($W43&amp;X$4,braves_19_25!$B:$B&amp;braves_19_25!$C:$C,braves_19_25!$R:$R),0)</f>
        <v>0.59176029962546817</v>
      </c>
      <c r="Y43" s="19" cm="1">
        <f t="array" ref="Y43">IFERROR(_xlfn.XLOOKUP($W43&amp;Y$4,braves_19_25!$B:$B&amp;braves_19_25!$C:$C,braves_19_25!$R:$R),0)</f>
        <v>0</v>
      </c>
      <c r="Z43" s="19" cm="1">
        <f t="array" ref="Z43">IFERROR(_xlfn.XLOOKUP($W43&amp;Z$4,braves_19_25!$B:$B&amp;braves_19_25!$C:$C,braves_19_25!$R:$R),0)</f>
        <v>0</v>
      </c>
      <c r="AA43" s="19" cm="1">
        <f t="array" ref="AA43">IFERROR(_xlfn.XLOOKUP($W43&amp;AA$4,braves_19_25!$B:$B&amp;braves_19_25!$C:$C,braves_19_25!$R:$R),0)</f>
        <v>4.9625468164794011E-2</v>
      </c>
      <c r="AB43" s="19" cm="1">
        <f t="array" ref="AB43">IFERROR(_xlfn.XLOOKUP($W43&amp;AB$4,braves_19_25!$B:$B&amp;braves_19_25!$C:$C,braves_19_25!$R:$R),0)</f>
        <v>0</v>
      </c>
      <c r="AC43" s="19" cm="1">
        <f t="array" ref="AC43">IFERROR(_xlfn.XLOOKUP($W43&amp;AC$4,braves_19_25!$B:$B&amp;braves_19_25!$C:$C,braves_19_25!$R:$R),0)</f>
        <v>0</v>
      </c>
      <c r="AD43" s="19" cm="1">
        <f t="array" ref="AD43">IFERROR(_xlfn.XLOOKUP($W43&amp;AD$4,braves_19_25!$B:$B&amp;braves_19_25!$C:$C,braves_19_25!$R:$R),0)</f>
        <v>0.35861423220973782</v>
      </c>
      <c r="AE43" s="19" cm="1">
        <f t="array" ref="AE43">IFERROR(_xlfn.XLOOKUP($W43&amp;AE$4,braves_19_25!$B:$B&amp;braves_19_25!$C:$C,braves_19_25!$R:$R),0)</f>
        <v>0</v>
      </c>
      <c r="AF43" s="19" cm="1">
        <f t="array" ref="AF43">IFERROR(_xlfn.XLOOKUP($W43&amp;AF$4,braves_19_25!$B:$B&amp;braves_19_25!$C:$C,braves_19_25!$R:$R),0)</f>
        <v>0</v>
      </c>
      <c r="AG43" s="19" cm="1">
        <f t="array" ref="AG43">IFERROR(_xlfn.XLOOKUP($W43&amp;AG$4,braves_19_25!$B:$B&amp;braves_19_25!$C:$C,braves_19_25!$R:$R),0)</f>
        <v>0</v>
      </c>
      <c r="AH43" s="19" cm="1">
        <f t="array" ref="AH43">IFERROR(_xlfn.XLOOKUP($W43&amp;AH$4,braves_19_25!$B:$B&amp;braves_19_25!$C:$C,braves_19_25!$R:$R),0)</f>
        <v>0</v>
      </c>
      <c r="AI43" s="19" cm="1">
        <f t="array" ref="AI43">IFERROR(_xlfn.XLOOKUP($W43&amp;AI$4,braves_19_25!$B:$B&amp;braves_19_25!$C:$C,braves_19_25!$R:$R),0)</f>
        <v>0</v>
      </c>
      <c r="AJ43" s="19" cm="1">
        <f t="array" ref="AJ43">IFERROR(_xlfn.XLOOKUP($W43&amp;AJ$4,braves_19_25!$B:$B&amp;braves_19_25!$C:$C,braves_19_25!$R:$R),0)</f>
        <v>0</v>
      </c>
      <c r="AK43" s="19" cm="1">
        <f t="array" ref="AK43">IFERROR(_xlfn.XLOOKUP($W43&amp;AK$4,braves_19_25!$B:$B&amp;braves_19_25!$C:$C,braves_19_25!$R:$R),0)</f>
        <v>0</v>
      </c>
      <c r="AL43" s="19" cm="1">
        <f t="array" ref="AL43">IFERROR(_xlfn.XLOOKUP($W43&amp;AL$4,braves_19_25!$B:$B&amp;braves_19_25!$C:$C,braves_19_25!$R:$R),0)</f>
        <v>0</v>
      </c>
      <c r="AM43" s="24" cm="1">
        <f t="array" ref="AM43">IFERROR(_xlfn.XLOOKUP($W43&amp;AM$4,braves_19_25!$B:$B&amp;braves_19_25!$C:$C,braves_19_25!$R:$R),0)</f>
        <v>0</v>
      </c>
      <c r="AN43" s="27" cm="1">
        <f t="array" ref="AN43">SQRT(
    MMULT(
        MMULT(
            $X43:$AM43,
            $F$5:$U$20
        ),
        TRANSPOSE($X43:$AM43)
    )
)</f>
        <v>0.69371976103234845</v>
      </c>
    </row>
    <row r="44" spans="1:40" x14ac:dyDescent="0.3">
      <c r="A44" t="str">
        <v>López, Reynaldo</v>
      </c>
      <c r="W44" s="14" t="str">
        <v>Jansen, Kenley</v>
      </c>
      <c r="X44" s="19" cm="1">
        <f t="array" ref="X44">IFERROR(_xlfn.XLOOKUP($W44&amp;X$4,braves_19_25!$B:$B&amp;braves_19_25!$C:$C,braves_19_25!$R:$R),0)</f>
        <v>0</v>
      </c>
      <c r="Y44" s="19" cm="1">
        <f t="array" ref="Y44">IFERROR(_xlfn.XLOOKUP($W44&amp;Y$4,braves_19_25!$B:$B&amp;braves_19_25!$C:$C,braves_19_25!$R:$R),0)</f>
        <v>0.21868787276341947</v>
      </c>
      <c r="Z44" s="19" cm="1">
        <f t="array" ref="Z44">IFERROR(_xlfn.XLOOKUP($W44&amp;Z$4,braves_19_25!$B:$B&amp;braves_19_25!$C:$C,braves_19_25!$R:$R),0)</f>
        <v>0.1312127236580517</v>
      </c>
      <c r="AA44" s="19" cm="1">
        <f t="array" ref="AA44">IFERROR(_xlfn.XLOOKUP($W44&amp;AA$4,braves_19_25!$B:$B&amp;braves_19_25!$C:$C,braves_19_25!$R:$R),0)</f>
        <v>0</v>
      </c>
      <c r="AB44" s="19" cm="1">
        <f t="array" ref="AB44">IFERROR(_xlfn.XLOOKUP($W44&amp;AB$4,braves_19_25!$B:$B&amp;braves_19_25!$C:$C,braves_19_25!$R:$R),0)</f>
        <v>0</v>
      </c>
      <c r="AC44" s="19" cm="1">
        <f t="array" ref="AC44">IFERROR(_xlfn.XLOOKUP($W44&amp;AC$4,braves_19_25!$B:$B&amp;braves_19_25!$C:$C,braves_19_25!$R:$R),0)</f>
        <v>0.6500994035785288</v>
      </c>
      <c r="AD44" s="19" cm="1">
        <f t="array" ref="AD44">IFERROR(_xlfn.XLOOKUP($W44&amp;AD$4,braves_19_25!$B:$B&amp;braves_19_25!$C:$C,braves_19_25!$R:$R),0)</f>
        <v>0</v>
      </c>
      <c r="AE44" s="19" cm="1">
        <f t="array" ref="AE44">IFERROR(_xlfn.XLOOKUP($W44&amp;AE$4,braves_19_25!$B:$B&amp;braves_19_25!$C:$C,braves_19_25!$R:$R),0)</f>
        <v>0</v>
      </c>
      <c r="AF44" s="19" cm="1">
        <f t="array" ref="AF44">IFERROR(_xlfn.XLOOKUP($W44&amp;AF$4,braves_19_25!$B:$B&amp;braves_19_25!$C:$C,braves_19_25!$R:$R),0)</f>
        <v>0</v>
      </c>
      <c r="AG44" s="19" cm="1">
        <f t="array" ref="AG44">IFERROR(_xlfn.XLOOKUP($W44&amp;AG$4,braves_19_25!$B:$B&amp;braves_19_25!$C:$C,braves_19_25!$R:$R),0)</f>
        <v>0</v>
      </c>
      <c r="AH44" s="19" cm="1">
        <f t="array" ref="AH44">IFERROR(_xlfn.XLOOKUP($W44&amp;AH$4,braves_19_25!$B:$B&amp;braves_19_25!$C:$C,braves_19_25!$R:$R),0)</f>
        <v>0</v>
      </c>
      <c r="AI44" s="19" cm="1">
        <f t="array" ref="AI44">IFERROR(_xlfn.XLOOKUP($W44&amp;AI$4,braves_19_25!$B:$B&amp;braves_19_25!$C:$C,braves_19_25!$R:$R),0)</f>
        <v>0</v>
      </c>
      <c r="AJ44" s="19" cm="1">
        <f t="array" ref="AJ44">IFERROR(_xlfn.XLOOKUP($W44&amp;AJ$4,braves_19_25!$B:$B&amp;braves_19_25!$C:$C,braves_19_25!$R:$R),0)</f>
        <v>0</v>
      </c>
      <c r="AK44" s="19" cm="1">
        <f t="array" ref="AK44">IFERROR(_xlfn.XLOOKUP($W44&amp;AK$4,braves_19_25!$B:$B&amp;braves_19_25!$C:$C,braves_19_25!$R:$R),0)</f>
        <v>0</v>
      </c>
      <c r="AL44" s="19" cm="1">
        <f t="array" ref="AL44">IFERROR(_xlfn.XLOOKUP($W44&amp;AL$4,braves_19_25!$B:$B&amp;braves_19_25!$C:$C,braves_19_25!$R:$R),0)</f>
        <v>0</v>
      </c>
      <c r="AM44" s="24" cm="1">
        <f t="array" ref="AM44">IFERROR(_xlfn.XLOOKUP($W44&amp;AM$4,braves_19_25!$B:$B&amp;braves_19_25!$C:$C,braves_19_25!$R:$R),0)</f>
        <v>0</v>
      </c>
      <c r="AN44" s="27" cm="1">
        <f t="array" ref="AN44">SQRT(
    MMULT(
        MMULT(
            $X44:$AM44,
            $F$5:$U$20
        ),
        TRANSPOSE($X44:$AM44)
    )
)</f>
        <v>0.82867774013268347</v>
      </c>
    </row>
    <row r="45" spans="1:40" x14ac:dyDescent="0.3">
      <c r="A45" t="str">
        <v>Smyly, Drew</v>
      </c>
      <c r="W45" s="14" t="str">
        <v>Waldrep, Hurston</v>
      </c>
      <c r="X45" s="19" cm="1">
        <f t="array" ref="X45">IFERROR(_xlfn.XLOOKUP($W45&amp;X$4,braves_19_25!$B:$B&amp;braves_19_25!$C:$C,braves_19_25!$R:$R),0)</f>
        <v>7.3366834170854267E-2</v>
      </c>
      <c r="Y45" s="19" cm="1">
        <f t="array" ref="Y45">IFERROR(_xlfn.XLOOKUP($W45&amp;Y$4,braves_19_25!$B:$B&amp;braves_19_25!$C:$C,braves_19_25!$R:$R),0)</f>
        <v>0.16281407035175879</v>
      </c>
      <c r="Z45" s="19" cm="1">
        <f t="array" ref="Z45">IFERROR(_xlfn.XLOOKUP($W45&amp;Z$4,braves_19_25!$B:$B&amp;braves_19_25!$C:$C,braves_19_25!$R:$R),0)</f>
        <v>0.1306532663316583</v>
      </c>
      <c r="AA45" s="19" cm="1">
        <f t="array" ref="AA45">IFERROR(_xlfn.XLOOKUP($W45&amp;AA$4,braves_19_25!$B:$B&amp;braves_19_25!$C:$C,braves_19_25!$R:$R),0)</f>
        <v>0.1185929648241206</v>
      </c>
      <c r="AB45" s="19" cm="1">
        <f t="array" ref="AB45">IFERROR(_xlfn.XLOOKUP($W45&amp;AB$4,braves_19_25!$B:$B&amp;braves_19_25!$C:$C,braves_19_25!$R:$R),0)</f>
        <v>0.32562814070351759</v>
      </c>
      <c r="AC45" s="19" cm="1">
        <f t="array" ref="AC45">IFERROR(_xlfn.XLOOKUP($W45&amp;AC$4,braves_19_25!$B:$B&amp;braves_19_25!$C:$C,braves_19_25!$R:$R),0)</f>
        <v>0.18894472361809045</v>
      </c>
      <c r="AD45" s="19" cm="1">
        <f t="array" ref="AD45">IFERROR(_xlfn.XLOOKUP($W45&amp;AD$4,braves_19_25!$B:$B&amp;braves_19_25!$C:$C,braves_19_25!$R:$R),0)</f>
        <v>0</v>
      </c>
      <c r="AE45" s="19" cm="1">
        <f t="array" ref="AE45">IFERROR(_xlfn.XLOOKUP($W45&amp;AE$4,braves_19_25!$B:$B&amp;braves_19_25!$C:$C,braves_19_25!$R:$R),0)</f>
        <v>0</v>
      </c>
      <c r="AF45" s="19" cm="1">
        <f t="array" ref="AF45">IFERROR(_xlfn.XLOOKUP($W45&amp;AF$4,braves_19_25!$B:$B&amp;braves_19_25!$C:$C,braves_19_25!$R:$R),0)</f>
        <v>0</v>
      </c>
      <c r="AG45" s="19" cm="1">
        <f t="array" ref="AG45">IFERROR(_xlfn.XLOOKUP($W45&amp;AG$4,braves_19_25!$B:$B&amp;braves_19_25!$C:$C,braves_19_25!$R:$R),0)</f>
        <v>0</v>
      </c>
      <c r="AH45" s="19" cm="1">
        <f t="array" ref="AH45">IFERROR(_xlfn.XLOOKUP($W45&amp;AH$4,braves_19_25!$B:$B&amp;braves_19_25!$C:$C,braves_19_25!$R:$R),0)</f>
        <v>0</v>
      </c>
      <c r="AI45" s="19" cm="1">
        <f t="array" ref="AI45">IFERROR(_xlfn.XLOOKUP($W45&amp;AI$4,braves_19_25!$B:$B&amp;braves_19_25!$C:$C,braves_19_25!$R:$R),0)</f>
        <v>0</v>
      </c>
      <c r="AJ45" s="19" cm="1">
        <f t="array" ref="AJ45">IFERROR(_xlfn.XLOOKUP($W45&amp;AJ$4,braves_19_25!$B:$B&amp;braves_19_25!$C:$C,braves_19_25!$R:$R),0)</f>
        <v>0</v>
      </c>
      <c r="AK45" s="19" cm="1">
        <f t="array" ref="AK45">IFERROR(_xlfn.XLOOKUP($W45&amp;AK$4,braves_19_25!$B:$B&amp;braves_19_25!$C:$C,braves_19_25!$R:$R),0)</f>
        <v>0</v>
      </c>
      <c r="AL45" s="19" cm="1">
        <f t="array" ref="AL45">IFERROR(_xlfn.XLOOKUP($W45&amp;AL$4,braves_19_25!$B:$B&amp;braves_19_25!$C:$C,braves_19_25!$R:$R),0)</f>
        <v>0</v>
      </c>
      <c r="AM45" s="24" cm="1">
        <f t="array" ref="AM45">IFERROR(_xlfn.XLOOKUP($W45&amp;AM$4,braves_19_25!$B:$B&amp;braves_19_25!$C:$C,braves_19_25!$R:$R),0)</f>
        <v>0</v>
      </c>
      <c r="AN45" s="27" cm="1">
        <f t="array" ref="AN45">SQRT(
    MMULT(
        MMULT(
            $X45:$AM45,
            $F$5:$U$20
        ),
        TRANSPOSE($X45:$AM45)
    )
)</f>
        <v>0.53287698378849024</v>
      </c>
    </row>
    <row r="46" spans="1:40" x14ac:dyDescent="0.3">
      <c r="A46" t="str">
        <v>McHugh, Collin</v>
      </c>
      <c r="W46" s="14" t="str">
        <v>Dayton, Grant</v>
      </c>
      <c r="X46" s="19" cm="1">
        <f t="array" ref="X46">IFERROR(_xlfn.XLOOKUP($W46&amp;X$4,braves_19_25!$B:$B&amp;braves_19_25!$C:$C,braves_19_25!$R:$R),0)</f>
        <v>0.64030335861321774</v>
      </c>
      <c r="Y46" s="19" cm="1">
        <f t="array" ref="Y46">IFERROR(_xlfn.XLOOKUP($W46&amp;Y$4,braves_19_25!$B:$B&amp;braves_19_25!$C:$C,braves_19_25!$R:$R),0)</f>
        <v>1.7334777898158179E-2</v>
      </c>
      <c r="Z46" s="19" cm="1">
        <f t="array" ref="Z46">IFERROR(_xlfn.XLOOKUP($W46&amp;Z$4,braves_19_25!$B:$B&amp;braves_19_25!$C:$C,braves_19_25!$R:$R),0)</f>
        <v>0</v>
      </c>
      <c r="AA46" s="19" cm="1">
        <f t="array" ref="AA46">IFERROR(_xlfn.XLOOKUP($W46&amp;AA$4,braves_19_25!$B:$B&amp;braves_19_25!$C:$C,braves_19_25!$R:$R),0)</f>
        <v>0.34019501625135429</v>
      </c>
      <c r="AB46" s="19" cm="1">
        <f t="array" ref="AB46">IFERROR(_xlfn.XLOOKUP($W46&amp;AB$4,braves_19_25!$B:$B&amp;braves_19_25!$C:$C,braves_19_25!$R:$R),0)</f>
        <v>0</v>
      </c>
      <c r="AC46" s="19" cm="1">
        <f t="array" ref="AC46">IFERROR(_xlfn.XLOOKUP($W46&amp;AC$4,braves_19_25!$B:$B&amp;braves_19_25!$C:$C,braves_19_25!$R:$R),0)</f>
        <v>0</v>
      </c>
      <c r="AD46" s="19" cm="1">
        <f t="array" ref="AD46">IFERROR(_xlfn.XLOOKUP($W46&amp;AD$4,braves_19_25!$B:$B&amp;braves_19_25!$C:$C,braves_19_25!$R:$R),0)</f>
        <v>2.1668472372697724E-3</v>
      </c>
      <c r="AE46" s="19" cm="1">
        <f t="array" ref="AE46">IFERROR(_xlfn.XLOOKUP($W46&amp;AE$4,braves_19_25!$B:$B&amp;braves_19_25!$C:$C,braves_19_25!$R:$R),0)</f>
        <v>0</v>
      </c>
      <c r="AF46" s="19" cm="1">
        <f t="array" ref="AF46">IFERROR(_xlfn.XLOOKUP($W46&amp;AF$4,braves_19_25!$B:$B&amp;braves_19_25!$C:$C,braves_19_25!$R:$R),0)</f>
        <v>0</v>
      </c>
      <c r="AG46" s="19" cm="1">
        <f t="array" ref="AG46">IFERROR(_xlfn.XLOOKUP($W46&amp;AG$4,braves_19_25!$B:$B&amp;braves_19_25!$C:$C,braves_19_25!$R:$R),0)</f>
        <v>0</v>
      </c>
      <c r="AH46" s="19" cm="1">
        <f t="array" ref="AH46">IFERROR(_xlfn.XLOOKUP($W46&amp;AH$4,braves_19_25!$B:$B&amp;braves_19_25!$C:$C,braves_19_25!$R:$R),0)</f>
        <v>0</v>
      </c>
      <c r="AI46" s="19" cm="1">
        <f t="array" ref="AI46">IFERROR(_xlfn.XLOOKUP($W46&amp;AI$4,braves_19_25!$B:$B&amp;braves_19_25!$C:$C,braves_19_25!$R:$R),0)</f>
        <v>0</v>
      </c>
      <c r="AJ46" s="19" cm="1">
        <f t="array" ref="AJ46">IFERROR(_xlfn.XLOOKUP($W46&amp;AJ$4,braves_19_25!$B:$B&amp;braves_19_25!$C:$C,braves_19_25!$R:$R),0)</f>
        <v>0</v>
      </c>
      <c r="AK46" s="19" cm="1">
        <f t="array" ref="AK46">IFERROR(_xlfn.XLOOKUP($W46&amp;AK$4,braves_19_25!$B:$B&amp;braves_19_25!$C:$C,braves_19_25!$R:$R),0)</f>
        <v>0</v>
      </c>
      <c r="AL46" s="19" cm="1">
        <f t="array" ref="AL46">IFERROR(_xlfn.XLOOKUP($W46&amp;AL$4,braves_19_25!$B:$B&amp;braves_19_25!$C:$C,braves_19_25!$R:$R),0)</f>
        <v>0</v>
      </c>
      <c r="AM46" s="24" cm="1">
        <f t="array" ref="AM46">IFERROR(_xlfn.XLOOKUP($W46&amp;AM$4,braves_19_25!$B:$B&amp;braves_19_25!$C:$C,braves_19_25!$R:$R),0)</f>
        <v>0</v>
      </c>
      <c r="AN46" s="27" cm="1">
        <f t="array" ref="AN46">SQRT(
    MMULT(
        MMULT(
            $X46:$AM46,
            $F$5:$U$20
        ),
        TRANSPOSE($X46:$AM46)
    )
)</f>
        <v>0.73591137577697563</v>
      </c>
    </row>
    <row r="47" spans="1:40" x14ac:dyDescent="0.3">
      <c r="A47" t="str">
        <v>Ynoa, Huascar</v>
      </c>
      <c r="W47" s="14" t="str">
        <v>Muller, Kyle</v>
      </c>
      <c r="X47" s="19" cm="1">
        <f t="array" ref="X47">IFERROR(_xlfn.XLOOKUP($W47&amp;X$4,braves_19_25!$B:$B&amp;braves_19_25!$C:$C,braves_19_25!$R:$R),0)</f>
        <v>0.42747252747252745</v>
      </c>
      <c r="Y47" s="19" cm="1">
        <f t="array" ref="Y47">IFERROR(_xlfn.XLOOKUP($W47&amp;Y$4,braves_19_25!$B:$B&amp;braves_19_25!$C:$C,braves_19_25!$R:$R),0)</f>
        <v>7.6923076923076927E-3</v>
      </c>
      <c r="Z47" s="19" cm="1">
        <f t="array" ref="Z47">IFERROR(_xlfn.XLOOKUP($W47&amp;Z$4,braves_19_25!$B:$B&amp;braves_19_25!$C:$C,braves_19_25!$R:$R),0)</f>
        <v>0.3208791208791209</v>
      </c>
      <c r="AA47" s="19" cm="1">
        <f t="array" ref="AA47">IFERROR(_xlfn.XLOOKUP($W47&amp;AA$4,braves_19_25!$B:$B&amp;braves_19_25!$C:$C,braves_19_25!$R:$R),0)</f>
        <v>0.20439560439560439</v>
      </c>
      <c r="AB47" s="19" cm="1">
        <f t="array" ref="AB47">IFERROR(_xlfn.XLOOKUP($W47&amp;AB$4,braves_19_25!$B:$B&amp;braves_19_25!$C:$C,braves_19_25!$R:$R),0)</f>
        <v>0</v>
      </c>
      <c r="AC47" s="19" cm="1">
        <f t="array" ref="AC47">IFERROR(_xlfn.XLOOKUP($W47&amp;AC$4,braves_19_25!$B:$B&amp;braves_19_25!$C:$C,braves_19_25!$R:$R),0)</f>
        <v>0</v>
      </c>
      <c r="AD47" s="19" cm="1">
        <f t="array" ref="AD47">IFERROR(_xlfn.XLOOKUP($W47&amp;AD$4,braves_19_25!$B:$B&amp;braves_19_25!$C:$C,braves_19_25!$R:$R),0)</f>
        <v>3.9560439560439559E-2</v>
      </c>
      <c r="AE47" s="19" cm="1">
        <f t="array" ref="AE47">IFERROR(_xlfn.XLOOKUP($W47&amp;AE$4,braves_19_25!$B:$B&amp;braves_19_25!$C:$C,braves_19_25!$R:$R),0)</f>
        <v>0</v>
      </c>
      <c r="AF47" s="19" cm="1">
        <f t="array" ref="AF47">IFERROR(_xlfn.XLOOKUP($W47&amp;AF$4,braves_19_25!$B:$B&amp;braves_19_25!$C:$C,braves_19_25!$R:$R),0)</f>
        <v>0</v>
      </c>
      <c r="AG47" s="19" cm="1">
        <f t="array" ref="AG47">IFERROR(_xlfn.XLOOKUP($W47&amp;AG$4,braves_19_25!$B:$B&amp;braves_19_25!$C:$C,braves_19_25!$R:$R),0)</f>
        <v>0</v>
      </c>
      <c r="AH47" s="19" cm="1">
        <f t="array" ref="AH47">IFERROR(_xlfn.XLOOKUP($W47&amp;AH$4,braves_19_25!$B:$B&amp;braves_19_25!$C:$C,braves_19_25!$R:$R),0)</f>
        <v>0</v>
      </c>
      <c r="AI47" s="19" cm="1">
        <f t="array" ref="AI47">IFERROR(_xlfn.XLOOKUP($W47&amp;AI$4,braves_19_25!$B:$B&amp;braves_19_25!$C:$C,braves_19_25!$R:$R),0)</f>
        <v>0</v>
      </c>
      <c r="AJ47" s="19" cm="1">
        <f t="array" ref="AJ47">IFERROR(_xlfn.XLOOKUP($W47&amp;AJ$4,braves_19_25!$B:$B&amp;braves_19_25!$C:$C,braves_19_25!$R:$R),0)</f>
        <v>0</v>
      </c>
      <c r="AK47" s="19" cm="1">
        <f t="array" ref="AK47">IFERROR(_xlfn.XLOOKUP($W47&amp;AK$4,braves_19_25!$B:$B&amp;braves_19_25!$C:$C,braves_19_25!$R:$R),0)</f>
        <v>0</v>
      </c>
      <c r="AL47" s="19" cm="1">
        <f t="array" ref="AL47">IFERROR(_xlfn.XLOOKUP($W47&amp;AL$4,braves_19_25!$B:$B&amp;braves_19_25!$C:$C,braves_19_25!$R:$R),0)</f>
        <v>0</v>
      </c>
      <c r="AM47" s="24" cm="1">
        <f t="array" ref="AM47">IFERROR(_xlfn.XLOOKUP($W47&amp;AM$4,braves_19_25!$B:$B&amp;braves_19_25!$C:$C,braves_19_25!$R:$R),0)</f>
        <v>0</v>
      </c>
      <c r="AN47" s="27" cm="1">
        <f t="array" ref="AN47">SQRT(
    MMULT(
        MMULT(
            $X47:$AM47,
            $F$5:$U$20
        ),
        TRANSPOSE($X47:$AM47)
    )
)</f>
        <v>0.57766901018477612</v>
      </c>
    </row>
    <row r="48" spans="1:40" x14ac:dyDescent="0.3">
      <c r="A48" t="str">
        <v>Toussaint, Touki</v>
      </c>
      <c r="W48" s="14" t="str">
        <v>Shuster, Jared</v>
      </c>
      <c r="X48" s="19" cm="1">
        <f t="array" ref="X48">IFERROR(_xlfn.XLOOKUP($W48&amp;X$4,braves_19_25!$B:$B&amp;braves_19_25!$C:$C,braves_19_25!$R:$R),0)</f>
        <v>0.43865740740740738</v>
      </c>
      <c r="Y48" s="19" cm="1">
        <f t="array" ref="Y48">IFERROR(_xlfn.XLOOKUP($W48&amp;Y$4,braves_19_25!$B:$B&amp;braves_19_25!$C:$C,braves_19_25!$R:$R),0)</f>
        <v>2.3148148148148147E-3</v>
      </c>
      <c r="Z48" s="19" cm="1">
        <f t="array" ref="Z48">IFERROR(_xlfn.XLOOKUP($W48&amp;Z$4,braves_19_25!$B:$B&amp;braves_19_25!$C:$C,braves_19_25!$R:$R),0)</f>
        <v>0.32870370370370372</v>
      </c>
      <c r="AA48" s="19" cm="1">
        <f t="array" ref="AA48">IFERROR(_xlfn.XLOOKUP($W48&amp;AA$4,braves_19_25!$B:$B&amp;braves_19_25!$C:$C,braves_19_25!$R:$R),0)</f>
        <v>0</v>
      </c>
      <c r="AB48" s="19" cm="1">
        <f t="array" ref="AB48">IFERROR(_xlfn.XLOOKUP($W48&amp;AB$4,braves_19_25!$B:$B&amp;braves_19_25!$C:$C,braves_19_25!$R:$R),0)</f>
        <v>0</v>
      </c>
      <c r="AC48" s="19" cm="1">
        <f t="array" ref="AC48">IFERROR(_xlfn.XLOOKUP($W48&amp;AC$4,braves_19_25!$B:$B&amp;braves_19_25!$C:$C,braves_19_25!$R:$R),0)</f>
        <v>0</v>
      </c>
      <c r="AD48" s="19" cm="1">
        <f t="array" ref="AD48">IFERROR(_xlfn.XLOOKUP($W48&amp;AD$4,braves_19_25!$B:$B&amp;braves_19_25!$C:$C,braves_19_25!$R:$R),0)</f>
        <v>0.23032407407407407</v>
      </c>
      <c r="AE48" s="19" cm="1">
        <f t="array" ref="AE48">IFERROR(_xlfn.XLOOKUP($W48&amp;AE$4,braves_19_25!$B:$B&amp;braves_19_25!$C:$C,braves_19_25!$R:$R),0)</f>
        <v>0</v>
      </c>
      <c r="AF48" s="19" cm="1">
        <f t="array" ref="AF48">IFERROR(_xlfn.XLOOKUP($W48&amp;AF$4,braves_19_25!$B:$B&amp;braves_19_25!$C:$C,braves_19_25!$R:$R),0)</f>
        <v>0</v>
      </c>
      <c r="AG48" s="19" cm="1">
        <f t="array" ref="AG48">IFERROR(_xlfn.XLOOKUP($W48&amp;AG$4,braves_19_25!$B:$B&amp;braves_19_25!$C:$C,braves_19_25!$R:$R),0)</f>
        <v>0</v>
      </c>
      <c r="AH48" s="19" cm="1">
        <f t="array" ref="AH48">IFERROR(_xlfn.XLOOKUP($W48&amp;AH$4,braves_19_25!$B:$B&amp;braves_19_25!$C:$C,braves_19_25!$R:$R),0)</f>
        <v>0</v>
      </c>
      <c r="AI48" s="19" cm="1">
        <f t="array" ref="AI48">IFERROR(_xlfn.XLOOKUP($W48&amp;AI$4,braves_19_25!$B:$B&amp;braves_19_25!$C:$C,braves_19_25!$R:$R),0)</f>
        <v>0</v>
      </c>
      <c r="AJ48" s="19" cm="1">
        <f t="array" ref="AJ48">IFERROR(_xlfn.XLOOKUP($W48&amp;AJ$4,braves_19_25!$B:$B&amp;braves_19_25!$C:$C,braves_19_25!$R:$R),0)</f>
        <v>0</v>
      </c>
      <c r="AK48" s="19" cm="1">
        <f t="array" ref="AK48">IFERROR(_xlfn.XLOOKUP($W48&amp;AK$4,braves_19_25!$B:$B&amp;braves_19_25!$C:$C,braves_19_25!$R:$R),0)</f>
        <v>0</v>
      </c>
      <c r="AL48" s="19" cm="1">
        <f t="array" ref="AL48">IFERROR(_xlfn.XLOOKUP($W48&amp;AL$4,braves_19_25!$B:$B&amp;braves_19_25!$C:$C,braves_19_25!$R:$R),0)</f>
        <v>0</v>
      </c>
      <c r="AM48" s="24" cm="1">
        <f t="array" ref="AM48">IFERROR(_xlfn.XLOOKUP($W48&amp;AM$4,braves_19_25!$B:$B&amp;braves_19_25!$C:$C,braves_19_25!$R:$R),0)</f>
        <v>0</v>
      </c>
      <c r="AN48" s="27" cm="1">
        <f t="array" ref="AN48">SQRT(
    MMULT(
        MMULT(
            $X48:$AM48,
            $F$5:$U$20
        ),
        TRANSPOSE($X48:$AM48)
    )
)</f>
        <v>0.59577055843591309</v>
      </c>
    </row>
    <row r="49" spans="1:40" x14ac:dyDescent="0.3">
      <c r="A49" t="str">
        <v>Jiménez, Joe</v>
      </c>
      <c r="W49" s="14" t="str">
        <v>Odorizzi, Jake</v>
      </c>
      <c r="X49" s="19" cm="1">
        <f t="array" ref="X49">IFERROR(_xlfn.XLOOKUP($W49&amp;X$4,braves_19_25!$B:$B&amp;braves_19_25!$C:$C,braves_19_25!$R:$R),0)</f>
        <v>0.30705882352941177</v>
      </c>
      <c r="Y49" s="19" cm="1">
        <f t="array" ref="Y49">IFERROR(_xlfn.XLOOKUP($W49&amp;Y$4,braves_19_25!$B:$B&amp;braves_19_25!$C:$C,braves_19_25!$R:$R),0)</f>
        <v>0.16823529411764707</v>
      </c>
      <c r="Z49" s="19" cm="1">
        <f t="array" ref="Z49">IFERROR(_xlfn.XLOOKUP($W49&amp;Z$4,braves_19_25!$B:$B&amp;braves_19_25!$C:$C,braves_19_25!$R:$R),0)</f>
        <v>4.3529411764705879E-2</v>
      </c>
      <c r="AA49" s="19" cm="1">
        <f t="array" ref="AA49">IFERROR(_xlfn.XLOOKUP($W49&amp;AA$4,braves_19_25!$B:$B&amp;braves_19_25!$C:$C,braves_19_25!$R:$R),0)</f>
        <v>3.0588235294117649E-2</v>
      </c>
      <c r="AB49" s="19" cm="1">
        <f t="array" ref="AB49">IFERROR(_xlfn.XLOOKUP($W49&amp;AB$4,braves_19_25!$B:$B&amp;braves_19_25!$C:$C,braves_19_25!$R:$R),0)</f>
        <v>0.21647058823529411</v>
      </c>
      <c r="AC49" s="19" cm="1">
        <f t="array" ref="AC49">IFERROR(_xlfn.XLOOKUP($W49&amp;AC$4,braves_19_25!$B:$B&amp;braves_19_25!$C:$C,braves_19_25!$R:$R),0)</f>
        <v>0.23411764705882354</v>
      </c>
      <c r="AD49" s="19" cm="1">
        <f t="array" ref="AD49">IFERROR(_xlfn.XLOOKUP($W49&amp;AD$4,braves_19_25!$B:$B&amp;braves_19_25!$C:$C,braves_19_25!$R:$R),0)</f>
        <v>0</v>
      </c>
      <c r="AE49" s="19" cm="1">
        <f t="array" ref="AE49">IFERROR(_xlfn.XLOOKUP($W49&amp;AE$4,braves_19_25!$B:$B&amp;braves_19_25!$C:$C,braves_19_25!$R:$R),0)</f>
        <v>0</v>
      </c>
      <c r="AF49" s="19" cm="1">
        <f t="array" ref="AF49">IFERROR(_xlfn.XLOOKUP($W49&amp;AF$4,braves_19_25!$B:$B&amp;braves_19_25!$C:$C,braves_19_25!$R:$R),0)</f>
        <v>0</v>
      </c>
      <c r="AG49" s="19" cm="1">
        <f t="array" ref="AG49">IFERROR(_xlfn.XLOOKUP($W49&amp;AG$4,braves_19_25!$B:$B&amp;braves_19_25!$C:$C,braves_19_25!$R:$R),0)</f>
        <v>0</v>
      </c>
      <c r="AH49" s="19" cm="1">
        <f t="array" ref="AH49">IFERROR(_xlfn.XLOOKUP($W49&amp;AH$4,braves_19_25!$B:$B&amp;braves_19_25!$C:$C,braves_19_25!$R:$R),0)</f>
        <v>0</v>
      </c>
      <c r="AI49" s="19" cm="1">
        <f t="array" ref="AI49">IFERROR(_xlfn.XLOOKUP($W49&amp;AI$4,braves_19_25!$B:$B&amp;braves_19_25!$C:$C,braves_19_25!$R:$R),0)</f>
        <v>0</v>
      </c>
      <c r="AJ49" s="19" cm="1">
        <f t="array" ref="AJ49">IFERROR(_xlfn.XLOOKUP($W49&amp;AJ$4,braves_19_25!$B:$B&amp;braves_19_25!$C:$C,braves_19_25!$R:$R),0)</f>
        <v>0</v>
      </c>
      <c r="AK49" s="19" cm="1">
        <f t="array" ref="AK49">IFERROR(_xlfn.XLOOKUP($W49&amp;AK$4,braves_19_25!$B:$B&amp;braves_19_25!$C:$C,braves_19_25!$R:$R),0)</f>
        <v>0</v>
      </c>
      <c r="AL49" s="19" cm="1">
        <f t="array" ref="AL49">IFERROR(_xlfn.XLOOKUP($W49&amp;AL$4,braves_19_25!$B:$B&amp;braves_19_25!$C:$C,braves_19_25!$R:$R),0)</f>
        <v>0</v>
      </c>
      <c r="AM49" s="24" cm="1">
        <f t="array" ref="AM49">IFERROR(_xlfn.XLOOKUP($W49&amp;AM$4,braves_19_25!$B:$B&amp;braves_19_25!$C:$C,braves_19_25!$R:$R),0)</f>
        <v>0</v>
      </c>
      <c r="AN49" s="27" cm="1">
        <f t="array" ref="AN49">SQRT(
    MMULT(
        MMULT(
            $X49:$AM49,
            $F$5:$U$20
        ),
        TRANSPOSE($X49:$AM49)
    )
)</f>
        <v>0.67468162426261991</v>
      </c>
    </row>
    <row r="50" spans="1:40" x14ac:dyDescent="0.3">
      <c r="A50" t="str">
        <v>Smith, Will</v>
      </c>
      <c r="W50" s="14" t="str">
        <v>De Los Santos, Enyel</v>
      </c>
      <c r="X50" s="19" cm="1">
        <f t="array" ref="X50">IFERROR(_xlfn.XLOOKUP($W50&amp;X$4,braves_19_25!$B:$B&amp;braves_19_25!$C:$C,braves_19_25!$R:$R),0)</f>
        <v>0.45165562913907287</v>
      </c>
      <c r="Y50" s="19" cm="1">
        <f t="array" ref="Y50">IFERROR(_xlfn.XLOOKUP($W50&amp;Y$4,braves_19_25!$B:$B&amp;braves_19_25!$C:$C,braves_19_25!$R:$R),0)</f>
        <v>0</v>
      </c>
      <c r="Z50" s="19" cm="1">
        <f t="array" ref="Z50">IFERROR(_xlfn.XLOOKUP($W50&amp;Z$4,braves_19_25!$B:$B&amp;braves_19_25!$C:$C,braves_19_25!$R:$R),0)</f>
        <v>0.4013245033112583</v>
      </c>
      <c r="AA50" s="19" cm="1">
        <f t="array" ref="AA50">IFERROR(_xlfn.XLOOKUP($W50&amp;AA$4,braves_19_25!$B:$B&amp;braves_19_25!$C:$C,braves_19_25!$R:$R),0)</f>
        <v>0</v>
      </c>
      <c r="AB50" s="19" cm="1">
        <f t="array" ref="AB50">IFERROR(_xlfn.XLOOKUP($W50&amp;AB$4,braves_19_25!$B:$B&amp;braves_19_25!$C:$C,braves_19_25!$R:$R),0)</f>
        <v>0</v>
      </c>
      <c r="AC50" s="19" cm="1">
        <f t="array" ref="AC50">IFERROR(_xlfn.XLOOKUP($W50&amp;AC$4,braves_19_25!$B:$B&amp;braves_19_25!$C:$C,braves_19_25!$R:$R),0)</f>
        <v>0</v>
      </c>
      <c r="AD50" s="19" cm="1">
        <f t="array" ref="AD50">IFERROR(_xlfn.XLOOKUP($W50&amp;AD$4,braves_19_25!$B:$B&amp;braves_19_25!$C:$C,braves_19_25!$R:$R),0)</f>
        <v>0.14701986754966886</v>
      </c>
      <c r="AE50" s="19" cm="1">
        <f t="array" ref="AE50">IFERROR(_xlfn.XLOOKUP($W50&amp;AE$4,braves_19_25!$B:$B&amp;braves_19_25!$C:$C,braves_19_25!$R:$R),0)</f>
        <v>0</v>
      </c>
      <c r="AF50" s="19" cm="1">
        <f t="array" ref="AF50">IFERROR(_xlfn.XLOOKUP($W50&amp;AF$4,braves_19_25!$B:$B&amp;braves_19_25!$C:$C,braves_19_25!$R:$R),0)</f>
        <v>0</v>
      </c>
      <c r="AG50" s="19" cm="1">
        <f t="array" ref="AG50">IFERROR(_xlfn.XLOOKUP($W50&amp;AG$4,braves_19_25!$B:$B&amp;braves_19_25!$C:$C,braves_19_25!$R:$R),0)</f>
        <v>0</v>
      </c>
      <c r="AH50" s="19" cm="1">
        <f t="array" ref="AH50">IFERROR(_xlfn.XLOOKUP($W50&amp;AH$4,braves_19_25!$B:$B&amp;braves_19_25!$C:$C,braves_19_25!$R:$R),0)</f>
        <v>0</v>
      </c>
      <c r="AI50" s="19" cm="1">
        <f t="array" ref="AI50">IFERROR(_xlfn.XLOOKUP($W50&amp;AI$4,braves_19_25!$B:$B&amp;braves_19_25!$C:$C,braves_19_25!$R:$R),0)</f>
        <v>0</v>
      </c>
      <c r="AJ50" s="19" cm="1">
        <f t="array" ref="AJ50">IFERROR(_xlfn.XLOOKUP($W50&amp;AJ$4,braves_19_25!$B:$B&amp;braves_19_25!$C:$C,braves_19_25!$R:$R),0)</f>
        <v>0</v>
      </c>
      <c r="AK50" s="19" cm="1">
        <f t="array" ref="AK50">IFERROR(_xlfn.XLOOKUP($W50&amp;AK$4,braves_19_25!$B:$B&amp;braves_19_25!$C:$C,braves_19_25!$R:$R),0)</f>
        <v>0</v>
      </c>
      <c r="AL50" s="19" cm="1">
        <f t="array" ref="AL50">IFERROR(_xlfn.XLOOKUP($W50&amp;AL$4,braves_19_25!$B:$B&amp;braves_19_25!$C:$C,braves_19_25!$R:$R),0)</f>
        <v>0</v>
      </c>
      <c r="AM50" s="24" cm="1">
        <f t="array" ref="AM50">IFERROR(_xlfn.XLOOKUP($W50&amp;AM$4,braves_19_25!$B:$B&amp;braves_19_25!$C:$C,braves_19_25!$R:$R),0)</f>
        <v>0</v>
      </c>
      <c r="AN50" s="27" cm="1">
        <f t="array" ref="AN50">SQRT(
    MMULT(
        MMULT(
            $X50:$AM50,
            $F$5:$U$20
        ),
        TRANSPOSE($X50:$AM50)
    )
)</f>
        <v>0.6218271510197686</v>
      </c>
    </row>
    <row r="51" spans="1:40" x14ac:dyDescent="0.3">
      <c r="A51" t="str">
        <v>Foltynewicz, Mike</v>
      </c>
      <c r="W51" s="14" t="str">
        <v>O'Day, Darren</v>
      </c>
      <c r="X51" s="19" cm="1">
        <f t="array" ref="X51">IFERROR(_xlfn.XLOOKUP($W51&amp;X$4,braves_19_25!$B:$B&amp;braves_19_25!$C:$C,braves_19_25!$R:$R),0)</f>
        <v>0.45027624309392267</v>
      </c>
      <c r="Y51" s="19" cm="1">
        <f t="array" ref="Y51">IFERROR(_xlfn.XLOOKUP($W51&amp;Y$4,braves_19_25!$B:$B&amp;braves_19_25!$C:$C,braves_19_25!$R:$R),0)</f>
        <v>9.2541436464088397E-2</v>
      </c>
      <c r="Z51" s="19" cm="1">
        <f t="array" ref="Z51">IFERROR(_xlfn.XLOOKUP($W51&amp;Z$4,braves_19_25!$B:$B&amp;braves_19_25!$C:$C,braves_19_25!$R:$R),0)</f>
        <v>0.45718232044198898</v>
      </c>
      <c r="AA51" s="19" cm="1">
        <f t="array" ref="AA51">IFERROR(_xlfn.XLOOKUP($W51&amp;AA$4,braves_19_25!$B:$B&amp;braves_19_25!$C:$C,braves_19_25!$R:$R),0)</f>
        <v>0</v>
      </c>
      <c r="AB51" s="19" cm="1">
        <f t="array" ref="AB51">IFERROR(_xlfn.XLOOKUP($W51&amp;AB$4,braves_19_25!$B:$B&amp;braves_19_25!$C:$C,braves_19_25!$R:$R),0)</f>
        <v>0</v>
      </c>
      <c r="AC51" s="19" cm="1">
        <f t="array" ref="AC51">IFERROR(_xlfn.XLOOKUP($W51&amp;AC$4,braves_19_25!$B:$B&amp;braves_19_25!$C:$C,braves_19_25!$R:$R),0)</f>
        <v>0</v>
      </c>
      <c r="AD51" s="19" cm="1">
        <f t="array" ref="AD51">IFERROR(_xlfn.XLOOKUP($W51&amp;AD$4,braves_19_25!$B:$B&amp;braves_19_25!$C:$C,braves_19_25!$R:$R),0)</f>
        <v>0</v>
      </c>
      <c r="AE51" s="19" cm="1">
        <f t="array" ref="AE51">IFERROR(_xlfn.XLOOKUP($W51&amp;AE$4,braves_19_25!$B:$B&amp;braves_19_25!$C:$C,braves_19_25!$R:$R),0)</f>
        <v>0</v>
      </c>
      <c r="AF51" s="19" cm="1">
        <f t="array" ref="AF51">IFERROR(_xlfn.XLOOKUP($W51&amp;AF$4,braves_19_25!$B:$B&amp;braves_19_25!$C:$C,braves_19_25!$R:$R),0)</f>
        <v>0</v>
      </c>
      <c r="AG51" s="19" cm="1">
        <f t="array" ref="AG51">IFERROR(_xlfn.XLOOKUP($W51&amp;AG$4,braves_19_25!$B:$B&amp;braves_19_25!$C:$C,braves_19_25!$R:$R),0)</f>
        <v>0</v>
      </c>
      <c r="AH51" s="19" cm="1">
        <f t="array" ref="AH51">IFERROR(_xlfn.XLOOKUP($W51&amp;AH$4,braves_19_25!$B:$B&amp;braves_19_25!$C:$C,braves_19_25!$R:$R),0)</f>
        <v>0</v>
      </c>
      <c r="AI51" s="19" cm="1">
        <f t="array" ref="AI51">IFERROR(_xlfn.XLOOKUP($W51&amp;AI$4,braves_19_25!$B:$B&amp;braves_19_25!$C:$C,braves_19_25!$R:$R),0)</f>
        <v>0</v>
      </c>
      <c r="AJ51" s="19" cm="1">
        <f t="array" ref="AJ51">IFERROR(_xlfn.XLOOKUP($W51&amp;AJ$4,braves_19_25!$B:$B&amp;braves_19_25!$C:$C,braves_19_25!$R:$R),0)</f>
        <v>0</v>
      </c>
      <c r="AK51" s="19" cm="1">
        <f t="array" ref="AK51">IFERROR(_xlfn.XLOOKUP($W51&amp;AK$4,braves_19_25!$B:$B&amp;braves_19_25!$C:$C,braves_19_25!$R:$R),0)</f>
        <v>0</v>
      </c>
      <c r="AL51" s="19" cm="1">
        <f t="array" ref="AL51">IFERROR(_xlfn.XLOOKUP($W51&amp;AL$4,braves_19_25!$B:$B&amp;braves_19_25!$C:$C,braves_19_25!$R:$R),0)</f>
        <v>0</v>
      </c>
      <c r="AM51" s="24" cm="1">
        <f t="array" ref="AM51">IFERROR(_xlfn.XLOOKUP($W51&amp;AM$4,braves_19_25!$B:$B&amp;braves_19_25!$C:$C,braves_19_25!$R:$R),0)</f>
        <v>0</v>
      </c>
      <c r="AN51" s="27" cm="1">
        <f t="array" ref="AN51">SQRT(
    MMULT(
        MMULT(
            $X51:$AM51,
            $F$5:$U$20
        ),
        TRANSPOSE($X51:$AM51)
    )
)</f>
        <v>0.69185632985506917</v>
      </c>
    </row>
    <row r="52" spans="1:40" x14ac:dyDescent="0.3">
      <c r="A52" t="str">
        <v>Bummer, Aaron</v>
      </c>
      <c r="W52" s="14" t="str">
        <v>Winans, Allan</v>
      </c>
      <c r="X52" s="19" cm="1">
        <f t="array" ref="X52">IFERROR(_xlfn.XLOOKUP($W52&amp;X$4,braves_19_25!$B:$B&amp;braves_19_25!$C:$C,braves_19_25!$R:$R),0)</f>
        <v>0.20998531571218795</v>
      </c>
      <c r="Y52" s="19" cm="1">
        <f t="array" ref="Y52">IFERROR(_xlfn.XLOOKUP($W52&amp;Y$4,braves_19_25!$B:$B&amp;braves_19_25!$C:$C,braves_19_25!$R:$R),0)</f>
        <v>0.24816446402349487</v>
      </c>
      <c r="Z52" s="19" cm="1">
        <f t="array" ref="Z52">IFERROR(_xlfn.XLOOKUP($W52&amp;Z$4,braves_19_25!$B:$B&amp;braves_19_25!$C:$C,braves_19_25!$R:$R),0)</f>
        <v>0</v>
      </c>
      <c r="AA52" s="19" cm="1">
        <f t="array" ref="AA52">IFERROR(_xlfn.XLOOKUP($W52&amp;AA$4,braves_19_25!$B:$B&amp;braves_19_25!$C:$C,braves_19_25!$R:$R),0)</f>
        <v>0</v>
      </c>
      <c r="AB52" s="19" cm="1">
        <f t="array" ref="AB52">IFERROR(_xlfn.XLOOKUP($W52&amp;AB$4,braves_19_25!$B:$B&amp;braves_19_25!$C:$C,braves_19_25!$R:$R),0)</f>
        <v>0</v>
      </c>
      <c r="AC52" s="19" cm="1">
        <f t="array" ref="AC52">IFERROR(_xlfn.XLOOKUP($W52&amp;AC$4,braves_19_25!$B:$B&amp;braves_19_25!$C:$C,braves_19_25!$R:$R),0)</f>
        <v>0</v>
      </c>
      <c r="AD52" s="19" cm="1">
        <f t="array" ref="AD52">IFERROR(_xlfn.XLOOKUP($W52&amp;AD$4,braves_19_25!$B:$B&amp;braves_19_25!$C:$C,braves_19_25!$R:$R),0)</f>
        <v>0.3054331864904552</v>
      </c>
      <c r="AE52" s="19" cm="1">
        <f t="array" ref="AE52">IFERROR(_xlfn.XLOOKUP($W52&amp;AE$4,braves_19_25!$B:$B&amp;braves_19_25!$C:$C,braves_19_25!$R:$R),0)</f>
        <v>0.23641703377386197</v>
      </c>
      <c r="AF52" s="19" cm="1">
        <f t="array" ref="AF52">IFERROR(_xlfn.XLOOKUP($W52&amp;AF$4,braves_19_25!$B:$B&amp;braves_19_25!$C:$C,braves_19_25!$R:$R),0)</f>
        <v>0</v>
      </c>
      <c r="AG52" s="19" cm="1">
        <f t="array" ref="AG52">IFERROR(_xlfn.XLOOKUP($W52&amp;AG$4,braves_19_25!$B:$B&amp;braves_19_25!$C:$C,braves_19_25!$R:$R),0)</f>
        <v>0</v>
      </c>
      <c r="AH52" s="19" cm="1">
        <f t="array" ref="AH52">IFERROR(_xlfn.XLOOKUP($W52&amp;AH$4,braves_19_25!$B:$B&amp;braves_19_25!$C:$C,braves_19_25!$R:$R),0)</f>
        <v>0</v>
      </c>
      <c r="AI52" s="19" cm="1">
        <f t="array" ref="AI52">IFERROR(_xlfn.XLOOKUP($W52&amp;AI$4,braves_19_25!$B:$B&amp;braves_19_25!$C:$C,braves_19_25!$R:$R),0)</f>
        <v>0</v>
      </c>
      <c r="AJ52" s="19" cm="1">
        <f t="array" ref="AJ52">IFERROR(_xlfn.XLOOKUP($W52&amp;AJ$4,braves_19_25!$B:$B&amp;braves_19_25!$C:$C,braves_19_25!$R:$R),0)</f>
        <v>0</v>
      </c>
      <c r="AK52" s="19" cm="1">
        <f t="array" ref="AK52">IFERROR(_xlfn.XLOOKUP($W52&amp;AK$4,braves_19_25!$B:$B&amp;braves_19_25!$C:$C,braves_19_25!$R:$R),0)</f>
        <v>0</v>
      </c>
      <c r="AL52" s="19" cm="1">
        <f t="array" ref="AL52">IFERROR(_xlfn.XLOOKUP($W52&amp;AL$4,braves_19_25!$B:$B&amp;braves_19_25!$C:$C,braves_19_25!$R:$R),0)</f>
        <v>0</v>
      </c>
      <c r="AM52" s="24" cm="1">
        <f t="array" ref="AM52">IFERROR(_xlfn.XLOOKUP($W52&amp;AM$4,braves_19_25!$B:$B&amp;braves_19_25!$C:$C,braves_19_25!$R:$R),0)</f>
        <v>0</v>
      </c>
      <c r="AN52" s="27" cm="1">
        <f t="array" ref="AN52">SQRT(
    MMULT(
        MMULT(
            $X52:$AM52,
            $F$5:$U$20
        ),
        TRANSPOSE($X52:$AM52)
    )
)</f>
        <v>0.57255316778801213</v>
      </c>
    </row>
    <row r="53" spans="1:40" x14ac:dyDescent="0.3">
      <c r="A53" t="str">
        <v>Tonkin, Michael</v>
      </c>
      <c r="W53" s="14" t="str">
        <v>Melancon, Mark</v>
      </c>
      <c r="X53" s="19" cm="1">
        <f t="array" ref="X53">IFERROR(_xlfn.XLOOKUP($W53&amp;X$4,braves_19_25!$B:$B&amp;braves_19_25!$C:$C,braves_19_25!$R:$R),0)</f>
        <v>2.8657616892911009E-2</v>
      </c>
      <c r="Y53" s="19" cm="1">
        <f t="array" ref="Y53">IFERROR(_xlfn.XLOOKUP($W53&amp;Y$4,braves_19_25!$B:$B&amp;braves_19_25!$C:$C,braves_19_25!$R:$R),0)</f>
        <v>0</v>
      </c>
      <c r="Z53" s="19" cm="1">
        <f t="array" ref="Z53">IFERROR(_xlfn.XLOOKUP($W53&amp;Z$4,braves_19_25!$B:$B&amp;braves_19_25!$C:$C,braves_19_25!$R:$R),0)</f>
        <v>0</v>
      </c>
      <c r="AA53" s="19" cm="1">
        <f t="array" ref="AA53">IFERROR(_xlfn.XLOOKUP($W53&amp;AA$4,braves_19_25!$B:$B&amp;braves_19_25!$C:$C,braves_19_25!$R:$R),0)</f>
        <v>0</v>
      </c>
      <c r="AB53" s="19" cm="1">
        <f t="array" ref="AB53">IFERROR(_xlfn.XLOOKUP($W53&amp;AB$4,braves_19_25!$B:$B&amp;braves_19_25!$C:$C,braves_19_25!$R:$R),0)</f>
        <v>2.2624434389140271E-2</v>
      </c>
      <c r="AC53" s="19" cm="1">
        <f t="array" ref="AC53">IFERROR(_xlfn.XLOOKUP($W53&amp;AC$4,braves_19_25!$B:$B&amp;braves_19_25!$C:$C,braves_19_25!$R:$R),0)</f>
        <v>0.56711915535444946</v>
      </c>
      <c r="AD53" s="19" cm="1">
        <f t="array" ref="AD53">IFERROR(_xlfn.XLOOKUP($W53&amp;AD$4,braves_19_25!$B:$B&amp;braves_19_25!$C:$C,braves_19_25!$R:$R),0)</f>
        <v>0</v>
      </c>
      <c r="AE53" s="19" cm="1">
        <f t="array" ref="AE53">IFERROR(_xlfn.XLOOKUP($W53&amp;AE$4,braves_19_25!$B:$B&amp;braves_19_25!$C:$C,braves_19_25!$R:$R),0)</f>
        <v>0</v>
      </c>
      <c r="AF53" s="19" cm="1">
        <f t="array" ref="AF53">IFERROR(_xlfn.XLOOKUP($W53&amp;AF$4,braves_19_25!$B:$B&amp;braves_19_25!$C:$C,braves_19_25!$R:$R),0)</f>
        <v>0</v>
      </c>
      <c r="AG53" s="19" cm="1">
        <f t="array" ref="AG53">IFERROR(_xlfn.XLOOKUP($W53&amp;AG$4,braves_19_25!$B:$B&amp;braves_19_25!$C:$C,braves_19_25!$R:$R),0)</f>
        <v>0</v>
      </c>
      <c r="AH53" s="19" cm="1">
        <f t="array" ref="AH53">IFERROR(_xlfn.XLOOKUP($W53&amp;AH$4,braves_19_25!$B:$B&amp;braves_19_25!$C:$C,braves_19_25!$R:$R),0)</f>
        <v>0</v>
      </c>
      <c r="AI53" s="19" cm="1">
        <f t="array" ref="AI53">IFERROR(_xlfn.XLOOKUP($W53&amp;AI$4,braves_19_25!$B:$B&amp;braves_19_25!$C:$C,braves_19_25!$R:$R),0)</f>
        <v>0</v>
      </c>
      <c r="AJ53" s="19" cm="1">
        <f t="array" ref="AJ53">IFERROR(_xlfn.XLOOKUP($W53&amp;AJ$4,braves_19_25!$B:$B&amp;braves_19_25!$C:$C,braves_19_25!$R:$R),0)</f>
        <v>0.38159879336349922</v>
      </c>
      <c r="AK53" s="19" cm="1">
        <f t="array" ref="AK53">IFERROR(_xlfn.XLOOKUP($W53&amp;AK$4,braves_19_25!$B:$B&amp;braves_19_25!$C:$C,braves_19_25!$R:$R),0)</f>
        <v>0</v>
      </c>
      <c r="AL53" s="19" cm="1">
        <f t="array" ref="AL53">IFERROR(_xlfn.XLOOKUP($W53&amp;AL$4,braves_19_25!$B:$B&amp;braves_19_25!$C:$C,braves_19_25!$R:$R),0)</f>
        <v>0</v>
      </c>
      <c r="AM53" s="24" cm="1">
        <f t="array" ref="AM53">IFERROR(_xlfn.XLOOKUP($W53&amp;AM$4,braves_19_25!$B:$B&amp;braves_19_25!$C:$C,braves_19_25!$R:$R),0)</f>
        <v>0</v>
      </c>
      <c r="AN53" s="27" cm="1">
        <f t="array" ref="AN53">SQRT(
    MMULT(
        MMULT(
            $X53:$AM53,
            $F$5:$U$20
        ),
        TRANSPOSE($X53:$AM53)
    )
)</f>
        <v>0.70094799834604193</v>
      </c>
    </row>
    <row r="54" spans="1:40" x14ac:dyDescent="0.3">
      <c r="A54" t="str">
        <v>Smith-Shawver, AJ</v>
      </c>
      <c r="W54" s="14" t="str">
        <v>Montero, Rafael</v>
      </c>
      <c r="X54" s="19" cm="1">
        <f t="array" ref="X54">IFERROR(_xlfn.XLOOKUP($W54&amp;X$4,braves_19_25!$B:$B&amp;braves_19_25!$C:$C,braves_19_25!$R:$R),0)</f>
        <v>0.41060606060606059</v>
      </c>
      <c r="Y54" s="19" cm="1">
        <f t="array" ref="Y54">IFERROR(_xlfn.XLOOKUP($W54&amp;Y$4,braves_19_25!$B:$B&amp;braves_19_25!$C:$C,braves_19_25!$R:$R),0)</f>
        <v>2.5757575757575757E-2</v>
      </c>
      <c r="Z54" s="19" cm="1">
        <f t="array" ref="Z54">IFERROR(_xlfn.XLOOKUP($W54&amp;Z$4,braves_19_25!$B:$B&amp;braves_19_25!$C:$C,braves_19_25!$R:$R),0)</f>
        <v>7.1212121212121213E-2</v>
      </c>
      <c r="AA54" s="19" cm="1">
        <f t="array" ref="AA54">IFERROR(_xlfn.XLOOKUP($W54&amp;AA$4,braves_19_25!$B:$B&amp;braves_19_25!$C:$C,braves_19_25!$R:$R),0)</f>
        <v>0</v>
      </c>
      <c r="AB54" s="19" cm="1">
        <f t="array" ref="AB54">IFERROR(_xlfn.XLOOKUP($W54&amp;AB$4,braves_19_25!$B:$B&amp;braves_19_25!$C:$C,braves_19_25!$R:$R),0)</f>
        <v>0.49242424242424243</v>
      </c>
      <c r="AC54" s="19" cm="1">
        <f t="array" ref="AC54">IFERROR(_xlfn.XLOOKUP($W54&amp;AC$4,braves_19_25!$B:$B&amp;braves_19_25!$C:$C,braves_19_25!$R:$R),0)</f>
        <v>0</v>
      </c>
      <c r="AD54" s="19" cm="1">
        <f t="array" ref="AD54">IFERROR(_xlfn.XLOOKUP($W54&amp;AD$4,braves_19_25!$B:$B&amp;braves_19_25!$C:$C,braves_19_25!$R:$R),0)</f>
        <v>0</v>
      </c>
      <c r="AE54" s="19" cm="1">
        <f t="array" ref="AE54">IFERROR(_xlfn.XLOOKUP($W54&amp;AE$4,braves_19_25!$B:$B&amp;braves_19_25!$C:$C,braves_19_25!$R:$R),0)</f>
        <v>0</v>
      </c>
      <c r="AF54" s="19" cm="1">
        <f t="array" ref="AF54">IFERROR(_xlfn.XLOOKUP($W54&amp;AF$4,braves_19_25!$B:$B&amp;braves_19_25!$C:$C,braves_19_25!$R:$R),0)</f>
        <v>0</v>
      </c>
      <c r="AG54" s="19" cm="1">
        <f t="array" ref="AG54">IFERROR(_xlfn.XLOOKUP($W54&amp;AG$4,braves_19_25!$B:$B&amp;braves_19_25!$C:$C,braves_19_25!$R:$R),0)</f>
        <v>0</v>
      </c>
      <c r="AH54" s="19" cm="1">
        <f t="array" ref="AH54">IFERROR(_xlfn.XLOOKUP($W54&amp;AH$4,braves_19_25!$B:$B&amp;braves_19_25!$C:$C,braves_19_25!$R:$R),0)</f>
        <v>0</v>
      </c>
      <c r="AI54" s="19" cm="1">
        <f t="array" ref="AI54">IFERROR(_xlfn.XLOOKUP($W54&amp;AI$4,braves_19_25!$B:$B&amp;braves_19_25!$C:$C,braves_19_25!$R:$R),0)</f>
        <v>0</v>
      </c>
      <c r="AJ54" s="19" cm="1">
        <f t="array" ref="AJ54">IFERROR(_xlfn.XLOOKUP($W54&amp;AJ$4,braves_19_25!$B:$B&amp;braves_19_25!$C:$C,braves_19_25!$R:$R),0)</f>
        <v>0</v>
      </c>
      <c r="AK54" s="19" cm="1">
        <f t="array" ref="AK54">IFERROR(_xlfn.XLOOKUP($W54&amp;AK$4,braves_19_25!$B:$B&amp;braves_19_25!$C:$C,braves_19_25!$R:$R),0)</f>
        <v>0</v>
      </c>
      <c r="AL54" s="19" cm="1">
        <f t="array" ref="AL54">IFERROR(_xlfn.XLOOKUP($W54&amp;AL$4,braves_19_25!$B:$B&amp;braves_19_25!$C:$C,braves_19_25!$R:$R),0)</f>
        <v>0</v>
      </c>
      <c r="AM54" s="24" cm="1">
        <f t="array" ref="AM54">IFERROR(_xlfn.XLOOKUP($W54&amp;AM$4,braves_19_25!$B:$B&amp;braves_19_25!$C:$C,braves_19_25!$R:$R),0)</f>
        <v>0</v>
      </c>
      <c r="AN54" s="27" cm="1">
        <f t="array" ref="AN54">SQRT(
    MMULT(
        MMULT(
            $X54:$AM54,
            $F$5:$U$20
        ),
        TRANSPOSE($X54:$AM54)
    )
)</f>
        <v>0.6569781532498371</v>
      </c>
    </row>
    <row r="55" spans="1:40" x14ac:dyDescent="0.3">
      <c r="A55" t="str">
        <v>Stephens, Jackson</v>
      </c>
      <c r="W55" s="14" t="str">
        <v>Sobotka, Chad</v>
      </c>
      <c r="X55" s="19" cm="1">
        <f t="array" ref="X55">IFERROR(_xlfn.XLOOKUP($W55&amp;X$4,braves_19_25!$B:$B&amp;braves_19_25!$C:$C,braves_19_25!$R:$R),0)</f>
        <v>0.56269592476489028</v>
      </c>
      <c r="Y55" s="19" cm="1">
        <f t="array" ref="Y55">IFERROR(_xlfn.XLOOKUP($W55&amp;Y$4,braves_19_25!$B:$B&amp;braves_19_25!$C:$C,braves_19_25!$R:$R),0)</f>
        <v>0</v>
      </c>
      <c r="Z55" s="19" cm="1">
        <f t="array" ref="Z55">IFERROR(_xlfn.XLOOKUP($W55&amp;Z$4,braves_19_25!$B:$B&amp;braves_19_25!$C:$C,braves_19_25!$R:$R),0)</f>
        <v>0.42789968652037619</v>
      </c>
      <c r="AA55" s="19" cm="1">
        <f t="array" ref="AA55">IFERROR(_xlfn.XLOOKUP($W55&amp;AA$4,braves_19_25!$B:$B&amp;braves_19_25!$C:$C,braves_19_25!$R:$R),0)</f>
        <v>0</v>
      </c>
      <c r="AB55" s="19" cm="1">
        <f t="array" ref="AB55">IFERROR(_xlfn.XLOOKUP($W55&amp;AB$4,braves_19_25!$B:$B&amp;braves_19_25!$C:$C,braves_19_25!$R:$R),0)</f>
        <v>0</v>
      </c>
      <c r="AC55" s="19" cm="1">
        <f t="array" ref="AC55">IFERROR(_xlfn.XLOOKUP($W55&amp;AC$4,braves_19_25!$B:$B&amp;braves_19_25!$C:$C,braves_19_25!$R:$R),0)</f>
        <v>9.4043887147335428E-3</v>
      </c>
      <c r="AD55" s="19" cm="1">
        <f t="array" ref="AD55">IFERROR(_xlfn.XLOOKUP($W55&amp;AD$4,braves_19_25!$B:$B&amp;braves_19_25!$C:$C,braves_19_25!$R:$R),0)</f>
        <v>0</v>
      </c>
      <c r="AE55" s="19" cm="1">
        <f t="array" ref="AE55">IFERROR(_xlfn.XLOOKUP($W55&amp;AE$4,braves_19_25!$B:$B&amp;braves_19_25!$C:$C,braves_19_25!$R:$R),0)</f>
        <v>0</v>
      </c>
      <c r="AF55" s="19" cm="1">
        <f t="array" ref="AF55">IFERROR(_xlfn.XLOOKUP($W55&amp;AF$4,braves_19_25!$B:$B&amp;braves_19_25!$C:$C,braves_19_25!$R:$R),0)</f>
        <v>0</v>
      </c>
      <c r="AG55" s="19" cm="1">
        <f t="array" ref="AG55">IFERROR(_xlfn.XLOOKUP($W55&amp;AG$4,braves_19_25!$B:$B&amp;braves_19_25!$C:$C,braves_19_25!$R:$R),0)</f>
        <v>0</v>
      </c>
      <c r="AH55" s="19" cm="1">
        <f t="array" ref="AH55">IFERROR(_xlfn.XLOOKUP($W55&amp;AH$4,braves_19_25!$B:$B&amp;braves_19_25!$C:$C,braves_19_25!$R:$R),0)</f>
        <v>0</v>
      </c>
      <c r="AI55" s="19" cm="1">
        <f t="array" ref="AI55">IFERROR(_xlfn.XLOOKUP($W55&amp;AI$4,braves_19_25!$B:$B&amp;braves_19_25!$C:$C,braves_19_25!$R:$R),0)</f>
        <v>0</v>
      </c>
      <c r="AJ55" s="19" cm="1">
        <f t="array" ref="AJ55">IFERROR(_xlfn.XLOOKUP($W55&amp;AJ$4,braves_19_25!$B:$B&amp;braves_19_25!$C:$C,braves_19_25!$R:$R),0)</f>
        <v>0</v>
      </c>
      <c r="AK55" s="19" cm="1">
        <f t="array" ref="AK55">IFERROR(_xlfn.XLOOKUP($W55&amp;AK$4,braves_19_25!$B:$B&amp;braves_19_25!$C:$C,braves_19_25!$R:$R),0)</f>
        <v>0</v>
      </c>
      <c r="AL55" s="19" cm="1">
        <f t="array" ref="AL55">IFERROR(_xlfn.XLOOKUP($W55&amp;AL$4,braves_19_25!$B:$B&amp;braves_19_25!$C:$C,braves_19_25!$R:$R),0)</f>
        <v>0</v>
      </c>
      <c r="AM55" s="24" cm="1">
        <f t="array" ref="AM55">IFERROR(_xlfn.XLOOKUP($W55&amp;AM$4,braves_19_25!$B:$B&amp;braves_19_25!$C:$C,braves_19_25!$R:$R),0)</f>
        <v>0</v>
      </c>
      <c r="AN55" s="27" cm="1">
        <f t="array" ref="AN55">SQRT(
    MMULT(
        MMULT(
            $X55:$AM55,
            $F$5:$U$20
        ),
        TRANSPOSE($X55:$AM55)
    )
)</f>
        <v>0.71219507417905437</v>
      </c>
    </row>
    <row r="56" spans="1:40" x14ac:dyDescent="0.3">
      <c r="A56" t="str">
        <v>Martin, Chris</v>
      </c>
      <c r="W56" s="14" t="str">
        <v>Davidson, Tucker</v>
      </c>
      <c r="X56" s="19" cm="1">
        <f t="array" ref="X56">IFERROR(_xlfn.XLOOKUP($W56&amp;X$4,braves_19_25!$B:$B&amp;braves_19_25!$C:$C,braves_19_25!$R:$R),0)</f>
        <v>0.50471698113207553</v>
      </c>
      <c r="Y56" s="19" cm="1">
        <f t="array" ref="Y56">IFERROR(_xlfn.XLOOKUP($W56&amp;Y$4,braves_19_25!$B:$B&amp;braves_19_25!$C:$C,braves_19_25!$R:$R),0)</f>
        <v>0</v>
      </c>
      <c r="Z56" s="19" cm="1">
        <f t="array" ref="Z56">IFERROR(_xlfn.XLOOKUP($W56&amp;Z$4,braves_19_25!$B:$B&amp;braves_19_25!$C:$C,braves_19_25!$R:$R),0)</f>
        <v>0.37578616352201261</v>
      </c>
      <c r="AA56" s="19" cm="1">
        <f t="array" ref="AA56">IFERROR(_xlfn.XLOOKUP($W56&amp;AA$4,braves_19_25!$B:$B&amp;braves_19_25!$C:$C,braves_19_25!$R:$R),0)</f>
        <v>0.11320754716981132</v>
      </c>
      <c r="AB56" s="19" cm="1">
        <f t="array" ref="AB56">IFERROR(_xlfn.XLOOKUP($W56&amp;AB$4,braves_19_25!$B:$B&amp;braves_19_25!$C:$C,braves_19_25!$R:$R),0)</f>
        <v>0</v>
      </c>
      <c r="AC56" s="19" cm="1">
        <f t="array" ref="AC56">IFERROR(_xlfn.XLOOKUP($W56&amp;AC$4,braves_19_25!$B:$B&amp;braves_19_25!$C:$C,braves_19_25!$R:$R),0)</f>
        <v>0</v>
      </c>
      <c r="AD56" s="19" cm="1">
        <f t="array" ref="AD56">IFERROR(_xlfn.XLOOKUP($W56&amp;AD$4,braves_19_25!$B:$B&amp;braves_19_25!$C:$C,braves_19_25!$R:$R),0)</f>
        <v>6.2893081761006293E-3</v>
      </c>
      <c r="AE56" s="19" cm="1">
        <f t="array" ref="AE56">IFERROR(_xlfn.XLOOKUP($W56&amp;AE$4,braves_19_25!$B:$B&amp;braves_19_25!$C:$C,braves_19_25!$R:$R),0)</f>
        <v>0</v>
      </c>
      <c r="AF56" s="19" cm="1">
        <f t="array" ref="AF56">IFERROR(_xlfn.XLOOKUP($W56&amp;AF$4,braves_19_25!$B:$B&amp;braves_19_25!$C:$C,braves_19_25!$R:$R),0)</f>
        <v>0</v>
      </c>
      <c r="AG56" s="19" cm="1">
        <f t="array" ref="AG56">IFERROR(_xlfn.XLOOKUP($W56&amp;AG$4,braves_19_25!$B:$B&amp;braves_19_25!$C:$C,braves_19_25!$R:$R),0)</f>
        <v>0</v>
      </c>
      <c r="AH56" s="19" cm="1">
        <f t="array" ref="AH56">IFERROR(_xlfn.XLOOKUP($W56&amp;AH$4,braves_19_25!$B:$B&amp;braves_19_25!$C:$C,braves_19_25!$R:$R),0)</f>
        <v>0</v>
      </c>
      <c r="AI56" s="19" cm="1">
        <f t="array" ref="AI56">IFERROR(_xlfn.XLOOKUP($W56&amp;AI$4,braves_19_25!$B:$B&amp;braves_19_25!$C:$C,braves_19_25!$R:$R),0)</f>
        <v>0</v>
      </c>
      <c r="AJ56" s="19" cm="1">
        <f t="array" ref="AJ56">IFERROR(_xlfn.XLOOKUP($W56&amp;AJ$4,braves_19_25!$B:$B&amp;braves_19_25!$C:$C,braves_19_25!$R:$R),0)</f>
        <v>0</v>
      </c>
      <c r="AK56" s="19" cm="1">
        <f t="array" ref="AK56">IFERROR(_xlfn.XLOOKUP($W56&amp;AK$4,braves_19_25!$B:$B&amp;braves_19_25!$C:$C,braves_19_25!$R:$R),0)</f>
        <v>0</v>
      </c>
      <c r="AL56" s="19" cm="1">
        <f t="array" ref="AL56">IFERROR(_xlfn.XLOOKUP($W56&amp;AL$4,braves_19_25!$B:$B&amp;braves_19_25!$C:$C,braves_19_25!$R:$R),0)</f>
        <v>0</v>
      </c>
      <c r="AM56" s="24" cm="1">
        <f t="array" ref="AM56">IFERROR(_xlfn.XLOOKUP($W56&amp;AM$4,braves_19_25!$B:$B&amp;braves_19_25!$C:$C,braves_19_25!$R:$R),0)</f>
        <v>0</v>
      </c>
      <c r="AN56" s="27" cm="1">
        <f t="array" ref="AN56">SQRT(
    MMULT(
        MMULT(
            $X56:$AM56,
            $F$5:$U$20
        ),
        TRANSPOSE($X56:$AM56)
    )
)</f>
        <v>0.63938249574977235</v>
      </c>
    </row>
    <row r="57" spans="1:40" x14ac:dyDescent="0.3">
      <c r="A57" t="str">
        <v>Yates, Kirby</v>
      </c>
      <c r="W57" s="14" t="str">
        <v>Santana, Edgar</v>
      </c>
      <c r="X57" s="19" cm="1">
        <f t="array" ref="X57">IFERROR(_xlfn.XLOOKUP($W57&amp;X$4,braves_19_25!$B:$B&amp;braves_19_25!$C:$C,braves_19_25!$R:$R),0)</f>
        <v>1.4754098360655738E-2</v>
      </c>
      <c r="Y57" s="19" cm="1">
        <f t="array" ref="Y57">IFERROR(_xlfn.XLOOKUP($W57&amp;Y$4,braves_19_25!$B:$B&amp;braves_19_25!$C:$C,braves_19_25!$R:$R),0)</f>
        <v>0.63442622950819672</v>
      </c>
      <c r="Z57" s="19" cm="1">
        <f t="array" ref="Z57">IFERROR(_xlfn.XLOOKUP($W57&amp;Z$4,braves_19_25!$B:$B&amp;braves_19_25!$C:$C,braves_19_25!$R:$R),0)</f>
        <v>0.35081967213114756</v>
      </c>
      <c r="AA57" s="19" cm="1">
        <f t="array" ref="AA57">IFERROR(_xlfn.XLOOKUP($W57&amp;AA$4,braves_19_25!$B:$B&amp;braves_19_25!$C:$C,braves_19_25!$R:$R),0)</f>
        <v>0</v>
      </c>
      <c r="AB57" s="19" cm="1">
        <f t="array" ref="AB57">IFERROR(_xlfn.XLOOKUP($W57&amp;AB$4,braves_19_25!$B:$B&amp;braves_19_25!$C:$C,braves_19_25!$R:$R),0)</f>
        <v>0</v>
      </c>
      <c r="AC57" s="19" cm="1">
        <f t="array" ref="AC57">IFERROR(_xlfn.XLOOKUP($W57&amp;AC$4,braves_19_25!$B:$B&amp;braves_19_25!$C:$C,braves_19_25!$R:$R),0)</f>
        <v>0</v>
      </c>
      <c r="AD57" s="19" cm="1">
        <f t="array" ref="AD57">IFERROR(_xlfn.XLOOKUP($W57&amp;AD$4,braves_19_25!$B:$B&amp;braves_19_25!$C:$C,braves_19_25!$R:$R),0)</f>
        <v>0</v>
      </c>
      <c r="AE57" s="19" cm="1">
        <f t="array" ref="AE57">IFERROR(_xlfn.XLOOKUP($W57&amp;AE$4,braves_19_25!$B:$B&amp;braves_19_25!$C:$C,braves_19_25!$R:$R),0)</f>
        <v>0</v>
      </c>
      <c r="AF57" s="19" cm="1">
        <f t="array" ref="AF57">IFERROR(_xlfn.XLOOKUP($W57&amp;AF$4,braves_19_25!$B:$B&amp;braves_19_25!$C:$C,braves_19_25!$R:$R),0)</f>
        <v>0</v>
      </c>
      <c r="AG57" s="19" cm="1">
        <f t="array" ref="AG57">IFERROR(_xlfn.XLOOKUP($W57&amp;AG$4,braves_19_25!$B:$B&amp;braves_19_25!$C:$C,braves_19_25!$R:$R),0)</f>
        <v>0</v>
      </c>
      <c r="AH57" s="19" cm="1">
        <f t="array" ref="AH57">IFERROR(_xlfn.XLOOKUP($W57&amp;AH$4,braves_19_25!$B:$B&amp;braves_19_25!$C:$C,braves_19_25!$R:$R),0)</f>
        <v>0</v>
      </c>
      <c r="AI57" s="19" cm="1">
        <f t="array" ref="AI57">IFERROR(_xlfn.XLOOKUP($W57&amp;AI$4,braves_19_25!$B:$B&amp;braves_19_25!$C:$C,braves_19_25!$R:$R),0)</f>
        <v>0</v>
      </c>
      <c r="AJ57" s="19" cm="1">
        <f t="array" ref="AJ57">IFERROR(_xlfn.XLOOKUP($W57&amp;AJ$4,braves_19_25!$B:$B&amp;braves_19_25!$C:$C,braves_19_25!$R:$R),0)</f>
        <v>0</v>
      </c>
      <c r="AK57" s="19" cm="1">
        <f t="array" ref="AK57">IFERROR(_xlfn.XLOOKUP($W57&amp;AK$4,braves_19_25!$B:$B&amp;braves_19_25!$C:$C,braves_19_25!$R:$R),0)</f>
        <v>0</v>
      </c>
      <c r="AL57" s="19" cm="1">
        <f t="array" ref="AL57">IFERROR(_xlfn.XLOOKUP($W57&amp;AL$4,braves_19_25!$B:$B&amp;braves_19_25!$C:$C,braves_19_25!$R:$R),0)</f>
        <v>0</v>
      </c>
      <c r="AM57" s="24" cm="1">
        <f t="array" ref="AM57">IFERROR(_xlfn.XLOOKUP($W57&amp;AM$4,braves_19_25!$B:$B&amp;braves_19_25!$C:$C,braves_19_25!$R:$R),0)</f>
        <v>0</v>
      </c>
      <c r="AN57" s="27" cm="1">
        <f t="array" ref="AN57">SQRT(
    MMULT(
        MMULT(
            $X57:$AM57,
            $F$5:$U$20
        ),
        TRANSPOSE($X57:$AM57)
    )
)</f>
        <v>0.73409352827175256</v>
      </c>
    </row>
    <row r="58" spans="1:40" x14ac:dyDescent="0.3">
      <c r="A58" t="str">
        <v>Wilson, Bryse</v>
      </c>
      <c r="W58" s="14" t="str">
        <v>Vines, Darius</v>
      </c>
      <c r="X58" s="19" cm="1">
        <f t="array" ref="X58">IFERROR(_xlfn.XLOOKUP($W58&amp;X$4,braves_19_25!$B:$B&amp;braves_19_25!$C:$C,braves_19_25!$R:$R),0)</f>
        <v>0.35221238938053095</v>
      </c>
      <c r="Y58" s="19" cm="1">
        <f t="array" ref="Y58">IFERROR(_xlfn.XLOOKUP($W58&amp;Y$4,braves_19_25!$B:$B&amp;braves_19_25!$C:$C,braves_19_25!$R:$R),0)</f>
        <v>0</v>
      </c>
      <c r="Z58" s="19" cm="1">
        <f t="array" ref="Z58">IFERROR(_xlfn.XLOOKUP($W58&amp;Z$4,braves_19_25!$B:$B&amp;braves_19_25!$C:$C,braves_19_25!$R:$R),0)</f>
        <v>0.10619469026548672</v>
      </c>
      <c r="AA58" s="19" cm="1">
        <f t="array" ref="AA58">IFERROR(_xlfn.XLOOKUP($W58&amp;AA$4,braves_19_25!$B:$B&amp;braves_19_25!$C:$C,braves_19_25!$R:$R),0)</f>
        <v>2.4778761061946902E-2</v>
      </c>
      <c r="AB58" s="19" cm="1">
        <f t="array" ref="AB58">IFERROR(_xlfn.XLOOKUP($W58&amp;AB$4,braves_19_25!$B:$B&amp;braves_19_25!$C:$C,braves_19_25!$R:$R),0)</f>
        <v>0</v>
      </c>
      <c r="AC58" s="19" cm="1">
        <f t="array" ref="AC58">IFERROR(_xlfn.XLOOKUP($W58&amp;AC$4,braves_19_25!$B:$B&amp;braves_19_25!$C:$C,braves_19_25!$R:$R),0)</f>
        <v>0.24070796460176991</v>
      </c>
      <c r="AD58" s="19" cm="1">
        <f t="array" ref="AD58">IFERROR(_xlfn.XLOOKUP($W58&amp;AD$4,braves_19_25!$B:$B&amp;braves_19_25!$C:$C,braves_19_25!$R:$R),0)</f>
        <v>0.27610619469026548</v>
      </c>
      <c r="AE58" s="19" cm="1">
        <f t="array" ref="AE58">IFERROR(_xlfn.XLOOKUP($W58&amp;AE$4,braves_19_25!$B:$B&amp;braves_19_25!$C:$C,braves_19_25!$R:$R),0)</f>
        <v>0</v>
      </c>
      <c r="AF58" s="19" cm="1">
        <f t="array" ref="AF58">IFERROR(_xlfn.XLOOKUP($W58&amp;AF$4,braves_19_25!$B:$B&amp;braves_19_25!$C:$C,braves_19_25!$R:$R),0)</f>
        <v>0</v>
      </c>
      <c r="AG58" s="19" cm="1">
        <f t="array" ref="AG58">IFERROR(_xlfn.XLOOKUP($W58&amp;AG$4,braves_19_25!$B:$B&amp;braves_19_25!$C:$C,braves_19_25!$R:$R),0)</f>
        <v>0</v>
      </c>
      <c r="AH58" s="19" cm="1">
        <f t="array" ref="AH58">IFERROR(_xlfn.XLOOKUP($W58&amp;AH$4,braves_19_25!$B:$B&amp;braves_19_25!$C:$C,braves_19_25!$R:$R),0)</f>
        <v>0</v>
      </c>
      <c r="AI58" s="19" cm="1">
        <f t="array" ref="AI58">IFERROR(_xlfn.XLOOKUP($W58&amp;AI$4,braves_19_25!$B:$B&amp;braves_19_25!$C:$C,braves_19_25!$R:$R),0)</f>
        <v>0</v>
      </c>
      <c r="AJ58" s="19" cm="1">
        <f t="array" ref="AJ58">IFERROR(_xlfn.XLOOKUP($W58&amp;AJ$4,braves_19_25!$B:$B&amp;braves_19_25!$C:$C,braves_19_25!$R:$R),0)</f>
        <v>0</v>
      </c>
      <c r="AK58" s="19" cm="1">
        <f t="array" ref="AK58">IFERROR(_xlfn.XLOOKUP($W58&amp;AK$4,braves_19_25!$B:$B&amp;braves_19_25!$C:$C,braves_19_25!$R:$R),0)</f>
        <v>0</v>
      </c>
      <c r="AL58" s="19" cm="1">
        <f t="array" ref="AL58">IFERROR(_xlfn.XLOOKUP($W58&amp;AL$4,braves_19_25!$B:$B&amp;braves_19_25!$C:$C,braves_19_25!$R:$R),0)</f>
        <v>0</v>
      </c>
      <c r="AM58" s="24" cm="1">
        <f t="array" ref="AM58">IFERROR(_xlfn.XLOOKUP($W58&amp;AM$4,braves_19_25!$B:$B&amp;braves_19_25!$C:$C,braves_19_25!$R:$R),0)</f>
        <v>0</v>
      </c>
      <c r="AN58" s="27" cm="1">
        <f t="array" ref="AN58">SQRT(
    MMULT(
        MMULT(
            $X58:$AM58,
            $F$5:$U$20
        ),
        TRANSPOSE($X58:$AM58)
    )
)</f>
        <v>0.62354813746814708</v>
      </c>
    </row>
    <row r="59" spans="1:40" x14ac:dyDescent="0.3">
      <c r="A59" t="str">
        <v>Wentz, Joey</v>
      </c>
      <c r="W59" s="14" t="str">
        <v>Anderson, Nick</v>
      </c>
      <c r="X59" s="19" cm="1">
        <f t="array" ref="X59">IFERROR(_xlfn.XLOOKUP($W59&amp;X$4,braves_19_25!$B:$B&amp;braves_19_25!$C:$C,braves_19_25!$R:$R),0)</f>
        <v>0.41788321167883213</v>
      </c>
      <c r="Y59" s="19" cm="1">
        <f t="array" ref="Y59">IFERROR(_xlfn.XLOOKUP($W59&amp;Y$4,braves_19_25!$B:$B&amp;braves_19_25!$C:$C,braves_19_25!$R:$R),0)</f>
        <v>8.211678832116788E-2</v>
      </c>
      <c r="Z59" s="19" cm="1">
        <f t="array" ref="Z59">IFERROR(_xlfn.XLOOKUP($W59&amp;Z$4,braves_19_25!$B:$B&amp;braves_19_25!$C:$C,braves_19_25!$R:$R),0)</f>
        <v>0</v>
      </c>
      <c r="AA59" s="19" cm="1">
        <f t="array" ref="AA59">IFERROR(_xlfn.XLOOKUP($W59&amp;AA$4,braves_19_25!$B:$B&amp;braves_19_25!$C:$C,braves_19_25!$R:$R),0)</f>
        <v>0.5</v>
      </c>
      <c r="AB59" s="19" cm="1">
        <f t="array" ref="AB59">IFERROR(_xlfn.XLOOKUP($W59&amp;AB$4,braves_19_25!$B:$B&amp;braves_19_25!$C:$C,braves_19_25!$R:$R),0)</f>
        <v>0</v>
      </c>
      <c r="AC59" s="19" cm="1">
        <f t="array" ref="AC59">IFERROR(_xlfn.XLOOKUP($W59&amp;AC$4,braves_19_25!$B:$B&amp;braves_19_25!$C:$C,braves_19_25!$R:$R),0)</f>
        <v>0</v>
      </c>
      <c r="AD59" s="19" cm="1">
        <f t="array" ref="AD59">IFERROR(_xlfn.XLOOKUP($W59&amp;AD$4,braves_19_25!$B:$B&amp;braves_19_25!$C:$C,braves_19_25!$R:$R),0)</f>
        <v>0</v>
      </c>
      <c r="AE59" s="19" cm="1">
        <f t="array" ref="AE59">IFERROR(_xlfn.XLOOKUP($W59&amp;AE$4,braves_19_25!$B:$B&amp;braves_19_25!$C:$C,braves_19_25!$R:$R),0)</f>
        <v>0</v>
      </c>
      <c r="AF59" s="19" cm="1">
        <f t="array" ref="AF59">IFERROR(_xlfn.XLOOKUP($W59&amp;AF$4,braves_19_25!$B:$B&amp;braves_19_25!$C:$C,braves_19_25!$R:$R),0)</f>
        <v>0</v>
      </c>
      <c r="AG59" s="19" cm="1">
        <f t="array" ref="AG59">IFERROR(_xlfn.XLOOKUP($W59&amp;AG$4,braves_19_25!$B:$B&amp;braves_19_25!$C:$C,braves_19_25!$R:$R),0)</f>
        <v>0</v>
      </c>
      <c r="AH59" s="19" cm="1">
        <f t="array" ref="AH59">IFERROR(_xlfn.XLOOKUP($W59&amp;AH$4,braves_19_25!$B:$B&amp;braves_19_25!$C:$C,braves_19_25!$R:$R),0)</f>
        <v>0</v>
      </c>
      <c r="AI59" s="19" cm="1">
        <f t="array" ref="AI59">IFERROR(_xlfn.XLOOKUP($W59&amp;AI$4,braves_19_25!$B:$B&amp;braves_19_25!$C:$C,braves_19_25!$R:$R),0)</f>
        <v>0</v>
      </c>
      <c r="AJ59" s="19" cm="1">
        <f t="array" ref="AJ59">IFERROR(_xlfn.XLOOKUP($W59&amp;AJ$4,braves_19_25!$B:$B&amp;braves_19_25!$C:$C,braves_19_25!$R:$R),0)</f>
        <v>0</v>
      </c>
      <c r="AK59" s="19" cm="1">
        <f t="array" ref="AK59">IFERROR(_xlfn.XLOOKUP($W59&amp;AK$4,braves_19_25!$B:$B&amp;braves_19_25!$C:$C,braves_19_25!$R:$R),0)</f>
        <v>0</v>
      </c>
      <c r="AL59" s="19" cm="1">
        <f t="array" ref="AL59">IFERROR(_xlfn.XLOOKUP($W59&amp;AL$4,braves_19_25!$B:$B&amp;braves_19_25!$C:$C,braves_19_25!$R:$R),0)</f>
        <v>0</v>
      </c>
      <c r="AM59" s="24" cm="1">
        <f t="array" ref="AM59">IFERROR(_xlfn.XLOOKUP($W59&amp;AM$4,braves_19_25!$B:$B&amp;braves_19_25!$C:$C,braves_19_25!$R:$R),0)</f>
        <v>0</v>
      </c>
      <c r="AN59" s="27" cm="1">
        <f t="array" ref="AN59">SQRT(
    MMULT(
        MMULT(
            $X59:$AM59,
            $F$5:$U$20
        ),
        TRANSPOSE($X59:$AM59)
    )
)</f>
        <v>0.69239501995476527</v>
      </c>
    </row>
    <row r="60" spans="1:40" x14ac:dyDescent="0.3">
      <c r="A60" t="str">
        <v>Dodd, Dylan</v>
      </c>
      <c r="W60" s="14" t="str">
        <v>Fedde, Erick</v>
      </c>
      <c r="X60" s="19" cm="1">
        <f t="array" ref="X60">IFERROR(_xlfn.XLOOKUP($W60&amp;X$4,braves_19_25!$B:$B&amp;braves_19_25!$C:$C,braves_19_25!$R:$R),0)</f>
        <v>0</v>
      </c>
      <c r="Y60" s="19" cm="1">
        <f t="array" ref="Y60">IFERROR(_xlfn.XLOOKUP($W60&amp;Y$4,braves_19_25!$B:$B&amp;braves_19_25!$C:$C,braves_19_25!$R:$R),0)</f>
        <v>0.30309734513274339</v>
      </c>
      <c r="Z60" s="19" cm="1">
        <f t="array" ref="Z60">IFERROR(_xlfn.XLOOKUP($W60&amp;Z$4,braves_19_25!$B:$B&amp;braves_19_25!$C:$C,braves_19_25!$R:$R),0)</f>
        <v>0</v>
      </c>
      <c r="AA60" s="19" cm="1">
        <f t="array" ref="AA60">IFERROR(_xlfn.XLOOKUP($W60&amp;AA$4,braves_19_25!$B:$B&amp;braves_19_25!$C:$C,braves_19_25!$R:$R),0)</f>
        <v>0</v>
      </c>
      <c r="AB60" s="19" cm="1">
        <f t="array" ref="AB60">IFERROR(_xlfn.XLOOKUP($W60&amp;AB$4,braves_19_25!$B:$B&amp;braves_19_25!$C:$C,braves_19_25!$R:$R),0)</f>
        <v>0</v>
      </c>
      <c r="AC60" s="19" cm="1">
        <f t="array" ref="AC60">IFERROR(_xlfn.XLOOKUP($W60&amp;AC$4,braves_19_25!$B:$B&amp;braves_19_25!$C:$C,braves_19_25!$R:$R),0)</f>
        <v>0.30752212389380529</v>
      </c>
      <c r="AD60" s="19" cm="1">
        <f t="array" ref="AD60">IFERROR(_xlfn.XLOOKUP($W60&amp;AD$4,braves_19_25!$B:$B&amp;braves_19_25!$C:$C,braves_19_25!$R:$R),0)</f>
        <v>0.14601769911504425</v>
      </c>
      <c r="AE60" s="19" cm="1">
        <f t="array" ref="AE60">IFERROR(_xlfn.XLOOKUP($W60&amp;AE$4,braves_19_25!$B:$B&amp;braves_19_25!$C:$C,braves_19_25!$R:$R),0)</f>
        <v>0.24336283185840707</v>
      </c>
      <c r="AF60" s="19" cm="1">
        <f t="array" ref="AF60">IFERROR(_xlfn.XLOOKUP($W60&amp;AF$4,braves_19_25!$B:$B&amp;braves_19_25!$C:$C,braves_19_25!$R:$R),0)</f>
        <v>0</v>
      </c>
      <c r="AG60" s="19" cm="1">
        <f t="array" ref="AG60">IFERROR(_xlfn.XLOOKUP($W60&amp;AG$4,braves_19_25!$B:$B&amp;braves_19_25!$C:$C,braves_19_25!$R:$R),0)</f>
        <v>0</v>
      </c>
      <c r="AH60" s="19" cm="1">
        <f t="array" ref="AH60">IFERROR(_xlfn.XLOOKUP($W60&amp;AH$4,braves_19_25!$B:$B&amp;braves_19_25!$C:$C,braves_19_25!$R:$R),0)</f>
        <v>0</v>
      </c>
      <c r="AI60" s="19" cm="1">
        <f t="array" ref="AI60">IFERROR(_xlfn.XLOOKUP($W60&amp;AI$4,braves_19_25!$B:$B&amp;braves_19_25!$C:$C,braves_19_25!$R:$R),0)</f>
        <v>0</v>
      </c>
      <c r="AJ60" s="19" cm="1">
        <f t="array" ref="AJ60">IFERROR(_xlfn.XLOOKUP($W60&amp;AJ$4,braves_19_25!$B:$B&amp;braves_19_25!$C:$C,braves_19_25!$R:$R),0)</f>
        <v>0</v>
      </c>
      <c r="AK60" s="19" cm="1">
        <f t="array" ref="AK60">IFERROR(_xlfn.XLOOKUP($W60&amp;AK$4,braves_19_25!$B:$B&amp;braves_19_25!$C:$C,braves_19_25!$R:$R),0)</f>
        <v>0</v>
      </c>
      <c r="AL60" s="19" cm="1">
        <f t="array" ref="AL60">IFERROR(_xlfn.XLOOKUP($W60&amp;AL$4,braves_19_25!$B:$B&amp;braves_19_25!$C:$C,braves_19_25!$R:$R),0)</f>
        <v>0</v>
      </c>
      <c r="AM60" s="24" cm="1">
        <f t="array" ref="AM60">IFERROR(_xlfn.XLOOKUP($W60&amp;AM$4,braves_19_25!$B:$B&amp;braves_19_25!$C:$C,braves_19_25!$R:$R),0)</f>
        <v>0</v>
      </c>
      <c r="AN60" s="27" cm="1">
        <f t="array" ref="AN60">SQRT(
    MMULT(
        MMULT(
            $X60:$AM60,
            $F$5:$U$20
        ),
        TRANSPOSE($X60:$AM60)
    )
)</f>
        <v>0.63045799919279488</v>
      </c>
    </row>
    <row r="61" spans="1:40" x14ac:dyDescent="0.3">
      <c r="A61" t="str">
        <v>Hernández, Daysbel</v>
      </c>
      <c r="W61" s="14" t="str">
        <v>Biddle, Jesse</v>
      </c>
      <c r="X61" s="19" cm="1">
        <f t="array" ref="X61">IFERROR(_xlfn.XLOOKUP($W61&amp;X$4,braves_19_25!$B:$B&amp;braves_19_25!$C:$C,braves_19_25!$R:$R),0)</f>
        <v>0.49665924276169265</v>
      </c>
      <c r="Y61" s="19" cm="1">
        <f t="array" ref="Y61">IFERROR(_xlfn.XLOOKUP($W61&amp;Y$4,braves_19_25!$B:$B&amp;braves_19_25!$C:$C,braves_19_25!$R:$R),0)</f>
        <v>3.1180400890868598E-2</v>
      </c>
      <c r="Z61" s="19" cm="1">
        <f t="array" ref="Z61">IFERROR(_xlfn.XLOOKUP($W61&amp;Z$4,braves_19_25!$B:$B&amp;braves_19_25!$C:$C,braves_19_25!$R:$R),0)</f>
        <v>0.20712694877505569</v>
      </c>
      <c r="AA61" s="19" cm="1">
        <f t="array" ref="AA61">IFERROR(_xlfn.XLOOKUP($W61&amp;AA$4,braves_19_25!$B:$B&amp;braves_19_25!$C:$C,braves_19_25!$R:$R),0)</f>
        <v>0.26503340757238308</v>
      </c>
      <c r="AB61" s="19" cm="1">
        <f t="array" ref="AB61">IFERROR(_xlfn.XLOOKUP($W61&amp;AB$4,braves_19_25!$B:$B&amp;braves_19_25!$C:$C,braves_19_25!$R:$R),0)</f>
        <v>0</v>
      </c>
      <c r="AC61" s="19" cm="1">
        <f t="array" ref="AC61">IFERROR(_xlfn.XLOOKUP($W61&amp;AC$4,braves_19_25!$B:$B&amp;braves_19_25!$C:$C,braves_19_25!$R:$R),0)</f>
        <v>0</v>
      </c>
      <c r="AD61" s="19" cm="1">
        <f t="array" ref="AD61">IFERROR(_xlfn.XLOOKUP($W61&amp;AD$4,braves_19_25!$B:$B&amp;braves_19_25!$C:$C,braves_19_25!$R:$R),0)</f>
        <v>0</v>
      </c>
      <c r="AE61" s="19" cm="1">
        <f t="array" ref="AE61">IFERROR(_xlfn.XLOOKUP($W61&amp;AE$4,braves_19_25!$B:$B&amp;braves_19_25!$C:$C,braves_19_25!$R:$R),0)</f>
        <v>0</v>
      </c>
      <c r="AF61" s="19" cm="1">
        <f t="array" ref="AF61">IFERROR(_xlfn.XLOOKUP($W61&amp;AF$4,braves_19_25!$B:$B&amp;braves_19_25!$C:$C,braves_19_25!$R:$R),0)</f>
        <v>0</v>
      </c>
      <c r="AG61" s="19" cm="1">
        <f t="array" ref="AG61">IFERROR(_xlfn.XLOOKUP($W61&amp;AG$4,braves_19_25!$B:$B&amp;braves_19_25!$C:$C,braves_19_25!$R:$R),0)</f>
        <v>0</v>
      </c>
      <c r="AH61" s="19" cm="1">
        <f t="array" ref="AH61">IFERROR(_xlfn.XLOOKUP($W61&amp;AH$4,braves_19_25!$B:$B&amp;braves_19_25!$C:$C,braves_19_25!$R:$R),0)</f>
        <v>0</v>
      </c>
      <c r="AI61" s="19" cm="1">
        <f t="array" ref="AI61">IFERROR(_xlfn.XLOOKUP($W61&amp;AI$4,braves_19_25!$B:$B&amp;braves_19_25!$C:$C,braves_19_25!$R:$R),0)</f>
        <v>0</v>
      </c>
      <c r="AJ61" s="19" cm="1">
        <f t="array" ref="AJ61">IFERROR(_xlfn.XLOOKUP($W61&amp;AJ$4,braves_19_25!$B:$B&amp;braves_19_25!$C:$C,braves_19_25!$R:$R),0)</f>
        <v>0</v>
      </c>
      <c r="AK61" s="19" cm="1">
        <f t="array" ref="AK61">IFERROR(_xlfn.XLOOKUP($W61&amp;AK$4,braves_19_25!$B:$B&amp;braves_19_25!$C:$C,braves_19_25!$R:$R),0)</f>
        <v>0</v>
      </c>
      <c r="AL61" s="19" cm="1">
        <f t="array" ref="AL61">IFERROR(_xlfn.XLOOKUP($W61&amp;AL$4,braves_19_25!$B:$B&amp;braves_19_25!$C:$C,braves_19_25!$R:$R),0)</f>
        <v>0</v>
      </c>
      <c r="AM61" s="24" cm="1">
        <f t="array" ref="AM61">IFERROR(_xlfn.XLOOKUP($W61&amp;AM$4,braves_19_25!$B:$B&amp;braves_19_25!$C:$C,braves_19_25!$R:$R),0)</f>
        <v>0</v>
      </c>
      <c r="AN61" s="27" cm="1">
        <f t="array" ref="AN61">SQRT(
    MMULT(
        MMULT(
            $X61:$AM61,
            $F$5:$U$20
        ),
        TRANSPOSE($X61:$AM61)
    )
)</f>
        <v>0.61843944640706527</v>
      </c>
    </row>
    <row r="62" spans="1:40" x14ac:dyDescent="0.3">
      <c r="A62" t="str">
        <v>Greene, Shane</v>
      </c>
      <c r="W62" s="14" t="str">
        <v>Cox, Austin</v>
      </c>
      <c r="X62" s="19" cm="1">
        <f t="array" ref="X62">IFERROR(_xlfn.XLOOKUP($W62&amp;X$4,braves_19_25!$B:$B&amp;braves_19_25!$C:$C,braves_19_25!$R:$R),0)</f>
        <v>0.35597189695550352</v>
      </c>
      <c r="Y62" s="19" cm="1">
        <f t="array" ref="Y62">IFERROR(_xlfn.XLOOKUP($W62&amp;Y$4,braves_19_25!$B:$B&amp;braves_19_25!$C:$C,braves_19_25!$R:$R),0)</f>
        <v>4.6838407494145199E-3</v>
      </c>
      <c r="Z62" s="19" cm="1">
        <f t="array" ref="Z62">IFERROR(_xlfn.XLOOKUP($W62&amp;Z$4,braves_19_25!$B:$B&amp;braves_19_25!$C:$C,braves_19_25!$R:$R),0)</f>
        <v>0.32552693208430911</v>
      </c>
      <c r="AA62" s="19" cm="1">
        <f t="array" ref="AA62">IFERROR(_xlfn.XLOOKUP($W62&amp;AA$4,braves_19_25!$B:$B&amp;braves_19_25!$C:$C,braves_19_25!$R:$R),0)</f>
        <v>0.1756440281030445</v>
      </c>
      <c r="AB62" s="19" cm="1">
        <f t="array" ref="AB62">IFERROR(_xlfn.XLOOKUP($W62&amp;AB$4,braves_19_25!$B:$B&amp;braves_19_25!$C:$C,braves_19_25!$R:$R),0)</f>
        <v>0.10304449648711944</v>
      </c>
      <c r="AC62" s="19" cm="1">
        <f t="array" ref="AC62">IFERROR(_xlfn.XLOOKUP($W62&amp;AC$4,braves_19_25!$B:$B&amp;braves_19_25!$C:$C,braves_19_25!$R:$R),0)</f>
        <v>3.5128805620608897E-2</v>
      </c>
      <c r="AD62" s="19" cm="1">
        <f t="array" ref="AD62">IFERROR(_xlfn.XLOOKUP($W62&amp;AD$4,braves_19_25!$B:$B&amp;braves_19_25!$C:$C,braves_19_25!$R:$R),0)</f>
        <v>0</v>
      </c>
      <c r="AE62" s="19" cm="1">
        <f t="array" ref="AE62">IFERROR(_xlfn.XLOOKUP($W62&amp;AE$4,braves_19_25!$B:$B&amp;braves_19_25!$C:$C,braves_19_25!$R:$R),0)</f>
        <v>0</v>
      </c>
      <c r="AF62" s="19" cm="1">
        <f t="array" ref="AF62">IFERROR(_xlfn.XLOOKUP($W62&amp;AF$4,braves_19_25!$B:$B&amp;braves_19_25!$C:$C,braves_19_25!$R:$R),0)</f>
        <v>0</v>
      </c>
      <c r="AG62" s="19" cm="1">
        <f t="array" ref="AG62">IFERROR(_xlfn.XLOOKUP($W62&amp;AG$4,braves_19_25!$B:$B&amp;braves_19_25!$C:$C,braves_19_25!$R:$R),0)</f>
        <v>0</v>
      </c>
      <c r="AH62" s="19" cm="1">
        <f t="array" ref="AH62">IFERROR(_xlfn.XLOOKUP($W62&amp;AH$4,braves_19_25!$B:$B&amp;braves_19_25!$C:$C,braves_19_25!$R:$R),0)</f>
        <v>0</v>
      </c>
      <c r="AI62" s="19" cm="1">
        <f t="array" ref="AI62">IFERROR(_xlfn.XLOOKUP($W62&amp;AI$4,braves_19_25!$B:$B&amp;braves_19_25!$C:$C,braves_19_25!$R:$R),0)</f>
        <v>0</v>
      </c>
      <c r="AJ62" s="19" cm="1">
        <f t="array" ref="AJ62">IFERROR(_xlfn.XLOOKUP($W62&amp;AJ$4,braves_19_25!$B:$B&amp;braves_19_25!$C:$C,braves_19_25!$R:$R),0)</f>
        <v>0</v>
      </c>
      <c r="AK62" s="19" cm="1">
        <f t="array" ref="AK62">IFERROR(_xlfn.XLOOKUP($W62&amp;AK$4,braves_19_25!$B:$B&amp;braves_19_25!$C:$C,braves_19_25!$R:$R),0)</f>
        <v>0</v>
      </c>
      <c r="AL62" s="19" cm="1">
        <f t="array" ref="AL62">IFERROR(_xlfn.XLOOKUP($W62&amp;AL$4,braves_19_25!$B:$B&amp;braves_19_25!$C:$C,braves_19_25!$R:$R),0)</f>
        <v>0</v>
      </c>
      <c r="AM62" s="24" cm="1">
        <f t="array" ref="AM62">IFERROR(_xlfn.XLOOKUP($W62&amp;AM$4,braves_19_25!$B:$B&amp;braves_19_25!$C:$C,braves_19_25!$R:$R),0)</f>
        <v>0</v>
      </c>
      <c r="AN62" s="27" cm="1">
        <f t="array" ref="AN62">SQRT(
    MMULT(
        MMULT(
            $X62:$AM62,
            $F$5:$U$20
        ),
        TRANSPOSE($X62:$AM62)
    )
)</f>
        <v>0.54358085739172723</v>
      </c>
    </row>
    <row r="63" spans="1:40" x14ac:dyDescent="0.3">
      <c r="A63" t="str">
        <v>Webb, Jacob</v>
      </c>
      <c r="W63" s="14" t="str">
        <v>Erlin, Robbie</v>
      </c>
      <c r="X63" s="19" cm="1">
        <f t="array" ref="X63">IFERROR(_xlfn.XLOOKUP($W63&amp;X$4,braves_19_25!$B:$B&amp;braves_19_25!$C:$C,braves_19_25!$R:$R),0)</f>
        <v>0.54408060453400509</v>
      </c>
      <c r="Y63" s="19" cm="1">
        <f t="array" ref="Y63">IFERROR(_xlfn.XLOOKUP($W63&amp;Y$4,braves_19_25!$B:$B&amp;braves_19_25!$C:$C,braves_19_25!$R:$R),0)</f>
        <v>5.0377833753148613E-3</v>
      </c>
      <c r="Z63" s="19" cm="1">
        <f t="array" ref="Z63">IFERROR(_xlfn.XLOOKUP($W63&amp;Z$4,braves_19_25!$B:$B&amp;braves_19_25!$C:$C,braves_19_25!$R:$R),0)</f>
        <v>0</v>
      </c>
      <c r="AA63" s="19" cm="1">
        <f t="array" ref="AA63">IFERROR(_xlfn.XLOOKUP($W63&amp;AA$4,braves_19_25!$B:$B&amp;braves_19_25!$C:$C,braves_19_25!$R:$R),0)</f>
        <v>0.2871536523929471</v>
      </c>
      <c r="AB63" s="19" cm="1">
        <f t="array" ref="AB63">IFERROR(_xlfn.XLOOKUP($W63&amp;AB$4,braves_19_25!$B:$B&amp;braves_19_25!$C:$C,braves_19_25!$R:$R),0)</f>
        <v>0</v>
      </c>
      <c r="AC63" s="19" cm="1">
        <f t="array" ref="AC63">IFERROR(_xlfn.XLOOKUP($W63&amp;AC$4,braves_19_25!$B:$B&amp;braves_19_25!$C:$C,braves_19_25!$R:$R),0)</f>
        <v>0</v>
      </c>
      <c r="AD63" s="19" cm="1">
        <f t="array" ref="AD63">IFERROR(_xlfn.XLOOKUP($W63&amp;AD$4,braves_19_25!$B:$B&amp;braves_19_25!$C:$C,braves_19_25!$R:$R),0)</f>
        <v>0.16372795969773299</v>
      </c>
      <c r="AE63" s="19" cm="1">
        <f t="array" ref="AE63">IFERROR(_xlfn.XLOOKUP($W63&amp;AE$4,braves_19_25!$B:$B&amp;braves_19_25!$C:$C,braves_19_25!$R:$R),0)</f>
        <v>0</v>
      </c>
      <c r="AF63" s="19" cm="1">
        <f t="array" ref="AF63">IFERROR(_xlfn.XLOOKUP($W63&amp;AF$4,braves_19_25!$B:$B&amp;braves_19_25!$C:$C,braves_19_25!$R:$R),0)</f>
        <v>0</v>
      </c>
      <c r="AG63" s="19" cm="1">
        <f t="array" ref="AG63">IFERROR(_xlfn.XLOOKUP($W63&amp;AG$4,braves_19_25!$B:$B&amp;braves_19_25!$C:$C,braves_19_25!$R:$R),0)</f>
        <v>0</v>
      </c>
      <c r="AH63" s="19" cm="1">
        <f t="array" ref="AH63">IFERROR(_xlfn.XLOOKUP($W63&amp;AH$4,braves_19_25!$B:$B&amp;braves_19_25!$C:$C,braves_19_25!$R:$R),0)</f>
        <v>0</v>
      </c>
      <c r="AI63" s="19" cm="1">
        <f t="array" ref="AI63">IFERROR(_xlfn.XLOOKUP($W63&amp;AI$4,braves_19_25!$B:$B&amp;braves_19_25!$C:$C,braves_19_25!$R:$R),0)</f>
        <v>0</v>
      </c>
      <c r="AJ63" s="19" cm="1">
        <f t="array" ref="AJ63">IFERROR(_xlfn.XLOOKUP($W63&amp;AJ$4,braves_19_25!$B:$B&amp;braves_19_25!$C:$C,braves_19_25!$R:$R),0)</f>
        <v>0</v>
      </c>
      <c r="AK63" s="19" cm="1">
        <f t="array" ref="AK63">IFERROR(_xlfn.XLOOKUP($W63&amp;AK$4,braves_19_25!$B:$B&amp;braves_19_25!$C:$C,braves_19_25!$R:$R),0)</f>
        <v>0</v>
      </c>
      <c r="AL63" s="19" cm="1">
        <f t="array" ref="AL63">IFERROR(_xlfn.XLOOKUP($W63&amp;AL$4,braves_19_25!$B:$B&amp;braves_19_25!$C:$C,braves_19_25!$R:$R),0)</f>
        <v>0</v>
      </c>
      <c r="AM63" s="24" cm="1">
        <f t="array" ref="AM63">IFERROR(_xlfn.XLOOKUP($W63&amp;AM$4,braves_19_25!$B:$B&amp;braves_19_25!$C:$C,braves_19_25!$R:$R),0)</f>
        <v>0</v>
      </c>
      <c r="AN63" s="27" cm="1">
        <f t="array" ref="AN63">SQRT(
    MMULT(
        MMULT(
            $X63:$AM63,
            $F$5:$U$20
        ),
        TRANSPOSE($X63:$AM63)
    )
)</f>
        <v>0.63964872600116285</v>
      </c>
    </row>
    <row r="64" spans="1:40" x14ac:dyDescent="0.3">
      <c r="A64" t="str">
        <v>Jansen, Kenley</v>
      </c>
      <c r="W64" s="14" t="str">
        <v>Chirinos, Yonny</v>
      </c>
      <c r="X64" s="19" cm="1">
        <f t="array" ref="X64">IFERROR(_xlfn.XLOOKUP($W64&amp;X$4,braves_19_25!$B:$B&amp;braves_19_25!$C:$C,braves_19_25!$R:$R),0)</f>
        <v>3.0379746835443037E-2</v>
      </c>
      <c r="Y64" s="19" cm="1">
        <f t="array" ref="Y64">IFERROR(_xlfn.XLOOKUP($W64&amp;Y$4,braves_19_25!$B:$B&amp;braves_19_25!$C:$C,braves_19_25!$R:$R),0)</f>
        <v>0.45569620253164556</v>
      </c>
      <c r="Z64" s="19" cm="1">
        <f t="array" ref="Z64">IFERROR(_xlfn.XLOOKUP($W64&amp;Z$4,braves_19_25!$B:$B&amp;braves_19_25!$C:$C,braves_19_25!$R:$R),0)</f>
        <v>0.12911392405063291</v>
      </c>
      <c r="AA64" s="19" cm="1">
        <f t="array" ref="AA64">IFERROR(_xlfn.XLOOKUP($W64&amp;AA$4,braves_19_25!$B:$B&amp;braves_19_25!$C:$C,braves_19_25!$R:$R),0)</f>
        <v>0</v>
      </c>
      <c r="AB64" s="19" cm="1">
        <f t="array" ref="AB64">IFERROR(_xlfn.XLOOKUP($W64&amp;AB$4,braves_19_25!$B:$B&amp;braves_19_25!$C:$C,braves_19_25!$R:$R),0)</f>
        <v>0.38481012658227848</v>
      </c>
      <c r="AC64" s="19" cm="1">
        <f t="array" ref="AC64">IFERROR(_xlfn.XLOOKUP($W64&amp;AC$4,braves_19_25!$B:$B&amp;braves_19_25!$C:$C,braves_19_25!$R:$R),0)</f>
        <v>0</v>
      </c>
      <c r="AD64" s="19" cm="1">
        <f t="array" ref="AD64">IFERROR(_xlfn.XLOOKUP($W64&amp;AD$4,braves_19_25!$B:$B&amp;braves_19_25!$C:$C,braves_19_25!$R:$R),0)</f>
        <v>0</v>
      </c>
      <c r="AE64" s="19" cm="1">
        <f t="array" ref="AE64">IFERROR(_xlfn.XLOOKUP($W64&amp;AE$4,braves_19_25!$B:$B&amp;braves_19_25!$C:$C,braves_19_25!$R:$R),0)</f>
        <v>0</v>
      </c>
      <c r="AF64" s="19" cm="1">
        <f t="array" ref="AF64">IFERROR(_xlfn.XLOOKUP($W64&amp;AF$4,braves_19_25!$B:$B&amp;braves_19_25!$C:$C,braves_19_25!$R:$R),0)</f>
        <v>0</v>
      </c>
      <c r="AG64" s="19" cm="1">
        <f t="array" ref="AG64">IFERROR(_xlfn.XLOOKUP($W64&amp;AG$4,braves_19_25!$B:$B&amp;braves_19_25!$C:$C,braves_19_25!$R:$R),0)</f>
        <v>0</v>
      </c>
      <c r="AH64" s="19" cm="1">
        <f t="array" ref="AH64">IFERROR(_xlfn.XLOOKUP($W64&amp;AH$4,braves_19_25!$B:$B&amp;braves_19_25!$C:$C,braves_19_25!$R:$R),0)</f>
        <v>0</v>
      </c>
      <c r="AI64" s="19" cm="1">
        <f t="array" ref="AI64">IFERROR(_xlfn.XLOOKUP($W64&amp;AI$4,braves_19_25!$B:$B&amp;braves_19_25!$C:$C,braves_19_25!$R:$R),0)</f>
        <v>0</v>
      </c>
      <c r="AJ64" s="19" cm="1">
        <f t="array" ref="AJ64">IFERROR(_xlfn.XLOOKUP($W64&amp;AJ$4,braves_19_25!$B:$B&amp;braves_19_25!$C:$C,braves_19_25!$R:$R),0)</f>
        <v>0</v>
      </c>
      <c r="AK64" s="19" cm="1">
        <f t="array" ref="AK64">IFERROR(_xlfn.XLOOKUP($W64&amp;AK$4,braves_19_25!$B:$B&amp;braves_19_25!$C:$C,braves_19_25!$R:$R),0)</f>
        <v>0</v>
      </c>
      <c r="AL64" s="19" cm="1">
        <f t="array" ref="AL64">IFERROR(_xlfn.XLOOKUP($W64&amp;AL$4,braves_19_25!$B:$B&amp;braves_19_25!$C:$C,braves_19_25!$R:$R),0)</f>
        <v>0</v>
      </c>
      <c r="AM64" s="24" cm="1">
        <f t="array" ref="AM64">IFERROR(_xlfn.XLOOKUP($W64&amp;AM$4,braves_19_25!$B:$B&amp;braves_19_25!$C:$C,braves_19_25!$R:$R),0)</f>
        <v>0</v>
      </c>
      <c r="AN64" s="27" cm="1">
        <f t="array" ref="AN64">SQRT(
    MMULT(
        MMULT(
            $X64:$AM64,
            $F$5:$U$20
        ),
        TRANSPOSE($X64:$AM64)
    )
)</f>
        <v>0.62666793942012688</v>
      </c>
    </row>
    <row r="65" spans="1:40" x14ac:dyDescent="0.3">
      <c r="A65" t="str">
        <v>Waldrep, Hurston</v>
      </c>
      <c r="W65" s="14" t="str">
        <v>Rodríguez, Richard</v>
      </c>
      <c r="X65" s="19" cm="1">
        <f t="array" ref="X65">IFERROR(_xlfn.XLOOKUP($W65&amp;X$4,braves_19_25!$B:$B&amp;braves_19_25!$C:$C,braves_19_25!$R:$R),0)</f>
        <v>0.84895833333333337</v>
      </c>
      <c r="Y65" s="19" cm="1">
        <f t="array" ref="Y65">IFERROR(_xlfn.XLOOKUP($W65&amp;Y$4,braves_19_25!$B:$B&amp;braves_19_25!$C:$C,braves_19_25!$R:$R),0)</f>
        <v>0</v>
      </c>
      <c r="Z65" s="19" cm="1">
        <f t="array" ref="Z65">IFERROR(_xlfn.XLOOKUP($W65&amp;Z$4,braves_19_25!$B:$B&amp;braves_19_25!$C:$C,braves_19_25!$R:$R),0)</f>
        <v>0.15104166666666666</v>
      </c>
      <c r="AA65" s="19" cm="1">
        <f t="array" ref="AA65">IFERROR(_xlfn.XLOOKUP($W65&amp;AA$4,braves_19_25!$B:$B&amp;braves_19_25!$C:$C,braves_19_25!$R:$R),0)</f>
        <v>0</v>
      </c>
      <c r="AB65" s="19" cm="1">
        <f t="array" ref="AB65">IFERROR(_xlfn.XLOOKUP($W65&amp;AB$4,braves_19_25!$B:$B&amp;braves_19_25!$C:$C,braves_19_25!$R:$R),0)</f>
        <v>0</v>
      </c>
      <c r="AC65" s="19" cm="1">
        <f t="array" ref="AC65">IFERROR(_xlfn.XLOOKUP($W65&amp;AC$4,braves_19_25!$B:$B&amp;braves_19_25!$C:$C,braves_19_25!$R:$R),0)</f>
        <v>0</v>
      </c>
      <c r="AD65" s="19" cm="1">
        <f t="array" ref="AD65">IFERROR(_xlfn.XLOOKUP($W65&amp;AD$4,braves_19_25!$B:$B&amp;braves_19_25!$C:$C,braves_19_25!$R:$R),0)</f>
        <v>0</v>
      </c>
      <c r="AE65" s="19" cm="1">
        <f t="array" ref="AE65">IFERROR(_xlfn.XLOOKUP($W65&amp;AE$4,braves_19_25!$B:$B&amp;braves_19_25!$C:$C,braves_19_25!$R:$R),0)</f>
        <v>0</v>
      </c>
      <c r="AF65" s="19" cm="1">
        <f t="array" ref="AF65">IFERROR(_xlfn.XLOOKUP($W65&amp;AF$4,braves_19_25!$B:$B&amp;braves_19_25!$C:$C,braves_19_25!$R:$R),0)</f>
        <v>0</v>
      </c>
      <c r="AG65" s="19" cm="1">
        <f t="array" ref="AG65">IFERROR(_xlfn.XLOOKUP($W65&amp;AG$4,braves_19_25!$B:$B&amp;braves_19_25!$C:$C,braves_19_25!$R:$R),0)</f>
        <v>0</v>
      </c>
      <c r="AH65" s="19" cm="1">
        <f t="array" ref="AH65">IFERROR(_xlfn.XLOOKUP($W65&amp;AH$4,braves_19_25!$B:$B&amp;braves_19_25!$C:$C,braves_19_25!$R:$R),0)</f>
        <v>0</v>
      </c>
      <c r="AI65" s="19" cm="1">
        <f t="array" ref="AI65">IFERROR(_xlfn.XLOOKUP($W65&amp;AI$4,braves_19_25!$B:$B&amp;braves_19_25!$C:$C,braves_19_25!$R:$R),0)</f>
        <v>0</v>
      </c>
      <c r="AJ65" s="19" cm="1">
        <f t="array" ref="AJ65">IFERROR(_xlfn.XLOOKUP($W65&amp;AJ$4,braves_19_25!$B:$B&amp;braves_19_25!$C:$C,braves_19_25!$R:$R),0)</f>
        <v>0</v>
      </c>
      <c r="AK65" s="19" cm="1">
        <f t="array" ref="AK65">IFERROR(_xlfn.XLOOKUP($W65&amp;AK$4,braves_19_25!$B:$B&amp;braves_19_25!$C:$C,braves_19_25!$R:$R),0)</f>
        <v>0</v>
      </c>
      <c r="AL65" s="19" cm="1">
        <f t="array" ref="AL65">IFERROR(_xlfn.XLOOKUP($W65&amp;AL$4,braves_19_25!$B:$B&amp;braves_19_25!$C:$C,braves_19_25!$R:$R),0)</f>
        <v>0</v>
      </c>
      <c r="AM65" s="24" cm="1">
        <f t="array" ref="AM65">IFERROR(_xlfn.XLOOKUP($W65&amp;AM$4,braves_19_25!$B:$B&amp;braves_19_25!$C:$C,braves_19_25!$R:$R),0)</f>
        <v>0</v>
      </c>
      <c r="AN65" s="27" cm="1">
        <f t="array" ref="AN65">SQRT(
    MMULT(
        MMULT(
            $X65:$AM65,
            $F$5:$U$20
        ),
        TRANSPOSE($X65:$AM65)
    )
)</f>
        <v>0.86228987980003313</v>
      </c>
    </row>
    <row r="66" spans="1:40" x14ac:dyDescent="0.3">
      <c r="A66" t="str">
        <v>Dayton, Grant</v>
      </c>
      <c r="W66" s="14" t="str">
        <v>Kerr, Ray</v>
      </c>
      <c r="X66" s="19" cm="1">
        <f t="array" ref="X66">IFERROR(_xlfn.XLOOKUP($W66&amp;X$4,braves_19_25!$B:$B&amp;braves_19_25!$C:$C,braves_19_25!$R:$R),0)</f>
        <v>0.44647519582245432</v>
      </c>
      <c r="Y66" s="19" cm="1">
        <f t="array" ref="Y66">IFERROR(_xlfn.XLOOKUP($W66&amp;Y$4,braves_19_25!$B:$B&amp;braves_19_25!$C:$C,braves_19_25!$R:$R),0)</f>
        <v>0</v>
      </c>
      <c r="Z66" s="19" cm="1">
        <f t="array" ref="Z66">IFERROR(_xlfn.XLOOKUP($W66&amp;Z$4,braves_19_25!$B:$B&amp;braves_19_25!$C:$C,braves_19_25!$R:$R),0)</f>
        <v>0</v>
      </c>
      <c r="AA66" s="19" cm="1">
        <f t="array" ref="AA66">IFERROR(_xlfn.XLOOKUP($W66&amp;AA$4,braves_19_25!$B:$B&amp;braves_19_25!$C:$C,braves_19_25!$R:$R),0)</f>
        <v>0.4699738903394256</v>
      </c>
      <c r="AB66" s="19" cm="1">
        <f t="array" ref="AB66">IFERROR(_xlfn.XLOOKUP($W66&amp;AB$4,braves_19_25!$B:$B&amp;braves_19_25!$C:$C,braves_19_25!$R:$R),0)</f>
        <v>4.4386422976501305E-2</v>
      </c>
      <c r="AC66" s="19" cm="1">
        <f t="array" ref="AC66">IFERROR(_xlfn.XLOOKUP($W66&amp;AC$4,braves_19_25!$B:$B&amp;braves_19_25!$C:$C,braves_19_25!$R:$R),0)</f>
        <v>3.91644908616188E-2</v>
      </c>
      <c r="AD66" s="19" cm="1">
        <f t="array" ref="AD66">IFERROR(_xlfn.XLOOKUP($W66&amp;AD$4,braves_19_25!$B:$B&amp;braves_19_25!$C:$C,braves_19_25!$R:$R),0)</f>
        <v>0</v>
      </c>
      <c r="AE66" s="19" cm="1">
        <f t="array" ref="AE66">IFERROR(_xlfn.XLOOKUP($W66&amp;AE$4,braves_19_25!$B:$B&amp;braves_19_25!$C:$C,braves_19_25!$R:$R),0)</f>
        <v>0</v>
      </c>
      <c r="AF66" s="19" cm="1">
        <f t="array" ref="AF66">IFERROR(_xlfn.XLOOKUP($W66&amp;AF$4,braves_19_25!$B:$B&amp;braves_19_25!$C:$C,braves_19_25!$R:$R),0)</f>
        <v>0</v>
      </c>
      <c r="AG66" s="19" cm="1">
        <f t="array" ref="AG66">IFERROR(_xlfn.XLOOKUP($W66&amp;AG$4,braves_19_25!$B:$B&amp;braves_19_25!$C:$C,braves_19_25!$R:$R),0)</f>
        <v>0</v>
      </c>
      <c r="AH66" s="19" cm="1">
        <f t="array" ref="AH66">IFERROR(_xlfn.XLOOKUP($W66&amp;AH$4,braves_19_25!$B:$B&amp;braves_19_25!$C:$C,braves_19_25!$R:$R),0)</f>
        <v>0</v>
      </c>
      <c r="AI66" s="19" cm="1">
        <f t="array" ref="AI66">IFERROR(_xlfn.XLOOKUP($W66&amp;AI$4,braves_19_25!$B:$B&amp;braves_19_25!$C:$C,braves_19_25!$R:$R),0)</f>
        <v>0</v>
      </c>
      <c r="AJ66" s="19" cm="1">
        <f t="array" ref="AJ66">IFERROR(_xlfn.XLOOKUP($W66&amp;AJ$4,braves_19_25!$B:$B&amp;braves_19_25!$C:$C,braves_19_25!$R:$R),0)</f>
        <v>0</v>
      </c>
      <c r="AK66" s="19" cm="1">
        <f t="array" ref="AK66">IFERROR(_xlfn.XLOOKUP($W66&amp;AK$4,braves_19_25!$B:$B&amp;braves_19_25!$C:$C,braves_19_25!$R:$R),0)</f>
        <v>0</v>
      </c>
      <c r="AL66" s="19" cm="1">
        <f t="array" ref="AL66">IFERROR(_xlfn.XLOOKUP($W66&amp;AL$4,braves_19_25!$B:$B&amp;braves_19_25!$C:$C,braves_19_25!$R:$R),0)</f>
        <v>0</v>
      </c>
      <c r="AM66" s="24" cm="1">
        <f t="array" ref="AM66">IFERROR(_xlfn.XLOOKUP($W66&amp;AM$4,braves_19_25!$B:$B&amp;braves_19_25!$C:$C,braves_19_25!$R:$R),0)</f>
        <v>0</v>
      </c>
      <c r="AN66" s="27" cm="1">
        <f t="array" ref="AN66">SQRT(
    MMULT(
        MMULT(
            $X66:$AM66,
            $F$5:$U$20
        ),
        TRANSPOSE($X66:$AM66)
    )
)</f>
        <v>0.66947735823699916</v>
      </c>
    </row>
    <row r="67" spans="1:40" x14ac:dyDescent="0.3">
      <c r="A67" t="str">
        <v>Muller, Kyle</v>
      </c>
      <c r="W67" s="14" t="str">
        <v>Kinley, Tyler</v>
      </c>
      <c r="X67" s="19" cm="1">
        <f t="array" ref="X67">IFERROR(_xlfn.XLOOKUP($W67&amp;X$4,braves_19_25!$B:$B&amp;braves_19_25!$C:$C,braves_19_25!$R:$R),0)</f>
        <v>0.14164305949008499</v>
      </c>
      <c r="Y67" s="19" cm="1">
        <f t="array" ref="Y67">IFERROR(_xlfn.XLOOKUP($W67&amp;Y$4,braves_19_25!$B:$B&amp;braves_19_25!$C:$C,braves_19_25!$R:$R),0)</f>
        <v>0</v>
      </c>
      <c r="Z67" s="19" cm="1">
        <f t="array" ref="Z67">IFERROR(_xlfn.XLOOKUP($W67&amp;Z$4,braves_19_25!$B:$B&amp;braves_19_25!$C:$C,braves_19_25!$R:$R),0)</f>
        <v>0.73654390934844194</v>
      </c>
      <c r="AA67" s="19" cm="1">
        <f t="array" ref="AA67">IFERROR(_xlfn.XLOOKUP($W67&amp;AA$4,braves_19_25!$B:$B&amp;braves_19_25!$C:$C,braves_19_25!$R:$R),0)</f>
        <v>0.12181303116147309</v>
      </c>
      <c r="AB67" s="19" cm="1">
        <f t="array" ref="AB67">IFERROR(_xlfn.XLOOKUP($W67&amp;AB$4,braves_19_25!$B:$B&amp;braves_19_25!$C:$C,braves_19_25!$R:$R),0)</f>
        <v>0</v>
      </c>
      <c r="AC67" s="19" cm="1">
        <f t="array" ref="AC67">IFERROR(_xlfn.XLOOKUP($W67&amp;AC$4,braves_19_25!$B:$B&amp;braves_19_25!$C:$C,braves_19_25!$R:$R),0)</f>
        <v>0</v>
      </c>
      <c r="AD67" s="19" cm="1">
        <f t="array" ref="AD67">IFERROR(_xlfn.XLOOKUP($W67&amp;AD$4,braves_19_25!$B:$B&amp;braves_19_25!$C:$C,braves_19_25!$R:$R),0)</f>
        <v>0</v>
      </c>
      <c r="AE67" s="19" cm="1">
        <f t="array" ref="AE67">IFERROR(_xlfn.XLOOKUP($W67&amp;AE$4,braves_19_25!$B:$B&amp;braves_19_25!$C:$C,braves_19_25!$R:$R),0)</f>
        <v>0</v>
      </c>
      <c r="AF67" s="19" cm="1">
        <f t="array" ref="AF67">IFERROR(_xlfn.XLOOKUP($W67&amp;AF$4,braves_19_25!$B:$B&amp;braves_19_25!$C:$C,braves_19_25!$R:$R),0)</f>
        <v>0</v>
      </c>
      <c r="AG67" s="19" cm="1">
        <f t="array" ref="AG67">IFERROR(_xlfn.XLOOKUP($W67&amp;AG$4,braves_19_25!$B:$B&amp;braves_19_25!$C:$C,braves_19_25!$R:$R),0)</f>
        <v>0</v>
      </c>
      <c r="AH67" s="19" cm="1">
        <f t="array" ref="AH67">IFERROR(_xlfn.XLOOKUP($W67&amp;AH$4,braves_19_25!$B:$B&amp;braves_19_25!$C:$C,braves_19_25!$R:$R),0)</f>
        <v>0</v>
      </c>
      <c r="AI67" s="19" cm="1">
        <f t="array" ref="AI67">IFERROR(_xlfn.XLOOKUP($W67&amp;AI$4,braves_19_25!$B:$B&amp;braves_19_25!$C:$C,braves_19_25!$R:$R),0)</f>
        <v>0</v>
      </c>
      <c r="AJ67" s="19" cm="1">
        <f t="array" ref="AJ67">IFERROR(_xlfn.XLOOKUP($W67&amp;AJ$4,braves_19_25!$B:$B&amp;braves_19_25!$C:$C,braves_19_25!$R:$R),0)</f>
        <v>0</v>
      </c>
      <c r="AK67" s="19" cm="1">
        <f t="array" ref="AK67">IFERROR(_xlfn.XLOOKUP($W67&amp;AK$4,braves_19_25!$B:$B&amp;braves_19_25!$C:$C,braves_19_25!$R:$R),0)</f>
        <v>0</v>
      </c>
      <c r="AL67" s="19" cm="1">
        <f t="array" ref="AL67">IFERROR(_xlfn.XLOOKUP($W67&amp;AL$4,braves_19_25!$B:$B&amp;braves_19_25!$C:$C,braves_19_25!$R:$R),0)</f>
        <v>0</v>
      </c>
      <c r="AM67" s="24" cm="1">
        <f t="array" ref="AM67">IFERROR(_xlfn.XLOOKUP($W67&amp;AM$4,braves_19_25!$B:$B&amp;braves_19_25!$C:$C,braves_19_25!$R:$R),0)</f>
        <v>0</v>
      </c>
      <c r="AN67" s="27" cm="1">
        <f t="array" ref="AN67">SQRT(
    MMULT(
        MMULT(
            $X67:$AM67,
            $F$5:$U$20
        ),
        TRANSPOSE($X67:$AM67)
    )
)</f>
        <v>0.75986716027259893</v>
      </c>
    </row>
    <row r="68" spans="1:40" x14ac:dyDescent="0.3">
      <c r="A68" t="str">
        <v>Shuster, Jared</v>
      </c>
      <c r="W68" s="14" t="str">
        <v>Hand, Brad</v>
      </c>
      <c r="X68" s="19" cm="1">
        <f t="array" ref="X68">IFERROR(_xlfn.XLOOKUP($W68&amp;X$4,braves_19_25!$B:$B&amp;braves_19_25!$C:$C,braves_19_25!$R:$R),0)</f>
        <v>0.30793650793650795</v>
      </c>
      <c r="Y68" s="19" cm="1">
        <f t="array" ref="Y68">IFERROR(_xlfn.XLOOKUP($W68&amp;Y$4,braves_19_25!$B:$B&amp;braves_19_25!$C:$C,braves_19_25!$R:$R),0)</f>
        <v>0.11746031746031746</v>
      </c>
      <c r="Z68" s="19" cm="1">
        <f t="array" ref="Z68">IFERROR(_xlfn.XLOOKUP($W68&amp;Z$4,braves_19_25!$B:$B&amp;braves_19_25!$C:$C,braves_19_25!$R:$R),0)</f>
        <v>0</v>
      </c>
      <c r="AA68" s="19" cm="1">
        <f t="array" ref="AA68">IFERROR(_xlfn.XLOOKUP($W68&amp;AA$4,braves_19_25!$B:$B&amp;braves_19_25!$C:$C,braves_19_25!$R:$R),0)</f>
        <v>0</v>
      </c>
      <c r="AB68" s="19" cm="1">
        <f t="array" ref="AB68">IFERROR(_xlfn.XLOOKUP($W68&amp;AB$4,braves_19_25!$B:$B&amp;braves_19_25!$C:$C,braves_19_25!$R:$R),0)</f>
        <v>0</v>
      </c>
      <c r="AC68" s="19" cm="1">
        <f t="array" ref="AC68">IFERROR(_xlfn.XLOOKUP($W68&amp;AC$4,braves_19_25!$B:$B&amp;braves_19_25!$C:$C,braves_19_25!$R:$R),0)</f>
        <v>0</v>
      </c>
      <c r="AD68" s="19" cm="1">
        <f t="array" ref="AD68">IFERROR(_xlfn.XLOOKUP($W68&amp;AD$4,braves_19_25!$B:$B&amp;braves_19_25!$C:$C,braves_19_25!$R:$R),0)</f>
        <v>0</v>
      </c>
      <c r="AE68" s="19" cm="1">
        <f t="array" ref="AE68">IFERROR(_xlfn.XLOOKUP($W68&amp;AE$4,braves_19_25!$B:$B&amp;braves_19_25!$C:$C,braves_19_25!$R:$R),0)</f>
        <v>0.57460317460317456</v>
      </c>
      <c r="AF68" s="19" cm="1">
        <f t="array" ref="AF68">IFERROR(_xlfn.XLOOKUP($W68&amp;AF$4,braves_19_25!$B:$B&amp;braves_19_25!$C:$C,braves_19_25!$R:$R),0)</f>
        <v>0</v>
      </c>
      <c r="AG68" s="19" cm="1">
        <f t="array" ref="AG68">IFERROR(_xlfn.XLOOKUP($W68&amp;AG$4,braves_19_25!$B:$B&amp;braves_19_25!$C:$C,braves_19_25!$R:$R),0)</f>
        <v>0</v>
      </c>
      <c r="AH68" s="19" cm="1">
        <f t="array" ref="AH68">IFERROR(_xlfn.XLOOKUP($W68&amp;AH$4,braves_19_25!$B:$B&amp;braves_19_25!$C:$C,braves_19_25!$R:$R),0)</f>
        <v>0</v>
      </c>
      <c r="AI68" s="19" cm="1">
        <f t="array" ref="AI68">IFERROR(_xlfn.XLOOKUP($W68&amp;AI$4,braves_19_25!$B:$B&amp;braves_19_25!$C:$C,braves_19_25!$R:$R),0)</f>
        <v>0</v>
      </c>
      <c r="AJ68" s="19" cm="1">
        <f t="array" ref="AJ68">IFERROR(_xlfn.XLOOKUP($W68&amp;AJ$4,braves_19_25!$B:$B&amp;braves_19_25!$C:$C,braves_19_25!$R:$R),0)</f>
        <v>0</v>
      </c>
      <c r="AK68" s="19" cm="1">
        <f t="array" ref="AK68">IFERROR(_xlfn.XLOOKUP($W68&amp;AK$4,braves_19_25!$B:$B&amp;braves_19_25!$C:$C,braves_19_25!$R:$R),0)</f>
        <v>0</v>
      </c>
      <c r="AL68" s="19" cm="1">
        <f t="array" ref="AL68">IFERROR(_xlfn.XLOOKUP($W68&amp;AL$4,braves_19_25!$B:$B&amp;braves_19_25!$C:$C,braves_19_25!$R:$R),0)</f>
        <v>0</v>
      </c>
      <c r="AM68" s="24" cm="1">
        <f t="array" ref="AM68">IFERROR(_xlfn.XLOOKUP($W68&amp;AM$4,braves_19_25!$B:$B&amp;braves_19_25!$C:$C,braves_19_25!$R:$R),0)</f>
        <v>0</v>
      </c>
      <c r="AN68" s="27" cm="1">
        <f t="array" ref="AN68">SQRT(
    MMULT(
        MMULT(
            $X68:$AM68,
            $F$5:$U$20
        ),
        TRANSPOSE($X68:$AM68)
    )
)</f>
        <v>0.69959207780951693</v>
      </c>
    </row>
    <row r="69" spans="1:40" x14ac:dyDescent="0.3">
      <c r="A69" t="str">
        <v>Odorizzi, Jake</v>
      </c>
      <c r="W69" s="14" t="str">
        <v>Heller, Ben</v>
      </c>
      <c r="X69" s="19" cm="1">
        <f t="array" ref="X69">IFERROR(_xlfn.XLOOKUP($W69&amp;X$4,braves_19_25!$B:$B&amp;braves_19_25!$C:$C,braves_19_25!$R:$R),0)</f>
        <v>5.844155844155844E-2</v>
      </c>
      <c r="Y69" s="19" cm="1">
        <f t="array" ref="Y69">IFERROR(_xlfn.XLOOKUP($W69&amp;Y$4,braves_19_25!$B:$B&amp;braves_19_25!$C:$C,braves_19_25!$R:$R),0)</f>
        <v>0.38961038961038963</v>
      </c>
      <c r="Z69" s="19" cm="1">
        <f t="array" ref="Z69">IFERROR(_xlfn.XLOOKUP($W69&amp;Z$4,braves_19_25!$B:$B&amp;braves_19_25!$C:$C,braves_19_25!$R:$R),0)</f>
        <v>0</v>
      </c>
      <c r="AA69" s="19" cm="1">
        <f t="array" ref="AA69">IFERROR(_xlfn.XLOOKUP($W69&amp;AA$4,braves_19_25!$B:$B&amp;braves_19_25!$C:$C,braves_19_25!$R:$R),0)</f>
        <v>0</v>
      </c>
      <c r="AB69" s="19" cm="1">
        <f t="array" ref="AB69">IFERROR(_xlfn.XLOOKUP($W69&amp;AB$4,braves_19_25!$B:$B&amp;braves_19_25!$C:$C,braves_19_25!$R:$R),0)</f>
        <v>0</v>
      </c>
      <c r="AC69" s="19" cm="1">
        <f t="array" ref="AC69">IFERROR(_xlfn.XLOOKUP($W69&amp;AC$4,braves_19_25!$B:$B&amp;braves_19_25!$C:$C,braves_19_25!$R:$R),0)</f>
        <v>0.29220779220779219</v>
      </c>
      <c r="AD69" s="19" cm="1">
        <f t="array" ref="AD69">IFERROR(_xlfn.XLOOKUP($W69&amp;AD$4,braves_19_25!$B:$B&amp;braves_19_25!$C:$C,braves_19_25!$R:$R),0)</f>
        <v>0.12662337662337661</v>
      </c>
      <c r="AE69" s="19" cm="1">
        <f t="array" ref="AE69">IFERROR(_xlfn.XLOOKUP($W69&amp;AE$4,braves_19_25!$B:$B&amp;braves_19_25!$C:$C,braves_19_25!$R:$R),0)</f>
        <v>0.13311688311688311</v>
      </c>
      <c r="AF69" s="19" cm="1">
        <f t="array" ref="AF69">IFERROR(_xlfn.XLOOKUP($W69&amp;AF$4,braves_19_25!$B:$B&amp;braves_19_25!$C:$C,braves_19_25!$R:$R),0)</f>
        <v>0</v>
      </c>
      <c r="AG69" s="19" cm="1">
        <f t="array" ref="AG69">IFERROR(_xlfn.XLOOKUP($W69&amp;AG$4,braves_19_25!$B:$B&amp;braves_19_25!$C:$C,braves_19_25!$R:$R),0)</f>
        <v>0</v>
      </c>
      <c r="AH69" s="19" cm="1">
        <f t="array" ref="AH69">IFERROR(_xlfn.XLOOKUP($W69&amp;AH$4,braves_19_25!$B:$B&amp;braves_19_25!$C:$C,braves_19_25!$R:$R),0)</f>
        <v>0</v>
      </c>
      <c r="AI69" s="19" cm="1">
        <f t="array" ref="AI69">IFERROR(_xlfn.XLOOKUP($W69&amp;AI$4,braves_19_25!$B:$B&amp;braves_19_25!$C:$C,braves_19_25!$R:$R),0)</f>
        <v>0</v>
      </c>
      <c r="AJ69" s="19" cm="1">
        <f t="array" ref="AJ69">IFERROR(_xlfn.XLOOKUP($W69&amp;AJ$4,braves_19_25!$B:$B&amp;braves_19_25!$C:$C,braves_19_25!$R:$R),0)</f>
        <v>0</v>
      </c>
      <c r="AK69" s="19" cm="1">
        <f t="array" ref="AK69">IFERROR(_xlfn.XLOOKUP($W69&amp;AK$4,braves_19_25!$B:$B&amp;braves_19_25!$C:$C,braves_19_25!$R:$R),0)</f>
        <v>0</v>
      </c>
      <c r="AL69" s="19" cm="1">
        <f t="array" ref="AL69">IFERROR(_xlfn.XLOOKUP($W69&amp;AL$4,braves_19_25!$B:$B&amp;braves_19_25!$C:$C,braves_19_25!$R:$R),0)</f>
        <v>0</v>
      </c>
      <c r="AM69" s="24" cm="1">
        <f t="array" ref="AM69">IFERROR(_xlfn.XLOOKUP($W69&amp;AM$4,braves_19_25!$B:$B&amp;braves_19_25!$C:$C,braves_19_25!$R:$R),0)</f>
        <v>0</v>
      </c>
      <c r="AN69" s="27" cm="1">
        <f t="array" ref="AN69">SQRT(
    MMULT(
        MMULT(
            $X69:$AM69,
            $F$5:$U$20
        ),
        TRANSPOSE($X69:$AM69)
    )
)</f>
        <v>0.69965837506212203</v>
      </c>
    </row>
    <row r="70" spans="1:40" x14ac:dyDescent="0.3">
      <c r="A70" t="str">
        <v>De Los Santos, Enyel</v>
      </c>
      <c r="W70" s="14" t="str">
        <v>Suarez, José</v>
      </c>
      <c r="X70" s="19" cm="1">
        <f t="array" ref="X70">IFERROR(_xlfn.XLOOKUP($W70&amp;X$4,braves_19_25!$B:$B&amp;braves_19_25!$C:$C,braves_19_25!$R:$R),0)</f>
        <v>0.41694915254237286</v>
      </c>
      <c r="Y70" s="19" cm="1">
        <f t="array" ref="Y70">IFERROR(_xlfn.XLOOKUP($W70&amp;Y$4,braves_19_25!$B:$B&amp;braves_19_25!$C:$C,braves_19_25!$R:$R),0)</f>
        <v>6.7796610169491525E-2</v>
      </c>
      <c r="Z70" s="19" cm="1">
        <f t="array" ref="Z70">IFERROR(_xlfn.XLOOKUP($W70&amp;Z$4,braves_19_25!$B:$B&amp;braves_19_25!$C:$C,braves_19_25!$R:$R),0)</f>
        <v>0.21016949152542372</v>
      </c>
      <c r="AA70" s="19" cm="1">
        <f t="array" ref="AA70">IFERROR(_xlfn.XLOOKUP($W70&amp;AA$4,braves_19_25!$B:$B&amp;braves_19_25!$C:$C,braves_19_25!$R:$R),0)</f>
        <v>3.3898305084745762E-3</v>
      </c>
      <c r="AB70" s="19" cm="1">
        <f t="array" ref="AB70">IFERROR(_xlfn.XLOOKUP($W70&amp;AB$4,braves_19_25!$B:$B&amp;braves_19_25!$C:$C,braves_19_25!$R:$R),0)</f>
        <v>0</v>
      </c>
      <c r="AC70" s="19" cm="1">
        <f t="array" ref="AC70">IFERROR(_xlfn.XLOOKUP($W70&amp;AC$4,braves_19_25!$B:$B&amp;braves_19_25!$C:$C,braves_19_25!$R:$R),0)</f>
        <v>0</v>
      </c>
      <c r="AD70" s="19" cm="1">
        <f t="array" ref="AD70">IFERROR(_xlfn.XLOOKUP($W70&amp;AD$4,braves_19_25!$B:$B&amp;braves_19_25!$C:$C,braves_19_25!$R:$R),0)</f>
        <v>0.28474576271186441</v>
      </c>
      <c r="AE70" s="19" cm="1">
        <f t="array" ref="AE70">IFERROR(_xlfn.XLOOKUP($W70&amp;AE$4,braves_19_25!$B:$B&amp;braves_19_25!$C:$C,braves_19_25!$R:$R),0)</f>
        <v>1.6949152542372881E-2</v>
      </c>
      <c r="AF70" s="19" cm="1">
        <f t="array" ref="AF70">IFERROR(_xlfn.XLOOKUP($W70&amp;AF$4,braves_19_25!$B:$B&amp;braves_19_25!$C:$C,braves_19_25!$R:$R),0)</f>
        <v>0</v>
      </c>
      <c r="AG70" s="19" cm="1">
        <f t="array" ref="AG70">IFERROR(_xlfn.XLOOKUP($W70&amp;AG$4,braves_19_25!$B:$B&amp;braves_19_25!$C:$C,braves_19_25!$R:$R),0)</f>
        <v>0</v>
      </c>
      <c r="AH70" s="19" cm="1">
        <f t="array" ref="AH70">IFERROR(_xlfn.XLOOKUP($W70&amp;AH$4,braves_19_25!$B:$B&amp;braves_19_25!$C:$C,braves_19_25!$R:$R),0)</f>
        <v>0</v>
      </c>
      <c r="AI70" s="19" cm="1">
        <f t="array" ref="AI70">IFERROR(_xlfn.XLOOKUP($W70&amp;AI$4,braves_19_25!$B:$B&amp;braves_19_25!$C:$C,braves_19_25!$R:$R),0)</f>
        <v>0</v>
      </c>
      <c r="AJ70" s="19" cm="1">
        <f t="array" ref="AJ70">IFERROR(_xlfn.XLOOKUP($W70&amp;AJ$4,braves_19_25!$B:$B&amp;braves_19_25!$C:$C,braves_19_25!$R:$R),0)</f>
        <v>0</v>
      </c>
      <c r="AK70" s="19" cm="1">
        <f t="array" ref="AK70">IFERROR(_xlfn.XLOOKUP($W70&amp;AK$4,braves_19_25!$B:$B&amp;braves_19_25!$C:$C,braves_19_25!$R:$R),0)</f>
        <v>0</v>
      </c>
      <c r="AL70" s="19" cm="1">
        <f t="array" ref="AL70">IFERROR(_xlfn.XLOOKUP($W70&amp;AL$4,braves_19_25!$B:$B&amp;braves_19_25!$C:$C,braves_19_25!$R:$R),0)</f>
        <v>0</v>
      </c>
      <c r="AM70" s="24" cm="1">
        <f t="array" ref="AM70">IFERROR(_xlfn.XLOOKUP($W70&amp;AM$4,braves_19_25!$B:$B&amp;braves_19_25!$C:$C,braves_19_25!$R:$R),0)</f>
        <v>0</v>
      </c>
      <c r="AN70" s="27" cm="1">
        <f t="array" ref="AN70">SQRT(
    MMULT(
        MMULT(
            $X70:$AM70,
            $F$5:$U$20
        ),
        TRANSPOSE($X70:$AM70)
    )
)</f>
        <v>0.59038547824901633</v>
      </c>
    </row>
    <row r="71" spans="1:40" x14ac:dyDescent="0.3">
      <c r="A71" t="str">
        <v>O'Day, Darren</v>
      </c>
      <c r="W71" s="14" t="str">
        <v>Fuentes, Didier</v>
      </c>
      <c r="X71" s="19" cm="1">
        <f t="array" ref="X71">IFERROR(_xlfn.XLOOKUP($W71&amp;X$4,braves_19_25!$B:$B&amp;braves_19_25!$C:$C,braves_19_25!$R:$R),0)</f>
        <v>0.57679180887372017</v>
      </c>
      <c r="Y71" s="19" cm="1">
        <f t="array" ref="Y71">IFERROR(_xlfn.XLOOKUP($W71&amp;Y$4,braves_19_25!$B:$B&amp;braves_19_25!$C:$C,braves_19_25!$R:$R),0)</f>
        <v>0</v>
      </c>
      <c r="Z71" s="19" cm="1">
        <f t="array" ref="Z71">IFERROR(_xlfn.XLOOKUP($W71&amp;Z$4,braves_19_25!$B:$B&amp;braves_19_25!$C:$C,braves_19_25!$R:$R),0)</f>
        <v>0</v>
      </c>
      <c r="AA71" s="19" cm="1">
        <f t="array" ref="AA71">IFERROR(_xlfn.XLOOKUP($W71&amp;AA$4,braves_19_25!$B:$B&amp;braves_19_25!$C:$C,braves_19_25!$R:$R),0)</f>
        <v>0.11945392491467577</v>
      </c>
      <c r="AB71" s="19" cm="1">
        <f t="array" ref="AB71">IFERROR(_xlfn.XLOOKUP($W71&amp;AB$4,braves_19_25!$B:$B&amp;braves_19_25!$C:$C,braves_19_25!$R:$R),0)</f>
        <v>3.0716723549488054E-2</v>
      </c>
      <c r="AC71" s="19" cm="1">
        <f t="array" ref="AC71">IFERROR(_xlfn.XLOOKUP($W71&amp;AC$4,braves_19_25!$B:$B&amp;braves_19_25!$C:$C,braves_19_25!$R:$R),0)</f>
        <v>0</v>
      </c>
      <c r="AD71" s="19" cm="1">
        <f t="array" ref="AD71">IFERROR(_xlfn.XLOOKUP($W71&amp;AD$4,braves_19_25!$B:$B&amp;braves_19_25!$C:$C,braves_19_25!$R:$R),0)</f>
        <v>0</v>
      </c>
      <c r="AE71" s="19" cm="1">
        <f t="array" ref="AE71">IFERROR(_xlfn.XLOOKUP($W71&amp;AE$4,braves_19_25!$B:$B&amp;braves_19_25!$C:$C,braves_19_25!$R:$R),0)</f>
        <v>0.27303754266211605</v>
      </c>
      <c r="AF71" s="19" cm="1">
        <f t="array" ref="AF71">IFERROR(_xlfn.XLOOKUP($W71&amp;AF$4,braves_19_25!$B:$B&amp;braves_19_25!$C:$C,braves_19_25!$R:$R),0)</f>
        <v>0</v>
      </c>
      <c r="AG71" s="19" cm="1">
        <f t="array" ref="AG71">IFERROR(_xlfn.XLOOKUP($W71&amp;AG$4,braves_19_25!$B:$B&amp;braves_19_25!$C:$C,braves_19_25!$R:$R),0)</f>
        <v>0</v>
      </c>
      <c r="AH71" s="19" cm="1">
        <f t="array" ref="AH71">IFERROR(_xlfn.XLOOKUP($W71&amp;AH$4,braves_19_25!$B:$B&amp;braves_19_25!$C:$C,braves_19_25!$R:$R),0)</f>
        <v>0</v>
      </c>
      <c r="AI71" s="19" cm="1">
        <f t="array" ref="AI71">IFERROR(_xlfn.XLOOKUP($W71&amp;AI$4,braves_19_25!$B:$B&amp;braves_19_25!$C:$C,braves_19_25!$R:$R),0)</f>
        <v>0</v>
      </c>
      <c r="AJ71" s="19" cm="1">
        <f t="array" ref="AJ71">IFERROR(_xlfn.XLOOKUP($W71&amp;AJ$4,braves_19_25!$B:$B&amp;braves_19_25!$C:$C,braves_19_25!$R:$R),0)</f>
        <v>0</v>
      </c>
      <c r="AK71" s="19" cm="1">
        <f t="array" ref="AK71">IFERROR(_xlfn.XLOOKUP($W71&amp;AK$4,braves_19_25!$B:$B&amp;braves_19_25!$C:$C,braves_19_25!$R:$R),0)</f>
        <v>0</v>
      </c>
      <c r="AL71" s="19" cm="1">
        <f t="array" ref="AL71">IFERROR(_xlfn.XLOOKUP($W71&amp;AL$4,braves_19_25!$B:$B&amp;braves_19_25!$C:$C,braves_19_25!$R:$R),0)</f>
        <v>0</v>
      </c>
      <c r="AM71" s="24" cm="1">
        <f t="array" ref="AM71">IFERROR(_xlfn.XLOOKUP($W71&amp;AM$4,braves_19_25!$B:$B&amp;braves_19_25!$C:$C,braves_19_25!$R:$R),0)</f>
        <v>0</v>
      </c>
      <c r="AN71" s="27" cm="1">
        <f t="array" ref="AN71">SQRT(
    MMULT(
        MMULT(
            $X71:$AM71,
            $F$5:$U$20
        ),
        TRANSPOSE($X71:$AM71)
    )
)</f>
        <v>0.64996234334761405</v>
      </c>
    </row>
    <row r="72" spans="1:40" x14ac:dyDescent="0.3">
      <c r="A72" t="str">
        <v>Winans, Allan</v>
      </c>
      <c r="W72" s="14" t="str">
        <v>Luetge, Lucas</v>
      </c>
      <c r="X72" s="19" cm="1">
        <f t="array" ref="X72">IFERROR(_xlfn.XLOOKUP($W72&amp;X$4,braves_19_25!$B:$B&amp;braves_19_25!$C:$C,braves_19_25!$R:$R),0)</f>
        <v>3.4965034965034965E-3</v>
      </c>
      <c r="Y72" s="19" cm="1">
        <f t="array" ref="Y72">IFERROR(_xlfn.XLOOKUP($W72&amp;Y$4,braves_19_25!$B:$B&amp;braves_19_25!$C:$C,braves_19_25!$R:$R),0)</f>
        <v>2.4475524475524476E-2</v>
      </c>
      <c r="Z72" s="19" cm="1">
        <f t="array" ref="Z72">IFERROR(_xlfn.XLOOKUP($W72&amp;Z$4,braves_19_25!$B:$B&amp;braves_19_25!$C:$C,braves_19_25!$R:$R),0)</f>
        <v>0</v>
      </c>
      <c r="AA72" s="19" cm="1">
        <f t="array" ref="AA72">IFERROR(_xlfn.XLOOKUP($W72&amp;AA$4,braves_19_25!$B:$B&amp;braves_19_25!$C:$C,braves_19_25!$R:$R),0)</f>
        <v>0.13286713286713286</v>
      </c>
      <c r="AB72" s="19" cm="1">
        <f t="array" ref="AB72">IFERROR(_xlfn.XLOOKUP($W72&amp;AB$4,braves_19_25!$B:$B&amp;braves_19_25!$C:$C,braves_19_25!$R:$R),0)</f>
        <v>0</v>
      </c>
      <c r="AC72" s="19" cm="1">
        <f t="array" ref="AC72">IFERROR(_xlfn.XLOOKUP($W72&amp;AC$4,braves_19_25!$B:$B&amp;braves_19_25!$C:$C,braves_19_25!$R:$R),0)</f>
        <v>0.48601398601398599</v>
      </c>
      <c r="AD72" s="19" cm="1">
        <f t="array" ref="AD72">IFERROR(_xlfn.XLOOKUP($W72&amp;AD$4,braves_19_25!$B:$B&amp;braves_19_25!$C:$C,braves_19_25!$R:$R),0)</f>
        <v>0</v>
      </c>
      <c r="AE72" s="19" cm="1">
        <f t="array" ref="AE72">IFERROR(_xlfn.XLOOKUP($W72&amp;AE$4,braves_19_25!$B:$B&amp;braves_19_25!$C:$C,braves_19_25!$R:$R),0)</f>
        <v>0.35314685314685312</v>
      </c>
      <c r="AF72" s="19" cm="1">
        <f t="array" ref="AF72">IFERROR(_xlfn.XLOOKUP($W72&amp;AF$4,braves_19_25!$B:$B&amp;braves_19_25!$C:$C,braves_19_25!$R:$R),0)</f>
        <v>0</v>
      </c>
      <c r="AG72" s="19" cm="1">
        <f t="array" ref="AG72">IFERROR(_xlfn.XLOOKUP($W72&amp;AG$4,braves_19_25!$B:$B&amp;braves_19_25!$C:$C,braves_19_25!$R:$R),0)</f>
        <v>0</v>
      </c>
      <c r="AH72" s="19" cm="1">
        <f t="array" ref="AH72">IFERROR(_xlfn.XLOOKUP($W72&amp;AH$4,braves_19_25!$B:$B&amp;braves_19_25!$C:$C,braves_19_25!$R:$R),0)</f>
        <v>0</v>
      </c>
      <c r="AI72" s="19" cm="1">
        <f t="array" ref="AI72">IFERROR(_xlfn.XLOOKUP($W72&amp;AI$4,braves_19_25!$B:$B&amp;braves_19_25!$C:$C,braves_19_25!$R:$R),0)</f>
        <v>0</v>
      </c>
      <c r="AJ72" s="19" cm="1">
        <f t="array" ref="AJ72">IFERROR(_xlfn.XLOOKUP($W72&amp;AJ$4,braves_19_25!$B:$B&amp;braves_19_25!$C:$C,braves_19_25!$R:$R),0)</f>
        <v>0</v>
      </c>
      <c r="AK72" s="19" cm="1">
        <f t="array" ref="AK72">IFERROR(_xlfn.XLOOKUP($W72&amp;AK$4,braves_19_25!$B:$B&amp;braves_19_25!$C:$C,braves_19_25!$R:$R),0)</f>
        <v>0</v>
      </c>
      <c r="AL72" s="19" cm="1">
        <f t="array" ref="AL72">IFERROR(_xlfn.XLOOKUP($W72&amp;AL$4,braves_19_25!$B:$B&amp;braves_19_25!$C:$C,braves_19_25!$R:$R),0)</f>
        <v>0</v>
      </c>
      <c r="AM72" s="24" cm="1">
        <f t="array" ref="AM72">IFERROR(_xlfn.XLOOKUP($W72&amp;AM$4,braves_19_25!$B:$B&amp;braves_19_25!$C:$C,braves_19_25!$R:$R),0)</f>
        <v>0</v>
      </c>
      <c r="AN72" s="27" cm="1">
        <f t="array" ref="AN72">SQRT(
    MMULT(
        MMULT(
            $X72:$AM72,
            $F$5:$U$20
        ),
        TRANSPOSE($X72:$AM72)
    )
)</f>
        <v>0.63114164188080302</v>
      </c>
    </row>
    <row r="73" spans="1:40" x14ac:dyDescent="0.3">
      <c r="A73" t="str">
        <v>Melancon, Mark</v>
      </c>
      <c r="W73" s="14" t="str">
        <v>Carrasco, Carlos</v>
      </c>
      <c r="X73" s="19" cm="1">
        <f t="array" ref="X73">IFERROR(_xlfn.XLOOKUP($W73&amp;X$4,braves_19_25!$B:$B&amp;braves_19_25!$C:$C,braves_19_25!$R:$R),0)</f>
        <v>0.2</v>
      </c>
      <c r="Y73" s="19" cm="1">
        <f t="array" ref="Y73">IFERROR(_xlfn.XLOOKUP($W73&amp;Y$4,braves_19_25!$B:$B&amp;braves_19_25!$C:$C,braves_19_25!$R:$R),0)</f>
        <v>0.21509433962264152</v>
      </c>
      <c r="Z73" s="19" cm="1">
        <f t="array" ref="Z73">IFERROR(_xlfn.XLOOKUP($W73&amp;Z$4,braves_19_25!$B:$B&amp;braves_19_25!$C:$C,braves_19_25!$R:$R),0)</f>
        <v>0.19622641509433963</v>
      </c>
      <c r="AA73" s="19" cm="1">
        <f t="array" ref="AA73">IFERROR(_xlfn.XLOOKUP($W73&amp;AA$4,braves_19_25!$B:$B&amp;braves_19_25!$C:$C,braves_19_25!$R:$R),0)</f>
        <v>0.12830188679245283</v>
      </c>
      <c r="AB73" s="19" cm="1">
        <f t="array" ref="AB73">IFERROR(_xlfn.XLOOKUP($W73&amp;AB$4,braves_19_25!$B:$B&amp;braves_19_25!$C:$C,braves_19_25!$R:$R),0)</f>
        <v>0</v>
      </c>
      <c r="AC73" s="19" cm="1">
        <f t="array" ref="AC73">IFERROR(_xlfn.XLOOKUP($W73&amp;AC$4,braves_19_25!$B:$B&amp;braves_19_25!$C:$C,braves_19_25!$R:$R),0)</f>
        <v>0</v>
      </c>
      <c r="AD73" s="19" cm="1">
        <f t="array" ref="AD73">IFERROR(_xlfn.XLOOKUP($W73&amp;AD$4,braves_19_25!$B:$B&amp;braves_19_25!$C:$C,braves_19_25!$R:$R),0)</f>
        <v>0.26037735849056604</v>
      </c>
      <c r="AE73" s="19" cm="1">
        <f t="array" ref="AE73">IFERROR(_xlfn.XLOOKUP($W73&amp;AE$4,braves_19_25!$B:$B&amp;braves_19_25!$C:$C,braves_19_25!$R:$R),0)</f>
        <v>0</v>
      </c>
      <c r="AF73" s="19" cm="1">
        <f t="array" ref="AF73">IFERROR(_xlfn.XLOOKUP($W73&amp;AF$4,braves_19_25!$B:$B&amp;braves_19_25!$C:$C,braves_19_25!$R:$R),0)</f>
        <v>0</v>
      </c>
      <c r="AG73" s="19" cm="1">
        <f t="array" ref="AG73">IFERROR(_xlfn.XLOOKUP($W73&amp;AG$4,braves_19_25!$B:$B&amp;braves_19_25!$C:$C,braves_19_25!$R:$R),0)</f>
        <v>0</v>
      </c>
      <c r="AH73" s="19" cm="1">
        <f t="array" ref="AH73">IFERROR(_xlfn.XLOOKUP($W73&amp;AH$4,braves_19_25!$B:$B&amp;braves_19_25!$C:$C,braves_19_25!$R:$R),0)</f>
        <v>0</v>
      </c>
      <c r="AI73" s="19" cm="1">
        <f t="array" ref="AI73">IFERROR(_xlfn.XLOOKUP($W73&amp;AI$4,braves_19_25!$B:$B&amp;braves_19_25!$C:$C,braves_19_25!$R:$R),0)</f>
        <v>0</v>
      </c>
      <c r="AJ73" s="19" cm="1">
        <f t="array" ref="AJ73">IFERROR(_xlfn.XLOOKUP($W73&amp;AJ$4,braves_19_25!$B:$B&amp;braves_19_25!$C:$C,braves_19_25!$R:$R),0)</f>
        <v>0</v>
      </c>
      <c r="AK73" s="19" cm="1">
        <f t="array" ref="AK73">IFERROR(_xlfn.XLOOKUP($W73&amp;AK$4,braves_19_25!$B:$B&amp;braves_19_25!$C:$C,braves_19_25!$R:$R),0)</f>
        <v>0</v>
      </c>
      <c r="AL73" s="19" cm="1">
        <f t="array" ref="AL73">IFERROR(_xlfn.XLOOKUP($W73&amp;AL$4,braves_19_25!$B:$B&amp;braves_19_25!$C:$C,braves_19_25!$R:$R),0)</f>
        <v>0</v>
      </c>
      <c r="AM73" s="24" cm="1">
        <f t="array" ref="AM73">IFERROR(_xlfn.XLOOKUP($W73&amp;AM$4,braves_19_25!$B:$B&amp;braves_19_25!$C:$C,braves_19_25!$R:$R),0)</f>
        <v>0</v>
      </c>
      <c r="AN73" s="27" cm="1">
        <f t="array" ref="AN73">SQRT(
    MMULT(
        MMULT(
            $X73:$AM73,
            $F$5:$U$20
        ),
        TRANSPOSE($X73:$AM73)
    )
)</f>
        <v>0.51889742626249746</v>
      </c>
    </row>
    <row r="74" spans="1:40" x14ac:dyDescent="0.3">
      <c r="A74" t="str">
        <v>Montero, Rafael</v>
      </c>
      <c r="W74" s="14" t="str">
        <v>Blewett, Scott</v>
      </c>
      <c r="X74" s="19" cm="1">
        <f t="array" ref="X74">IFERROR(_xlfn.XLOOKUP($W74&amp;X$4,braves_19_25!$B:$B&amp;braves_19_25!$C:$C,braves_19_25!$R:$R),0)</f>
        <v>0.39453125</v>
      </c>
      <c r="Y74" s="19" cm="1">
        <f t="array" ref="Y74">IFERROR(_xlfn.XLOOKUP($W74&amp;Y$4,braves_19_25!$B:$B&amp;braves_19_25!$C:$C,braves_19_25!$R:$R),0)</f>
        <v>0</v>
      </c>
      <c r="Z74" s="19" cm="1">
        <f t="array" ref="Z74">IFERROR(_xlfn.XLOOKUP($W74&amp;Z$4,braves_19_25!$B:$B&amp;braves_19_25!$C:$C,braves_19_25!$R:$R),0)</f>
        <v>0.421875</v>
      </c>
      <c r="AA74" s="19" cm="1">
        <f t="array" ref="AA74">IFERROR(_xlfn.XLOOKUP($W74&amp;AA$4,braves_19_25!$B:$B&amp;braves_19_25!$C:$C,braves_19_25!$R:$R),0)</f>
        <v>0</v>
      </c>
      <c r="AB74" s="19" cm="1">
        <f t="array" ref="AB74">IFERROR(_xlfn.XLOOKUP($W74&amp;AB$4,braves_19_25!$B:$B&amp;braves_19_25!$C:$C,braves_19_25!$R:$R),0)</f>
        <v>0.18359375</v>
      </c>
      <c r="AC74" s="19" cm="1">
        <f t="array" ref="AC74">IFERROR(_xlfn.XLOOKUP($W74&amp;AC$4,braves_19_25!$B:$B&amp;braves_19_25!$C:$C,braves_19_25!$R:$R),0)</f>
        <v>0</v>
      </c>
      <c r="AD74" s="19" cm="1">
        <f t="array" ref="AD74">IFERROR(_xlfn.XLOOKUP($W74&amp;AD$4,braves_19_25!$B:$B&amp;braves_19_25!$C:$C,braves_19_25!$R:$R),0)</f>
        <v>0</v>
      </c>
      <c r="AE74" s="19" cm="1">
        <f t="array" ref="AE74">IFERROR(_xlfn.XLOOKUP($W74&amp;AE$4,braves_19_25!$B:$B&amp;braves_19_25!$C:$C,braves_19_25!$R:$R),0)</f>
        <v>0</v>
      </c>
      <c r="AF74" s="19" cm="1">
        <f t="array" ref="AF74">IFERROR(_xlfn.XLOOKUP($W74&amp;AF$4,braves_19_25!$B:$B&amp;braves_19_25!$C:$C,braves_19_25!$R:$R),0)</f>
        <v>0</v>
      </c>
      <c r="AG74" s="19" cm="1">
        <f t="array" ref="AG74">IFERROR(_xlfn.XLOOKUP($W74&amp;AG$4,braves_19_25!$B:$B&amp;braves_19_25!$C:$C,braves_19_25!$R:$R),0)</f>
        <v>0</v>
      </c>
      <c r="AH74" s="19" cm="1">
        <f t="array" ref="AH74">IFERROR(_xlfn.XLOOKUP($W74&amp;AH$4,braves_19_25!$B:$B&amp;braves_19_25!$C:$C,braves_19_25!$R:$R),0)</f>
        <v>0</v>
      </c>
      <c r="AI74" s="19" cm="1">
        <f t="array" ref="AI74">IFERROR(_xlfn.XLOOKUP($W74&amp;AI$4,braves_19_25!$B:$B&amp;braves_19_25!$C:$C,braves_19_25!$R:$R),0)</f>
        <v>0</v>
      </c>
      <c r="AJ74" s="19" cm="1">
        <f t="array" ref="AJ74">IFERROR(_xlfn.XLOOKUP($W74&amp;AJ$4,braves_19_25!$B:$B&amp;braves_19_25!$C:$C,braves_19_25!$R:$R),0)</f>
        <v>0</v>
      </c>
      <c r="AK74" s="19" cm="1">
        <f t="array" ref="AK74">IFERROR(_xlfn.XLOOKUP($W74&amp;AK$4,braves_19_25!$B:$B&amp;braves_19_25!$C:$C,braves_19_25!$R:$R),0)</f>
        <v>0</v>
      </c>
      <c r="AL74" s="19" cm="1">
        <f t="array" ref="AL74">IFERROR(_xlfn.XLOOKUP($W74&amp;AL$4,braves_19_25!$B:$B&amp;braves_19_25!$C:$C,braves_19_25!$R:$R),0)</f>
        <v>0</v>
      </c>
      <c r="AM74" s="24" cm="1">
        <f t="array" ref="AM74">IFERROR(_xlfn.XLOOKUP($W74&amp;AM$4,braves_19_25!$B:$B&amp;braves_19_25!$C:$C,braves_19_25!$R:$R),0)</f>
        <v>0</v>
      </c>
      <c r="AN74" s="27" cm="1">
        <f t="array" ref="AN74">SQRT(
    MMULT(
        MMULT(
            $X74:$AM74,
            $F$5:$U$20
        ),
        TRANSPOSE($X74:$AM74)
    )
)</f>
        <v>0.6060858750132897</v>
      </c>
    </row>
    <row r="75" spans="1:40" x14ac:dyDescent="0.3">
      <c r="A75" t="str">
        <v>Sobotka, Chad</v>
      </c>
      <c r="W75" s="14" t="str">
        <v>Stratton, Hunter</v>
      </c>
      <c r="X75" s="19" cm="1">
        <f t="array" ref="X75">IFERROR(_xlfn.XLOOKUP($W75&amp;X$4,braves_19_25!$B:$B&amp;braves_19_25!$C:$C,braves_19_25!$R:$R),0)</f>
        <v>0.48412698412698413</v>
      </c>
      <c r="Y75" s="19" cm="1">
        <f t="array" ref="Y75">IFERROR(_xlfn.XLOOKUP($W75&amp;Y$4,braves_19_25!$B:$B&amp;braves_19_25!$C:$C,braves_19_25!$R:$R),0)</f>
        <v>2.3809523809523808E-2</v>
      </c>
      <c r="Z75" s="19" cm="1">
        <f t="array" ref="Z75">IFERROR(_xlfn.XLOOKUP($W75&amp;Z$4,braves_19_25!$B:$B&amp;braves_19_25!$C:$C,braves_19_25!$R:$R),0)</f>
        <v>0.25396825396825395</v>
      </c>
      <c r="AA75" s="19" cm="1">
        <f t="array" ref="AA75">IFERROR(_xlfn.XLOOKUP($W75&amp;AA$4,braves_19_25!$B:$B&amp;braves_19_25!$C:$C,braves_19_25!$R:$R),0)</f>
        <v>0</v>
      </c>
      <c r="AB75" s="19" cm="1">
        <f t="array" ref="AB75">IFERROR(_xlfn.XLOOKUP($W75&amp;AB$4,braves_19_25!$B:$B&amp;braves_19_25!$C:$C,braves_19_25!$R:$R),0)</f>
        <v>1.5873015873015872E-2</v>
      </c>
      <c r="AC75" s="19" cm="1">
        <f t="array" ref="AC75">IFERROR(_xlfn.XLOOKUP($W75&amp;AC$4,braves_19_25!$B:$B&amp;braves_19_25!$C:$C,braves_19_25!$R:$R),0)</f>
        <v>0.22222222222222221</v>
      </c>
      <c r="AD75" s="19" cm="1">
        <f t="array" ref="AD75">IFERROR(_xlfn.XLOOKUP($W75&amp;AD$4,braves_19_25!$B:$B&amp;braves_19_25!$C:$C,braves_19_25!$R:$R),0)</f>
        <v>0</v>
      </c>
      <c r="AE75" s="19" cm="1">
        <f t="array" ref="AE75">IFERROR(_xlfn.XLOOKUP($W75&amp;AE$4,braves_19_25!$B:$B&amp;braves_19_25!$C:$C,braves_19_25!$R:$R),0)</f>
        <v>0</v>
      </c>
      <c r="AF75" s="19" cm="1">
        <f t="array" ref="AF75">IFERROR(_xlfn.XLOOKUP($W75&amp;AF$4,braves_19_25!$B:$B&amp;braves_19_25!$C:$C,braves_19_25!$R:$R),0)</f>
        <v>0</v>
      </c>
      <c r="AG75" s="19" cm="1">
        <f t="array" ref="AG75">IFERROR(_xlfn.XLOOKUP($W75&amp;AG$4,braves_19_25!$B:$B&amp;braves_19_25!$C:$C,braves_19_25!$R:$R),0)</f>
        <v>0</v>
      </c>
      <c r="AH75" s="19" cm="1">
        <f t="array" ref="AH75">IFERROR(_xlfn.XLOOKUP($W75&amp;AH$4,braves_19_25!$B:$B&amp;braves_19_25!$C:$C,braves_19_25!$R:$R),0)</f>
        <v>0</v>
      </c>
      <c r="AI75" s="19" cm="1">
        <f t="array" ref="AI75">IFERROR(_xlfn.XLOOKUP($W75&amp;AI$4,braves_19_25!$B:$B&amp;braves_19_25!$C:$C,braves_19_25!$R:$R),0)</f>
        <v>0</v>
      </c>
      <c r="AJ75" s="19" cm="1">
        <f t="array" ref="AJ75">IFERROR(_xlfn.XLOOKUP($W75&amp;AJ$4,braves_19_25!$B:$B&amp;braves_19_25!$C:$C,braves_19_25!$R:$R),0)</f>
        <v>0</v>
      </c>
      <c r="AK75" s="19" cm="1">
        <f t="array" ref="AK75">IFERROR(_xlfn.XLOOKUP($W75&amp;AK$4,braves_19_25!$B:$B&amp;braves_19_25!$C:$C,braves_19_25!$R:$R),0)</f>
        <v>0</v>
      </c>
      <c r="AL75" s="19" cm="1">
        <f t="array" ref="AL75">IFERROR(_xlfn.XLOOKUP($W75&amp;AL$4,braves_19_25!$B:$B&amp;braves_19_25!$C:$C,braves_19_25!$R:$R),0)</f>
        <v>0</v>
      </c>
      <c r="AM75" s="24" cm="1">
        <f t="array" ref="AM75">IFERROR(_xlfn.XLOOKUP($W75&amp;AM$4,braves_19_25!$B:$B&amp;braves_19_25!$C:$C,braves_19_25!$R:$R),0)</f>
        <v>0</v>
      </c>
      <c r="AN75" s="27" cm="1">
        <f t="array" ref="AN75">SQRT(
    MMULT(
        MMULT(
            $X75:$AM75,
            $F$5:$U$20
        ),
        TRANSPOSE($X75:$AM75)
    )
)</f>
        <v>0.72335512052206252</v>
      </c>
    </row>
    <row r="76" spans="1:40" x14ac:dyDescent="0.3">
      <c r="A76" t="str">
        <v>Davidson, Tucker</v>
      </c>
      <c r="W76" s="14" t="str">
        <v>Thornburg, Tyler</v>
      </c>
      <c r="X76" s="19" cm="1">
        <f t="array" ref="X76">IFERROR(_xlfn.XLOOKUP($W76&amp;X$4,braves_19_25!$B:$B&amp;braves_19_25!$C:$C,braves_19_25!$R:$R),0)</f>
        <v>0.54929577464788737</v>
      </c>
      <c r="Y76" s="19" cm="1">
        <f t="array" ref="Y76">IFERROR(_xlfn.XLOOKUP($W76&amp;Y$4,braves_19_25!$B:$B&amp;braves_19_25!$C:$C,braves_19_25!$R:$R),0)</f>
        <v>0</v>
      </c>
      <c r="Z76" s="19" cm="1">
        <f t="array" ref="Z76">IFERROR(_xlfn.XLOOKUP($W76&amp;Z$4,braves_19_25!$B:$B&amp;braves_19_25!$C:$C,braves_19_25!$R:$R),0)</f>
        <v>1.8779342723004695E-2</v>
      </c>
      <c r="AA76" s="19" cm="1">
        <f t="array" ref="AA76">IFERROR(_xlfn.XLOOKUP($W76&amp;AA$4,braves_19_25!$B:$B&amp;braves_19_25!$C:$C,braves_19_25!$R:$R),0)</f>
        <v>0.29107981220657275</v>
      </c>
      <c r="AB76" s="19" cm="1">
        <f t="array" ref="AB76">IFERROR(_xlfn.XLOOKUP($W76&amp;AB$4,braves_19_25!$B:$B&amp;braves_19_25!$C:$C,braves_19_25!$R:$R),0)</f>
        <v>0</v>
      </c>
      <c r="AC76" s="19" cm="1">
        <f t="array" ref="AC76">IFERROR(_xlfn.XLOOKUP($W76&amp;AC$4,braves_19_25!$B:$B&amp;braves_19_25!$C:$C,braves_19_25!$R:$R),0)</f>
        <v>0</v>
      </c>
      <c r="AD76" s="19" cm="1">
        <f t="array" ref="AD76">IFERROR(_xlfn.XLOOKUP($W76&amp;AD$4,braves_19_25!$B:$B&amp;braves_19_25!$C:$C,braves_19_25!$R:$R),0)</f>
        <v>0.14084507042253522</v>
      </c>
      <c r="AE76" s="19" cm="1">
        <f t="array" ref="AE76">IFERROR(_xlfn.XLOOKUP($W76&amp;AE$4,braves_19_25!$B:$B&amp;braves_19_25!$C:$C,braves_19_25!$R:$R),0)</f>
        <v>0</v>
      </c>
      <c r="AF76" s="19" cm="1">
        <f t="array" ref="AF76">IFERROR(_xlfn.XLOOKUP($W76&amp;AF$4,braves_19_25!$B:$B&amp;braves_19_25!$C:$C,braves_19_25!$R:$R),0)</f>
        <v>0</v>
      </c>
      <c r="AG76" s="19" cm="1">
        <f t="array" ref="AG76">IFERROR(_xlfn.XLOOKUP($W76&amp;AG$4,braves_19_25!$B:$B&amp;braves_19_25!$C:$C,braves_19_25!$R:$R),0)</f>
        <v>0</v>
      </c>
      <c r="AH76" s="19" cm="1">
        <f t="array" ref="AH76">IFERROR(_xlfn.XLOOKUP($W76&amp;AH$4,braves_19_25!$B:$B&amp;braves_19_25!$C:$C,braves_19_25!$R:$R),0)</f>
        <v>0</v>
      </c>
      <c r="AI76" s="19" cm="1">
        <f t="array" ref="AI76">IFERROR(_xlfn.XLOOKUP($W76&amp;AI$4,braves_19_25!$B:$B&amp;braves_19_25!$C:$C,braves_19_25!$R:$R),0)</f>
        <v>0</v>
      </c>
      <c r="AJ76" s="19" cm="1">
        <f t="array" ref="AJ76">IFERROR(_xlfn.XLOOKUP($W76&amp;AJ$4,braves_19_25!$B:$B&amp;braves_19_25!$C:$C,braves_19_25!$R:$R),0)</f>
        <v>0</v>
      </c>
      <c r="AK76" s="19" cm="1">
        <f t="array" ref="AK76">IFERROR(_xlfn.XLOOKUP($W76&amp;AK$4,braves_19_25!$B:$B&amp;braves_19_25!$C:$C,braves_19_25!$R:$R),0)</f>
        <v>0</v>
      </c>
      <c r="AL76" s="19" cm="1">
        <f t="array" ref="AL76">IFERROR(_xlfn.XLOOKUP($W76&amp;AL$4,braves_19_25!$B:$B&amp;braves_19_25!$C:$C,braves_19_25!$R:$R),0)</f>
        <v>0</v>
      </c>
      <c r="AM76" s="24" cm="1">
        <f t="array" ref="AM76">IFERROR(_xlfn.XLOOKUP($W76&amp;AM$4,braves_19_25!$B:$B&amp;braves_19_25!$C:$C,braves_19_25!$R:$R),0)</f>
        <v>0</v>
      </c>
      <c r="AN76" s="27" cm="1">
        <f t="array" ref="AN76">SQRT(
    MMULT(
        MMULT(
            $X76:$AM76,
            $F$5:$U$20
        ),
        TRANSPOSE($X76:$AM76)
    )
)</f>
        <v>0.63768589657892949</v>
      </c>
    </row>
    <row r="77" spans="1:40" x14ac:dyDescent="0.3">
      <c r="A77" t="str">
        <v>Santana, Edgar</v>
      </c>
      <c r="W77" s="15" t="str">
        <v>Milone, Tommy</v>
      </c>
      <c r="X77" s="25" cm="1">
        <f t="array" ref="X77">IFERROR(_xlfn.XLOOKUP($W77&amp;X$4,braves_19_25!$B:$B&amp;braves_19_25!$C:$C,braves_19_25!$R:$R),0)</f>
        <v>0.45714285714285713</v>
      </c>
      <c r="Y77" s="25" cm="1">
        <f t="array" ref="Y77">IFERROR(_xlfn.XLOOKUP($W77&amp;Y$4,braves_19_25!$B:$B&amp;braves_19_25!$C:$C,braves_19_25!$R:$R),0)</f>
        <v>4.7619047619047623E-3</v>
      </c>
      <c r="Z77" s="25" cm="1">
        <f t="array" ref="Z77">IFERROR(_xlfn.XLOOKUP($W77&amp;Z$4,braves_19_25!$B:$B&amp;braves_19_25!$C:$C,braves_19_25!$R:$R),0)</f>
        <v>0.10952380952380952</v>
      </c>
      <c r="AA77" s="25" cm="1">
        <f t="array" ref="AA77">IFERROR(_xlfn.XLOOKUP($W77&amp;AA$4,braves_19_25!$B:$B&amp;braves_19_25!$C:$C,braves_19_25!$R:$R),0)</f>
        <v>2.8571428571428571E-2</v>
      </c>
      <c r="AB77" s="25" cm="1">
        <f t="array" ref="AB77">IFERROR(_xlfn.XLOOKUP($W77&amp;AB$4,braves_19_25!$B:$B&amp;braves_19_25!$C:$C,braves_19_25!$R:$R),0)</f>
        <v>0</v>
      </c>
      <c r="AC77" s="25" cm="1">
        <f t="array" ref="AC77">IFERROR(_xlfn.XLOOKUP($W77&amp;AC$4,braves_19_25!$B:$B&amp;braves_19_25!$C:$C,braves_19_25!$R:$R),0)</f>
        <v>0</v>
      </c>
      <c r="AD77" s="25" cm="1">
        <f t="array" ref="AD77">IFERROR(_xlfn.XLOOKUP($W77&amp;AD$4,braves_19_25!$B:$B&amp;braves_19_25!$C:$C,braves_19_25!$R:$R),0)</f>
        <v>0.4</v>
      </c>
      <c r="AE77" s="25" cm="1">
        <f t="array" ref="AE77">IFERROR(_xlfn.XLOOKUP($W77&amp;AE$4,braves_19_25!$B:$B&amp;braves_19_25!$C:$C,braves_19_25!$R:$R),0)</f>
        <v>0</v>
      </c>
      <c r="AF77" s="25" cm="1">
        <f t="array" ref="AF77">IFERROR(_xlfn.XLOOKUP($W77&amp;AF$4,braves_19_25!$B:$B&amp;braves_19_25!$C:$C,braves_19_25!$R:$R),0)</f>
        <v>0</v>
      </c>
      <c r="AG77" s="25" cm="1">
        <f t="array" ref="AG77">IFERROR(_xlfn.XLOOKUP($W77&amp;AG$4,braves_19_25!$B:$B&amp;braves_19_25!$C:$C,braves_19_25!$R:$R),0)</f>
        <v>0</v>
      </c>
      <c r="AH77" s="25" cm="1">
        <f t="array" ref="AH77">IFERROR(_xlfn.XLOOKUP($W77&amp;AH$4,braves_19_25!$B:$B&amp;braves_19_25!$C:$C,braves_19_25!$R:$R),0)</f>
        <v>0</v>
      </c>
      <c r="AI77" s="25" cm="1">
        <f t="array" ref="AI77">IFERROR(_xlfn.XLOOKUP($W77&amp;AI$4,braves_19_25!$B:$B&amp;braves_19_25!$C:$C,braves_19_25!$R:$R),0)</f>
        <v>0</v>
      </c>
      <c r="AJ77" s="25" cm="1">
        <f t="array" ref="AJ77">IFERROR(_xlfn.XLOOKUP($W77&amp;AJ$4,braves_19_25!$B:$B&amp;braves_19_25!$C:$C,braves_19_25!$R:$R),0)</f>
        <v>0</v>
      </c>
      <c r="AK77" s="25" cm="1">
        <f t="array" ref="AK77">IFERROR(_xlfn.XLOOKUP($W77&amp;AK$4,braves_19_25!$B:$B&amp;braves_19_25!$C:$C,braves_19_25!$R:$R),0)</f>
        <v>0</v>
      </c>
      <c r="AL77" s="25" cm="1">
        <f t="array" ref="AL77">IFERROR(_xlfn.XLOOKUP($W77&amp;AL$4,braves_19_25!$B:$B&amp;braves_19_25!$C:$C,braves_19_25!$R:$R),0)</f>
        <v>0</v>
      </c>
      <c r="AM77" s="26" cm="1">
        <f t="array" ref="AM77">IFERROR(_xlfn.XLOOKUP($W77&amp;AM$4,braves_19_25!$B:$B&amp;braves_19_25!$C:$C,braves_19_25!$R:$R),0)</f>
        <v>0</v>
      </c>
      <c r="AN77" s="27" cm="1">
        <f t="array" ref="AN77">SQRT(
    MMULT(
        MMULT(
            $X77:$AM77,
            $F$5:$U$20
        ),
        TRANSPOSE($X77:$AM77)
    )
)</f>
        <v>0.6203722092458166</v>
      </c>
    </row>
    <row r="78" spans="1:40" x14ac:dyDescent="0.3">
      <c r="A78" t="str">
        <v>Vines, Darius</v>
      </c>
    </row>
    <row r="79" spans="1:40" x14ac:dyDescent="0.3">
      <c r="A79" t="str">
        <v>Anderson, Nick</v>
      </c>
    </row>
    <row r="80" spans="1:40" x14ac:dyDescent="0.3">
      <c r="A80" t="str">
        <v>Fedde, Erick</v>
      </c>
    </row>
    <row r="81" spans="1:1" x14ac:dyDescent="0.3">
      <c r="A81" t="str">
        <v>Biddle, Jesse</v>
      </c>
    </row>
    <row r="82" spans="1:1" x14ac:dyDescent="0.3">
      <c r="A82" t="str">
        <v>Cox, Austin</v>
      </c>
    </row>
    <row r="83" spans="1:1" x14ac:dyDescent="0.3">
      <c r="A83" t="str">
        <v>Erlin, Robbie</v>
      </c>
    </row>
    <row r="84" spans="1:1" x14ac:dyDescent="0.3">
      <c r="A84" t="str">
        <v>Chirinos, Yonny</v>
      </c>
    </row>
    <row r="85" spans="1:1" x14ac:dyDescent="0.3">
      <c r="A85" t="str">
        <v>Rodríguez, Richard</v>
      </c>
    </row>
    <row r="86" spans="1:1" x14ac:dyDescent="0.3">
      <c r="A86" t="str">
        <v>Kerr, Ray</v>
      </c>
    </row>
    <row r="87" spans="1:1" x14ac:dyDescent="0.3">
      <c r="A87" t="str">
        <v>Kinley, Tyler</v>
      </c>
    </row>
    <row r="88" spans="1:1" x14ac:dyDescent="0.3">
      <c r="A88" t="str">
        <v>Hand, Brad</v>
      </c>
    </row>
    <row r="89" spans="1:1" x14ac:dyDescent="0.3">
      <c r="A89" t="str">
        <v>Heller, Ben</v>
      </c>
    </row>
    <row r="90" spans="1:1" x14ac:dyDescent="0.3">
      <c r="A90" t="str">
        <v>Suarez, José</v>
      </c>
    </row>
    <row r="91" spans="1:1" x14ac:dyDescent="0.3">
      <c r="A91" t="str">
        <v>Fuentes, Didier</v>
      </c>
    </row>
    <row r="92" spans="1:1" x14ac:dyDescent="0.3">
      <c r="A92" t="str">
        <v>Luetge, Lucas</v>
      </c>
    </row>
    <row r="93" spans="1:1" x14ac:dyDescent="0.3">
      <c r="A93" t="str">
        <v>Carrasco, Carlos</v>
      </c>
    </row>
    <row r="94" spans="1:1" x14ac:dyDescent="0.3">
      <c r="A94" t="str">
        <v>Blewett, Scott</v>
      </c>
    </row>
    <row r="95" spans="1:1" x14ac:dyDescent="0.3">
      <c r="A95" t="str">
        <v>Stratton, Hunter</v>
      </c>
    </row>
    <row r="96" spans="1:1" x14ac:dyDescent="0.3">
      <c r="A96" t="str">
        <v>Thornburg, Tyler</v>
      </c>
    </row>
    <row r="97" spans="1:74" x14ac:dyDescent="0.3">
      <c r="A97" t="str">
        <v>Milone, Tommy</v>
      </c>
    </row>
    <row r="99" spans="1:74" x14ac:dyDescent="0.3">
      <c r="A99" s="2" t="s">
        <v>135</v>
      </c>
    </row>
    <row r="100" spans="1:74" x14ac:dyDescent="0.3">
      <c r="B100" s="20" t="str" cm="1">
        <f t="array" ref="B100:BV100">TRANSPOSE(_xlfn.UNIQUE(braves_19_25__2[player_name]))</f>
        <v>Fried, Max</v>
      </c>
      <c r="C100" s="20" t="str">
        <v>Morton, Charlie</v>
      </c>
      <c r="D100" s="20" t="str">
        <v>Strider, Spencer</v>
      </c>
      <c r="E100" s="20" t="str">
        <v>Elder, Bryce</v>
      </c>
      <c r="F100" s="20" t="str">
        <v>Sale, Chris</v>
      </c>
      <c r="G100" s="20" t="str">
        <v>Anderson, Ian</v>
      </c>
      <c r="H100" s="20" t="str">
        <v>Minter, A.J.</v>
      </c>
      <c r="I100" s="20" t="str">
        <v>Wright, Kyle</v>
      </c>
      <c r="J100" s="20" t="str">
        <v>Schwellenbach, Spencer</v>
      </c>
      <c r="K100" s="20" t="str">
        <v>Soroka, Michael</v>
      </c>
      <c r="L100" s="20" t="str">
        <v>Chavez, Jesse</v>
      </c>
      <c r="M100" s="20" t="str">
        <v>Iglesias, Raisel</v>
      </c>
      <c r="N100" s="20" t="str">
        <v>Jackson, Luke</v>
      </c>
      <c r="O100" s="20" t="str">
        <v>Lee, Dylan</v>
      </c>
      <c r="P100" s="20" t="str">
        <v>Holmes, Grant</v>
      </c>
      <c r="Q100" s="20" t="str">
        <v>Tomlin, Josh</v>
      </c>
      <c r="R100" s="8" t="str">
        <v>Matzek, Tyler</v>
      </c>
      <c r="S100" s="20" t="str">
        <v>Newcomb, Sean</v>
      </c>
      <c r="T100" s="20" t="str">
        <v>Johnson, Pierce</v>
      </c>
      <c r="U100" s="20" t="str">
        <v>López, Reynaldo</v>
      </c>
      <c r="V100" s="20" t="str">
        <v>Smyly, Drew</v>
      </c>
      <c r="W100" s="20" t="str">
        <v>McHugh, Collin</v>
      </c>
      <c r="X100" s="20" t="str">
        <v>Ynoa, Huascar</v>
      </c>
      <c r="Y100" s="20" t="str">
        <v>Toussaint, Touki</v>
      </c>
      <c r="Z100" s="20" t="str">
        <v>Jiménez, Joe</v>
      </c>
      <c r="AA100" s="20" t="str">
        <v>Smith, Will</v>
      </c>
      <c r="AB100" s="20" t="str">
        <v>Foltynewicz, Mike</v>
      </c>
      <c r="AC100" s="20" t="str">
        <v>Bummer, Aaron</v>
      </c>
      <c r="AD100" s="20" t="str">
        <v>Tonkin, Michael</v>
      </c>
      <c r="AE100" s="20" t="str">
        <v>Smith-Shawver, AJ</v>
      </c>
      <c r="AF100" s="20" t="str">
        <v>Stephens, Jackson</v>
      </c>
      <c r="AG100" s="20" t="str">
        <v>Martin, Chris</v>
      </c>
      <c r="AH100" s="20" t="str">
        <v>Yates, Kirby</v>
      </c>
      <c r="AI100" s="20" t="str">
        <v>Wilson, Bryse</v>
      </c>
      <c r="AJ100" s="20" t="str">
        <v>Wentz, Joey</v>
      </c>
      <c r="AK100" s="20" t="str">
        <v>Dodd, Dylan</v>
      </c>
      <c r="AL100" s="20" t="str">
        <v>Hernández, Daysbel</v>
      </c>
      <c r="AM100" s="20" t="str">
        <v>Greene, Shane</v>
      </c>
      <c r="AN100" s="20" t="str">
        <v>Webb, Jacob</v>
      </c>
      <c r="AO100" s="20" t="str">
        <v>Jansen, Kenley</v>
      </c>
      <c r="AP100" s="20" t="str">
        <v>Waldrep, Hurston</v>
      </c>
      <c r="AQ100" s="20" t="str">
        <v>Dayton, Grant</v>
      </c>
      <c r="AR100" s="20" t="str">
        <v>Muller, Kyle</v>
      </c>
      <c r="AS100" s="20" t="str">
        <v>Shuster, Jared</v>
      </c>
      <c r="AT100" s="20" t="str">
        <v>Odorizzi, Jake</v>
      </c>
      <c r="AU100" s="20" t="str">
        <v>De Los Santos, Enyel</v>
      </c>
      <c r="AV100" s="20" t="str">
        <v>O'Day, Darren</v>
      </c>
      <c r="AW100" s="20" t="str">
        <v>Winans, Allan</v>
      </c>
      <c r="AX100" s="20" t="str">
        <v>Melancon, Mark</v>
      </c>
      <c r="AY100" s="20" t="str">
        <v>Montero, Rafael</v>
      </c>
      <c r="AZ100" s="20" t="str">
        <v>Sobotka, Chad</v>
      </c>
      <c r="BA100" s="20" t="str">
        <v>Davidson, Tucker</v>
      </c>
      <c r="BB100" s="20" t="str">
        <v>Santana, Edgar</v>
      </c>
      <c r="BC100" s="20" t="str">
        <v>Vines, Darius</v>
      </c>
      <c r="BD100" s="20" t="str">
        <v>Anderson, Nick</v>
      </c>
      <c r="BE100" s="20" t="str">
        <v>Fedde, Erick</v>
      </c>
      <c r="BF100" s="20" t="str">
        <v>Biddle, Jesse</v>
      </c>
      <c r="BG100" s="20" t="str">
        <v>Cox, Austin</v>
      </c>
      <c r="BH100" s="20" t="str">
        <v>Erlin, Robbie</v>
      </c>
      <c r="BI100" s="20" t="str">
        <v>Chirinos, Yonny</v>
      </c>
      <c r="BJ100" s="20" t="str">
        <v>Rodríguez, Richard</v>
      </c>
      <c r="BK100" s="20" t="str">
        <v>Kerr, Ray</v>
      </c>
      <c r="BL100" s="20" t="str">
        <v>Kinley, Tyler</v>
      </c>
      <c r="BM100" s="20" t="str">
        <v>Hand, Brad</v>
      </c>
      <c r="BN100" s="20" t="str">
        <v>Heller, Ben</v>
      </c>
      <c r="BO100" s="20" t="str">
        <v>Suarez, José</v>
      </c>
      <c r="BP100" s="20" t="str">
        <v>Fuentes, Didier</v>
      </c>
      <c r="BQ100" s="20" t="str">
        <v>Luetge, Lucas</v>
      </c>
      <c r="BR100" s="20" t="str">
        <v>Carrasco, Carlos</v>
      </c>
      <c r="BS100" s="20" t="str">
        <v>Blewett, Scott</v>
      </c>
      <c r="BT100" s="20" t="str">
        <v>Stratton, Hunter</v>
      </c>
      <c r="BU100" s="20" t="str">
        <v>Thornburg, Tyler</v>
      </c>
      <c r="BV100" s="20" t="str">
        <v>Milone, Tommy</v>
      </c>
    </row>
    <row r="101" spans="1:74" x14ac:dyDescent="0.3">
      <c r="A101" s="7" t="str" cm="1">
        <f t="array" ref="A101:A173">_xlfn.UNIQUE(braves_19_25__2[player_name])</f>
        <v>Fried, Max</v>
      </c>
      <c r="B101" s="17" t="e" cm="1">
        <f t="array" ref="B101">MMULT(
    MMULT(
        INDEX(PITCH_PERCENTAGES, MATCH(ROWNAME, ARSENAL_NAME_COL, 0), 0),
        WEIGHT_MATRIX
    ),
    TRANSPOSE(
        INDEX(ARSENAL_MATRIX, MATCH(COLNAME, ARSENAL_NAME_COL, 0), 0)
    )
)
/
(
    INDEX(NORM_COL, MATCH(ROWNAME, ARSENAL_NAME_COL, 0))
    *
    INDEX(NORM_COL, MATCH(COLNAME, ARSENAL_NAME_COL, 0))
)</f>
        <v>#NAME?</v>
      </c>
      <c r="C101" s="17" cm="1">
        <f t="array" ref="C101">MMULT(
    MMULT(
        INDEX($X$5:$AM$77, MATCH(C$100,_xlfn.ANCHORARRAY( $W$5), 0), 0),
        $F$5:$U$20
    ),
    TRANSPOSE(
        INDEX($X$5:$AM$77, MATCH($A101,_xlfn.ANCHORARRAY( $W$5), 0), 0)
    )
)
/
(
    INDEX($AN$5:$AN$77, MATCH(C$100,_xlfn.ANCHORARRAY( $W$5), 0))
    *
    INDEX($AN$5:$AN$77, MATCH($A101,_xlfn.ANCHORARRAY( $W$5), 0))
)</f>
        <v>0.92343300503849657</v>
      </c>
      <c r="D101" s="17" cm="1">
        <f t="array" ref="D101">MMULT(
    MMULT(
        INDEX($X$5:$AM$77, MATCH(D$100,_xlfn.ANCHORARRAY( $W$5), 0), 0),
        $F$5:$U$20
    ),
    TRANSPOSE(
        INDEX($X$5:$AM$77, MATCH($A101,_xlfn.ANCHORARRAY( $W$5), 0), 0)
    )
)
/
(
    INDEX($AN$5:$AN$77, MATCH(D$100,_xlfn.ANCHORARRAY( $W$5), 0))
    *
    INDEX($AN$5:$AN$77, MATCH($A101,_xlfn.ANCHORARRAY( $W$5), 0))
)</f>
        <v>0.89800477133542345</v>
      </c>
      <c r="E101" s="17" cm="1">
        <f t="array" ref="E101">MMULT(
    MMULT(
        INDEX($X$5:$AM$77, MATCH(E$100,_xlfn.ANCHORARRAY( $W$5), 0), 0),
        $F$5:$U$20
    ),
    TRANSPOSE(
        INDEX($X$5:$AM$77, MATCH($A101,_xlfn.ANCHORARRAY( $W$5), 0), 0)
    )
)
/
(
    INDEX($AN$5:$AN$77, MATCH(E$100,_xlfn.ANCHORARRAY( $W$5), 0))
    *
    INDEX($AN$5:$AN$77, MATCH($A101,_xlfn.ANCHORARRAY( $W$5), 0))
)</f>
        <v>0.81934401528065626</v>
      </c>
      <c r="F101" s="17" cm="1">
        <f t="array" ref="F101">MMULT(
    MMULT(
        INDEX($X$5:$AM$77, MATCH(F$100,_xlfn.ANCHORARRAY( $W$5), 0), 0),
        $F$5:$U$20
    ),
    TRANSPOSE(
        INDEX($X$5:$AM$77, MATCH($A101,_xlfn.ANCHORARRAY( $W$5), 0), 0)
    )
)
/
(
    INDEX($AN$5:$AN$77, MATCH(F$100,_xlfn.ANCHORARRAY( $W$5), 0))
    *
    INDEX($AN$5:$AN$77, MATCH($A101,_xlfn.ANCHORARRAY( $W$5), 0))
)</f>
        <v>0.82006119398020683</v>
      </c>
      <c r="G101" s="17" cm="1">
        <f t="array" ref="G101">MMULT(
    MMULT(
        INDEX($X$5:$AM$77, MATCH(G$100,_xlfn.ANCHORARRAY( $W$5), 0), 0),
        $F$5:$U$20
    ),
    TRANSPOSE(
        INDEX($X$5:$AM$77, MATCH($A101,_xlfn.ANCHORARRAY( $W$5), 0), 0)
    )
)
/
(
    INDEX($AN$5:$AN$77, MATCH(G$100,_xlfn.ANCHORARRAY( $W$5), 0))
    *
    INDEX($AN$5:$AN$77, MATCH($A101,_xlfn.ANCHORARRAY( $W$5), 0))
)</f>
        <v>0.87426669568967597</v>
      </c>
      <c r="H101" s="17" cm="1">
        <f t="array" ref="H101">MMULT(
    MMULT(
        INDEX($X$5:$AM$77, MATCH(H$100,_xlfn.ANCHORARRAY( $W$5), 0), 0),
        $F$5:$U$20
    ),
    TRANSPOSE(
        INDEX($X$5:$AM$77, MATCH($A101,_xlfn.ANCHORARRAY( $W$5), 0), 0)
    )
)
/
(
    INDEX($AN$5:$AN$77, MATCH(H$100,_xlfn.ANCHORARRAY( $W$5), 0))
    *
    INDEX($AN$5:$AN$77, MATCH($A101,_xlfn.ANCHORARRAY( $W$5), 0))
)</f>
        <v>0.82615284910967601</v>
      </c>
      <c r="I101" s="17" cm="1">
        <f t="array" ref="I101">MMULT(
    MMULT(
        INDEX($X$5:$AM$77, MATCH(I$100,_xlfn.ANCHORARRAY( $W$5), 0), 0),
        $F$5:$U$20
    ),
    TRANSPOSE(
        INDEX($X$5:$AM$77, MATCH($A101,_xlfn.ANCHORARRAY( $W$5), 0), 0)
    )
)
/
(
    INDEX($AN$5:$AN$77, MATCH(I$100,_xlfn.ANCHORARRAY( $W$5), 0))
    *
    INDEX($AN$5:$AN$77, MATCH($A101,_xlfn.ANCHORARRAY( $W$5), 0))
)</f>
        <v>0.88798093401407785</v>
      </c>
      <c r="J101" s="17" cm="1">
        <f t="array" ref="J101">MMULT(
    MMULT(
        INDEX($X$5:$AM$77, MATCH(J$100,_xlfn.ANCHORARRAY( $W$5), 0), 0),
        $F$5:$U$20
    ),
    TRANSPOSE(
        INDEX($X$5:$AM$77, MATCH($A101,_xlfn.ANCHORARRAY( $W$5), 0), 0)
    )
)
/
(
    INDEX($AN$5:$AN$77, MATCH(J$100,_xlfn.ANCHORARRAY( $W$5), 0))
    *
    INDEX($AN$5:$AN$77, MATCH($A101,_xlfn.ANCHORARRAY( $W$5), 0))
)</f>
        <v>0.95758817558476494</v>
      </c>
      <c r="K101" s="17" cm="1">
        <f t="array" ref="K101">MMULT(
    MMULT(
        INDEX($X$5:$AM$77, MATCH(K$100,_xlfn.ANCHORARRAY( $W$5), 0), 0),
        $F$5:$U$20
    ),
    TRANSPOSE(
        INDEX($X$5:$AM$77, MATCH($A101,_xlfn.ANCHORARRAY( $W$5), 0), 0)
    )
)
/
(
    INDEX($AN$5:$AN$77, MATCH(K$100,_xlfn.ANCHORARRAY( $W$5), 0))
    *
    INDEX($AN$5:$AN$77, MATCH($A101,_xlfn.ANCHORARRAY( $W$5), 0))
)</f>
        <v>0.86428009061327793</v>
      </c>
      <c r="L101" s="17" cm="1">
        <f t="array" ref="L101">MMULT(
    MMULT(
        INDEX($X$5:$AM$77, MATCH(L$100,_xlfn.ANCHORARRAY( $W$5), 0), 0),
        $F$5:$U$20
    ),
    TRANSPOSE(
        INDEX($X$5:$AM$77, MATCH($A101,_xlfn.ANCHORARRAY( $W$5), 0), 0)
    )
)
/
(
    INDEX($AN$5:$AN$77, MATCH(L$100,_xlfn.ANCHORARRAY( $W$5), 0))
    *
    INDEX($AN$5:$AN$77, MATCH($A101,_xlfn.ANCHORARRAY( $W$5), 0))
)</f>
        <v>0.76076316215827589</v>
      </c>
      <c r="M101" s="17" cm="1">
        <f t="array" ref="M101">MMULT(
    MMULT(
        INDEX($X$5:$AM$77, MATCH(M$100,_xlfn.ANCHORARRAY( $W$5), 0), 0),
        $F$5:$U$20
    ),
    TRANSPOSE(
        INDEX($X$5:$AM$77, MATCH($A101,_xlfn.ANCHORARRAY( $W$5), 0), 0)
    )
)
/
(
    INDEX($AN$5:$AN$77, MATCH(M$100,_xlfn.ANCHORARRAY( $W$5), 0))
    *
    INDEX($AN$5:$AN$77, MATCH($A101,_xlfn.ANCHORARRAY( $W$5), 0))
)</f>
        <v>0.8497319110743552</v>
      </c>
      <c r="N101" s="17" cm="1">
        <f t="array" ref="N101">MMULT(
    MMULT(
        INDEX($X$5:$AM$77, MATCH(N$100,_xlfn.ANCHORARRAY( $W$5), 0), 0),
        $F$5:$U$20
    ),
    TRANSPOSE(
        INDEX($X$5:$AM$77, MATCH($A101,_xlfn.ANCHORARRAY( $W$5), 0), 0)
    )
)
/
(
    INDEX($AN$5:$AN$77, MATCH(N$100,_xlfn.ANCHORARRAY( $W$5), 0))
    *
    INDEX($AN$5:$AN$77, MATCH($A101,_xlfn.ANCHORARRAY( $W$5), 0))
)</f>
        <v>0.78888747889260402</v>
      </c>
      <c r="O101" s="17" cm="1">
        <f t="array" ref="O101">MMULT(
    MMULT(
        INDEX($X$5:$AM$77, MATCH(O$100,_xlfn.ANCHORARRAY( $W$5), 0), 0),
        $F$5:$U$20
    ),
    TRANSPOSE(
        INDEX($X$5:$AM$77, MATCH($A101,_xlfn.ANCHORARRAY( $W$5), 0), 0)
    )
)
/
(
    INDEX($AN$5:$AN$77, MATCH(O$100,_xlfn.ANCHORARRAY( $W$5), 0))
    *
    INDEX($AN$5:$AN$77, MATCH($A101,_xlfn.ANCHORARRAY( $W$5), 0))
)</f>
        <v>0.72995628257142364</v>
      </c>
      <c r="P101" s="17" cm="1">
        <f t="array" ref="P101">MMULT(
    MMULT(
        INDEX($X$5:$AM$77, MATCH(P$100,_xlfn.ANCHORARRAY( $W$5), 0), 0),
        $F$5:$U$20
    ),
    TRANSPOSE(
        INDEX($X$5:$AM$77, MATCH($A101,_xlfn.ANCHORARRAY( $W$5), 0), 0)
    )
)
/
(
    INDEX($AN$5:$AN$77, MATCH(P$100,_xlfn.ANCHORARRAY( $W$5), 0))
    *
    INDEX($AN$5:$AN$77, MATCH($A101,_xlfn.ANCHORARRAY( $W$5), 0))
)</f>
        <v>0.92104240921860081</v>
      </c>
      <c r="Q101" s="17" cm="1">
        <f t="array" ref="Q101">MMULT(
    MMULT(
        INDEX($X$5:$AM$77, MATCH(Q$100,_xlfn.ANCHORARRAY( $W$5), 0), 0),
        $F$5:$U$20
    ),
    TRANSPOSE(
        INDEX($X$5:$AM$77, MATCH($A101,_xlfn.ANCHORARRAY( $W$5), 0), 0)
    )
)
/
(
    INDEX($AN$5:$AN$77, MATCH(Q$100,_xlfn.ANCHORARRAY( $W$5), 0))
    *
    INDEX($AN$5:$AN$77, MATCH($A101,_xlfn.ANCHORARRAY( $W$5), 0))
)</f>
        <v>0.86581178444772922</v>
      </c>
      <c r="R101" s="17" cm="1">
        <f t="array" ref="R101">MMULT(
    MMULT(
        INDEX($X$5:$AM$77, MATCH(R$100,_xlfn.ANCHORARRAY( $W$5), 0), 0),
        $F$5:$U$20
    ),
    TRANSPOSE(
        INDEX($X$5:$AM$77, MATCH($A101,_xlfn.ANCHORARRAY( $W$5), 0), 0)
    )
)
/
(
    INDEX($AN$5:$AN$77, MATCH(R$100,_xlfn.ANCHORARRAY( $W$5), 0))
    *
    INDEX($AN$5:$AN$77, MATCH($A101,_xlfn.ANCHORARRAY( $W$5), 0))
)</f>
        <v>0.9000699018594186</v>
      </c>
      <c r="S101" s="17" cm="1">
        <f t="array" ref="S101">MMULT(
    MMULT(
        INDEX($X$5:$AM$77, MATCH(S$100,_xlfn.ANCHORARRAY( $W$5), 0), 0),
        $F$5:$U$20
    ),
    TRANSPOSE(
        INDEX($X$5:$AM$77, MATCH($A101,_xlfn.ANCHORARRAY( $W$5), 0), 0)
    )
)
/
(
    INDEX($AN$5:$AN$77, MATCH(S$100,_xlfn.ANCHORARRAY( $W$5), 0))
    *
    INDEX($AN$5:$AN$77, MATCH($A101,_xlfn.ANCHORARRAY( $W$5), 0))
)</f>
        <v>0.94845162967639773</v>
      </c>
      <c r="T101" s="17" cm="1">
        <f t="array" ref="T101">MMULT(
    MMULT(
        INDEX($X$5:$AM$77, MATCH(T$100,_xlfn.ANCHORARRAY( $W$5), 0), 0),
        $F$5:$U$20
    ),
    TRANSPOSE(
        INDEX($X$5:$AM$77, MATCH($A101,_xlfn.ANCHORARRAY( $W$5), 0), 0)
    )
)
/
(
    INDEX($AN$5:$AN$77, MATCH(T$100,_xlfn.ANCHORARRAY( $W$5), 0))
    *
    INDEX($AN$5:$AN$77, MATCH($A101,_xlfn.ANCHORARRAY( $W$5), 0))
)</f>
        <v>0.67742596114372911</v>
      </c>
      <c r="U101" s="17" cm="1">
        <f t="array" ref="U101">MMULT(
    MMULT(
        INDEX($X$5:$AM$77, MATCH(U$100,_xlfn.ANCHORARRAY( $W$5), 0), 0),
        $F$5:$U$20
    ),
    TRANSPOSE(
        INDEX($X$5:$AM$77, MATCH($A101,_xlfn.ANCHORARRAY( $W$5), 0), 0)
    )
)
/
(
    INDEX($AN$5:$AN$77, MATCH(U$100,_xlfn.ANCHORARRAY( $W$5), 0))
    *
    INDEX($AN$5:$AN$77, MATCH($A101,_xlfn.ANCHORARRAY( $W$5), 0))
)</f>
        <v>0.94133531377082724</v>
      </c>
      <c r="V101" s="17" cm="1">
        <f t="array" ref="V101">MMULT(
    MMULT(
        INDEX($X$5:$AM$77, MATCH(V$100,_xlfn.ANCHORARRAY( $W$5), 0), 0),
        $F$5:$U$20
    ),
    TRANSPOSE(
        INDEX($X$5:$AM$77, MATCH($A101,_xlfn.ANCHORARRAY( $W$5), 0), 0)
    )
)
/
(
    INDEX($AN$5:$AN$77, MATCH(V$100,_xlfn.ANCHORARRAY( $W$5), 0))
    *
    INDEX($AN$5:$AN$77, MATCH($A101,_xlfn.ANCHORARRAY( $W$5), 0))
)</f>
        <v>0.74750452829884362</v>
      </c>
      <c r="W101" s="17" cm="1">
        <f t="array" ref="W101">MMULT(
    MMULT(
        INDEX($X$5:$AM$77, MATCH(W$100,_xlfn.ANCHORARRAY( $W$5), 0), 0),
        $F$5:$U$20
    ),
    TRANSPOSE(
        INDEX($X$5:$AM$77, MATCH($A101,_xlfn.ANCHORARRAY( $W$5), 0), 0)
    )
)
/
(
    INDEX($AN$5:$AN$77, MATCH(W$100,_xlfn.ANCHORARRAY( $W$5), 0))
    *
    INDEX($AN$5:$AN$77, MATCH($A101,_xlfn.ANCHORARRAY( $W$5), 0))
)</f>
        <v>0.63781032851642039</v>
      </c>
      <c r="X101" s="17" cm="1">
        <f t="array" ref="X101">MMULT(
    MMULT(
        INDEX($X$5:$AM$77, MATCH(X$100,_xlfn.ANCHORARRAY( $W$5), 0), 0),
        $F$5:$U$20
    ),
    TRANSPOSE(
        INDEX($X$5:$AM$77, MATCH($A101,_xlfn.ANCHORARRAY( $W$5), 0), 0)
    )
)
/
(
    INDEX($AN$5:$AN$77, MATCH(X$100,_xlfn.ANCHORARRAY( $W$5), 0))
    *
    INDEX($AN$5:$AN$77, MATCH($A101,_xlfn.ANCHORARRAY( $W$5), 0))
)</f>
        <v>0.80522441245511478</v>
      </c>
      <c r="Y101" s="17" cm="1">
        <f t="array" ref="Y101">MMULT(
    MMULT(
        INDEX($X$5:$AM$77, MATCH(Y$100,_xlfn.ANCHORARRAY( $W$5), 0), 0),
        $F$5:$U$20
    ),
    TRANSPOSE(
        INDEX($X$5:$AM$77, MATCH($A101,_xlfn.ANCHORARRAY( $W$5), 0), 0)
    )
)
/
(
    INDEX($AN$5:$AN$77, MATCH(Y$100,_xlfn.ANCHORARRAY( $W$5), 0))
    *
    INDEX($AN$5:$AN$77, MATCH($A101,_xlfn.ANCHORARRAY( $W$5), 0))
)</f>
        <v>0.88943535927907424</v>
      </c>
      <c r="Z101" s="17" cm="1">
        <f t="array" ref="Z101">MMULT(
    MMULT(
        INDEX($X$5:$AM$77, MATCH(Z$100,_xlfn.ANCHORARRAY( $W$5), 0), 0),
        $F$5:$U$20
    ),
    TRANSPOSE(
        INDEX($X$5:$AM$77, MATCH($A101,_xlfn.ANCHORARRAY( $W$5), 0), 0)
    )
)
/
(
    INDEX($AN$5:$AN$77, MATCH(Z$100,_xlfn.ANCHORARRAY( $W$5), 0))
    *
    INDEX($AN$5:$AN$77, MATCH($A101,_xlfn.ANCHORARRAY( $W$5), 0))
)</f>
        <v>0.84991297970254753</v>
      </c>
      <c r="AA101" s="17" cm="1">
        <f t="array" ref="AA101">MMULT(
    MMULT(
        INDEX($X$5:$AM$77, MATCH(AA$100,_xlfn.ANCHORARRAY( $W$5), 0), 0),
        $F$5:$U$20
    ),
    TRANSPOSE(
        INDEX($X$5:$AM$77, MATCH($A101,_xlfn.ANCHORARRAY( $W$5), 0), 0)
    )
)
/
(
    INDEX($AN$5:$AN$77, MATCH(AA$100,_xlfn.ANCHORARRAY( $W$5), 0))
    *
    INDEX($AN$5:$AN$77, MATCH($A101,_xlfn.ANCHORARRAY( $W$5), 0))
)</f>
        <v>0.85872851398493699</v>
      </c>
      <c r="AB101" s="17" cm="1">
        <f t="array" ref="AB101">MMULT(
    MMULT(
        INDEX($X$5:$AM$77, MATCH(AB$100,_xlfn.ANCHORARRAY( $W$5), 0), 0),
        $F$5:$U$20
    ),
    TRANSPOSE(
        INDEX($X$5:$AM$77, MATCH($A101,_xlfn.ANCHORARRAY( $W$5), 0), 0)
    )
)
/
(
    INDEX($AN$5:$AN$77, MATCH(AB$100,_xlfn.ANCHORARRAY( $W$5), 0))
    *
    INDEX($AN$5:$AN$77, MATCH($A101,_xlfn.ANCHORARRAY( $W$5), 0))
)</f>
        <v>0.93404373272352847</v>
      </c>
      <c r="AC101" s="17" cm="1">
        <f t="array" ref="AC101">MMULT(
    MMULT(
        INDEX($X$5:$AM$77, MATCH(AC$100,_xlfn.ANCHORARRAY( $W$5), 0), 0),
        $F$5:$U$20
    ),
    TRANSPOSE(
        INDEX($X$5:$AM$77, MATCH($A101,_xlfn.ANCHORARRAY( $W$5), 0), 0)
    )
)
/
(
    INDEX($AN$5:$AN$77, MATCH(AC$100,_xlfn.ANCHORARRAY( $W$5), 0))
    *
    INDEX($AN$5:$AN$77, MATCH($A101,_xlfn.ANCHORARRAY( $W$5), 0))
)</f>
        <v>0.86207341824437167</v>
      </c>
      <c r="AD101" s="17" cm="1">
        <f t="array" ref="AD101">MMULT(
    MMULT(
        INDEX($X$5:$AM$77, MATCH(AD$100,_xlfn.ANCHORARRAY( $W$5), 0), 0),
        $F$5:$U$20
    ),
    TRANSPOSE(
        INDEX($X$5:$AM$77, MATCH($A101,_xlfn.ANCHORARRAY( $W$5), 0), 0)
    )
)
/
(
    INDEX($AN$5:$AN$77, MATCH(AD$100,_xlfn.ANCHORARRAY( $W$5), 0))
    *
    INDEX($AN$5:$AN$77, MATCH($A101,_xlfn.ANCHORARRAY( $W$5), 0))
)</f>
        <v>0.86235755168411099</v>
      </c>
      <c r="AE101" s="17" cm="1">
        <f t="array" ref="AE101">MMULT(
    MMULT(
        INDEX($X$5:$AM$77, MATCH(AE$100,_xlfn.ANCHORARRAY( $W$5), 0), 0),
        $F$5:$U$20
    ),
    TRANSPOSE(
        INDEX($X$5:$AM$77, MATCH($A101,_xlfn.ANCHORARRAY( $W$5), 0), 0)
    )
)
/
(
    INDEX($AN$5:$AN$77, MATCH(AE$100,_xlfn.ANCHORARRAY( $W$5), 0))
    *
    INDEX($AN$5:$AN$77, MATCH($A101,_xlfn.ANCHORARRAY( $W$5), 0))
)</f>
        <v>0.92087600956173199</v>
      </c>
      <c r="AF101" s="17" cm="1">
        <f t="array" ref="AF101">MMULT(
    MMULT(
        INDEX($X$5:$AM$77, MATCH(AF$100,_xlfn.ANCHORARRAY( $W$5), 0), 0),
        $F$5:$U$20
    ),
    TRANSPOSE(
        INDEX($X$5:$AM$77, MATCH($A101,_xlfn.ANCHORARRAY( $W$5), 0), 0)
    )
)
/
(
    INDEX($AN$5:$AN$77, MATCH(AF$100,_xlfn.ANCHORARRAY( $W$5), 0))
    *
    INDEX($AN$5:$AN$77, MATCH($A101,_xlfn.ANCHORARRAY( $W$5), 0))
)</f>
        <v>0.9728271407520287</v>
      </c>
      <c r="AG101" s="17" cm="1">
        <f t="array" ref="AG101">MMULT(
    MMULT(
        INDEX($X$5:$AM$77, MATCH(AG$100,_xlfn.ANCHORARRAY( $W$5), 0), 0),
        $F$5:$U$20
    ),
    TRANSPOSE(
        INDEX($X$5:$AM$77, MATCH($A101,_xlfn.ANCHORARRAY( $W$5), 0), 0)
    )
)
/
(
    INDEX($AN$5:$AN$77, MATCH(AG$100,_xlfn.ANCHORARRAY( $W$5), 0))
    *
    INDEX($AN$5:$AN$77, MATCH($A101,_xlfn.ANCHORARRAY( $W$5), 0))
)</f>
        <v>0.89558806517692879</v>
      </c>
      <c r="AH101" s="17" cm="1">
        <f t="array" ref="AH101">MMULT(
    MMULT(
        INDEX($X$5:$AM$77, MATCH(AH$100,_xlfn.ANCHORARRAY( $W$5), 0), 0),
        $F$5:$U$20
    ),
    TRANSPOSE(
        INDEX($X$5:$AM$77, MATCH($A101,_xlfn.ANCHORARRAY( $W$5), 0), 0)
    )
)
/
(
    INDEX($AN$5:$AN$77, MATCH(AH$100,_xlfn.ANCHORARRAY( $W$5), 0))
    *
    INDEX($AN$5:$AN$77, MATCH($A101,_xlfn.ANCHORARRAY( $W$5), 0))
)</f>
        <v>0.71570163345791948</v>
      </c>
      <c r="AI101" s="17" cm="1">
        <f t="array" ref="AI101">MMULT(
    MMULT(
        INDEX($X$5:$AM$77, MATCH(AI$100,_xlfn.ANCHORARRAY( $W$5), 0), 0),
        $F$5:$U$20
    ),
    TRANSPOSE(
        INDEX($X$5:$AM$77, MATCH($A101,_xlfn.ANCHORARRAY( $W$5), 0), 0)
    )
)
/
(
    INDEX($AN$5:$AN$77, MATCH(AI$100,_xlfn.ANCHORARRAY( $W$5), 0))
    *
    INDEX($AN$5:$AN$77, MATCH($A101,_xlfn.ANCHORARRAY( $W$5), 0))
)</f>
        <v>0.93808009294535777</v>
      </c>
      <c r="AJ101" s="17" cm="1">
        <f t="array" ref="AJ101">MMULT(
    MMULT(
        INDEX($X$5:$AM$77, MATCH(AJ$100,_xlfn.ANCHORARRAY( $W$5), 0), 0),
        $F$5:$U$20
    ),
    TRANSPOSE(
        INDEX($X$5:$AM$77, MATCH($A101,_xlfn.ANCHORARRAY( $W$5), 0), 0)
    )
)
/
(
    INDEX($AN$5:$AN$77, MATCH(AJ$100,_xlfn.ANCHORARRAY( $W$5), 0))
    *
    INDEX($AN$5:$AN$77, MATCH($A101,_xlfn.ANCHORARRAY( $W$5), 0))
)</f>
        <v>0.9217291704968813</v>
      </c>
      <c r="AK101" s="17" cm="1">
        <f t="array" ref="AK101">MMULT(
    MMULT(
        INDEX($X$5:$AM$77, MATCH(AK$100,_xlfn.ANCHORARRAY( $W$5), 0), 0),
        $F$5:$U$20
    ),
    TRANSPOSE(
        INDEX($X$5:$AM$77, MATCH($A101,_xlfn.ANCHORARRAY( $W$5), 0), 0)
    )
)
/
(
    INDEX($AN$5:$AN$77, MATCH(AK$100,_xlfn.ANCHORARRAY( $W$5), 0))
    *
    INDEX($AN$5:$AN$77, MATCH($A101,_xlfn.ANCHORARRAY( $W$5), 0))
)</f>
        <v>0.87215081072892942</v>
      </c>
      <c r="AL101" s="17" cm="1">
        <f t="array" ref="AL101">MMULT(
    MMULT(
        INDEX($X$5:$AM$77, MATCH(AL$100,_xlfn.ANCHORARRAY( $W$5), 0), 0),
        $F$5:$U$20
    ),
    TRANSPOSE(
        INDEX($X$5:$AM$77, MATCH($A101,_xlfn.ANCHORARRAY( $W$5), 0), 0)
    )
)
/
(
    INDEX($AN$5:$AN$77, MATCH(AL$100,_xlfn.ANCHORARRAY( $W$5), 0))
    *
    INDEX($AN$5:$AN$77, MATCH($A101,_xlfn.ANCHORARRAY( $W$5), 0))
)</f>
        <v>0.75001946117738783</v>
      </c>
      <c r="AM101" s="17" cm="1">
        <f t="array" ref="AM101">MMULT(
    MMULT(
        INDEX($X$5:$AM$77, MATCH(AM$100,_xlfn.ANCHORARRAY( $W$5), 0), 0),
        $F$5:$U$20
    ),
    TRANSPOSE(
        INDEX($X$5:$AM$77, MATCH($A101,_xlfn.ANCHORARRAY( $W$5), 0), 0)
    )
)
/
(
    INDEX($AN$5:$AN$77, MATCH(AM$100,_xlfn.ANCHORARRAY( $W$5), 0))
    *
    INDEX($AN$5:$AN$77, MATCH($A101,_xlfn.ANCHORARRAY( $W$5), 0))
)</f>
        <v>0.77616002876626933</v>
      </c>
      <c r="AN101" s="17" cm="1">
        <f t="array" ref="AN101">MMULT(
    MMULT(
        INDEX($X$5:$AM$77, MATCH(AN$100,_xlfn.ANCHORARRAY( $W$5), 0), 0),
        $F$5:$U$20
    ),
    TRANSPOSE(
        INDEX($X$5:$AM$77, MATCH($A101,_xlfn.ANCHORARRAY( $W$5), 0), 0)
    )
)
/
(
    INDEX($AN$5:$AN$77, MATCH(AN$100,_xlfn.ANCHORARRAY( $W$5), 0))
    *
    INDEX($AN$5:$AN$77, MATCH($A101,_xlfn.ANCHORARRAY( $W$5), 0))
)</f>
        <v>0.82482699564002426</v>
      </c>
      <c r="AO101" s="17" cm="1">
        <f t="array" ref="AO101">MMULT(
    MMULT(
        INDEX($X$5:$AM$77, MATCH(AO$100,_xlfn.ANCHORARRAY( $W$5), 0), 0),
        $F$5:$U$20
    ),
    TRANSPOSE(
        INDEX($X$5:$AM$77, MATCH($A101,_xlfn.ANCHORARRAY( $W$5), 0), 0)
    )
)
/
(
    INDEX($AN$5:$AN$77, MATCH(AO$100,_xlfn.ANCHORARRAY( $W$5), 0))
    *
    INDEX($AN$5:$AN$77, MATCH($A101,_xlfn.ANCHORARRAY( $W$5), 0))
)</f>
        <v>0.73429868625909056</v>
      </c>
      <c r="AP101" s="17" cm="1">
        <f t="array" ref="AP101">MMULT(
    MMULT(
        INDEX($X$5:$AM$77, MATCH(AP$100,_xlfn.ANCHORARRAY( $W$5), 0), 0),
        $F$5:$U$20
    ),
    TRANSPOSE(
        INDEX($X$5:$AM$77, MATCH($A101,_xlfn.ANCHORARRAY( $W$5), 0), 0)
    )
)
/
(
    INDEX($AN$5:$AN$77, MATCH(AP$100,_xlfn.ANCHORARRAY( $W$5), 0))
    *
    INDEX($AN$5:$AN$77, MATCH($A101,_xlfn.ANCHORARRAY( $W$5), 0))
)</f>
        <v>0.78429786400861412</v>
      </c>
      <c r="AQ101" s="17" cm="1">
        <f t="array" ref="AQ101">MMULT(
    MMULT(
        INDEX($X$5:$AM$77, MATCH(AQ$100,_xlfn.ANCHORARRAY( $W$5), 0), 0),
        $F$5:$U$20
    ),
    TRANSPOSE(
        INDEX($X$5:$AM$77, MATCH($A101,_xlfn.ANCHORARRAY( $W$5), 0), 0)
    )
)
/
(
    INDEX($AN$5:$AN$77, MATCH(AQ$100,_xlfn.ANCHORARRAY( $W$5), 0))
    *
    INDEX($AN$5:$AN$77, MATCH($A101,_xlfn.ANCHORARRAY( $W$5), 0))
)</f>
        <v>0.93487142778852728</v>
      </c>
      <c r="AR101" s="17" cm="1">
        <f t="array" ref="AR101">MMULT(
    MMULT(
        INDEX($X$5:$AM$77, MATCH(AR$100,_xlfn.ANCHORARRAY( $W$5), 0), 0),
        $F$5:$U$20
    ),
    TRANSPOSE(
        INDEX($X$5:$AM$77, MATCH($A101,_xlfn.ANCHORARRAY( $W$5), 0), 0)
    )
)
/
(
    INDEX($AN$5:$AN$77, MATCH(AR$100,_xlfn.ANCHORARRAY( $W$5), 0))
    *
    INDEX($AN$5:$AN$77, MATCH($A101,_xlfn.ANCHORARRAY( $W$5), 0))
)</f>
        <v>0.94347505792513853</v>
      </c>
      <c r="AS101" s="17" cm="1">
        <f t="array" ref="AS101">MMULT(
    MMULT(
        INDEX($X$5:$AM$77, MATCH(AS$100,_xlfn.ANCHORARRAY( $W$5), 0), 0),
        $F$5:$U$20
    ),
    TRANSPOSE(
        INDEX($X$5:$AM$77, MATCH($A101,_xlfn.ANCHORARRAY( $W$5), 0), 0)
    )
)
/
(
    INDEX($AN$5:$AN$77, MATCH(AS$100,_xlfn.ANCHORARRAY( $W$5), 0))
    *
    INDEX($AN$5:$AN$77, MATCH($A101,_xlfn.ANCHORARRAY( $W$5), 0))
)</f>
        <v>0.8379130255756434</v>
      </c>
      <c r="AT101" s="17" cm="1">
        <f t="array" ref="AT101">MMULT(
    MMULT(
        INDEX($X$5:$AM$77, MATCH(AT$100,_xlfn.ANCHORARRAY( $W$5), 0), 0),
        $F$5:$U$20
    ),
    TRANSPOSE(
        INDEX($X$5:$AM$77, MATCH($A101,_xlfn.ANCHORARRAY( $W$5), 0), 0)
    )
)
/
(
    INDEX($AN$5:$AN$77, MATCH(AT$100,_xlfn.ANCHORARRAY( $W$5), 0))
    *
    INDEX($AN$5:$AN$77, MATCH($A101,_xlfn.ANCHORARRAY( $W$5), 0))
)</f>
        <v>0.85067360933330449</v>
      </c>
      <c r="AU101" s="17" cm="1">
        <f t="array" ref="AU101">MMULT(
    MMULT(
        INDEX($X$5:$AM$77, MATCH(AU$100,_xlfn.ANCHORARRAY( $W$5), 0), 0),
        $F$5:$U$20
    ),
    TRANSPOSE(
        INDEX($X$5:$AM$77, MATCH($A101,_xlfn.ANCHORARRAY( $W$5), 0), 0)
    )
)
/
(
    INDEX($AN$5:$AN$77, MATCH(AU$100,_xlfn.ANCHORARRAY( $W$5), 0))
    *
    INDEX($AN$5:$AN$77, MATCH($A101,_xlfn.ANCHORARRAY( $W$5), 0))
)</f>
        <v>0.83022957647962314</v>
      </c>
      <c r="AV101" s="17" cm="1">
        <f t="array" ref="AV101">MMULT(
    MMULT(
        INDEX($X$5:$AM$77, MATCH(AV$100,_xlfn.ANCHORARRAY( $W$5), 0), 0),
        $F$5:$U$20
    ),
    TRANSPOSE(
        INDEX($X$5:$AM$77, MATCH($A101,_xlfn.ANCHORARRAY( $W$5), 0), 0)
    )
)
/
(
    INDEX($AN$5:$AN$77, MATCH(AV$100,_xlfn.ANCHORARRAY( $W$5), 0))
    *
    INDEX($AN$5:$AN$77, MATCH($A101,_xlfn.ANCHORARRAY( $W$5), 0))
)</f>
        <v>0.82769981274707249</v>
      </c>
      <c r="AW101" s="17" cm="1">
        <f t="array" ref="AW101">MMULT(
    MMULT(
        INDEX($X$5:$AM$77, MATCH(AW$100,_xlfn.ANCHORARRAY( $W$5), 0), 0),
        $F$5:$U$20
    ),
    TRANSPOSE(
        INDEX($X$5:$AM$77, MATCH($A101,_xlfn.ANCHORARRAY( $W$5), 0), 0)
    )
)
/
(
    INDEX($AN$5:$AN$77, MATCH(AW$100,_xlfn.ANCHORARRAY( $W$5), 0))
    *
    INDEX($AN$5:$AN$77, MATCH($A101,_xlfn.ANCHORARRAY( $W$5), 0))
)</f>
        <v>0.782458482583825</v>
      </c>
      <c r="AX101" s="17" cm="1">
        <f t="array" ref="AX101">MMULT(
    MMULT(
        INDEX($X$5:$AM$77, MATCH(AX$100,_xlfn.ANCHORARRAY( $W$5), 0), 0),
        $F$5:$U$20
    ),
    TRANSPOSE(
        INDEX($X$5:$AM$77, MATCH($A101,_xlfn.ANCHORARRAY( $W$5), 0), 0)
    )
)
/
(
    INDEX($AN$5:$AN$77, MATCH(AX$100,_xlfn.ANCHORARRAY( $W$5), 0))
    *
    INDEX($AN$5:$AN$77, MATCH($A101,_xlfn.ANCHORARRAY( $W$5), 0))
)</f>
        <v>0.71424002388047436</v>
      </c>
      <c r="AY101" s="17" cm="1">
        <f t="array" ref="AY101">MMULT(
    MMULT(
        INDEX($X$5:$AM$77, MATCH(AY$100,_xlfn.ANCHORARRAY( $W$5), 0), 0),
        $F$5:$U$20
    ),
    TRANSPOSE(
        INDEX($X$5:$AM$77, MATCH($A101,_xlfn.ANCHORARRAY( $W$5), 0), 0)
    )
)
/
(
    INDEX($AN$5:$AN$77, MATCH(AY$100,_xlfn.ANCHORARRAY( $W$5), 0))
    *
    INDEX($AN$5:$AN$77, MATCH($A101,_xlfn.ANCHORARRAY( $W$5), 0))
)</f>
        <v>0.66401372593127028</v>
      </c>
      <c r="AZ101" s="17" cm="1">
        <f t="array" ref="AZ101">MMULT(
    MMULT(
        INDEX($X$5:$AM$77, MATCH(AZ$100,_xlfn.ANCHORARRAY( $W$5), 0), 0),
        $F$5:$U$20
    ),
    TRANSPOSE(
        INDEX($X$5:$AM$77, MATCH($A101,_xlfn.ANCHORARRAY( $W$5), 0), 0)
    )
)
/
(
    INDEX($AN$5:$AN$77, MATCH(AZ$100,_xlfn.ANCHORARRAY( $W$5), 0))
    *
    INDEX($AN$5:$AN$77, MATCH($A101,_xlfn.ANCHORARRAY( $W$5), 0))
)</f>
        <v>0.84255193004503814</v>
      </c>
      <c r="BA101" s="17" cm="1">
        <f t="array" ref="BA101">MMULT(
    MMULT(
        INDEX($X$5:$AM$77, MATCH(BA$100,_xlfn.ANCHORARRAY( $W$5), 0), 0),
        $F$5:$U$20
    ),
    TRANSPOSE(
        INDEX($X$5:$AM$77, MATCH($A101,_xlfn.ANCHORARRAY( $W$5), 0), 0)
    )
)
/
(
    INDEX($AN$5:$AN$77, MATCH(BA$100,_xlfn.ANCHORARRAY( $W$5), 0))
    *
    INDEX($AN$5:$AN$77, MATCH($A101,_xlfn.ANCHORARRAY( $W$5), 0))
)</f>
        <v>0.90351887714358636</v>
      </c>
      <c r="BB101" s="17" cm="1">
        <f t="array" ref="BB101">MMULT(
    MMULT(
        INDEX($X$5:$AM$77, MATCH(BB$100,_xlfn.ANCHORARRAY( $W$5), 0), 0),
        $F$5:$U$20
    ),
    TRANSPOSE(
        INDEX($X$5:$AM$77, MATCH($A101,_xlfn.ANCHORARRAY( $W$5), 0), 0)
    )
)
/
(
    INDEX($AN$5:$AN$77, MATCH(BB$100,_xlfn.ANCHORARRAY( $W$5), 0))
    *
    INDEX($AN$5:$AN$77, MATCH($A101,_xlfn.ANCHORARRAY( $W$5), 0))
)</f>
        <v>0.75586155741582028</v>
      </c>
      <c r="BC101" s="17" cm="1">
        <f t="array" ref="BC101">MMULT(
    MMULT(
        INDEX($X$5:$AM$77, MATCH(BC$100,_xlfn.ANCHORARRAY( $W$5), 0), 0),
        $F$5:$U$20
    ),
    TRANSPOSE(
        INDEX($X$5:$AM$77, MATCH($A101,_xlfn.ANCHORARRAY( $W$5), 0), 0)
    )
)
/
(
    INDEX($AN$5:$AN$77, MATCH(BC$100,_xlfn.ANCHORARRAY( $W$5), 0))
    *
    INDEX($AN$5:$AN$77, MATCH($A101,_xlfn.ANCHORARRAY( $W$5), 0))
)</f>
        <v>0.85596907110860543</v>
      </c>
      <c r="BD101" s="17" cm="1">
        <f t="array" ref="BD101">MMULT(
    MMULT(
        INDEX($X$5:$AM$77, MATCH(BD$100,_xlfn.ANCHORARRAY( $W$5), 0), 0),
        $F$5:$U$20
    ),
    TRANSPOSE(
        INDEX($X$5:$AM$77, MATCH($A101,_xlfn.ANCHORARRAY( $W$5), 0), 0)
    )
)
/
(
    INDEX($AN$5:$AN$77, MATCH(BD$100,_xlfn.ANCHORARRAY( $W$5), 0))
    *
    INDEX($AN$5:$AN$77, MATCH($A101,_xlfn.ANCHORARRAY( $W$5), 0))
)</f>
        <v>0.88329313801619469</v>
      </c>
      <c r="BE101" s="17" cm="1">
        <f t="array" ref="BE101">MMULT(
    MMULT(
        INDEX($X$5:$AM$77, MATCH(BE$100,_xlfn.ANCHORARRAY( $W$5), 0), 0),
        $F$5:$U$20
    ),
    TRANSPOSE(
        INDEX($X$5:$AM$77, MATCH($A101,_xlfn.ANCHORARRAY( $W$5), 0), 0)
    )
)
/
(
    INDEX($AN$5:$AN$77, MATCH(BE$100,_xlfn.ANCHORARRAY( $W$5), 0))
    *
    INDEX($AN$5:$AN$77, MATCH($A101,_xlfn.ANCHORARRAY( $W$5), 0))
)</f>
        <v>0.76915074261660776</v>
      </c>
      <c r="BF101" s="17" cm="1">
        <f t="array" ref="BF101">MMULT(
    MMULT(
        INDEX($X$5:$AM$77, MATCH(BF$100,_xlfn.ANCHORARRAY( $W$5), 0), 0),
        $F$5:$U$20
    ),
    TRANSPOSE(
        INDEX($X$5:$AM$77, MATCH($A101,_xlfn.ANCHORARRAY( $W$5), 0), 0)
    )
)
/
(
    INDEX($AN$5:$AN$77, MATCH(BF$100,_xlfn.ANCHORARRAY( $W$5), 0))
    *
    INDEX($AN$5:$AN$77, MATCH($A101,_xlfn.ANCHORARRAY( $W$5), 0))
)</f>
        <v>0.97897440218771481</v>
      </c>
      <c r="BG101" s="17" cm="1">
        <f t="array" ref="BG101">MMULT(
    MMULT(
        INDEX($X$5:$AM$77, MATCH(BG$100,_xlfn.ANCHORARRAY( $W$5), 0), 0),
        $F$5:$U$20
    ),
    TRANSPOSE(
        INDEX($X$5:$AM$77, MATCH($A101,_xlfn.ANCHORARRAY( $W$5), 0), 0)
    )
)
/
(
    INDEX($AN$5:$AN$77, MATCH(BG$100,_xlfn.ANCHORARRAY( $W$5), 0))
    *
    INDEX($AN$5:$AN$77, MATCH($A101,_xlfn.ANCHORARRAY( $W$5), 0))
)</f>
        <v>0.92033535660597954</v>
      </c>
      <c r="BH101" s="17" cm="1">
        <f t="array" ref="BH101">MMULT(
    MMULT(
        INDEX($X$5:$AM$77, MATCH(BH$100,_xlfn.ANCHORARRAY( $W$5), 0), 0),
        $F$5:$U$20
    ),
    TRANSPOSE(
        INDEX($X$5:$AM$77, MATCH($A101,_xlfn.ANCHORARRAY( $W$5), 0), 0)
    )
)
/
(
    INDEX($AN$5:$AN$77, MATCH(BH$100,_xlfn.ANCHORARRAY( $W$5), 0))
    *
    INDEX($AN$5:$AN$77, MATCH($A101,_xlfn.ANCHORARRAY( $W$5), 0))
)</f>
        <v>0.94161303502317195</v>
      </c>
      <c r="BI101" s="17" cm="1">
        <f t="array" ref="BI101">MMULT(
    MMULT(
        INDEX($X$5:$AM$77, MATCH(BI$100,_xlfn.ANCHORARRAY( $W$5), 0), 0),
        $F$5:$U$20
    ),
    TRANSPOSE(
        INDEX($X$5:$AM$77, MATCH($A101,_xlfn.ANCHORARRAY( $W$5), 0), 0)
    )
)
/
(
    INDEX($AN$5:$AN$77, MATCH(BI$100,_xlfn.ANCHORARRAY( $W$5), 0))
    *
    INDEX($AN$5:$AN$77, MATCH($A101,_xlfn.ANCHORARRAY( $W$5), 0))
)</f>
        <v>0.67341797284314775</v>
      </c>
      <c r="BJ101" s="17" cm="1">
        <f t="array" ref="BJ101">MMULT(
    MMULT(
        INDEX($X$5:$AM$77, MATCH(BJ$100,_xlfn.ANCHORARRAY( $W$5), 0), 0),
        $F$5:$U$20
    ),
    TRANSPOSE(
        INDEX($X$5:$AM$77, MATCH($A101,_xlfn.ANCHORARRAY( $W$5), 0), 0)
    )
)
/
(
    INDEX($AN$5:$AN$77, MATCH(BJ$100,_xlfn.ANCHORARRAY( $W$5), 0))
    *
    INDEX($AN$5:$AN$77, MATCH($A101,_xlfn.ANCHORARRAY( $W$5), 0))
)</f>
        <v>0.87533676890841661</v>
      </c>
      <c r="BK101" s="17" cm="1">
        <f t="array" ref="BK101">MMULT(
    MMULT(
        INDEX($X$5:$AM$77, MATCH(BK$100,_xlfn.ANCHORARRAY( $W$5), 0), 0),
        $F$5:$U$20
    ),
    TRANSPOSE(
        INDEX($X$5:$AM$77, MATCH($A101,_xlfn.ANCHORARRAY( $W$5), 0), 0)
    )
)
/
(
    INDEX($AN$5:$AN$77, MATCH(BK$100,_xlfn.ANCHORARRAY( $W$5), 0))
    *
    INDEX($AN$5:$AN$77, MATCH($A101,_xlfn.ANCHORARRAY( $W$5), 0))
)</f>
        <v>0.89043104981881327</v>
      </c>
      <c r="BL101" s="17" cm="1">
        <f t="array" ref="BL101">MMULT(
    MMULT(
        INDEX($X$5:$AM$77, MATCH(BL$100,_xlfn.ANCHORARRAY( $W$5), 0), 0),
        $F$5:$U$20
    ),
    TRANSPOSE(
        INDEX($X$5:$AM$77, MATCH($A101,_xlfn.ANCHORARRAY( $W$5), 0), 0)
    )
)
/
(
    INDEX($AN$5:$AN$77, MATCH(BL$100,_xlfn.ANCHORARRAY( $W$5), 0))
    *
    INDEX($AN$5:$AN$77, MATCH($A101,_xlfn.ANCHORARRAY( $W$5), 0))
)</f>
        <v>0.49882804181163082</v>
      </c>
      <c r="BM101" s="17" cm="1">
        <f t="array" ref="BM101">MMULT(
    MMULT(
        INDEX($X$5:$AM$77, MATCH(BM$100,_xlfn.ANCHORARRAY( $W$5), 0), 0),
        $F$5:$U$20
    ),
    TRANSPOSE(
        INDEX($X$5:$AM$77, MATCH($A101,_xlfn.ANCHORARRAY( $W$5), 0), 0)
    )
)
/
(
    INDEX($AN$5:$AN$77, MATCH(BM$100,_xlfn.ANCHORARRAY( $W$5), 0))
    *
    INDEX($AN$5:$AN$77, MATCH($A101,_xlfn.ANCHORARRAY( $W$5), 0))
)</f>
        <v>0.66449648080984192</v>
      </c>
      <c r="BN101" s="17" cm="1">
        <f t="array" ref="BN101">MMULT(
    MMULT(
        INDEX($X$5:$AM$77, MATCH(BN$100,_xlfn.ANCHORARRAY( $W$5), 0), 0),
        $F$5:$U$20
    ),
    TRANSPOSE(
        INDEX($X$5:$AM$77, MATCH($A101,_xlfn.ANCHORARRAY( $W$5), 0), 0)
    )
)
/
(
    INDEX($AN$5:$AN$77, MATCH(BN$100,_xlfn.ANCHORARRAY( $W$5), 0))
    *
    INDEX($AN$5:$AN$77, MATCH($A101,_xlfn.ANCHORARRAY( $W$5), 0))
)</f>
        <v>0.79661356587603094</v>
      </c>
      <c r="BO101" s="17" cm="1">
        <f t="array" ref="BO101">MMULT(
    MMULT(
        INDEX($X$5:$AM$77, MATCH(BO$100,_xlfn.ANCHORARRAY( $W$5), 0), 0),
        $F$5:$U$20
    ),
    TRANSPOSE(
        INDEX($X$5:$AM$77, MATCH($A101,_xlfn.ANCHORARRAY( $W$5), 0), 0)
    )
)
/
(
    INDEX($AN$5:$AN$77, MATCH(BO$100,_xlfn.ANCHORARRAY( $W$5), 0))
    *
    INDEX($AN$5:$AN$77, MATCH($A101,_xlfn.ANCHORARRAY( $W$5), 0))
)</f>
        <v>0.85759370697714754</v>
      </c>
      <c r="BP101" s="17" cm="1">
        <f t="array" ref="BP101">MMULT(
    MMULT(
        INDEX($X$5:$AM$77, MATCH(BP$100,_xlfn.ANCHORARRAY( $W$5), 0), 0),
        $F$5:$U$20
    ),
    TRANSPOSE(
        INDEX($X$5:$AM$77, MATCH($A101,_xlfn.ANCHORARRAY( $W$5), 0), 0)
    )
)
/
(
    INDEX($AN$5:$AN$77, MATCH(BP$100,_xlfn.ANCHORARRAY( $W$5), 0))
    *
    INDEX($AN$5:$AN$77, MATCH($A101,_xlfn.ANCHORARRAY( $W$5), 0))
)</f>
        <v>0.91532589065134695</v>
      </c>
      <c r="BQ101" s="17" cm="1">
        <f t="array" ref="BQ101">MMULT(
    MMULT(
        INDEX($X$5:$AM$77, MATCH(BQ$100,_xlfn.ANCHORARRAY( $W$5), 0), 0),
        $F$5:$U$20
    ),
    TRANSPOSE(
        INDEX($X$5:$AM$77, MATCH($A101,_xlfn.ANCHORARRAY( $W$5), 0), 0)
    )
)
/
(
    INDEX($AN$5:$AN$77, MATCH(BQ$100,_xlfn.ANCHORARRAY( $W$5), 0))
    *
    INDEX($AN$5:$AN$77, MATCH($A101,_xlfn.ANCHORARRAY( $W$5), 0))
)</f>
        <v>0.73499763411264518</v>
      </c>
      <c r="BR101" s="17" cm="1">
        <f t="array" ref="BR101">MMULT(
    MMULT(
        INDEX($X$5:$AM$77, MATCH(BR$100,_xlfn.ANCHORARRAY( $W$5), 0), 0),
        $F$5:$U$20
    ),
    TRANSPOSE(
        INDEX($X$5:$AM$77, MATCH($A101,_xlfn.ANCHORARRAY( $W$5), 0), 0)
    )
)
/
(
    INDEX($AN$5:$AN$77, MATCH(BR$100,_xlfn.ANCHORARRAY( $W$5), 0))
    *
    INDEX($AN$5:$AN$77, MATCH($A101,_xlfn.ANCHORARRAY( $W$5), 0))
)</f>
        <v>0.89929381202054026</v>
      </c>
      <c r="BS101" s="17" cm="1">
        <f t="array" ref="BS101">MMULT(
    MMULT(
        INDEX($X$5:$AM$77, MATCH(BS$100,_xlfn.ANCHORARRAY( $W$5), 0), 0),
        $F$5:$U$20
    ),
    TRANSPOSE(
        INDEX($X$5:$AM$77, MATCH($A101,_xlfn.ANCHORARRAY( $W$5), 0), 0)
    )
)
/
(
    INDEX($AN$5:$AN$77, MATCH(BS$100,_xlfn.ANCHORARRAY( $W$5), 0))
    *
    INDEX($AN$5:$AN$77, MATCH($A101,_xlfn.ANCHORARRAY( $W$5), 0))
)</f>
        <v>0.77772358351814963</v>
      </c>
      <c r="BT101" s="17" cm="1">
        <f t="array" ref="BT101">MMULT(
    MMULT(
        INDEX($X$5:$AM$77, MATCH(BT$100,_xlfn.ANCHORARRAY( $W$5), 0), 0),
        $F$5:$U$20
    ),
    TRANSPOSE(
        INDEX($X$5:$AM$77, MATCH($A101,_xlfn.ANCHORARRAY( $W$5), 0), 0)
    )
)
/
(
    INDEX($AN$5:$AN$77, MATCH(BT$100,_xlfn.ANCHORARRAY( $W$5), 0))
    *
    INDEX($AN$5:$AN$77, MATCH($A101,_xlfn.ANCHORARRAY( $W$5), 0))
)</f>
        <v>0.88451546531710223</v>
      </c>
      <c r="BU101" s="17" cm="1">
        <f t="array" ref="BU101">MMULT(
    MMULT(
        INDEX($X$5:$AM$77, MATCH(BU$100,_xlfn.ANCHORARRAY( $W$5), 0), 0),
        $F$5:$U$20
    ),
    TRANSPOSE(
        INDEX($X$5:$AM$77, MATCH($A101,_xlfn.ANCHORARRAY( $W$5), 0), 0)
    )
)
/
(
    INDEX($AN$5:$AN$77, MATCH(BU$100,_xlfn.ANCHORARRAY( $W$5), 0))
    *
    INDEX($AN$5:$AN$77, MATCH($A101,_xlfn.ANCHORARRAY( $W$5), 0))
)</f>
        <v>0.95119748653940883</v>
      </c>
      <c r="BV101" s="17" cm="1">
        <f t="array" ref="BV101">MMULT(
    MMULT(
        INDEX($X$5:$AM$77, MATCH(BV$100,_xlfn.ANCHORARRAY( $W$5), 0), 0),
        $F$5:$U$20
    ),
    TRANSPOSE(
        INDEX($X$5:$AM$77, MATCH($A101,_xlfn.ANCHORARRAY( $W$5), 0), 0)
    )
)
/
(
    INDEX($AN$5:$AN$77, MATCH(BV$100,_xlfn.ANCHORARRAY( $W$5), 0))
    *
    INDEX($AN$5:$AN$77, MATCH($A101,_xlfn.ANCHORARRAY( $W$5), 0))
)</f>
        <v>0.79284041217221346</v>
      </c>
    </row>
    <row r="102" spans="1:74" x14ac:dyDescent="0.3">
      <c r="A102" s="7" t="str">
        <v>Morton, Charlie</v>
      </c>
      <c r="B102" s="17" cm="1">
        <f t="array" ref="B102">MMULT(
    MMULT(
        INDEX($X$5:$AM$77, MATCH(B$100,_xlfn.ANCHORARRAY( $W$5), 0), 0),
        $F$5:$U$20
    ),
    TRANSPOSE(
        INDEX($X$5:$AM$77, MATCH($A102,_xlfn.ANCHORARRAY( $W$5), 0), 0)
    )
)
/
(
    INDEX($AN$5:$AN$77, MATCH(B$100,_xlfn.ANCHORARRAY( $W$5), 0))
    *
    INDEX($AN$5:$AN$77, MATCH($A102,_xlfn.ANCHORARRAY( $W$5), 0))
)</f>
        <v>0.92343300503849679</v>
      </c>
      <c r="C102" s="17" cm="1">
        <f t="array" ref="C102">MMULT(
    MMULT(
        INDEX($X$5:$AM$77, MATCH(C$100,_xlfn.ANCHORARRAY( $W$5), 0), 0),
        $F$5:$U$20
    ),
    TRANSPOSE(
        INDEX($X$5:$AM$77, MATCH($A102,_xlfn.ANCHORARRAY( $W$5), 0), 0)
    )
)
/
(
    INDEX($AN$5:$AN$77, MATCH(C$100,_xlfn.ANCHORARRAY( $W$5), 0))
    *
    INDEX($AN$5:$AN$77, MATCH($A102,_xlfn.ANCHORARRAY( $W$5), 0))
)</f>
        <v>1</v>
      </c>
      <c r="D102" s="17" cm="1">
        <f t="array" ref="D102">MMULT(
    MMULT(
        INDEX($X$5:$AM$77, MATCH(D$100,_xlfn.ANCHORARRAY( $W$5), 0), 0),
        $F$5:$U$20
    ),
    TRANSPOSE(
        INDEX($X$5:$AM$77, MATCH($A102,_xlfn.ANCHORARRAY( $W$5), 0), 0)
    )
)
/
(
    INDEX($AN$5:$AN$77, MATCH(D$100,_xlfn.ANCHORARRAY( $W$5), 0))
    *
    INDEX($AN$5:$AN$77, MATCH($A102,_xlfn.ANCHORARRAY( $W$5), 0))
)</f>
        <v>0.67699913439514525</v>
      </c>
      <c r="E102" s="17" cm="1">
        <f t="array" ref="E102">MMULT(
    MMULT(
        INDEX($X$5:$AM$77, MATCH(E$100,_xlfn.ANCHORARRAY( $W$5), 0), 0),
        $F$5:$U$20
    ),
    TRANSPOSE(
        INDEX($X$5:$AM$77, MATCH($A102,_xlfn.ANCHORARRAY( $W$5), 0), 0)
    )
)
/
(
    INDEX($AN$5:$AN$77, MATCH(E$100,_xlfn.ANCHORARRAY( $W$5), 0))
    *
    INDEX($AN$5:$AN$77, MATCH($A102,_xlfn.ANCHORARRAY( $W$5), 0))
)</f>
        <v>0.59038774193415144</v>
      </c>
      <c r="F102" s="17" cm="1">
        <f t="array" ref="F102">MMULT(
    MMULT(
        INDEX($X$5:$AM$77, MATCH(F$100,_xlfn.ANCHORARRAY( $W$5), 0), 0),
        $F$5:$U$20
    ),
    TRANSPOSE(
        INDEX($X$5:$AM$77, MATCH($A102,_xlfn.ANCHORARRAY( $W$5), 0), 0)
    )
)
/
(
    INDEX($AN$5:$AN$77, MATCH(F$100,_xlfn.ANCHORARRAY( $W$5), 0))
    *
    INDEX($AN$5:$AN$77, MATCH($A102,_xlfn.ANCHORARRAY( $W$5), 0))
)</f>
        <v>0.54623750933220372</v>
      </c>
      <c r="G102" s="17" cm="1">
        <f t="array" ref="G102">MMULT(
    MMULT(
        INDEX($X$5:$AM$77, MATCH(G$100,_xlfn.ANCHORARRAY( $W$5), 0), 0),
        $F$5:$U$20
    ),
    TRANSPOSE(
        INDEX($X$5:$AM$77, MATCH($A102,_xlfn.ANCHORARRAY( $W$5), 0), 0)
    )
)
/
(
    INDEX($AN$5:$AN$77, MATCH(G$100,_xlfn.ANCHORARRAY( $W$5), 0))
    *
    INDEX($AN$5:$AN$77, MATCH($A102,_xlfn.ANCHORARRAY( $W$5), 0))
)</f>
        <v>0.85493935470465021</v>
      </c>
      <c r="H102" s="17" cm="1">
        <f t="array" ref="H102">MMULT(
    MMULT(
        INDEX($X$5:$AM$77, MATCH(H$100,_xlfn.ANCHORARRAY( $W$5), 0), 0),
        $F$5:$U$20
    ),
    TRANSPOSE(
        INDEX($X$5:$AM$77, MATCH($A102,_xlfn.ANCHORARRAY( $W$5), 0), 0)
    )
)
/
(
    INDEX($AN$5:$AN$77, MATCH(H$100,_xlfn.ANCHORARRAY( $W$5), 0))
    *
    INDEX($AN$5:$AN$77, MATCH($A102,_xlfn.ANCHORARRAY( $W$5), 0))
)</f>
        <v>0.74871371521841124</v>
      </c>
      <c r="I102" s="17" cm="1">
        <f t="array" ref="I102">MMULT(
    MMULT(
        INDEX($X$5:$AM$77, MATCH(I$100,_xlfn.ANCHORARRAY( $W$5), 0), 0),
        $F$5:$U$20
    ),
    TRANSPOSE(
        INDEX($X$5:$AM$77, MATCH($A102,_xlfn.ANCHORARRAY( $W$5), 0), 0)
    )
)
/
(
    INDEX($AN$5:$AN$77, MATCH(I$100,_xlfn.ANCHORARRAY( $W$5), 0))
    *
    INDEX($AN$5:$AN$77, MATCH($A102,_xlfn.ANCHORARRAY( $W$5), 0))
)</f>
        <v>0.84409498608007771</v>
      </c>
      <c r="J102" s="17" cm="1">
        <f t="array" ref="J102">MMULT(
    MMULT(
        INDEX($X$5:$AM$77, MATCH(J$100,_xlfn.ANCHORARRAY( $W$5), 0), 0),
        $F$5:$U$20
    ),
    TRANSPOSE(
        INDEX($X$5:$AM$77, MATCH($A102,_xlfn.ANCHORARRAY( $W$5), 0), 0)
    )
)
/
(
    INDEX($AN$5:$AN$77, MATCH(J$100,_xlfn.ANCHORARRAY( $W$5), 0))
    *
    INDEX($AN$5:$AN$77, MATCH($A102,_xlfn.ANCHORARRAY( $W$5), 0))
)</f>
        <v>0.83504150592176629</v>
      </c>
      <c r="K102" s="17" cm="1">
        <f t="array" ref="K102">MMULT(
    MMULT(
        INDEX($X$5:$AM$77, MATCH(K$100,_xlfn.ANCHORARRAY( $W$5), 0), 0),
        $F$5:$U$20
    ),
    TRANSPOSE(
        INDEX($X$5:$AM$77, MATCH($A102,_xlfn.ANCHORARRAY( $W$5), 0), 0)
    )
)
/
(
    INDEX($AN$5:$AN$77, MATCH(K$100,_xlfn.ANCHORARRAY( $W$5), 0))
    *
    INDEX($AN$5:$AN$77, MATCH($A102,_xlfn.ANCHORARRAY( $W$5), 0))
)</f>
        <v>0.66799114702022999</v>
      </c>
      <c r="L102" s="17" cm="1">
        <f t="array" ref="L102">MMULT(
    MMULT(
        INDEX($X$5:$AM$77, MATCH(L$100,_xlfn.ANCHORARRAY( $W$5), 0), 0),
        $F$5:$U$20
    ),
    TRANSPOSE(
        INDEX($X$5:$AM$77, MATCH($A102,_xlfn.ANCHORARRAY( $W$5), 0), 0)
    )
)
/
(
    INDEX($AN$5:$AN$77, MATCH(L$100,_xlfn.ANCHORARRAY( $W$5), 0))
    *
    INDEX($AN$5:$AN$77, MATCH($A102,_xlfn.ANCHORARRAY( $W$5), 0))
)</f>
        <v>0.71471385725495484</v>
      </c>
      <c r="M102" s="17" cm="1">
        <f t="array" ref="M102">MMULT(
    MMULT(
        INDEX($X$5:$AM$77, MATCH(M$100,_xlfn.ANCHORARRAY( $W$5), 0), 0),
        $F$5:$U$20
    ),
    TRANSPOSE(
        INDEX($X$5:$AM$77, MATCH($A102,_xlfn.ANCHORARRAY( $W$5), 0), 0)
    )
)
/
(
    INDEX($AN$5:$AN$77, MATCH(M$100,_xlfn.ANCHORARRAY( $W$5), 0))
    *
    INDEX($AN$5:$AN$77, MATCH($A102,_xlfn.ANCHORARRAY( $W$5), 0))
)</f>
        <v>0.68474931723284249</v>
      </c>
      <c r="N102" s="17" cm="1">
        <f t="array" ref="N102">MMULT(
    MMULT(
        INDEX($X$5:$AM$77, MATCH(N$100,_xlfn.ANCHORARRAY( $W$5), 0), 0),
        $F$5:$U$20
    ),
    TRANSPOSE(
        INDEX($X$5:$AM$77, MATCH($A102,_xlfn.ANCHORARRAY( $W$5), 0), 0)
    )
)
/
(
    INDEX($AN$5:$AN$77, MATCH(N$100,_xlfn.ANCHORARRAY( $W$5), 0))
    *
    INDEX($AN$5:$AN$77, MATCH($A102,_xlfn.ANCHORARRAY( $W$5), 0))
)</f>
        <v>0.54872636399295938</v>
      </c>
      <c r="O102" s="17" cm="1">
        <f t="array" ref="O102">MMULT(
    MMULT(
        INDEX($X$5:$AM$77, MATCH(O$100,_xlfn.ANCHORARRAY( $W$5), 0), 0),
        $F$5:$U$20
    ),
    TRANSPOSE(
        INDEX($X$5:$AM$77, MATCH($A102,_xlfn.ANCHORARRAY( $W$5), 0), 0)
    )
)
/
(
    INDEX($AN$5:$AN$77, MATCH(O$100,_xlfn.ANCHORARRAY( $W$5), 0))
    *
    INDEX($AN$5:$AN$77, MATCH($A102,_xlfn.ANCHORARRAY( $W$5), 0))
)</f>
        <v>0.43684880654375446</v>
      </c>
      <c r="P102" s="17" cm="1">
        <f t="array" ref="P102">MMULT(
    MMULT(
        INDEX($X$5:$AM$77, MATCH(P$100,_xlfn.ANCHORARRAY( $W$5), 0), 0),
        $F$5:$U$20
    ),
    TRANSPOSE(
        INDEX($X$5:$AM$77, MATCH($A102,_xlfn.ANCHORARRAY( $W$5), 0), 0)
    )
)
/
(
    INDEX($AN$5:$AN$77, MATCH(P$100,_xlfn.ANCHORARRAY( $W$5), 0))
    *
    INDEX($AN$5:$AN$77, MATCH($A102,_xlfn.ANCHORARRAY( $W$5), 0))
)</f>
        <v>0.75301017896314992</v>
      </c>
      <c r="Q102" s="17" cm="1">
        <f t="array" ref="Q102">MMULT(
    MMULT(
        INDEX($X$5:$AM$77, MATCH(Q$100,_xlfn.ANCHORARRAY( $W$5), 0), 0),
        $F$5:$U$20
    ),
    TRANSPOSE(
        INDEX($X$5:$AM$77, MATCH($A102,_xlfn.ANCHORARRAY( $W$5), 0), 0)
    )
)
/
(
    INDEX($AN$5:$AN$77, MATCH(Q$100,_xlfn.ANCHORARRAY( $W$5), 0))
    *
    INDEX($AN$5:$AN$77, MATCH($A102,_xlfn.ANCHORARRAY( $W$5), 0))
)</f>
        <v>0.88538841721605643</v>
      </c>
      <c r="R102" s="17" cm="1">
        <f t="array" ref="R102">MMULT(
    MMULT(
        INDEX($X$5:$AM$77, MATCH(R$100,_xlfn.ANCHORARRAY( $W$5), 0), 0),
        $F$5:$U$20
    ),
    TRANSPOSE(
        INDEX($X$5:$AM$77, MATCH($A102,_xlfn.ANCHORARRAY( $W$5), 0), 0)
    )
)
/
(
    INDEX($AN$5:$AN$77, MATCH(R$100,_xlfn.ANCHORARRAY( $W$5), 0))
    *
    INDEX($AN$5:$AN$77, MATCH($A102,_xlfn.ANCHORARRAY( $W$5), 0))
)</f>
        <v>0.71511206542433925</v>
      </c>
      <c r="S102" s="17" cm="1">
        <f t="array" ref="S102">MMULT(
    MMULT(
        INDEX($X$5:$AM$77, MATCH(S$100,_xlfn.ANCHORARRAY( $W$5), 0), 0),
        $F$5:$U$20
    ),
    TRANSPOSE(
        INDEX($X$5:$AM$77, MATCH($A102,_xlfn.ANCHORARRAY( $W$5), 0), 0)
    )
)
/
(
    INDEX($AN$5:$AN$77, MATCH(S$100,_xlfn.ANCHORARRAY( $W$5), 0))
    *
    INDEX($AN$5:$AN$77, MATCH($A102,_xlfn.ANCHORARRAY( $W$5), 0))
)</f>
        <v>0.88888216015917254</v>
      </c>
      <c r="T102" s="17" cm="1">
        <f t="array" ref="T102">MMULT(
    MMULT(
        INDEX($X$5:$AM$77, MATCH(T$100,_xlfn.ANCHORARRAY( $W$5), 0), 0),
        $F$5:$U$20
    ),
    TRANSPOSE(
        INDEX($X$5:$AM$77, MATCH($A102,_xlfn.ANCHORARRAY( $W$5), 0), 0)
    )
)
/
(
    INDEX($AN$5:$AN$77, MATCH(T$100,_xlfn.ANCHORARRAY( $W$5), 0))
    *
    INDEX($AN$5:$AN$77, MATCH($A102,_xlfn.ANCHORARRAY( $W$5), 0))
)</f>
        <v>0.86006124649350013</v>
      </c>
      <c r="U102" s="17" cm="1">
        <f t="array" ref="U102">MMULT(
    MMULT(
        INDEX($X$5:$AM$77, MATCH(U$100,_xlfn.ANCHORARRAY( $W$5), 0), 0),
        $F$5:$U$20
    ),
    TRANSPOSE(
        INDEX($X$5:$AM$77, MATCH($A102,_xlfn.ANCHORARRAY( $W$5), 0), 0)
    )
)
/
(
    INDEX($AN$5:$AN$77, MATCH(U$100,_xlfn.ANCHORARRAY( $W$5), 0))
    *
    INDEX($AN$5:$AN$77, MATCH($A102,_xlfn.ANCHORARRAY( $W$5), 0))
)</f>
        <v>0.75920955141372937</v>
      </c>
      <c r="V102" s="17" cm="1">
        <f t="array" ref="V102">MMULT(
    MMULT(
        INDEX($X$5:$AM$77, MATCH(V$100,_xlfn.ANCHORARRAY( $W$5), 0), 0),
        $F$5:$U$20
    ),
    TRANSPOSE(
        INDEX($X$5:$AM$77, MATCH($A102,_xlfn.ANCHORARRAY( $W$5), 0), 0)
    )
)
/
(
    INDEX($AN$5:$AN$77, MATCH(V$100,_xlfn.ANCHORARRAY( $W$5), 0))
    *
    INDEX($AN$5:$AN$77, MATCH($A102,_xlfn.ANCHORARRAY( $W$5), 0))
)</f>
        <v>0.79223757456782995</v>
      </c>
      <c r="W102" s="17" cm="1">
        <f t="array" ref="W102">MMULT(
    MMULT(
        INDEX($X$5:$AM$77, MATCH(W$100,_xlfn.ANCHORARRAY( $W$5), 0), 0),
        $F$5:$U$20
    ),
    TRANSPOSE(
        INDEX($X$5:$AM$77, MATCH($A102,_xlfn.ANCHORARRAY( $W$5), 0), 0)
    )
)
/
(
    INDEX($AN$5:$AN$77, MATCH(W$100,_xlfn.ANCHORARRAY( $W$5), 0))
    *
    INDEX($AN$5:$AN$77, MATCH($A102,_xlfn.ANCHORARRAY( $W$5), 0))
)</f>
        <v>0.47018610886645479</v>
      </c>
      <c r="X102" s="17" cm="1">
        <f t="array" ref="X102">MMULT(
    MMULT(
        INDEX($X$5:$AM$77, MATCH(X$100,_xlfn.ANCHORARRAY( $W$5), 0), 0),
        $F$5:$U$20
    ),
    TRANSPOSE(
        INDEX($X$5:$AM$77, MATCH($A102,_xlfn.ANCHORARRAY( $W$5), 0), 0)
    )
)
/
(
    INDEX($AN$5:$AN$77, MATCH(X$100,_xlfn.ANCHORARRAY( $W$5), 0))
    *
    INDEX($AN$5:$AN$77, MATCH($A102,_xlfn.ANCHORARRAY( $W$5), 0))
)</f>
        <v>0.5269638040807183</v>
      </c>
      <c r="Y102" s="17" cm="1">
        <f t="array" ref="Y102">MMULT(
    MMULT(
        INDEX($X$5:$AM$77, MATCH(Y$100,_xlfn.ANCHORARRAY( $W$5), 0), 0),
        $F$5:$U$20
    ),
    TRANSPOSE(
        INDEX($X$5:$AM$77, MATCH($A102,_xlfn.ANCHORARRAY( $W$5), 0), 0)
    )
)
/
(
    INDEX($AN$5:$AN$77, MATCH(Y$100,_xlfn.ANCHORARRAY( $W$5), 0))
    *
    INDEX($AN$5:$AN$77, MATCH($A102,_xlfn.ANCHORARRAY( $W$5), 0))
)</f>
        <v>0.91430881861742785</v>
      </c>
      <c r="Z102" s="17" cm="1">
        <f t="array" ref="Z102">MMULT(
    MMULT(
        INDEX($X$5:$AM$77, MATCH(Z$100,_xlfn.ANCHORARRAY( $W$5), 0), 0),
        $F$5:$U$20
    ),
    TRANSPOSE(
        INDEX($X$5:$AM$77, MATCH($A102,_xlfn.ANCHORARRAY( $W$5), 0), 0)
    )
)
/
(
    INDEX($AN$5:$AN$77, MATCH(Z$100,_xlfn.ANCHORARRAY( $W$5), 0))
    *
    INDEX($AN$5:$AN$77, MATCH($A102,_xlfn.ANCHORARRAY( $W$5), 0))
)</f>
        <v>0.59232883104227108</v>
      </c>
      <c r="AA102" s="17" cm="1">
        <f t="array" ref="AA102">MMULT(
    MMULT(
        INDEX($X$5:$AM$77, MATCH(AA$100,_xlfn.ANCHORARRAY( $W$5), 0), 0),
        $F$5:$U$20
    ),
    TRANSPOSE(
        INDEX($X$5:$AM$77, MATCH($A102,_xlfn.ANCHORARRAY( $W$5), 0), 0)
    )
)
/
(
    INDEX($AN$5:$AN$77, MATCH(AA$100,_xlfn.ANCHORARRAY( $W$5), 0))
    *
    INDEX($AN$5:$AN$77, MATCH($A102,_xlfn.ANCHORARRAY( $W$5), 0))
)</f>
        <v>0.62800918540294104</v>
      </c>
      <c r="AB102" s="17" cm="1">
        <f t="array" ref="AB102">MMULT(
    MMULT(
        INDEX($X$5:$AM$77, MATCH(AB$100,_xlfn.ANCHORARRAY( $W$5), 0), 0),
        $F$5:$U$20
    ),
    TRANSPOSE(
        INDEX($X$5:$AM$77, MATCH($A102,_xlfn.ANCHORARRAY( $W$5), 0), 0)
    )
)
/
(
    INDEX($AN$5:$AN$77, MATCH(AB$100,_xlfn.ANCHORARRAY( $W$5), 0))
    *
    INDEX($AN$5:$AN$77, MATCH($A102,_xlfn.ANCHORARRAY( $W$5), 0))
)</f>
        <v>0.7488816433337806</v>
      </c>
      <c r="AC102" s="17" cm="1">
        <f t="array" ref="AC102">MMULT(
    MMULT(
        INDEX($X$5:$AM$77, MATCH(AC$100,_xlfn.ANCHORARRAY( $W$5), 0), 0),
        $F$5:$U$20
    ),
    TRANSPOSE(
        INDEX($X$5:$AM$77, MATCH($A102,_xlfn.ANCHORARRAY( $W$5), 0), 0)
    )
)
/
(
    INDEX($AN$5:$AN$77, MATCH(AC$100,_xlfn.ANCHORARRAY( $W$5), 0))
    *
    INDEX($AN$5:$AN$77, MATCH($A102,_xlfn.ANCHORARRAY( $W$5), 0))
)</f>
        <v>0.75677740421873052</v>
      </c>
      <c r="AD102" s="17" cm="1">
        <f t="array" ref="AD102">MMULT(
    MMULT(
        INDEX($X$5:$AM$77, MATCH(AD$100,_xlfn.ANCHORARRAY( $W$5), 0), 0),
        $F$5:$U$20
    ),
    TRANSPOSE(
        INDEX($X$5:$AM$77, MATCH($A102,_xlfn.ANCHORARRAY( $W$5), 0), 0)
    )
)
/
(
    INDEX($AN$5:$AN$77, MATCH(AD$100,_xlfn.ANCHORARRAY( $W$5), 0))
    *
    INDEX($AN$5:$AN$77, MATCH($A102,_xlfn.ANCHORARRAY( $W$5), 0))
)</f>
        <v>0.62090309388497777</v>
      </c>
      <c r="AE102" s="17" cm="1">
        <f t="array" ref="AE102">MMULT(
    MMULT(
        INDEX($X$5:$AM$77, MATCH(AE$100,_xlfn.ANCHORARRAY( $W$5), 0), 0),
        $F$5:$U$20
    ),
    TRANSPOSE(
        INDEX($X$5:$AM$77, MATCH($A102,_xlfn.ANCHORARRAY( $W$5), 0), 0)
    )
)
/
(
    INDEX($AN$5:$AN$77, MATCH(AE$100,_xlfn.ANCHORARRAY( $W$5), 0))
    *
    INDEX($AN$5:$AN$77, MATCH($A102,_xlfn.ANCHORARRAY( $W$5), 0))
)</f>
        <v>0.83028407187574405</v>
      </c>
      <c r="AF102" s="17" cm="1">
        <f t="array" ref="AF102">MMULT(
    MMULT(
        INDEX($X$5:$AM$77, MATCH(AF$100,_xlfn.ANCHORARRAY( $W$5), 0), 0),
        $F$5:$U$20
    ),
    TRANSPOSE(
        INDEX($X$5:$AM$77, MATCH($A102,_xlfn.ANCHORARRAY( $W$5), 0), 0)
    )
)
/
(
    INDEX($AN$5:$AN$77, MATCH(AF$100,_xlfn.ANCHORARRAY( $W$5), 0))
    *
    INDEX($AN$5:$AN$77, MATCH($A102,_xlfn.ANCHORARRAY( $W$5), 0))
)</f>
        <v>0.96164605517734969</v>
      </c>
      <c r="AG102" s="17" cm="1">
        <f t="array" ref="AG102">MMULT(
    MMULT(
        INDEX($X$5:$AM$77, MATCH(AG$100,_xlfn.ANCHORARRAY( $W$5), 0), 0),
        $F$5:$U$20
    ),
    TRANSPOSE(
        INDEX($X$5:$AM$77, MATCH($A102,_xlfn.ANCHORARRAY( $W$5), 0), 0)
    )
)
/
(
    INDEX($AN$5:$AN$77, MATCH(AG$100,_xlfn.ANCHORARRAY( $W$5), 0))
    *
    INDEX($AN$5:$AN$77, MATCH($A102,_xlfn.ANCHORARRAY( $W$5), 0))
)</f>
        <v>0.78721691733580257</v>
      </c>
      <c r="AH102" s="17" cm="1">
        <f t="array" ref="AH102">MMULT(
    MMULT(
        INDEX($X$5:$AM$77, MATCH(AH$100,_xlfn.ANCHORARRAY( $W$5), 0), 0),
        $F$5:$U$20
    ),
    TRANSPOSE(
        INDEX($X$5:$AM$77, MATCH($A102,_xlfn.ANCHORARRAY( $W$5), 0), 0)
    )
)
/
(
    INDEX($AN$5:$AN$77, MATCH(AH$100,_xlfn.ANCHORARRAY( $W$5), 0))
    *
    INDEX($AN$5:$AN$77, MATCH($A102,_xlfn.ANCHORARRAY( $W$5), 0))
)</f>
        <v>0.6231610753914133</v>
      </c>
      <c r="AI102" s="17" cm="1">
        <f t="array" ref="AI102">MMULT(
    MMULT(
        INDEX($X$5:$AM$77, MATCH(AI$100,_xlfn.ANCHORARRAY( $W$5), 0), 0),
        $F$5:$U$20
    ),
    TRANSPOSE(
        INDEX($X$5:$AM$77, MATCH($A102,_xlfn.ANCHORARRAY( $W$5), 0), 0)
    )
)
/
(
    INDEX($AN$5:$AN$77, MATCH(AI$100,_xlfn.ANCHORARRAY( $W$5), 0))
    *
    INDEX($AN$5:$AN$77, MATCH($A102,_xlfn.ANCHORARRAY( $W$5), 0))
)</f>
        <v>0.82172320040268521</v>
      </c>
      <c r="AJ102" s="17" cm="1">
        <f t="array" ref="AJ102">MMULT(
    MMULT(
        INDEX($X$5:$AM$77, MATCH(AJ$100,_xlfn.ANCHORARRAY( $W$5), 0), 0),
        $F$5:$U$20
    ),
    TRANSPOSE(
        INDEX($X$5:$AM$77, MATCH($A102,_xlfn.ANCHORARRAY( $W$5), 0), 0)
    )
)
/
(
    INDEX($AN$5:$AN$77, MATCH(AJ$100,_xlfn.ANCHORARRAY( $W$5), 0))
    *
    INDEX($AN$5:$AN$77, MATCH($A102,_xlfn.ANCHORARRAY( $W$5), 0))
)</f>
        <v>0.74466199793198129</v>
      </c>
      <c r="AK102" s="17" cm="1">
        <f t="array" ref="AK102">MMULT(
    MMULT(
        INDEX($X$5:$AM$77, MATCH(AK$100,_xlfn.ANCHORARRAY( $W$5), 0), 0),
        $F$5:$U$20
    ),
    TRANSPOSE(
        INDEX($X$5:$AM$77, MATCH($A102,_xlfn.ANCHORARRAY( $W$5), 0), 0)
    )
)
/
(
    INDEX($AN$5:$AN$77, MATCH(AK$100,_xlfn.ANCHORARRAY( $W$5), 0))
    *
    INDEX($AN$5:$AN$77, MATCH($A102,_xlfn.ANCHORARRAY( $W$5), 0))
)</f>
        <v>0.71818252839459285</v>
      </c>
      <c r="AL102" s="17" cm="1">
        <f t="array" ref="AL102">MMULT(
    MMULT(
        INDEX($X$5:$AM$77, MATCH(AL$100,_xlfn.ANCHORARRAY( $W$5), 0), 0),
        $F$5:$U$20
    ),
    TRANSPOSE(
        INDEX($X$5:$AM$77, MATCH($A102,_xlfn.ANCHORARRAY( $W$5), 0), 0)
    )
)
/
(
    INDEX($AN$5:$AN$77, MATCH(AL$100,_xlfn.ANCHORARRAY( $W$5), 0))
    *
    INDEX($AN$5:$AN$77, MATCH($A102,_xlfn.ANCHORARRAY( $W$5), 0))
)</f>
        <v>0.46141321918291106</v>
      </c>
      <c r="AM102" s="17" cm="1">
        <f t="array" ref="AM102">MMULT(
    MMULT(
        INDEX($X$5:$AM$77, MATCH(AM$100,_xlfn.ANCHORARRAY( $W$5), 0), 0),
        $F$5:$U$20
    ),
    TRANSPOSE(
        INDEX($X$5:$AM$77, MATCH($A102,_xlfn.ANCHORARRAY( $W$5), 0), 0)
    )
)
/
(
    INDEX($AN$5:$AN$77, MATCH(AM$100,_xlfn.ANCHORARRAY( $W$5), 0))
    *
    INDEX($AN$5:$AN$77, MATCH($A102,_xlfn.ANCHORARRAY( $W$5), 0))
)</f>
        <v>0.6441886830214385</v>
      </c>
      <c r="AN102" s="17" cm="1">
        <f t="array" ref="AN102">MMULT(
    MMULT(
        INDEX($X$5:$AM$77, MATCH(AN$100,_xlfn.ANCHORARRAY( $W$5), 0), 0),
        $F$5:$U$20
    ),
    TRANSPOSE(
        INDEX($X$5:$AM$77, MATCH($A102,_xlfn.ANCHORARRAY( $W$5), 0), 0)
    )
)
/
(
    INDEX($AN$5:$AN$77, MATCH(AN$100,_xlfn.ANCHORARRAY( $W$5), 0))
    *
    INDEX($AN$5:$AN$77, MATCH($A102,_xlfn.ANCHORARRAY( $W$5), 0))
)</f>
        <v>0.74325905282766702</v>
      </c>
      <c r="AO102" s="17" cm="1">
        <f t="array" ref="AO102">MMULT(
    MMULT(
        INDEX($X$5:$AM$77, MATCH(AO$100,_xlfn.ANCHORARRAY( $W$5), 0), 0),
        $F$5:$U$20
    ),
    TRANSPOSE(
        INDEX($X$5:$AM$77, MATCH($A102,_xlfn.ANCHORARRAY( $W$5), 0), 0)
    )
)
/
(
    INDEX($AN$5:$AN$77, MATCH(AO$100,_xlfn.ANCHORARRAY( $W$5), 0))
    *
    INDEX($AN$5:$AN$77, MATCH($A102,_xlfn.ANCHORARRAY( $W$5), 0))
)</f>
        <v>0.64723433690450005</v>
      </c>
      <c r="AP102" s="17" cm="1">
        <f t="array" ref="AP102">MMULT(
    MMULT(
        INDEX($X$5:$AM$77, MATCH(AP$100,_xlfn.ANCHORARRAY( $W$5), 0), 0),
        $F$5:$U$20
    ),
    TRANSPOSE(
        INDEX($X$5:$AM$77, MATCH($A102,_xlfn.ANCHORARRAY( $W$5), 0), 0)
    )
)
/
(
    INDEX($AN$5:$AN$77, MATCH(AP$100,_xlfn.ANCHORARRAY( $W$5), 0))
    *
    INDEX($AN$5:$AN$77, MATCH($A102,_xlfn.ANCHORARRAY( $W$5), 0))
)</f>
        <v>0.71209653946901086</v>
      </c>
      <c r="AQ102" s="17" cm="1">
        <f t="array" ref="AQ102">MMULT(
    MMULT(
        INDEX($X$5:$AM$77, MATCH(AQ$100,_xlfn.ANCHORARRAY( $W$5), 0), 0),
        $F$5:$U$20
    ),
    TRANSPOSE(
        INDEX($X$5:$AM$77, MATCH($A102,_xlfn.ANCHORARRAY( $W$5), 0), 0)
    )
)
/
(
    INDEX($AN$5:$AN$77, MATCH(AQ$100,_xlfn.ANCHORARRAY( $W$5), 0))
    *
    INDEX($AN$5:$AN$77, MATCH($A102,_xlfn.ANCHORARRAY( $W$5), 0))
)</f>
        <v>0.94943443256210902</v>
      </c>
      <c r="AR102" s="17" cm="1">
        <f t="array" ref="AR102">MMULT(
    MMULT(
        INDEX($X$5:$AM$77, MATCH(AR$100,_xlfn.ANCHORARRAY( $W$5), 0), 0),
        $F$5:$U$20
    ),
    TRANSPOSE(
        INDEX($X$5:$AM$77, MATCH($A102,_xlfn.ANCHORARRAY( $W$5), 0), 0)
    )
)
/
(
    INDEX($AN$5:$AN$77, MATCH(AR$100,_xlfn.ANCHORARRAY( $W$5), 0))
    *
    INDEX($AN$5:$AN$77, MATCH($A102,_xlfn.ANCHORARRAY( $W$5), 0))
)</f>
        <v>0.7872673794799061</v>
      </c>
      <c r="AS102" s="17" cm="1">
        <f t="array" ref="AS102">MMULT(
    MMULT(
        INDEX($X$5:$AM$77, MATCH(AS$100,_xlfn.ANCHORARRAY( $W$5), 0), 0),
        $F$5:$U$20
    ),
    TRANSPOSE(
        INDEX($X$5:$AM$77, MATCH($A102,_xlfn.ANCHORARRAY( $W$5), 0), 0)
    )
)
/
(
    INDEX($AN$5:$AN$77, MATCH(AS$100,_xlfn.ANCHORARRAY( $W$5), 0))
    *
    INDEX($AN$5:$AN$77, MATCH($A102,_xlfn.ANCHORARRAY( $W$5), 0))
)</f>
        <v>0.59601086600435094</v>
      </c>
      <c r="AT102" s="17" cm="1">
        <f t="array" ref="AT102">MMULT(
    MMULT(
        INDEX($X$5:$AM$77, MATCH(AT$100,_xlfn.ANCHORARRAY( $W$5), 0), 0),
        $F$5:$U$20
    ),
    TRANSPOSE(
        INDEX($X$5:$AM$77, MATCH($A102,_xlfn.ANCHORARRAY( $W$5), 0), 0)
    )
)
/
(
    INDEX($AN$5:$AN$77, MATCH(AT$100,_xlfn.ANCHORARRAY( $W$5), 0))
    *
    INDEX($AN$5:$AN$77, MATCH($A102,_xlfn.ANCHORARRAY( $W$5), 0))
)</f>
        <v>0.762948615638114</v>
      </c>
      <c r="AU102" s="17" cm="1">
        <f t="array" ref="AU102">MMULT(
    MMULT(
        INDEX($X$5:$AM$77, MATCH(AU$100,_xlfn.ANCHORARRAY( $W$5), 0), 0),
        $F$5:$U$20
    ),
    TRANSPOSE(
        INDEX($X$5:$AM$77, MATCH($A102,_xlfn.ANCHORARRAY( $W$5), 0), 0)
    )
)
/
(
    INDEX($AN$5:$AN$77, MATCH(AU$100,_xlfn.ANCHORARRAY( $W$5), 0))
    *
    INDEX($AN$5:$AN$77, MATCH($A102,_xlfn.ANCHORARRAY( $W$5), 0))
)</f>
        <v>0.56532517450226527</v>
      </c>
      <c r="AV102" s="17" cm="1">
        <f t="array" ref="AV102">MMULT(
    MMULT(
        INDEX($X$5:$AM$77, MATCH(AV$100,_xlfn.ANCHORARRAY( $W$5), 0), 0),
        $F$5:$U$20
    ),
    TRANSPOSE(
        INDEX($X$5:$AM$77, MATCH($A102,_xlfn.ANCHORARRAY( $W$5), 0), 0)
    )
)
/
(
    INDEX($AN$5:$AN$77, MATCH(AV$100,_xlfn.ANCHORARRAY( $W$5), 0))
    *
    INDEX($AN$5:$AN$77, MATCH($A102,_xlfn.ANCHORARRAY( $W$5), 0))
)</f>
        <v>0.56032797300939496</v>
      </c>
      <c r="AW102" s="17" cm="1">
        <f t="array" ref="AW102">MMULT(
    MMULT(
        INDEX($X$5:$AM$77, MATCH(AW$100,_xlfn.ANCHORARRAY( $W$5), 0), 0),
        $F$5:$U$20
    ),
    TRANSPOSE(
        INDEX($X$5:$AM$77, MATCH($A102,_xlfn.ANCHORARRAY( $W$5), 0), 0)
    )
)
/
(
    INDEX($AN$5:$AN$77, MATCH(AW$100,_xlfn.ANCHORARRAY( $W$5), 0))
    *
    INDEX($AN$5:$AN$77, MATCH($A102,_xlfn.ANCHORARRAY( $W$5), 0))
)</f>
        <v>0.61341824234981834</v>
      </c>
      <c r="AX102" s="17" cm="1">
        <f t="array" ref="AX102">MMULT(
    MMULT(
        INDEX($X$5:$AM$77, MATCH(AX$100,_xlfn.ANCHORARRAY( $W$5), 0), 0),
        $F$5:$U$20
    ),
    TRANSPOSE(
        INDEX($X$5:$AM$77, MATCH($A102,_xlfn.ANCHORARRAY( $W$5), 0), 0)
    )
)
/
(
    INDEX($AN$5:$AN$77, MATCH(AX$100,_xlfn.ANCHORARRAY( $W$5), 0))
    *
    INDEX($AN$5:$AN$77, MATCH($A102,_xlfn.ANCHORARRAY( $W$5), 0))
)</f>
        <v>0.77558034461708858</v>
      </c>
      <c r="AY102" s="17" cm="1">
        <f t="array" ref="AY102">MMULT(
    MMULT(
        INDEX($X$5:$AM$77, MATCH(AY$100,_xlfn.ANCHORARRAY( $W$5), 0), 0),
        $F$5:$U$20
    ),
    TRANSPOSE(
        INDEX($X$5:$AM$77, MATCH($A102,_xlfn.ANCHORARRAY( $W$5), 0), 0)
    )
)
/
(
    INDEX($AN$5:$AN$77, MATCH(AY$100,_xlfn.ANCHORARRAY( $W$5), 0))
    *
    INDEX($AN$5:$AN$77, MATCH($A102,_xlfn.ANCHORARRAY( $W$5), 0))
)</f>
        <v>0.55574450167392042</v>
      </c>
      <c r="AZ102" s="17" cm="1">
        <f t="array" ref="AZ102">MMULT(
    MMULT(
        INDEX($X$5:$AM$77, MATCH(AZ$100,_xlfn.ANCHORARRAY( $W$5), 0), 0),
        $F$5:$U$20
    ),
    TRANSPOSE(
        INDEX($X$5:$AM$77, MATCH($A102,_xlfn.ANCHORARRAY( $W$5), 0), 0)
    )
)
/
(
    INDEX($AN$5:$AN$77, MATCH(AZ$100,_xlfn.ANCHORARRAY( $W$5), 0))
    *
    INDEX($AN$5:$AN$77, MATCH($A102,_xlfn.ANCHORARRAY( $W$5), 0))
)</f>
        <v>0.58715090568474237</v>
      </c>
      <c r="BA102" s="17" cm="1">
        <f t="array" ref="BA102">MMULT(
    MMULT(
        INDEX($X$5:$AM$77, MATCH(BA$100,_xlfn.ANCHORARRAY( $W$5), 0), 0),
        $F$5:$U$20
    ),
    TRANSPOSE(
        INDEX($X$5:$AM$77, MATCH($A102,_xlfn.ANCHORARRAY( $W$5), 0), 0)
    )
)
/
(
    INDEX($AN$5:$AN$77, MATCH(BA$100,_xlfn.ANCHORARRAY( $W$5), 0))
    *
    INDEX($AN$5:$AN$77, MATCH($A102,_xlfn.ANCHORARRAY( $W$5), 0))
)</f>
        <v>0.69351870077671118</v>
      </c>
      <c r="BB102" s="17" cm="1">
        <f t="array" ref="BB102">MMULT(
    MMULT(
        INDEX($X$5:$AM$77, MATCH(BB$100,_xlfn.ANCHORARRAY( $W$5), 0), 0),
        $F$5:$U$20
    ),
    TRANSPOSE(
        INDEX($X$5:$AM$77, MATCH($A102,_xlfn.ANCHORARRAY( $W$5), 0), 0)
    )
)
/
(
    INDEX($AN$5:$AN$77, MATCH(BB$100,_xlfn.ANCHORARRAY( $W$5), 0))
    *
    INDEX($AN$5:$AN$77, MATCH($A102,_xlfn.ANCHORARRAY( $W$5), 0))
)</f>
        <v>0.5533555576958793</v>
      </c>
      <c r="BC102" s="17" cm="1">
        <f t="array" ref="BC102">MMULT(
    MMULT(
        INDEX($X$5:$AM$77, MATCH(BC$100,_xlfn.ANCHORARRAY( $W$5), 0), 0),
        $F$5:$U$20
    ),
    TRANSPOSE(
        INDEX($X$5:$AM$77, MATCH($A102,_xlfn.ANCHORARRAY( $W$5), 0), 0)
    )
)
/
(
    INDEX($AN$5:$AN$77, MATCH(BC$100,_xlfn.ANCHORARRAY( $W$5), 0))
    *
    INDEX($AN$5:$AN$77, MATCH($A102,_xlfn.ANCHORARRAY( $W$5), 0))
)</f>
        <v>0.73885677213246193</v>
      </c>
      <c r="BD102" s="17" cm="1">
        <f t="array" ref="BD102">MMULT(
    MMULT(
        INDEX($X$5:$AM$77, MATCH(BD$100,_xlfn.ANCHORARRAY( $W$5), 0), 0),
        $F$5:$U$20
    ),
    TRANSPOSE(
        INDEX($X$5:$AM$77, MATCH($A102,_xlfn.ANCHORARRAY( $W$5), 0), 0)
    )
)
/
(
    INDEX($AN$5:$AN$77, MATCH(BD$100,_xlfn.ANCHORARRAY( $W$5), 0))
    *
    INDEX($AN$5:$AN$77, MATCH($A102,_xlfn.ANCHORARRAY( $W$5), 0))
)</f>
        <v>0.97968953172173645</v>
      </c>
      <c r="BE102" s="17" cm="1">
        <f t="array" ref="BE102">MMULT(
    MMULT(
        INDEX($X$5:$AM$77, MATCH(BE$100,_xlfn.ANCHORARRAY( $W$5), 0), 0),
        $F$5:$U$20
    ),
    TRANSPOSE(
        INDEX($X$5:$AM$77, MATCH($A102,_xlfn.ANCHORARRAY( $W$5), 0), 0)
    )
)
/
(
    INDEX($AN$5:$AN$77, MATCH(BE$100,_xlfn.ANCHORARRAY( $W$5), 0))
    *
    INDEX($AN$5:$AN$77, MATCH($A102,_xlfn.ANCHORARRAY( $W$5), 0))
)</f>
        <v>0.63213882976150615</v>
      </c>
      <c r="BF102" s="17" cm="1">
        <f t="array" ref="BF102">MMULT(
    MMULT(
        INDEX($X$5:$AM$77, MATCH(BF$100,_xlfn.ANCHORARRAY( $W$5), 0), 0),
        $F$5:$U$20
    ),
    TRANSPOSE(
        INDEX($X$5:$AM$77, MATCH($A102,_xlfn.ANCHORARRAY( $W$5), 0), 0)
    )
)
/
(
    INDEX($AN$5:$AN$77, MATCH(BF$100,_xlfn.ANCHORARRAY( $W$5), 0))
    *
    INDEX($AN$5:$AN$77, MATCH($A102,_xlfn.ANCHORARRAY( $W$5), 0))
)</f>
        <v>0.89502001888852301</v>
      </c>
      <c r="BG102" s="17" cm="1">
        <f t="array" ref="BG102">MMULT(
    MMULT(
        INDEX($X$5:$AM$77, MATCH(BG$100,_xlfn.ANCHORARRAY( $W$5), 0), 0),
        $F$5:$U$20
    ),
    TRANSPOSE(
        INDEX($X$5:$AM$77, MATCH($A102,_xlfn.ANCHORARRAY( $W$5), 0), 0)
    )
)
/
(
    INDEX($AN$5:$AN$77, MATCH(BG$100,_xlfn.ANCHORARRAY( $W$5), 0))
    *
    INDEX($AN$5:$AN$77, MATCH($A102,_xlfn.ANCHORARRAY( $W$5), 0))
)</f>
        <v>0.75097949904696026</v>
      </c>
      <c r="BH102" s="17" cm="1">
        <f t="array" ref="BH102">MMULT(
    MMULT(
        INDEX($X$5:$AM$77, MATCH(BH$100,_xlfn.ANCHORARRAY( $W$5), 0), 0),
        $F$5:$U$20
    ),
    TRANSPOSE(
        INDEX($X$5:$AM$77, MATCH($A102,_xlfn.ANCHORARRAY( $W$5), 0), 0)
    )
)
/
(
    INDEX($AN$5:$AN$77, MATCH(BH$100,_xlfn.ANCHORARRAY( $W$5), 0))
    *
    INDEX($AN$5:$AN$77, MATCH($A102,_xlfn.ANCHORARRAY( $W$5), 0))
)</f>
        <v>0.95214635730990183</v>
      </c>
      <c r="BI102" s="17" cm="1">
        <f t="array" ref="BI102">MMULT(
    MMULT(
        INDEX($X$5:$AM$77, MATCH(BI$100,_xlfn.ANCHORARRAY( $W$5), 0), 0),
        $F$5:$U$20
    ),
    TRANSPOSE(
        INDEX($X$5:$AM$77, MATCH($A102,_xlfn.ANCHORARRAY( $W$5), 0), 0)
    )
)
/
(
    INDEX($AN$5:$AN$77, MATCH(BI$100,_xlfn.ANCHORARRAY( $W$5), 0))
    *
    INDEX($AN$5:$AN$77, MATCH($A102,_xlfn.ANCHORARRAY( $W$5), 0))
)</f>
        <v>0.54876608113772885</v>
      </c>
      <c r="BJ102" s="17" cm="1">
        <f t="array" ref="BJ102">MMULT(
    MMULT(
        INDEX($X$5:$AM$77, MATCH(BJ$100,_xlfn.ANCHORARRAY( $W$5), 0), 0),
        $F$5:$U$20
    ),
    TRANSPOSE(
        INDEX($X$5:$AM$77, MATCH($A102,_xlfn.ANCHORARRAY( $W$5), 0), 0)
    )
)
/
(
    INDEX($AN$5:$AN$77, MATCH(BJ$100,_xlfn.ANCHORARRAY( $W$5), 0))
    *
    INDEX($AN$5:$AN$77, MATCH($A102,_xlfn.ANCHORARRAY( $W$5), 0))
)</f>
        <v>0.72153205997977865</v>
      </c>
      <c r="BK102" s="17" cm="1">
        <f t="array" ref="BK102">MMULT(
    MMULT(
        INDEX($X$5:$AM$77, MATCH(BK$100,_xlfn.ANCHORARRAY( $W$5), 0), 0),
        $F$5:$U$20
    ),
    TRANSPOSE(
        INDEX($X$5:$AM$77, MATCH($A102,_xlfn.ANCHORARRAY( $W$5), 0), 0)
    )
)
/
(
    INDEX($AN$5:$AN$77, MATCH(BK$100,_xlfn.ANCHORARRAY( $W$5), 0))
    *
    INDEX($AN$5:$AN$77, MATCH($A102,_xlfn.ANCHORARRAY( $W$5), 0))
)</f>
        <v>0.9817756598558367</v>
      </c>
      <c r="BL102" s="17" cm="1">
        <f t="array" ref="BL102">MMULT(
    MMULT(
        INDEX($X$5:$AM$77, MATCH(BL$100,_xlfn.ANCHORARRAY( $W$5), 0), 0),
        $F$5:$U$20
    ),
    TRANSPOSE(
        INDEX($X$5:$AM$77, MATCH($A102,_xlfn.ANCHORARRAY( $W$5), 0), 0)
    )
)
/
(
    INDEX($AN$5:$AN$77, MATCH(BL$100,_xlfn.ANCHORARRAY( $W$5), 0))
    *
    INDEX($AN$5:$AN$77, MATCH($A102,_xlfn.ANCHORARRAY( $W$5), 0))
)</f>
        <v>0.23949593208517392</v>
      </c>
      <c r="BM102" s="17" cm="1">
        <f t="array" ref="BM102">MMULT(
    MMULT(
        INDEX($X$5:$AM$77, MATCH(BM$100,_xlfn.ANCHORARRAY( $W$5), 0), 0),
        $F$5:$U$20
    ),
    TRANSPOSE(
        INDEX($X$5:$AM$77, MATCH($A102,_xlfn.ANCHORARRAY( $W$5), 0), 0)
    )
)
/
(
    INDEX($AN$5:$AN$77, MATCH(BM$100,_xlfn.ANCHORARRAY( $W$5), 0))
    *
    INDEX($AN$5:$AN$77, MATCH($A102,_xlfn.ANCHORARRAY( $W$5), 0))
)</f>
        <v>0.42722256157011745</v>
      </c>
      <c r="BN102" s="17" cm="1">
        <f t="array" ref="BN102">MMULT(
    MMULT(
        INDEX($X$5:$AM$77, MATCH(BN$100,_xlfn.ANCHORARRAY( $W$5), 0), 0),
        $F$5:$U$20
    ),
    TRANSPOSE(
        INDEX($X$5:$AM$77, MATCH($A102,_xlfn.ANCHORARRAY( $W$5), 0), 0)
    )
)
/
(
    INDEX($AN$5:$AN$77, MATCH(BN$100,_xlfn.ANCHORARRAY( $W$5), 0))
    *
    INDEX($AN$5:$AN$77, MATCH($A102,_xlfn.ANCHORARRAY( $W$5), 0))
)</f>
        <v>0.6905550891823542</v>
      </c>
      <c r="BO102" s="17" cm="1">
        <f t="array" ref="BO102">MMULT(
    MMULT(
        INDEX($X$5:$AM$77, MATCH(BO$100,_xlfn.ANCHORARRAY( $W$5), 0), 0),
        $F$5:$U$20
    ),
    TRANSPOSE(
        INDEX($X$5:$AM$77, MATCH($A102,_xlfn.ANCHORARRAY( $W$5), 0), 0)
    )
)
/
(
    INDEX($AN$5:$AN$77, MATCH(BO$100,_xlfn.ANCHORARRAY( $W$5), 0))
    *
    INDEX($AN$5:$AN$77, MATCH($A102,_xlfn.ANCHORARRAY( $W$5), 0))
)</f>
        <v>0.66018543139395147</v>
      </c>
      <c r="BP102" s="17" cm="1">
        <f t="array" ref="BP102">MMULT(
    MMULT(
        INDEX($X$5:$AM$77, MATCH(BP$100,_xlfn.ANCHORARRAY( $W$5), 0), 0),
        $F$5:$U$20
    ),
    TRANSPOSE(
        INDEX($X$5:$AM$77, MATCH($A102,_xlfn.ANCHORARRAY( $W$5), 0), 0)
    )
)
/
(
    INDEX($AN$5:$AN$77, MATCH(BP$100,_xlfn.ANCHORARRAY( $W$5), 0))
    *
    INDEX($AN$5:$AN$77, MATCH($A102,_xlfn.ANCHORARRAY( $W$5), 0))
)</f>
        <v>0.77293432596537215</v>
      </c>
      <c r="BQ102" s="17" cm="1">
        <f t="array" ref="BQ102">MMULT(
    MMULT(
        INDEX($X$5:$AM$77, MATCH(BQ$100,_xlfn.ANCHORARRAY( $W$5), 0), 0),
        $F$5:$U$20
    ),
    TRANSPOSE(
        INDEX($X$5:$AM$77, MATCH($A102,_xlfn.ANCHORARRAY( $W$5), 0), 0)
    )
)
/
(
    INDEX($AN$5:$AN$77, MATCH(BQ$100,_xlfn.ANCHORARRAY( $W$5), 0))
    *
    INDEX($AN$5:$AN$77, MATCH($A102,_xlfn.ANCHORARRAY( $W$5), 0))
)</f>
        <v>0.63721161426753115</v>
      </c>
      <c r="BR102" s="17" cm="1">
        <f t="array" ref="BR102">MMULT(
    MMULT(
        INDEX($X$5:$AM$77, MATCH(BR$100,_xlfn.ANCHORARRAY( $W$5), 0), 0),
        $F$5:$U$20
    ),
    TRANSPOSE(
        INDEX($X$5:$AM$77, MATCH($A102,_xlfn.ANCHORARRAY( $W$5), 0), 0)
    )
)
/
(
    INDEX($AN$5:$AN$77, MATCH(BR$100,_xlfn.ANCHORARRAY( $W$5), 0))
    *
    INDEX($AN$5:$AN$77, MATCH($A102,_xlfn.ANCHORARRAY( $W$5), 0))
)</f>
        <v>0.76958978620533536</v>
      </c>
      <c r="BS102" s="17" cm="1">
        <f t="array" ref="BS102">MMULT(
    MMULT(
        INDEX($X$5:$AM$77, MATCH(BS$100,_xlfn.ANCHORARRAY( $W$5), 0), 0),
        $F$5:$U$20
    ),
    TRANSPOSE(
        INDEX($X$5:$AM$77, MATCH($A102,_xlfn.ANCHORARRAY( $W$5), 0), 0)
    )
)
/
(
    INDEX($AN$5:$AN$77, MATCH(BS$100,_xlfn.ANCHORARRAY( $W$5), 0))
    *
    INDEX($AN$5:$AN$77, MATCH($A102,_xlfn.ANCHORARRAY( $W$5), 0))
)</f>
        <v>0.50667059394499747</v>
      </c>
      <c r="BT102" s="17" cm="1">
        <f t="array" ref="BT102">MMULT(
    MMULT(
        INDEX($X$5:$AM$77, MATCH(BT$100,_xlfn.ANCHORARRAY( $W$5), 0), 0),
        $F$5:$U$20
    ),
    TRANSPOSE(
        INDEX($X$5:$AM$77, MATCH($A102,_xlfn.ANCHORARRAY( $W$5), 0), 0)
    )
)
/
(
    INDEX($AN$5:$AN$77, MATCH(BT$100,_xlfn.ANCHORARRAY( $W$5), 0))
    *
    INDEX($AN$5:$AN$77, MATCH($A102,_xlfn.ANCHORARRAY( $W$5), 0))
)</f>
        <v>0.70219836759229426</v>
      </c>
      <c r="BU102" s="17" cm="1">
        <f t="array" ref="BU102">MMULT(
    MMULT(
        INDEX($X$5:$AM$77, MATCH(BU$100,_xlfn.ANCHORARRAY( $W$5), 0), 0),
        $F$5:$U$20
    ),
    TRANSPOSE(
        INDEX($X$5:$AM$77, MATCH($A102,_xlfn.ANCHORARRAY( $W$5), 0), 0)
    )
)
/
(
    INDEX($AN$5:$AN$77, MATCH(BU$100,_xlfn.ANCHORARRAY( $W$5), 0))
    *
    INDEX($AN$5:$AN$77, MATCH($A102,_xlfn.ANCHORARRAY( $W$5), 0))
)</f>
        <v>0.95508684142616485</v>
      </c>
      <c r="BV102" s="17" cm="1">
        <f t="array" ref="BV102">MMULT(
    MMULT(
        INDEX($X$5:$AM$77, MATCH(BV$100,_xlfn.ANCHORARRAY( $W$5), 0), 0),
        $F$5:$U$20
    ),
    TRANSPOSE(
        INDEX($X$5:$AM$77, MATCH($A102,_xlfn.ANCHORARRAY( $W$5), 0), 0)
    )
)
/
(
    INDEX($AN$5:$AN$77, MATCH(BV$100,_xlfn.ANCHORARRAY( $W$5), 0))
    *
    INDEX($AN$5:$AN$77, MATCH($A102,_xlfn.ANCHORARRAY( $W$5), 0))
)</f>
        <v>0.66442797562062994</v>
      </c>
    </row>
    <row r="103" spans="1:74" x14ac:dyDescent="0.3">
      <c r="A103" s="7" t="str">
        <v>Strider, Spencer</v>
      </c>
      <c r="B103" s="17" cm="1">
        <f t="array" ref="B103">MMULT(
    MMULT(
        INDEX($X$5:$AM$77, MATCH(B$100,_xlfn.ANCHORARRAY( $W$5), 0), 0),
        $F$5:$U$20
    ),
    TRANSPOSE(
        INDEX($X$5:$AM$77, MATCH($A103,_xlfn.ANCHORARRAY( $W$5), 0), 0)
    )
)
/
(
    INDEX($AN$5:$AN$77, MATCH(B$100,_xlfn.ANCHORARRAY( $W$5), 0))
    *
    INDEX($AN$5:$AN$77, MATCH($A103,_xlfn.ANCHORARRAY( $W$5), 0))
)</f>
        <v>0.89800477133542367</v>
      </c>
      <c r="C103" s="17" cm="1">
        <f t="array" ref="C103">MMULT(
    MMULT(
        INDEX($X$5:$AM$77, MATCH(C$100,_xlfn.ANCHORARRAY( $W$5), 0), 0),
        $F$5:$U$20
    ),
    TRANSPOSE(
        INDEX($X$5:$AM$77, MATCH($A103,_xlfn.ANCHORARRAY( $W$5), 0), 0)
    )
)
/
(
    INDEX($AN$5:$AN$77, MATCH(C$100,_xlfn.ANCHORARRAY( $W$5), 0))
    *
    INDEX($AN$5:$AN$77, MATCH($A103,_xlfn.ANCHORARRAY( $W$5), 0))
)</f>
        <v>0.67699913439514514</v>
      </c>
      <c r="D103" s="17" cm="1">
        <f t="array" ref="D103">MMULT(
    MMULT(
        INDEX($X$5:$AM$77, MATCH(D$100,_xlfn.ANCHORARRAY( $W$5), 0), 0),
        $F$5:$U$20
    ),
    TRANSPOSE(
        INDEX($X$5:$AM$77, MATCH($A103,_xlfn.ANCHORARRAY( $W$5), 0), 0)
    )
)
/
(
    INDEX($AN$5:$AN$77, MATCH(D$100,_xlfn.ANCHORARRAY( $W$5), 0))
    *
    INDEX($AN$5:$AN$77, MATCH($A103,_xlfn.ANCHORARRAY( $W$5), 0))
)</f>
        <v>0.99999999999999989</v>
      </c>
      <c r="E103" s="17" cm="1">
        <f t="array" ref="E103">MMULT(
    MMULT(
        INDEX($X$5:$AM$77, MATCH(E$100,_xlfn.ANCHORARRAY( $W$5), 0), 0),
        $F$5:$U$20
    ),
    TRANSPOSE(
        INDEX($X$5:$AM$77, MATCH($A103,_xlfn.ANCHORARRAY( $W$5), 0), 0)
    )
)
/
(
    INDEX($AN$5:$AN$77, MATCH(E$100,_xlfn.ANCHORARRAY( $W$5), 0))
    *
    INDEX($AN$5:$AN$77, MATCH($A103,_xlfn.ANCHORARRAY( $W$5), 0))
)</f>
        <v>0.86103216987231201</v>
      </c>
      <c r="F103" s="17" cm="1">
        <f t="array" ref="F103">MMULT(
    MMULT(
        INDEX($X$5:$AM$77, MATCH(F$100,_xlfn.ANCHORARRAY( $W$5), 0), 0),
        $F$5:$U$20
    ),
    TRANSPOSE(
        INDEX($X$5:$AM$77, MATCH($A103,_xlfn.ANCHORARRAY( $W$5), 0), 0)
    )
)
/
(
    INDEX($AN$5:$AN$77, MATCH(F$100,_xlfn.ANCHORARRAY( $W$5), 0))
    *
    INDEX($AN$5:$AN$77, MATCH($A103,_xlfn.ANCHORARRAY( $W$5), 0))
)</f>
        <v>0.95452574896209175</v>
      </c>
      <c r="G103" s="17" cm="1">
        <f t="array" ref="G103">MMULT(
    MMULT(
        INDEX($X$5:$AM$77, MATCH(G$100,_xlfn.ANCHORARRAY( $W$5), 0), 0),
        $F$5:$U$20
    ),
    TRANSPOSE(
        INDEX($X$5:$AM$77, MATCH($A103,_xlfn.ANCHORARRAY( $W$5), 0), 0)
    )
)
/
(
    INDEX($AN$5:$AN$77, MATCH(G$100,_xlfn.ANCHORARRAY( $W$5), 0))
    *
    INDEX($AN$5:$AN$77, MATCH($A103,_xlfn.ANCHORARRAY( $W$5), 0))
)</f>
        <v>0.74667564366366246</v>
      </c>
      <c r="H103" s="17" cm="1">
        <f t="array" ref="H103">MMULT(
    MMULT(
        INDEX($X$5:$AM$77, MATCH(H$100,_xlfn.ANCHORARRAY( $W$5), 0), 0),
        $F$5:$U$20
    ),
    TRANSPOSE(
        INDEX($X$5:$AM$77, MATCH($A103,_xlfn.ANCHORARRAY( $W$5), 0), 0)
    )
)
/
(
    INDEX($AN$5:$AN$77, MATCH(H$100,_xlfn.ANCHORARRAY( $W$5), 0))
    *
    INDEX($AN$5:$AN$77, MATCH($A103,_xlfn.ANCHORARRAY( $W$5), 0))
)</f>
        <v>0.81516212698406387</v>
      </c>
      <c r="I103" s="17" cm="1">
        <f t="array" ref="I103">MMULT(
    MMULT(
        INDEX($X$5:$AM$77, MATCH(I$100,_xlfn.ANCHORARRAY( $W$5), 0), 0),
        $F$5:$U$20
    ),
    TRANSPOSE(
        INDEX($X$5:$AM$77, MATCH($A103,_xlfn.ANCHORARRAY( $W$5), 0), 0)
    )
)
/
(
    INDEX($AN$5:$AN$77, MATCH(I$100,_xlfn.ANCHORARRAY( $W$5), 0))
    *
    INDEX($AN$5:$AN$77, MATCH($A103,_xlfn.ANCHORARRAY( $W$5), 0))
)</f>
        <v>0.73971799216896206</v>
      </c>
      <c r="J103" s="17" cm="1">
        <f t="array" ref="J103">MMULT(
    MMULT(
        INDEX($X$5:$AM$77, MATCH(J$100,_xlfn.ANCHORARRAY( $W$5), 0), 0),
        $F$5:$U$20
    ),
    TRANSPOSE(
        INDEX($X$5:$AM$77, MATCH($A103,_xlfn.ANCHORARRAY( $W$5), 0), 0)
    )
)
/
(
    INDEX($AN$5:$AN$77, MATCH(J$100,_xlfn.ANCHORARRAY( $W$5), 0))
    *
    INDEX($AN$5:$AN$77, MATCH($A103,_xlfn.ANCHORARRAY( $W$5), 0))
)</f>
        <v>0.92350149126082481</v>
      </c>
      <c r="K103" s="17" cm="1">
        <f t="array" ref="K103">MMULT(
    MMULT(
        INDEX($X$5:$AM$77, MATCH(K$100,_xlfn.ANCHORARRAY( $W$5), 0), 0),
        $F$5:$U$20
    ),
    TRANSPOSE(
        INDEX($X$5:$AM$77, MATCH($A103,_xlfn.ANCHORARRAY( $W$5), 0), 0)
    )
)
/
(
    INDEX($AN$5:$AN$77, MATCH(K$100,_xlfn.ANCHORARRAY( $W$5), 0))
    *
    INDEX($AN$5:$AN$77, MATCH($A103,_xlfn.ANCHORARRAY( $W$5), 0))
)</f>
        <v>0.88176617604165708</v>
      </c>
      <c r="L103" s="17" cm="1">
        <f t="array" ref="L103">MMULT(
    MMULT(
        INDEX($X$5:$AM$77, MATCH(L$100,_xlfn.ANCHORARRAY( $W$5), 0), 0),
        $F$5:$U$20
    ),
    TRANSPOSE(
        INDEX($X$5:$AM$77, MATCH($A103,_xlfn.ANCHORARRAY( $W$5), 0), 0)
    )
)
/
(
    INDEX($AN$5:$AN$77, MATCH(L$100,_xlfn.ANCHORARRAY( $W$5), 0))
    *
    INDEX($AN$5:$AN$77, MATCH($A103,_xlfn.ANCHORARRAY( $W$5), 0))
)</f>
        <v>0.67945450503780069</v>
      </c>
      <c r="M103" s="17" cm="1">
        <f t="array" ref="M103">MMULT(
    MMULT(
        INDEX($X$5:$AM$77, MATCH(M$100,_xlfn.ANCHORARRAY( $W$5), 0), 0),
        $F$5:$U$20
    ),
    TRANSPOSE(
        INDEX($X$5:$AM$77, MATCH($A103,_xlfn.ANCHORARRAY( $W$5), 0), 0)
    )
)
/
(
    INDEX($AN$5:$AN$77, MATCH(M$100,_xlfn.ANCHORARRAY( $W$5), 0))
    *
    INDEX($AN$5:$AN$77, MATCH($A103,_xlfn.ANCHORARRAY( $W$5), 0))
)</f>
        <v>0.85645547337595906</v>
      </c>
      <c r="N103" s="17" cm="1">
        <f t="array" ref="N103">MMULT(
    MMULT(
        INDEX($X$5:$AM$77, MATCH(N$100,_xlfn.ANCHORARRAY( $W$5), 0), 0),
        $F$5:$U$20
    ),
    TRANSPOSE(
        INDEX($X$5:$AM$77, MATCH($A103,_xlfn.ANCHORARRAY( $W$5), 0), 0)
    )
)
/
(
    INDEX($AN$5:$AN$77, MATCH(N$100,_xlfn.ANCHORARRAY( $W$5), 0))
    *
    INDEX($AN$5:$AN$77, MATCH($A103,_xlfn.ANCHORARRAY( $W$5), 0))
)</f>
        <v>0.88771270761543508</v>
      </c>
      <c r="O103" s="17" cm="1">
        <f t="array" ref="O103">MMULT(
    MMULT(
        INDEX($X$5:$AM$77, MATCH(O$100,_xlfn.ANCHORARRAY( $W$5), 0), 0),
        $F$5:$U$20
    ),
    TRANSPOSE(
        INDEX($X$5:$AM$77, MATCH($A103,_xlfn.ANCHORARRAY( $W$5), 0), 0)
    )
)
/
(
    INDEX($AN$5:$AN$77, MATCH(O$100,_xlfn.ANCHORARRAY( $W$5), 0))
    *
    INDEX($AN$5:$AN$77, MATCH($A103,_xlfn.ANCHORARRAY( $W$5), 0))
)</f>
        <v>0.89288951398972527</v>
      </c>
      <c r="P103" s="17" cm="1">
        <f t="array" ref="P103">MMULT(
    MMULT(
        INDEX($X$5:$AM$77, MATCH(P$100,_xlfn.ANCHORARRAY( $W$5), 0), 0),
        $F$5:$U$20
    ),
    TRANSPOSE(
        INDEX($X$5:$AM$77, MATCH($A103,_xlfn.ANCHORARRAY( $W$5), 0), 0)
    )
)
/
(
    INDEX($AN$5:$AN$77, MATCH(P$100,_xlfn.ANCHORARRAY( $W$5), 0))
    *
    INDEX($AN$5:$AN$77, MATCH($A103,_xlfn.ANCHORARRAY( $W$5), 0))
)</f>
        <v>0.93849824981875707</v>
      </c>
      <c r="Q103" s="17" cm="1">
        <f t="array" ref="Q103">MMULT(
    MMULT(
        INDEX($X$5:$AM$77, MATCH(Q$100,_xlfn.ANCHORARRAY( $W$5), 0), 0),
        $F$5:$U$20
    ),
    TRANSPOSE(
        INDEX($X$5:$AM$77, MATCH($A103,_xlfn.ANCHORARRAY( $W$5), 0), 0)
    )
)
/
(
    INDEX($AN$5:$AN$77, MATCH(Q$100,_xlfn.ANCHORARRAY( $W$5), 0))
    *
    INDEX($AN$5:$AN$77, MATCH($A103,_xlfn.ANCHORARRAY( $W$5), 0))
)</f>
        <v>0.72630990263299366</v>
      </c>
      <c r="R103" s="17" cm="1">
        <f t="array" ref="R103">MMULT(
    MMULT(
        INDEX($X$5:$AM$77, MATCH(R$100,_xlfn.ANCHORARRAY( $W$5), 0), 0),
        $F$5:$U$20
    ),
    TRANSPOSE(
        INDEX($X$5:$AM$77, MATCH($A103,_xlfn.ANCHORARRAY( $W$5), 0), 0)
    )
)
/
(
    INDEX($AN$5:$AN$77, MATCH(R$100,_xlfn.ANCHORARRAY( $W$5), 0))
    *
    INDEX($AN$5:$AN$77, MATCH($A103,_xlfn.ANCHORARRAY( $W$5), 0))
)</f>
        <v>0.98265558621596738</v>
      </c>
      <c r="S103" s="17" cm="1">
        <f t="array" ref="S103">MMULT(
    MMULT(
        INDEX($X$5:$AM$77, MATCH(S$100,_xlfn.ANCHORARRAY( $W$5), 0), 0),
        $F$5:$U$20
    ),
    TRANSPOSE(
        INDEX($X$5:$AM$77, MATCH($A103,_xlfn.ANCHORARRAY( $W$5), 0), 0)
    )
)
/
(
    INDEX($AN$5:$AN$77, MATCH(S$100,_xlfn.ANCHORARRAY( $W$5), 0))
    *
    INDEX($AN$5:$AN$77, MATCH($A103,_xlfn.ANCHORARRAY( $W$5), 0))
)</f>
        <v>0.8890871404240982</v>
      </c>
      <c r="T103" s="17" cm="1">
        <f t="array" ref="T103">MMULT(
    MMULT(
        INDEX($X$5:$AM$77, MATCH(T$100,_xlfn.ANCHORARRAY( $W$5), 0), 0),
        $F$5:$U$20
    ),
    TRANSPOSE(
        INDEX($X$5:$AM$77, MATCH($A103,_xlfn.ANCHORARRAY( $W$5), 0), 0)
    )
)
/
(
    INDEX($AN$5:$AN$77, MATCH(T$100,_xlfn.ANCHORARRAY( $W$5), 0))
    *
    INDEX($AN$5:$AN$77, MATCH($A103,_xlfn.ANCHORARRAY( $W$5), 0))
)</f>
        <v>0.34287735404207248</v>
      </c>
      <c r="U103" s="17" cm="1">
        <f t="array" ref="U103">MMULT(
    MMULT(
        INDEX($X$5:$AM$77, MATCH(U$100,_xlfn.ANCHORARRAY( $W$5), 0), 0),
        $F$5:$U$20
    ),
    TRANSPOSE(
        INDEX($X$5:$AM$77, MATCH($A103,_xlfn.ANCHORARRAY( $W$5), 0), 0)
    )
)
/
(
    INDEX($AN$5:$AN$77, MATCH(U$100,_xlfn.ANCHORARRAY( $W$5), 0))
    *
    INDEX($AN$5:$AN$77, MATCH($A103,_xlfn.ANCHORARRAY( $W$5), 0))
)</f>
        <v>0.98941325911060063</v>
      </c>
      <c r="V103" s="17" cm="1">
        <f t="array" ref="V103">MMULT(
    MMULT(
        INDEX($X$5:$AM$77, MATCH(V$100,_xlfn.ANCHORARRAY( $W$5), 0), 0),
        $F$5:$U$20
    ),
    TRANSPOSE(
        INDEX($X$5:$AM$77, MATCH($A103,_xlfn.ANCHORARRAY( $W$5), 0), 0)
    )
)
/
(
    INDEX($AN$5:$AN$77, MATCH(V$100,_xlfn.ANCHORARRAY( $W$5), 0))
    *
    INDEX($AN$5:$AN$77, MATCH($A103,_xlfn.ANCHORARRAY( $W$5), 0))
)</f>
        <v>0.52831465163624591</v>
      </c>
      <c r="W103" s="17" cm="1">
        <f t="array" ref="W103">MMULT(
    MMULT(
        INDEX($X$5:$AM$77, MATCH(W$100,_xlfn.ANCHORARRAY( $W$5), 0), 0),
        $F$5:$U$20
    ),
    TRANSPOSE(
        INDEX($X$5:$AM$77, MATCH($A103,_xlfn.ANCHORARRAY( $W$5), 0), 0)
    )
)
/
(
    INDEX($AN$5:$AN$77, MATCH(W$100,_xlfn.ANCHORARRAY( $W$5), 0))
    *
    INDEX($AN$5:$AN$77, MATCH($A103,_xlfn.ANCHORARRAY( $W$5), 0))
)</f>
        <v>0.68586206081523493</v>
      </c>
      <c r="X103" s="17" cm="1">
        <f t="array" ref="X103">MMULT(
    MMULT(
        INDEX($X$5:$AM$77, MATCH(X$100,_xlfn.ANCHORARRAY( $W$5), 0), 0),
        $F$5:$U$20
    ),
    TRANSPOSE(
        INDEX($X$5:$AM$77, MATCH($A103,_xlfn.ANCHORARRAY( $W$5), 0), 0)
    )
)
/
(
    INDEX($AN$5:$AN$77, MATCH(X$100,_xlfn.ANCHORARRAY( $W$5), 0))
    *
    INDEX($AN$5:$AN$77, MATCH($A103,_xlfn.ANCHORARRAY( $W$5), 0))
)</f>
        <v>0.955781962473783</v>
      </c>
      <c r="Y103" s="17" cm="1">
        <f t="array" ref="Y103">MMULT(
    MMULT(
        INDEX($X$5:$AM$77, MATCH(Y$100,_xlfn.ANCHORARRAY( $W$5), 0), 0),
        $F$5:$U$20
    ),
    TRANSPOSE(
        INDEX($X$5:$AM$77, MATCH($A103,_xlfn.ANCHORARRAY( $W$5), 0), 0)
    )
)
/
(
    INDEX($AN$5:$AN$77, MATCH(Y$100,_xlfn.ANCHORARRAY( $W$5), 0))
    *
    INDEX($AN$5:$AN$77, MATCH($A103,_xlfn.ANCHORARRAY( $W$5), 0))
)</f>
        <v>0.66620491889616773</v>
      </c>
      <c r="Z103" s="17" cm="1">
        <f t="array" ref="Z103">MMULT(
    MMULT(
        INDEX($X$5:$AM$77, MATCH(Z$100,_xlfn.ANCHORARRAY( $W$5), 0), 0),
        $F$5:$U$20
    ),
    TRANSPOSE(
        INDEX($X$5:$AM$77, MATCH($A103,_xlfn.ANCHORARRAY( $W$5), 0), 0)
    )
)
/
(
    INDEX($AN$5:$AN$77, MATCH(Z$100,_xlfn.ANCHORARRAY( $W$5), 0))
    *
    INDEX($AN$5:$AN$77, MATCH($A103,_xlfn.ANCHORARRAY( $W$5), 0))
)</f>
        <v>0.98820571522237954</v>
      </c>
      <c r="AA103" s="17" cm="1">
        <f t="array" ref="AA103">MMULT(
    MMULT(
        INDEX($X$5:$AM$77, MATCH(AA$100,_xlfn.ANCHORARRAY( $W$5), 0), 0),
        $F$5:$U$20
    ),
    TRANSPOSE(
        INDEX($X$5:$AM$77, MATCH($A103,_xlfn.ANCHORARRAY( $W$5), 0), 0)
    )
)
/
(
    INDEX($AN$5:$AN$77, MATCH(AA$100,_xlfn.ANCHORARRAY( $W$5), 0))
    *
    INDEX($AN$5:$AN$77, MATCH($A103,_xlfn.ANCHORARRAY( $W$5), 0))
)</f>
        <v>0.95287201410246192</v>
      </c>
      <c r="AB103" s="17" cm="1">
        <f t="array" ref="AB103">MMULT(
    MMULT(
        INDEX($X$5:$AM$77, MATCH(AB$100,_xlfn.ANCHORARRAY( $W$5), 0), 0),
        $F$5:$U$20
    ),
    TRANSPOSE(
        INDEX($X$5:$AM$77, MATCH($A103,_xlfn.ANCHORARRAY( $W$5), 0), 0)
    )
)
/
(
    INDEX($AN$5:$AN$77, MATCH(AB$100,_xlfn.ANCHORARRAY( $W$5), 0))
    *
    INDEX($AN$5:$AN$77, MATCH($A103,_xlfn.ANCHORARRAY( $W$5), 0))
)</f>
        <v>0.93092800449223811</v>
      </c>
      <c r="AC103" s="17" cm="1">
        <f t="array" ref="AC103">MMULT(
    MMULT(
        INDEX($X$5:$AM$77, MATCH(AC$100,_xlfn.ANCHORARRAY( $W$5), 0), 0),
        $F$5:$U$20
    ),
    TRANSPOSE(
        INDEX($X$5:$AM$77, MATCH($A103,_xlfn.ANCHORARRAY( $W$5), 0), 0)
    )
)
/
(
    INDEX($AN$5:$AN$77, MATCH(AC$100,_xlfn.ANCHORARRAY( $W$5), 0))
    *
    INDEX($AN$5:$AN$77, MATCH($A103,_xlfn.ANCHORARRAY( $W$5), 0))
)</f>
        <v>0.75829171223805281</v>
      </c>
      <c r="AD103" s="17" cm="1">
        <f t="array" ref="AD103">MMULT(
    MMULT(
        INDEX($X$5:$AM$77, MATCH(AD$100,_xlfn.ANCHORARRAY( $W$5), 0), 0),
        $F$5:$U$20
    ),
    TRANSPOSE(
        INDEX($X$5:$AM$77, MATCH($A103,_xlfn.ANCHORARRAY( $W$5), 0), 0)
    )
)
/
(
    INDEX($AN$5:$AN$77, MATCH(AD$100,_xlfn.ANCHORARRAY( $W$5), 0))
    *
    INDEX($AN$5:$AN$77, MATCH($A103,_xlfn.ANCHORARRAY( $W$5), 0))
)</f>
        <v>0.99388207418583963</v>
      </c>
      <c r="AE103" s="17" cm="1">
        <f t="array" ref="AE103">MMULT(
    MMULT(
        INDEX($X$5:$AM$77, MATCH(AE$100,_xlfn.ANCHORARRAY( $W$5), 0), 0),
        $F$5:$U$20
    ),
    TRANSPOSE(
        INDEX($X$5:$AM$77, MATCH($A103,_xlfn.ANCHORARRAY( $W$5), 0), 0)
    )
)
/
(
    INDEX($AN$5:$AN$77, MATCH(AE$100,_xlfn.ANCHORARRAY( $W$5), 0))
    *
    INDEX($AN$5:$AN$77, MATCH($A103,_xlfn.ANCHORARRAY( $W$5), 0))
)</f>
        <v>0.8725826263903329</v>
      </c>
      <c r="AF103" s="17" cm="1">
        <f t="array" ref="AF103">MMULT(
    MMULT(
        INDEX($X$5:$AM$77, MATCH(AF$100,_xlfn.ANCHORARRAY( $W$5), 0), 0),
        $F$5:$U$20
    ),
    TRANSPOSE(
        INDEX($X$5:$AM$77, MATCH($A103,_xlfn.ANCHORARRAY( $W$5), 0), 0)
    )
)
/
(
    INDEX($AN$5:$AN$77, MATCH(AF$100,_xlfn.ANCHORARRAY( $W$5), 0))
    *
    INDEX($AN$5:$AN$77, MATCH($A103,_xlfn.ANCHORARRAY( $W$5), 0))
)</f>
        <v>0.80169440014253779</v>
      </c>
      <c r="AG103" s="17" cm="1">
        <f t="array" ref="AG103">MMULT(
    MMULT(
        INDEX($X$5:$AM$77, MATCH(AG$100,_xlfn.ANCHORARRAY( $W$5), 0), 0),
        $F$5:$U$20
    ),
    TRANSPOSE(
        INDEX($X$5:$AM$77, MATCH($A103,_xlfn.ANCHORARRAY( $W$5), 0), 0)
    )
)
/
(
    INDEX($AN$5:$AN$77, MATCH(AG$100,_xlfn.ANCHORARRAY( $W$5), 0))
    *
    INDEX($AN$5:$AN$77, MATCH($A103,_xlfn.ANCHORARRAY( $W$5), 0))
)</f>
        <v>0.88088581784154119</v>
      </c>
      <c r="AH103" s="17" cm="1">
        <f t="array" ref="AH103">MMULT(
    MMULT(
        INDEX($X$5:$AM$77, MATCH(AH$100,_xlfn.ANCHORARRAY( $W$5), 0), 0),
        $F$5:$U$20
    ),
    TRANSPOSE(
        INDEX($X$5:$AM$77, MATCH($A103,_xlfn.ANCHORARRAY( $W$5), 0), 0)
    )
)
/
(
    INDEX($AN$5:$AN$77, MATCH(AH$100,_xlfn.ANCHORARRAY( $W$5), 0))
    *
    INDEX($AN$5:$AN$77, MATCH($A103,_xlfn.ANCHORARRAY( $W$5), 0))
)</f>
        <v>0.71231256139558241</v>
      </c>
      <c r="AI103" s="17" cm="1">
        <f t="array" ref="AI103">MMULT(
    MMULT(
        INDEX($X$5:$AM$77, MATCH(AI$100,_xlfn.ANCHORARRAY( $W$5), 0), 0),
        $F$5:$U$20
    ),
    TRANSPOSE(
        INDEX($X$5:$AM$77, MATCH($A103,_xlfn.ANCHORARRAY( $W$5), 0), 0)
    )
)
/
(
    INDEX($AN$5:$AN$77, MATCH(AI$100,_xlfn.ANCHORARRAY( $W$5), 0))
    *
    INDEX($AN$5:$AN$77, MATCH($A103,_xlfn.ANCHORARRAY( $W$5), 0))
)</f>
        <v>0.91071401395868001</v>
      </c>
      <c r="AJ103" s="17" cm="1">
        <f t="array" ref="AJ103">MMULT(
    MMULT(
        INDEX($X$5:$AM$77, MATCH(AJ$100,_xlfn.ANCHORARRAY( $W$5), 0), 0),
        $F$5:$U$20
    ),
    TRANSPOSE(
        INDEX($X$5:$AM$77, MATCH($A103,_xlfn.ANCHORARRAY( $W$5), 0), 0)
    )
)
/
(
    INDEX($AN$5:$AN$77, MATCH(AJ$100,_xlfn.ANCHORARRAY( $W$5), 0))
    *
    INDEX($AN$5:$AN$77, MATCH($A103,_xlfn.ANCHORARRAY( $W$5), 0))
)</f>
        <v>0.94119515899261985</v>
      </c>
      <c r="AK103" s="17" cm="1">
        <f t="array" ref="AK103">MMULT(
    MMULT(
        INDEX($X$5:$AM$77, MATCH(AK$100,_xlfn.ANCHORARRAY( $W$5), 0), 0),
        $F$5:$U$20
    ),
    TRANSPOSE(
        INDEX($X$5:$AM$77, MATCH($A103,_xlfn.ANCHORARRAY( $W$5), 0), 0)
    )
)
/
(
    INDEX($AN$5:$AN$77, MATCH(AK$100,_xlfn.ANCHORARRAY( $W$5), 0))
    *
    INDEX($AN$5:$AN$77, MATCH($A103,_xlfn.ANCHORARRAY( $W$5), 0))
)</f>
        <v>0.89337607172937517</v>
      </c>
      <c r="AL103" s="17" cm="1">
        <f t="array" ref="AL103">MMULT(
    MMULT(
        INDEX($X$5:$AM$77, MATCH(AL$100,_xlfn.ANCHORARRAY( $W$5), 0), 0),
        $F$5:$U$20
    ),
    TRANSPOSE(
        INDEX($X$5:$AM$77, MATCH($A103,_xlfn.ANCHORARRAY( $W$5), 0), 0)
    )
)
/
(
    INDEX($AN$5:$AN$77, MATCH(AL$100,_xlfn.ANCHORARRAY( $W$5), 0))
    *
    INDEX($AN$5:$AN$77, MATCH($A103,_xlfn.ANCHORARRAY( $W$5), 0))
)</f>
        <v>0.92129561292098994</v>
      </c>
      <c r="AM103" s="17" cm="1">
        <f t="array" ref="AM103">MMULT(
    MMULT(
        INDEX($X$5:$AM$77, MATCH(AM$100,_xlfn.ANCHORARRAY( $W$5), 0), 0),
        $F$5:$U$20
    ),
    TRANSPOSE(
        INDEX($X$5:$AM$77, MATCH($A103,_xlfn.ANCHORARRAY( $W$5), 0), 0)
    )
)
/
(
    INDEX($AN$5:$AN$77, MATCH(AM$100,_xlfn.ANCHORARRAY( $W$5), 0))
    *
    INDEX($AN$5:$AN$77, MATCH($A103,_xlfn.ANCHORARRAY( $W$5), 0))
)</f>
        <v>0.74692317058722923</v>
      </c>
      <c r="AN103" s="17" cm="1">
        <f t="array" ref="AN103">MMULT(
    MMULT(
        INDEX($X$5:$AM$77, MATCH(AN$100,_xlfn.ANCHORARRAY( $W$5), 0), 0),
        $F$5:$U$20
    ),
    TRANSPOSE(
        INDEX($X$5:$AM$77, MATCH($A103,_xlfn.ANCHORARRAY( $W$5), 0), 0)
    )
)
/
(
    INDEX($AN$5:$AN$77, MATCH(AN$100,_xlfn.ANCHORARRAY( $W$5), 0))
    *
    INDEX($AN$5:$AN$77, MATCH($A103,_xlfn.ANCHORARRAY( $W$5), 0))
)</f>
        <v>0.79076090596940807</v>
      </c>
      <c r="AO103" s="17" cm="1">
        <f t="array" ref="AO103">MMULT(
    MMULT(
        INDEX($X$5:$AM$77, MATCH(AO$100,_xlfn.ANCHORARRAY( $W$5), 0), 0),
        $F$5:$U$20
    ),
    TRANSPOSE(
        INDEX($X$5:$AM$77, MATCH($A103,_xlfn.ANCHORARRAY( $W$5), 0), 0)
    )
)
/
(
    INDEX($AN$5:$AN$77, MATCH(AO$100,_xlfn.ANCHORARRAY( $W$5), 0))
    *
    INDEX($AN$5:$AN$77, MATCH($A103,_xlfn.ANCHORARRAY( $W$5), 0))
)</f>
        <v>0.71632863718255324</v>
      </c>
      <c r="AP103" s="17" cm="1">
        <f t="array" ref="AP103">MMULT(
    MMULT(
        INDEX($X$5:$AM$77, MATCH(AP$100,_xlfn.ANCHORARRAY( $W$5), 0), 0),
        $F$5:$U$20
    ),
    TRANSPOSE(
        INDEX($X$5:$AM$77, MATCH($A103,_xlfn.ANCHORARRAY( $W$5), 0), 0)
    )
)
/
(
    INDEX($AN$5:$AN$77, MATCH(AP$100,_xlfn.ANCHORARRAY( $W$5), 0))
    *
    INDEX($AN$5:$AN$77, MATCH($A103,_xlfn.ANCHORARRAY( $W$5), 0))
)</f>
        <v>0.68582278207863245</v>
      </c>
      <c r="AQ103" s="17" cm="1">
        <f t="array" ref="AQ103">MMULT(
    MMULT(
        INDEX($X$5:$AM$77, MATCH(AQ$100,_xlfn.ANCHORARRAY( $W$5), 0), 0),
        $F$5:$U$20
    ),
    TRANSPOSE(
        INDEX($X$5:$AM$77, MATCH($A103,_xlfn.ANCHORARRAY( $W$5), 0), 0)
    )
)
/
(
    INDEX($AN$5:$AN$77, MATCH(AQ$100,_xlfn.ANCHORARRAY( $W$5), 0))
    *
    INDEX($AN$5:$AN$77, MATCH($A103,_xlfn.ANCHORARRAY( $W$5), 0))
)</f>
        <v>0.79243881410081407</v>
      </c>
      <c r="AR103" s="17" cm="1">
        <f t="array" ref="AR103">MMULT(
    MMULT(
        INDEX($X$5:$AM$77, MATCH(AR$100,_xlfn.ANCHORARRAY( $W$5), 0), 0),
        $F$5:$U$20
    ),
    TRANSPOSE(
        INDEX($X$5:$AM$77, MATCH($A103,_xlfn.ANCHORARRAY( $W$5), 0), 0)
    )
)
/
(
    INDEX($AN$5:$AN$77, MATCH(AR$100,_xlfn.ANCHORARRAY( $W$5), 0))
    *
    INDEX($AN$5:$AN$77, MATCH($A103,_xlfn.ANCHORARRAY( $W$5), 0))
)</f>
        <v>0.94010323154235109</v>
      </c>
      <c r="AS103" s="17" cm="1">
        <f t="array" ref="AS103">MMULT(
    MMULT(
        INDEX($X$5:$AM$77, MATCH(AS$100,_xlfn.ANCHORARRAY( $W$5), 0), 0),
        $F$5:$U$20
    ),
    TRANSPOSE(
        INDEX($X$5:$AM$77, MATCH($A103,_xlfn.ANCHORARRAY( $W$5), 0), 0)
    )
)
/
(
    INDEX($AN$5:$AN$77, MATCH(AS$100,_xlfn.ANCHORARRAY( $W$5), 0))
    *
    INDEX($AN$5:$AN$77, MATCH($A103,_xlfn.ANCHORARRAY( $W$5), 0))
)</f>
        <v>0.94190349419895936</v>
      </c>
      <c r="AT103" s="17" cm="1">
        <f t="array" ref="AT103">MMULT(
    MMULT(
        INDEX($X$5:$AM$77, MATCH(AT$100,_xlfn.ANCHORARRAY( $W$5), 0), 0),
        $F$5:$U$20
    ),
    TRANSPOSE(
        INDEX($X$5:$AM$77, MATCH($A103,_xlfn.ANCHORARRAY( $W$5), 0), 0)
    )
)
/
(
    INDEX($AN$5:$AN$77, MATCH(AT$100,_xlfn.ANCHORARRAY( $W$5), 0))
    *
    INDEX($AN$5:$AN$77, MATCH($A103,_xlfn.ANCHORARRAY( $W$5), 0))
)</f>
        <v>0.81309481215946966</v>
      </c>
      <c r="AU103" s="17" cm="1">
        <f t="array" ref="AU103">MMULT(
    MMULT(
        INDEX($X$5:$AM$77, MATCH(AU$100,_xlfn.ANCHORARRAY( $W$5), 0), 0),
        $F$5:$U$20
    ),
    TRANSPOSE(
        INDEX($X$5:$AM$77, MATCH($A103,_xlfn.ANCHORARRAY( $W$5), 0), 0)
    )
)
/
(
    INDEX($AN$5:$AN$77, MATCH(AU$100,_xlfn.ANCHORARRAY( $W$5), 0))
    *
    INDEX($AN$5:$AN$77, MATCH($A103,_xlfn.ANCHORARRAY( $W$5), 0))
)</f>
        <v>0.96311225641596421</v>
      </c>
      <c r="AV103" s="17" cm="1">
        <f t="array" ref="AV103">MMULT(
    MMULT(
        INDEX($X$5:$AM$77, MATCH(AV$100,_xlfn.ANCHORARRAY( $W$5), 0), 0),
        $F$5:$U$20
    ),
    TRANSPOSE(
        INDEX($X$5:$AM$77, MATCH($A103,_xlfn.ANCHORARRAY( $W$5), 0), 0)
    )
)
/
(
    INDEX($AN$5:$AN$77, MATCH(AV$100,_xlfn.ANCHORARRAY( $W$5), 0))
    *
    INDEX($AN$5:$AN$77, MATCH($A103,_xlfn.ANCHORARRAY( $W$5), 0))
)</f>
        <v>0.96641584410881975</v>
      </c>
      <c r="AW103" s="17" cm="1">
        <f t="array" ref="AW103">MMULT(
    MMULT(
        INDEX($X$5:$AM$77, MATCH(AW$100,_xlfn.ANCHORARRAY( $W$5), 0), 0),
        $F$5:$U$20
    ),
    TRANSPOSE(
        INDEX($X$5:$AM$77, MATCH($A103,_xlfn.ANCHORARRAY( $W$5), 0), 0)
    )
)
/
(
    INDEX($AN$5:$AN$77, MATCH(AW$100,_xlfn.ANCHORARRAY( $W$5), 0))
    *
    INDEX($AN$5:$AN$77, MATCH($A103,_xlfn.ANCHORARRAY( $W$5), 0))
)</f>
        <v>0.76825817887990333</v>
      </c>
      <c r="AX103" s="17" cm="1">
        <f t="array" ref="AX103">MMULT(
    MMULT(
        INDEX($X$5:$AM$77, MATCH(AX$100,_xlfn.ANCHORARRAY( $W$5), 0), 0),
        $F$5:$U$20
    ),
    TRANSPOSE(
        INDEX($X$5:$AM$77, MATCH($A103,_xlfn.ANCHORARRAY( $W$5), 0), 0)
    )
)
/
(
    INDEX($AN$5:$AN$77, MATCH(AX$100,_xlfn.ANCHORARRAY( $W$5), 0))
    *
    INDEX($AN$5:$AN$77, MATCH($A103,_xlfn.ANCHORARRAY( $W$5), 0))
)</f>
        <v>0.5470759825983954</v>
      </c>
      <c r="AY103" s="17" cm="1">
        <f t="array" ref="AY103">MMULT(
    MMULT(
        INDEX($X$5:$AM$77, MATCH(AY$100,_xlfn.ANCHORARRAY( $W$5), 0), 0),
        $F$5:$U$20
    ),
    TRANSPOSE(
        INDEX($X$5:$AM$77, MATCH($A103,_xlfn.ANCHORARRAY( $W$5), 0), 0)
    )
)
/
(
    INDEX($AN$5:$AN$77, MATCH(AY$100,_xlfn.ANCHORARRAY( $W$5), 0))
    *
    INDEX($AN$5:$AN$77, MATCH($A103,_xlfn.ANCHORARRAY( $W$5), 0))
)</f>
        <v>0.66545938059639109</v>
      </c>
      <c r="AZ103" s="17" cm="1">
        <f t="array" ref="AZ103">MMULT(
    MMULT(
        INDEX($X$5:$AM$77, MATCH(AZ$100,_xlfn.ANCHORARRAY( $W$5), 0), 0),
        $F$5:$U$20
    ),
    TRANSPOSE(
        INDEX($X$5:$AM$77, MATCH($A103,_xlfn.ANCHORARRAY( $W$5), 0), 0)
    )
)
/
(
    INDEX($AN$5:$AN$77, MATCH(AZ$100,_xlfn.ANCHORARRAY( $W$5), 0))
    *
    INDEX($AN$5:$AN$77, MATCH($A103,_xlfn.ANCHORARRAY( $W$5), 0))
)</f>
        <v>0.98554855433176158</v>
      </c>
      <c r="BA103" s="17" cm="1">
        <f t="array" ref="BA103">MMULT(
    MMULT(
        INDEX($X$5:$AM$77, MATCH(BA$100,_xlfn.ANCHORARRAY( $W$5), 0), 0),
        $F$5:$U$20
    ),
    TRANSPOSE(
        INDEX($X$5:$AM$77, MATCH($A103,_xlfn.ANCHORARRAY( $W$5), 0), 0)
    )
)
/
(
    INDEX($AN$5:$AN$77, MATCH(BA$100,_xlfn.ANCHORARRAY( $W$5), 0))
    *
    INDEX($AN$5:$AN$77, MATCH($A103,_xlfn.ANCHORARRAY( $W$5), 0))
)</f>
        <v>0.97851497635939044</v>
      </c>
      <c r="BB103" s="17" cm="1">
        <f t="array" ref="BB103">MMULT(
    MMULT(
        INDEX($X$5:$AM$77, MATCH(BB$100,_xlfn.ANCHORARRAY( $W$5), 0), 0),
        $F$5:$U$20
    ),
    TRANSPOSE(
        INDEX($X$5:$AM$77, MATCH($A103,_xlfn.ANCHORARRAY( $W$5), 0), 0)
    )
)
/
(
    INDEX($AN$5:$AN$77, MATCH(BB$100,_xlfn.ANCHORARRAY( $W$5), 0))
    *
    INDEX($AN$5:$AN$77, MATCH($A103,_xlfn.ANCHORARRAY( $W$5), 0))
)</f>
        <v>0.77454617981026463</v>
      </c>
      <c r="BC103" s="17" cm="1">
        <f t="array" ref="BC103">MMULT(
    MMULT(
        INDEX($X$5:$AM$77, MATCH(BC$100,_xlfn.ANCHORARRAY( $W$5), 0), 0),
        $F$5:$U$20
    ),
    TRANSPOSE(
        INDEX($X$5:$AM$77, MATCH($A103,_xlfn.ANCHORARRAY( $W$5), 0), 0)
    )
)
/
(
    INDEX($AN$5:$AN$77, MATCH(BC$100,_xlfn.ANCHORARRAY( $W$5), 0))
    *
    INDEX($AN$5:$AN$77, MATCH($A103,_xlfn.ANCHORARRAY( $W$5), 0))
)</f>
        <v>0.84922023640286681</v>
      </c>
      <c r="BD103" s="17" cm="1">
        <f t="array" ref="BD103">MMULT(
    MMULT(
        INDEX($X$5:$AM$77, MATCH(BD$100,_xlfn.ANCHORARRAY( $W$5), 0), 0),
        $F$5:$U$20
    ),
    TRANSPOSE(
        INDEX($X$5:$AM$77, MATCH($A103,_xlfn.ANCHORARRAY( $W$5), 0), 0)
    )
)
/
(
    INDEX($AN$5:$AN$77, MATCH(BD$100,_xlfn.ANCHORARRAY( $W$5), 0))
    *
    INDEX($AN$5:$AN$77, MATCH($A103,_xlfn.ANCHORARRAY( $W$5), 0))
)</f>
        <v>0.62805195241179379</v>
      </c>
      <c r="BE103" s="17" cm="1">
        <f t="array" ref="BE103">MMULT(
    MMULT(
        INDEX($X$5:$AM$77, MATCH(BE$100,_xlfn.ANCHORARRAY( $W$5), 0), 0),
        $F$5:$U$20
    ),
    TRANSPOSE(
        INDEX($X$5:$AM$77, MATCH($A103,_xlfn.ANCHORARRAY( $W$5), 0), 0)
    )
)
/
(
    INDEX($AN$5:$AN$77, MATCH(BE$100,_xlfn.ANCHORARRAY( $W$5), 0))
    *
    INDEX($AN$5:$AN$77, MATCH($A103,_xlfn.ANCHORARRAY( $W$5), 0))
)</f>
        <v>0.74065195304362486</v>
      </c>
      <c r="BF103" s="17" cm="1">
        <f t="array" ref="BF103">MMULT(
    MMULT(
        INDEX($X$5:$AM$77, MATCH(BF$100,_xlfn.ANCHORARRAY( $W$5), 0), 0),
        $F$5:$U$20
    ),
    TRANSPOSE(
        INDEX($X$5:$AM$77, MATCH($A103,_xlfn.ANCHORARRAY( $W$5), 0), 0)
    )
)
/
(
    INDEX($AN$5:$AN$77, MATCH(BF$100,_xlfn.ANCHORARRAY( $W$5), 0))
    *
    INDEX($AN$5:$AN$77, MATCH($A103,_xlfn.ANCHORARRAY( $W$5), 0))
)</f>
        <v>0.90932932650494291</v>
      </c>
      <c r="BG103" s="17" cm="1">
        <f t="array" ref="BG103">MMULT(
    MMULT(
        INDEX($X$5:$AM$77, MATCH(BG$100,_xlfn.ANCHORARRAY( $W$5), 0), 0),
        $F$5:$U$20
    ),
    TRANSPOSE(
        INDEX($X$5:$AM$77, MATCH($A103,_xlfn.ANCHORARRAY( $W$5), 0), 0)
    )
)
/
(
    INDEX($AN$5:$AN$77, MATCH(BG$100,_xlfn.ANCHORARRAY( $W$5), 0))
    *
    INDEX($AN$5:$AN$77, MATCH($A103,_xlfn.ANCHORARRAY( $W$5), 0))
)</f>
        <v>0.92738870628129644</v>
      </c>
      <c r="BH103" s="17" cm="1">
        <f t="array" ref="BH103">MMULT(
    MMULT(
        INDEX($X$5:$AM$77, MATCH(BH$100,_xlfn.ANCHORARRAY( $W$5), 0), 0),
        $F$5:$U$20
    ),
    TRANSPOSE(
        INDEX($X$5:$AM$77, MATCH($A103,_xlfn.ANCHORARRAY( $W$5), 0), 0)
    )
)
/
(
    INDEX($AN$5:$AN$77, MATCH(BH$100,_xlfn.ANCHORARRAY( $W$5), 0))
    *
    INDEX($AN$5:$AN$77, MATCH($A103,_xlfn.ANCHORARRAY( $W$5), 0))
)</f>
        <v>0.78660788072632337</v>
      </c>
      <c r="BI103" s="17" cm="1">
        <f t="array" ref="BI103">MMULT(
    MMULT(
        INDEX($X$5:$AM$77, MATCH(BI$100,_xlfn.ANCHORARRAY( $W$5), 0), 0),
        $F$5:$U$20
    ),
    TRANSPOSE(
        INDEX($X$5:$AM$77, MATCH($A103,_xlfn.ANCHORARRAY( $W$5), 0), 0)
    )
)
/
(
    INDEX($AN$5:$AN$77, MATCH(BI$100,_xlfn.ANCHORARRAY( $W$5), 0))
    *
    INDEX($AN$5:$AN$77, MATCH($A103,_xlfn.ANCHORARRAY( $W$5), 0))
)</f>
        <v>0.62143700360016274</v>
      </c>
      <c r="BJ103" s="17" cm="1">
        <f t="array" ref="BJ103">MMULT(
    MMULT(
        INDEX($X$5:$AM$77, MATCH(BJ$100,_xlfn.ANCHORARRAY( $W$5), 0), 0),
        $F$5:$U$20
    ),
    TRANSPOSE(
        INDEX($X$5:$AM$77, MATCH($A103,_xlfn.ANCHORARRAY( $W$5), 0), 0)
    )
)
/
(
    INDEX($AN$5:$AN$77, MATCH(BJ$100,_xlfn.ANCHORARRAY( $W$5), 0))
    *
    INDEX($AN$5:$AN$77, MATCH($A103,_xlfn.ANCHORARRAY( $W$5), 0))
)</f>
        <v>0.94313184893914792</v>
      </c>
      <c r="BK103" s="17" cm="1">
        <f t="array" ref="BK103">MMULT(
    MMULT(
        INDEX($X$5:$AM$77, MATCH(BK$100,_xlfn.ANCHORARRAY( $W$5), 0), 0),
        $F$5:$U$20
    ),
    TRANSPOSE(
        INDEX($X$5:$AM$77, MATCH($A103,_xlfn.ANCHORARRAY( $W$5), 0), 0)
    )
)
/
(
    INDEX($AN$5:$AN$77, MATCH(BK$100,_xlfn.ANCHORARRAY( $W$5), 0))
    *
    INDEX($AN$5:$AN$77, MATCH($A103,_xlfn.ANCHORARRAY( $W$5), 0))
)</f>
        <v>0.64973777395790322</v>
      </c>
      <c r="BL103" s="17" cm="1">
        <f t="array" ref="BL103">MMULT(
    MMULT(
        INDEX($X$5:$AM$77, MATCH(BL$100,_xlfn.ANCHORARRAY( $W$5), 0), 0),
        $F$5:$U$20
    ),
    TRANSPOSE(
        INDEX($X$5:$AM$77, MATCH($A103,_xlfn.ANCHORARRAY( $W$5), 0), 0)
    )
)
/
(
    INDEX($AN$5:$AN$77, MATCH(BL$100,_xlfn.ANCHORARRAY( $W$5), 0))
    *
    INDEX($AN$5:$AN$77, MATCH($A103,_xlfn.ANCHORARRAY( $W$5), 0))
)</f>
        <v>0.63373409934092106</v>
      </c>
      <c r="BM103" s="17" cm="1">
        <f t="array" ref="BM103">MMULT(
    MMULT(
        INDEX($X$5:$AM$77, MATCH(BM$100,_xlfn.ANCHORARRAY( $W$5), 0), 0),
        $F$5:$U$20
    ),
    TRANSPOSE(
        INDEX($X$5:$AM$77, MATCH($A103,_xlfn.ANCHORARRAY( $W$5), 0), 0)
    )
)
/
(
    INDEX($AN$5:$AN$77, MATCH(BM$100,_xlfn.ANCHORARRAY( $W$5), 0))
    *
    INDEX($AN$5:$AN$77, MATCH($A103,_xlfn.ANCHORARRAY( $W$5), 0))
)</f>
        <v>0.76227771381680254</v>
      </c>
      <c r="BN103" s="17" cm="1">
        <f t="array" ref="BN103">MMULT(
    MMULT(
        INDEX($X$5:$AM$77, MATCH(BN$100,_xlfn.ANCHORARRAY( $W$5), 0), 0),
        $F$5:$U$20
    ),
    TRANSPOSE(
        INDEX($X$5:$AM$77, MATCH($A103,_xlfn.ANCHORARRAY( $W$5), 0), 0)
    )
)
/
(
    INDEX($AN$5:$AN$77, MATCH(BN$100,_xlfn.ANCHORARRAY( $W$5), 0))
    *
    INDEX($AN$5:$AN$77, MATCH($A103,_xlfn.ANCHORARRAY( $W$5), 0))
)</f>
        <v>0.74724601812889668</v>
      </c>
      <c r="BO103" s="17" cm="1">
        <f t="array" ref="BO103">MMULT(
    MMULT(
        INDEX($X$5:$AM$77, MATCH(BO$100,_xlfn.ANCHORARRAY( $W$5), 0), 0),
        $F$5:$U$20
    ),
    TRANSPOSE(
        INDEX($X$5:$AM$77, MATCH($A103,_xlfn.ANCHORARRAY( $W$5), 0), 0)
    )
)
/
(
    INDEX($AN$5:$AN$77, MATCH(BO$100,_xlfn.ANCHORARRAY( $W$5), 0))
    *
    INDEX($AN$5:$AN$77, MATCH($A103,_xlfn.ANCHORARRAY( $W$5), 0))
)</f>
        <v>0.9075369331996419</v>
      </c>
      <c r="BP103" s="17" cm="1">
        <f t="array" ref="BP103">MMULT(
    MMULT(
        INDEX($X$5:$AM$77, MATCH(BP$100,_xlfn.ANCHORARRAY( $W$5), 0), 0),
        $F$5:$U$20
    ),
    TRANSPOSE(
        INDEX($X$5:$AM$77, MATCH($A103,_xlfn.ANCHORARRAY( $W$5), 0), 0)
    )
)
/
(
    INDEX($AN$5:$AN$77, MATCH(BP$100,_xlfn.ANCHORARRAY( $W$5), 0))
    *
    INDEX($AN$5:$AN$77, MATCH($A103,_xlfn.ANCHORARRAY( $W$5), 0))
)</f>
        <v>0.9255213514725027</v>
      </c>
      <c r="BQ103" s="17" cm="1">
        <f t="array" ref="BQ103">MMULT(
    MMULT(
        INDEX($X$5:$AM$77, MATCH(BQ$100,_xlfn.ANCHORARRAY( $W$5), 0), 0),
        $F$5:$U$20
    ),
    TRANSPOSE(
        INDEX($X$5:$AM$77, MATCH($A103,_xlfn.ANCHORARRAY( $W$5), 0), 0)
    )
)
/
(
    INDEX($AN$5:$AN$77, MATCH(BQ$100,_xlfn.ANCHORARRAY( $W$5), 0))
    *
    INDEX($AN$5:$AN$77, MATCH($A103,_xlfn.ANCHORARRAY( $W$5), 0))
)</f>
        <v>0.69510567232527887</v>
      </c>
      <c r="BR103" s="17" cm="1">
        <f t="array" ref="BR103">MMULT(
    MMULT(
        INDEX($X$5:$AM$77, MATCH(BR$100,_xlfn.ANCHORARRAY( $W$5), 0), 0),
        $F$5:$U$20
    ),
    TRANSPOSE(
        INDEX($X$5:$AM$77, MATCH($A103,_xlfn.ANCHORARRAY( $W$5), 0), 0)
    )
)
/
(
    INDEX($AN$5:$AN$77, MATCH(BR$100,_xlfn.ANCHORARRAY( $W$5), 0))
    *
    INDEX($AN$5:$AN$77, MATCH($A103,_xlfn.ANCHORARRAY( $W$5), 0))
)</f>
        <v>0.8229660641512947</v>
      </c>
      <c r="BS103" s="17" cm="1">
        <f t="array" ref="BS103">MMULT(
    MMULT(
        INDEX($X$5:$AM$77, MATCH(BS$100,_xlfn.ANCHORARRAY( $W$5), 0), 0),
        $F$5:$U$20
    ),
    TRANSPOSE(
        INDEX($X$5:$AM$77, MATCH($A103,_xlfn.ANCHORARRAY( $W$5), 0), 0)
    )
)
/
(
    INDEX($AN$5:$AN$77, MATCH(BS$100,_xlfn.ANCHORARRAY( $W$5), 0))
    *
    INDEX($AN$5:$AN$77, MATCH($A103,_xlfn.ANCHORARRAY( $W$5), 0))
)</f>
        <v>0.919561752801202</v>
      </c>
      <c r="BT103" s="17" cm="1">
        <f t="array" ref="BT103">MMULT(
    MMULT(
        INDEX($X$5:$AM$77, MATCH(BT$100,_xlfn.ANCHORARRAY( $W$5), 0), 0),
        $F$5:$U$20
    ),
    TRANSPOSE(
        INDEX($X$5:$AM$77, MATCH($A103,_xlfn.ANCHORARRAY( $W$5), 0), 0)
    )
)
/
(
    INDEX($AN$5:$AN$77, MATCH(BT$100,_xlfn.ANCHORARRAY( $W$5), 0))
    *
    INDEX($AN$5:$AN$77, MATCH($A103,_xlfn.ANCHORARRAY( $W$5), 0))
)</f>
        <v>0.96141546585838633</v>
      </c>
      <c r="BU103" s="17" cm="1">
        <f t="array" ref="BU103">MMULT(
    MMULT(
        INDEX($X$5:$AM$77, MATCH(BU$100,_xlfn.ANCHORARRAY( $W$5), 0), 0),
        $F$5:$U$20
    ),
    TRANSPOSE(
        INDEX($X$5:$AM$77, MATCH($A103,_xlfn.ANCHORARRAY( $W$5), 0), 0)
    )
)
/
(
    INDEX($AN$5:$AN$77, MATCH(BU$100,_xlfn.ANCHORARRAY( $W$5), 0))
    *
    INDEX($AN$5:$AN$77, MATCH($A103,_xlfn.ANCHORARRAY( $W$5), 0))
)</f>
        <v>0.80268406065664133</v>
      </c>
      <c r="BV103" s="17" cm="1">
        <f t="array" ref="BV103">MMULT(
    MMULT(
        INDEX($X$5:$AM$77, MATCH(BV$100,_xlfn.ANCHORARRAY( $W$5), 0), 0),
        $F$5:$U$20
    ),
    TRANSPOSE(
        INDEX($X$5:$AM$77, MATCH($A103,_xlfn.ANCHORARRAY( $W$5), 0), 0)
    )
)
/
(
    INDEX($AN$5:$AN$77, MATCH(BV$100,_xlfn.ANCHORARRAY( $W$5), 0))
    *
    INDEX($AN$5:$AN$77, MATCH($A103,_xlfn.ANCHORARRAY( $W$5), 0))
)</f>
        <v>0.7884627320858949</v>
      </c>
    </row>
    <row r="104" spans="1:74" x14ac:dyDescent="0.3">
      <c r="A104" s="7" t="str">
        <v>Elder, Bryce</v>
      </c>
      <c r="B104" s="17" cm="1">
        <f t="array" ref="B104">MMULT(
    MMULT(
        INDEX($X$5:$AM$77, MATCH(B$100,_xlfn.ANCHORARRAY( $W$5), 0), 0),
        $F$5:$U$20
    ),
    TRANSPOSE(
        INDEX($X$5:$AM$77, MATCH($A104,_xlfn.ANCHORARRAY( $W$5), 0), 0)
    )
)
/
(
    INDEX($AN$5:$AN$77, MATCH(B$100,_xlfn.ANCHORARRAY( $W$5), 0))
    *
    INDEX($AN$5:$AN$77, MATCH($A104,_xlfn.ANCHORARRAY( $W$5), 0))
)</f>
        <v>0.81934401528065626</v>
      </c>
      <c r="C104" s="17" cm="1">
        <f t="array" ref="C104">MMULT(
    MMULT(
        INDEX($X$5:$AM$77, MATCH(C$100,_xlfn.ANCHORARRAY( $W$5), 0), 0),
        $F$5:$U$20
    ),
    TRANSPOSE(
        INDEX($X$5:$AM$77, MATCH($A104,_xlfn.ANCHORARRAY( $W$5), 0), 0)
    )
)
/
(
    INDEX($AN$5:$AN$77, MATCH(C$100,_xlfn.ANCHORARRAY( $W$5), 0))
    *
    INDEX($AN$5:$AN$77, MATCH($A104,_xlfn.ANCHORARRAY( $W$5), 0))
)</f>
        <v>0.59038774193415156</v>
      </c>
      <c r="D104" s="17" cm="1">
        <f t="array" ref="D104">MMULT(
    MMULT(
        INDEX($X$5:$AM$77, MATCH(D$100,_xlfn.ANCHORARRAY( $W$5), 0), 0),
        $F$5:$U$20
    ),
    TRANSPOSE(
        INDEX($X$5:$AM$77, MATCH($A104,_xlfn.ANCHORARRAY( $W$5), 0), 0)
    )
)
/
(
    INDEX($AN$5:$AN$77, MATCH(D$100,_xlfn.ANCHORARRAY( $W$5), 0))
    *
    INDEX($AN$5:$AN$77, MATCH($A104,_xlfn.ANCHORARRAY( $W$5), 0))
)</f>
        <v>0.86103216987231213</v>
      </c>
      <c r="E104" s="17" cm="1">
        <f t="array" ref="E104">MMULT(
    MMULT(
        INDEX($X$5:$AM$77, MATCH(E$100,_xlfn.ANCHORARRAY( $W$5), 0), 0),
        $F$5:$U$20
    ),
    TRANSPOSE(
        INDEX($X$5:$AM$77, MATCH($A104,_xlfn.ANCHORARRAY( $W$5), 0), 0)
    )
)
/
(
    INDEX($AN$5:$AN$77, MATCH(E$100,_xlfn.ANCHORARRAY( $W$5), 0))
    *
    INDEX($AN$5:$AN$77, MATCH($A104,_xlfn.ANCHORARRAY( $W$5), 0))
)</f>
        <v>1</v>
      </c>
      <c r="F104" s="17" cm="1">
        <f t="array" ref="F104">MMULT(
    MMULT(
        INDEX($X$5:$AM$77, MATCH(F$100,_xlfn.ANCHORARRAY( $W$5), 0), 0),
        $F$5:$U$20
    ),
    TRANSPOSE(
        INDEX($X$5:$AM$77, MATCH($A104,_xlfn.ANCHORARRAY( $W$5), 0), 0)
    )
)
/
(
    INDEX($AN$5:$AN$77, MATCH(F$100,_xlfn.ANCHORARRAY( $W$5), 0))
    *
    INDEX($AN$5:$AN$77, MATCH($A104,_xlfn.ANCHORARRAY( $W$5), 0))
)</f>
        <v>0.9078721399865376</v>
      </c>
      <c r="G104" s="17" cm="1">
        <f t="array" ref="G104">MMULT(
    MMULT(
        INDEX($X$5:$AM$77, MATCH(G$100,_xlfn.ANCHORARRAY( $W$5), 0), 0),
        $F$5:$U$20
    ),
    TRANSPOSE(
        INDEX($X$5:$AM$77, MATCH($A104,_xlfn.ANCHORARRAY( $W$5), 0), 0)
    )
)
/
(
    INDEX($AN$5:$AN$77, MATCH(G$100,_xlfn.ANCHORARRAY( $W$5), 0))
    *
    INDEX($AN$5:$AN$77, MATCH($A104,_xlfn.ANCHORARRAY( $W$5), 0))
)</f>
        <v>0.63742809555497526</v>
      </c>
      <c r="H104" s="17" cm="1">
        <f t="array" ref="H104">MMULT(
    MMULT(
        INDEX($X$5:$AM$77, MATCH(H$100,_xlfn.ANCHORARRAY( $W$5), 0), 0),
        $F$5:$U$20
    ),
    TRANSPOSE(
        INDEX($X$5:$AM$77, MATCH($A104,_xlfn.ANCHORARRAY( $W$5), 0), 0)
    )
)
/
(
    INDEX($AN$5:$AN$77, MATCH(H$100,_xlfn.ANCHORARRAY( $W$5), 0))
    *
    INDEX($AN$5:$AN$77, MATCH($A104,_xlfn.ANCHORARRAY( $W$5), 0))
)</f>
        <v>0.71978539620059512</v>
      </c>
      <c r="I104" s="17" cm="1">
        <f t="array" ref="I104">MMULT(
    MMULT(
        INDEX($X$5:$AM$77, MATCH(I$100,_xlfn.ANCHORARRAY( $W$5), 0), 0),
        $F$5:$U$20
    ),
    TRANSPOSE(
        INDEX($X$5:$AM$77, MATCH($A104,_xlfn.ANCHORARRAY( $W$5), 0), 0)
    )
)
/
(
    INDEX($AN$5:$AN$77, MATCH(I$100,_xlfn.ANCHORARRAY( $W$5), 0))
    *
    INDEX($AN$5:$AN$77, MATCH($A104,_xlfn.ANCHORARRAY( $W$5), 0))
)</f>
        <v>0.77551183844355054</v>
      </c>
      <c r="J104" s="17" cm="1">
        <f t="array" ref="J104">MMULT(
    MMULT(
        INDEX($X$5:$AM$77, MATCH(J$100,_xlfn.ANCHORARRAY( $W$5), 0), 0),
        $F$5:$U$20
    ),
    TRANSPOSE(
        INDEX($X$5:$AM$77, MATCH($A104,_xlfn.ANCHORARRAY( $W$5), 0), 0)
    )
)
/
(
    INDEX($AN$5:$AN$77, MATCH(J$100,_xlfn.ANCHORARRAY( $W$5), 0))
    *
    INDEX($AN$5:$AN$77, MATCH($A104,_xlfn.ANCHORARRAY( $W$5), 0))
)</f>
        <v>0.86724435367476904</v>
      </c>
      <c r="K104" s="17" cm="1">
        <f t="array" ref="K104">MMULT(
    MMULT(
        INDEX($X$5:$AM$77, MATCH(K$100,_xlfn.ANCHORARRAY( $W$5), 0), 0),
        $F$5:$U$20
    ),
    TRANSPOSE(
        INDEX($X$5:$AM$77, MATCH($A104,_xlfn.ANCHORARRAY( $W$5), 0), 0)
    )
)
/
(
    INDEX($AN$5:$AN$77, MATCH(K$100,_xlfn.ANCHORARRAY( $W$5), 0))
    *
    INDEX($AN$5:$AN$77, MATCH($A104,_xlfn.ANCHORARRAY( $W$5), 0))
)</f>
        <v>0.98204674576625128</v>
      </c>
      <c r="L104" s="17" cm="1">
        <f t="array" ref="L104">MMULT(
    MMULT(
        INDEX($X$5:$AM$77, MATCH(L$100,_xlfn.ANCHORARRAY( $W$5), 0), 0),
        $F$5:$U$20
    ),
    TRANSPOSE(
        INDEX($X$5:$AM$77, MATCH($A104,_xlfn.ANCHORARRAY( $W$5), 0), 0)
    )
)
/
(
    INDEX($AN$5:$AN$77, MATCH(L$100,_xlfn.ANCHORARRAY( $W$5), 0))
    *
    INDEX($AN$5:$AN$77, MATCH($A104,_xlfn.ANCHORARRAY( $W$5), 0))
)</f>
        <v>0.76605977501785494</v>
      </c>
      <c r="M104" s="17" cm="1">
        <f t="array" ref="M104">MMULT(
    MMULT(
        INDEX($X$5:$AM$77, MATCH(M$100,_xlfn.ANCHORARRAY( $W$5), 0), 0),
        $F$5:$U$20
    ),
    TRANSPOSE(
        INDEX($X$5:$AM$77, MATCH($A104,_xlfn.ANCHORARRAY( $W$5), 0), 0)
    )
)
/
(
    INDEX($AN$5:$AN$77, MATCH(M$100,_xlfn.ANCHORARRAY( $W$5), 0))
    *
    INDEX($AN$5:$AN$77, MATCH($A104,_xlfn.ANCHORARRAY( $W$5), 0))
)</f>
        <v>0.87179614858259435</v>
      </c>
      <c r="N104" s="17" cm="1">
        <f t="array" ref="N104">MMULT(
    MMULT(
        INDEX($X$5:$AM$77, MATCH(N$100,_xlfn.ANCHORARRAY( $W$5), 0), 0),
        $F$5:$U$20
    ),
    TRANSPOSE(
        INDEX($X$5:$AM$77, MATCH($A104,_xlfn.ANCHORARRAY( $W$5), 0), 0)
    )
)
/
(
    INDEX($AN$5:$AN$77, MATCH(N$100,_xlfn.ANCHORARRAY( $W$5), 0))
    *
    INDEX($AN$5:$AN$77, MATCH($A104,_xlfn.ANCHORARRAY( $W$5), 0))
)</f>
        <v>0.81465702613982249</v>
      </c>
      <c r="O104" s="17" cm="1">
        <f t="array" ref="O104">MMULT(
    MMULT(
        INDEX($X$5:$AM$77, MATCH(O$100,_xlfn.ANCHORARRAY( $W$5), 0), 0),
        $F$5:$U$20
    ),
    TRANSPOSE(
        INDEX($X$5:$AM$77, MATCH($A104,_xlfn.ANCHORARRAY( $W$5), 0), 0)
    )
)
/
(
    INDEX($AN$5:$AN$77, MATCH(O$100,_xlfn.ANCHORARRAY( $W$5), 0))
    *
    INDEX($AN$5:$AN$77, MATCH($A104,_xlfn.ANCHORARRAY( $W$5), 0))
)</f>
        <v>0.85026387144086302</v>
      </c>
      <c r="P104" s="17" cm="1">
        <f t="array" ref="P104">MMULT(
    MMULT(
        INDEX($X$5:$AM$77, MATCH(P$100,_xlfn.ANCHORARRAY( $W$5), 0), 0),
        $F$5:$U$20
    ),
    TRANSPOSE(
        INDEX($X$5:$AM$77, MATCH($A104,_xlfn.ANCHORARRAY( $W$5), 0), 0)
    )
)
/
(
    INDEX($AN$5:$AN$77, MATCH(P$100,_xlfn.ANCHORARRAY( $W$5), 0))
    *
    INDEX($AN$5:$AN$77, MATCH($A104,_xlfn.ANCHORARRAY( $W$5), 0))
)</f>
        <v>0.84686072627171305</v>
      </c>
      <c r="Q104" s="17" cm="1">
        <f t="array" ref="Q104">MMULT(
    MMULT(
        INDEX($X$5:$AM$77, MATCH(Q$100,_xlfn.ANCHORARRAY( $W$5), 0), 0),
        $F$5:$U$20
    ),
    TRANSPOSE(
        INDEX($X$5:$AM$77, MATCH($A104,_xlfn.ANCHORARRAY( $W$5), 0), 0)
    )
)
/
(
    INDEX($AN$5:$AN$77, MATCH(Q$100,_xlfn.ANCHORARRAY( $W$5), 0))
    *
    INDEX($AN$5:$AN$77, MATCH($A104,_xlfn.ANCHORARRAY( $W$5), 0))
)</f>
        <v>0.65995047369177939</v>
      </c>
      <c r="R104" s="17" cm="1">
        <f t="array" ref="R104">MMULT(
    MMULT(
        INDEX($X$5:$AM$77, MATCH(R$100,_xlfn.ANCHORARRAY( $W$5), 0), 0),
        $F$5:$U$20
    ),
    TRANSPOSE(
        INDEX($X$5:$AM$77, MATCH($A104,_xlfn.ANCHORARRAY( $W$5), 0), 0)
    )
)
/
(
    INDEX($AN$5:$AN$77, MATCH(R$100,_xlfn.ANCHORARRAY( $W$5), 0))
    *
    INDEX($AN$5:$AN$77, MATCH($A104,_xlfn.ANCHORARRAY( $W$5), 0))
)</f>
        <v>0.81464887888197191</v>
      </c>
      <c r="S104" s="17" cm="1">
        <f t="array" ref="S104">MMULT(
    MMULT(
        INDEX($X$5:$AM$77, MATCH(S$100,_xlfn.ANCHORARRAY( $W$5), 0), 0),
        $F$5:$U$20
    ),
    TRANSPOSE(
        INDEX($X$5:$AM$77, MATCH($A104,_xlfn.ANCHORARRAY( $W$5), 0), 0)
    )
)
/
(
    INDEX($AN$5:$AN$77, MATCH(S$100,_xlfn.ANCHORARRAY( $W$5), 0))
    *
    INDEX($AN$5:$AN$77, MATCH($A104,_xlfn.ANCHORARRAY( $W$5), 0))
)</f>
        <v>0.71759863631552512</v>
      </c>
      <c r="T104" s="17" cm="1">
        <f t="array" ref="T104">MMULT(
    MMULT(
        INDEX($X$5:$AM$77, MATCH(T$100,_xlfn.ANCHORARRAY( $W$5), 0), 0),
        $F$5:$U$20
    ),
    TRANSPOSE(
        INDEX($X$5:$AM$77, MATCH($A104,_xlfn.ANCHORARRAY( $W$5), 0), 0)
    )
)
/
(
    INDEX($AN$5:$AN$77, MATCH(T$100,_xlfn.ANCHORARRAY( $W$5), 0))
    *
    INDEX($AN$5:$AN$77, MATCH($A104,_xlfn.ANCHORARRAY( $W$5), 0))
)</f>
        <v>0.24243662361128748</v>
      </c>
      <c r="U104" s="17" cm="1">
        <f t="array" ref="U104">MMULT(
    MMULT(
        INDEX($X$5:$AM$77, MATCH(U$100,_xlfn.ANCHORARRAY( $W$5), 0), 0),
        $F$5:$U$20
    ),
    TRANSPOSE(
        INDEX($X$5:$AM$77, MATCH($A104,_xlfn.ANCHORARRAY( $W$5), 0), 0)
    )
)
/
(
    INDEX($AN$5:$AN$77, MATCH(U$100,_xlfn.ANCHORARRAY( $W$5), 0))
    *
    INDEX($AN$5:$AN$77, MATCH($A104,_xlfn.ANCHORARRAY( $W$5), 0))
)</f>
        <v>0.84258144065960916</v>
      </c>
      <c r="V104" s="17" cm="1">
        <f t="array" ref="V104">MMULT(
    MMULT(
        INDEX($X$5:$AM$77, MATCH(V$100,_xlfn.ANCHORARRAY( $W$5), 0), 0),
        $F$5:$U$20
    ),
    TRANSPOSE(
        INDEX($X$5:$AM$77, MATCH($A104,_xlfn.ANCHORARRAY( $W$5), 0), 0)
    )
)
/
(
    INDEX($AN$5:$AN$77, MATCH(V$100,_xlfn.ANCHORARRAY( $W$5), 0))
    *
    INDEX($AN$5:$AN$77, MATCH($A104,_xlfn.ANCHORARRAY( $W$5), 0))
)</f>
        <v>0.63851341638117043</v>
      </c>
      <c r="W104" s="17" cm="1">
        <f t="array" ref="W104">MMULT(
    MMULT(
        INDEX($X$5:$AM$77, MATCH(W$100,_xlfn.ANCHORARRAY( $W$5), 0), 0),
        $F$5:$U$20
    ),
    TRANSPOSE(
        INDEX($X$5:$AM$77, MATCH($A104,_xlfn.ANCHORARRAY( $W$5), 0), 0)
    )
)
/
(
    INDEX($AN$5:$AN$77, MATCH(W$100,_xlfn.ANCHORARRAY( $W$5), 0))
    *
    INDEX($AN$5:$AN$77, MATCH($A104,_xlfn.ANCHORARRAY( $W$5), 0))
)</f>
        <v>0.70555125464005031</v>
      </c>
      <c r="X104" s="17" cm="1">
        <f t="array" ref="X104">MMULT(
    MMULT(
        INDEX($X$5:$AM$77, MATCH(X$100,_xlfn.ANCHORARRAY( $W$5), 0), 0),
        $F$5:$U$20
    ),
    TRANSPOSE(
        INDEX($X$5:$AM$77, MATCH($A104,_xlfn.ANCHORARRAY( $W$5), 0), 0)
    )
)
/
(
    INDEX($AN$5:$AN$77, MATCH(X$100,_xlfn.ANCHORARRAY( $W$5), 0))
    *
    INDEX($AN$5:$AN$77, MATCH($A104,_xlfn.ANCHORARRAY( $W$5), 0))
)</f>
        <v>0.8814188467727313</v>
      </c>
      <c r="Y104" s="17" cm="1">
        <f t="array" ref="Y104">MMULT(
    MMULT(
        INDEX($X$5:$AM$77, MATCH(Y$100,_xlfn.ANCHORARRAY( $W$5), 0), 0),
        $F$5:$U$20
    ),
    TRANSPOSE(
        INDEX($X$5:$AM$77, MATCH($A104,_xlfn.ANCHORARRAY( $W$5), 0), 0)
    )
)
/
(
    INDEX($AN$5:$AN$77, MATCH(Y$100,_xlfn.ANCHORARRAY( $W$5), 0))
    *
    INDEX($AN$5:$AN$77, MATCH($A104,_xlfn.ANCHORARRAY( $W$5), 0))
)</f>
        <v>0.70989217216752676</v>
      </c>
      <c r="Z104" s="17" cm="1">
        <f t="array" ref="Z104">MMULT(
    MMULT(
        INDEX($X$5:$AM$77, MATCH(Z$100,_xlfn.ANCHORARRAY( $W$5), 0), 0),
        $F$5:$U$20
    ),
    TRANSPOSE(
        INDEX($X$5:$AM$77, MATCH($A104,_xlfn.ANCHORARRAY( $W$5), 0), 0)
    )
)
/
(
    INDEX($AN$5:$AN$77, MATCH(Z$100,_xlfn.ANCHORARRAY( $W$5), 0))
    *
    INDEX($AN$5:$AN$77, MATCH($A104,_xlfn.ANCHORARRAY( $W$5), 0))
)</f>
        <v>0.87476516081099454</v>
      </c>
      <c r="AA104" s="17" cm="1">
        <f t="array" ref="AA104">MMULT(
    MMULT(
        INDEX($X$5:$AM$77, MATCH(AA$100,_xlfn.ANCHORARRAY( $W$5), 0), 0),
        $F$5:$U$20
    ),
    TRANSPOSE(
        INDEX($X$5:$AM$77, MATCH($A104,_xlfn.ANCHORARRAY( $W$5), 0), 0)
    )
)
/
(
    INDEX($AN$5:$AN$77, MATCH(AA$100,_xlfn.ANCHORARRAY( $W$5), 0))
    *
    INDEX($AN$5:$AN$77, MATCH($A104,_xlfn.ANCHORARRAY( $W$5), 0))
)</f>
        <v>0.84568692373443821</v>
      </c>
      <c r="AB104" s="17" cm="1">
        <f t="array" ref="AB104">MMULT(
    MMULT(
        INDEX($X$5:$AM$77, MATCH(AB$100,_xlfn.ANCHORARRAY( $W$5), 0), 0),
        $F$5:$U$20
    ),
    TRANSPOSE(
        INDEX($X$5:$AM$77, MATCH($A104,_xlfn.ANCHORARRAY( $W$5), 0), 0)
    )
)
/
(
    INDEX($AN$5:$AN$77, MATCH(AB$100,_xlfn.ANCHORARRAY( $W$5), 0))
    *
    INDEX($AN$5:$AN$77, MATCH($A104,_xlfn.ANCHORARRAY( $W$5), 0))
)</f>
        <v>0.96707104486797635</v>
      </c>
      <c r="AC104" s="17" cm="1">
        <f t="array" ref="AC104">MMULT(
    MMULT(
        INDEX($X$5:$AM$77, MATCH(AC$100,_xlfn.ANCHORARRAY( $W$5), 0), 0),
        $F$5:$U$20
    ),
    TRANSPOSE(
        INDEX($X$5:$AM$77, MATCH($A104,_xlfn.ANCHORARRAY( $W$5), 0), 0)
    )
)
/
(
    INDEX($AN$5:$AN$77, MATCH(AC$100,_xlfn.ANCHORARRAY( $W$5), 0))
    *
    INDEX($AN$5:$AN$77, MATCH($A104,_xlfn.ANCHORARRAY( $W$5), 0))
)</f>
        <v>0.85098990553935372</v>
      </c>
      <c r="AD104" s="17" cm="1">
        <f t="array" ref="AD104">MMULT(
    MMULT(
        INDEX($X$5:$AM$77, MATCH(AD$100,_xlfn.ANCHORARRAY( $W$5), 0), 0),
        $F$5:$U$20
    ),
    TRANSPOSE(
        INDEX($X$5:$AM$77, MATCH($A104,_xlfn.ANCHORARRAY( $W$5), 0), 0)
    )
)
/
(
    INDEX($AN$5:$AN$77, MATCH(AD$100,_xlfn.ANCHORARRAY( $W$5), 0))
    *
    INDEX($AN$5:$AN$77, MATCH($A104,_xlfn.ANCHORARRAY( $W$5), 0))
)</f>
        <v>0.85524141607211812</v>
      </c>
      <c r="AE104" s="17" cm="1">
        <f t="array" ref="AE104">MMULT(
    MMULT(
        INDEX($X$5:$AM$77, MATCH(AE$100,_xlfn.ANCHORARRAY( $W$5), 0), 0),
        $F$5:$U$20
    ),
    TRANSPOSE(
        INDEX($X$5:$AM$77, MATCH($A104,_xlfn.ANCHORARRAY( $W$5), 0), 0)
    )
)
/
(
    INDEX($AN$5:$AN$77, MATCH(AE$100,_xlfn.ANCHORARRAY( $W$5), 0))
    *
    INDEX($AN$5:$AN$77, MATCH($A104,_xlfn.ANCHORARRAY( $W$5), 0))
)</f>
        <v>0.73656607292676746</v>
      </c>
      <c r="AF104" s="17" cm="1">
        <f t="array" ref="AF104">MMULT(
    MMULT(
        INDEX($X$5:$AM$77, MATCH(AF$100,_xlfn.ANCHORARRAY( $W$5), 0), 0),
        $F$5:$U$20
    ),
    TRANSPOSE(
        INDEX($X$5:$AM$77, MATCH($A104,_xlfn.ANCHORARRAY( $W$5), 0), 0)
    )
)
/
(
    INDEX($AN$5:$AN$77, MATCH(AF$100,_xlfn.ANCHORARRAY( $W$5), 0))
    *
    INDEX($AN$5:$AN$77, MATCH($A104,_xlfn.ANCHORARRAY( $W$5), 0))
)</f>
        <v>0.76969180825258576</v>
      </c>
      <c r="AG104" s="17" cm="1">
        <f t="array" ref="AG104">MMULT(
    MMULT(
        INDEX($X$5:$AM$77, MATCH(AG$100,_xlfn.ANCHORARRAY( $W$5), 0), 0),
        $F$5:$U$20
    ),
    TRANSPOSE(
        INDEX($X$5:$AM$77, MATCH($A104,_xlfn.ANCHORARRAY( $W$5), 0), 0)
    )
)
/
(
    INDEX($AN$5:$AN$77, MATCH(AG$100,_xlfn.ANCHORARRAY( $W$5), 0))
    *
    INDEX($AN$5:$AN$77, MATCH($A104,_xlfn.ANCHORARRAY( $W$5), 0))
)</f>
        <v>0.79917414974740975</v>
      </c>
      <c r="AH104" s="17" cm="1">
        <f t="array" ref="AH104">MMULT(
    MMULT(
        INDEX($X$5:$AM$77, MATCH(AH$100,_xlfn.ANCHORARRAY( $W$5), 0), 0),
        $F$5:$U$20
    ),
    TRANSPOSE(
        INDEX($X$5:$AM$77, MATCH($A104,_xlfn.ANCHORARRAY( $W$5), 0), 0)
    )
)
/
(
    INDEX($AN$5:$AN$77, MATCH(AH$100,_xlfn.ANCHORARRAY( $W$5), 0))
    *
    INDEX($AN$5:$AN$77, MATCH($A104,_xlfn.ANCHORARRAY( $W$5), 0))
)</f>
        <v>0.60997088083467688</v>
      </c>
      <c r="AI104" s="17" cm="1">
        <f t="array" ref="AI104">MMULT(
    MMULT(
        INDEX($X$5:$AM$77, MATCH(AI$100,_xlfn.ANCHORARRAY( $W$5), 0), 0),
        $F$5:$U$20
    ),
    TRANSPOSE(
        INDEX($X$5:$AM$77, MATCH($A104,_xlfn.ANCHORARRAY( $W$5), 0), 0)
    )
)
/
(
    INDEX($AN$5:$AN$77, MATCH(AI$100,_xlfn.ANCHORARRAY( $W$5), 0))
    *
    INDEX($AN$5:$AN$77, MATCH($A104,_xlfn.ANCHORARRAY( $W$5), 0))
)</f>
        <v>0.8343989842742493</v>
      </c>
      <c r="AJ104" s="17" cm="1">
        <f t="array" ref="AJ104">MMULT(
    MMULT(
        INDEX($X$5:$AM$77, MATCH(AJ$100,_xlfn.ANCHORARRAY( $W$5), 0), 0),
        $F$5:$U$20
    ),
    TRANSPOSE(
        INDEX($X$5:$AM$77, MATCH($A104,_xlfn.ANCHORARRAY( $W$5), 0), 0)
    )
)
/
(
    INDEX($AN$5:$AN$77, MATCH(AJ$100,_xlfn.ANCHORARRAY( $W$5), 0))
    *
    INDEX($AN$5:$AN$77, MATCH($A104,_xlfn.ANCHORARRAY( $W$5), 0))
)</f>
        <v>0.82986048591918371</v>
      </c>
      <c r="AK104" s="17" cm="1">
        <f t="array" ref="AK104">MMULT(
    MMULT(
        INDEX($X$5:$AM$77, MATCH(AK$100,_xlfn.ANCHORARRAY( $W$5), 0), 0),
        $F$5:$U$20
    ),
    TRANSPOSE(
        INDEX($X$5:$AM$77, MATCH($A104,_xlfn.ANCHORARRAY( $W$5), 0), 0)
    )
)
/
(
    INDEX($AN$5:$AN$77, MATCH(AK$100,_xlfn.ANCHORARRAY( $W$5), 0))
    *
    INDEX($AN$5:$AN$77, MATCH($A104,_xlfn.ANCHORARRAY( $W$5), 0))
)</f>
        <v>0.89652198486700041</v>
      </c>
      <c r="AL104" s="17" cm="1">
        <f t="array" ref="AL104">MMULT(
    MMULT(
        INDEX($X$5:$AM$77, MATCH(AL$100,_xlfn.ANCHORARRAY( $W$5), 0), 0),
        $F$5:$U$20
    ),
    TRANSPOSE(
        INDEX($X$5:$AM$77, MATCH($A104,_xlfn.ANCHORARRAY( $W$5), 0), 0)
    )
)
/
(
    INDEX($AN$5:$AN$77, MATCH(AL$100,_xlfn.ANCHORARRAY( $W$5), 0))
    *
    INDEX($AN$5:$AN$77, MATCH($A104,_xlfn.ANCHORARRAY( $W$5), 0))
)</f>
        <v>0.845295097259252</v>
      </c>
      <c r="AM104" s="17" cm="1">
        <f t="array" ref="AM104">MMULT(
    MMULT(
        INDEX($X$5:$AM$77, MATCH(AM$100,_xlfn.ANCHORARRAY( $W$5), 0), 0),
        $F$5:$U$20
    ),
    TRANSPOSE(
        INDEX($X$5:$AM$77, MATCH($A104,_xlfn.ANCHORARRAY( $W$5), 0), 0)
    )
)
/
(
    INDEX($AN$5:$AN$77, MATCH(AM$100,_xlfn.ANCHORARRAY( $W$5), 0))
    *
    INDEX($AN$5:$AN$77, MATCH($A104,_xlfn.ANCHORARRAY( $W$5), 0))
)</f>
        <v>0.87707143686091327</v>
      </c>
      <c r="AN104" s="17" cm="1">
        <f t="array" ref="AN104">MMULT(
    MMULT(
        INDEX($X$5:$AM$77, MATCH(AN$100,_xlfn.ANCHORARRAY( $W$5), 0), 0),
        $F$5:$U$20
    ),
    TRANSPOSE(
        INDEX($X$5:$AM$77, MATCH($A104,_xlfn.ANCHORARRAY( $W$5), 0), 0)
    )
)
/
(
    INDEX($AN$5:$AN$77, MATCH(AN$100,_xlfn.ANCHORARRAY( $W$5), 0))
    *
    INDEX($AN$5:$AN$77, MATCH($A104,_xlfn.ANCHORARRAY( $W$5), 0))
)</f>
        <v>0.67414318888697011</v>
      </c>
      <c r="AO104" s="17" cm="1">
        <f t="array" ref="AO104">MMULT(
    MMULT(
        INDEX($X$5:$AM$77, MATCH(AO$100,_xlfn.ANCHORARRAY( $W$5), 0), 0),
        $F$5:$U$20
    ),
    TRANSPOSE(
        INDEX($X$5:$AM$77, MATCH($A104,_xlfn.ANCHORARRAY( $W$5), 0), 0)
    )
)
/
(
    INDEX($AN$5:$AN$77, MATCH(AO$100,_xlfn.ANCHORARRAY( $W$5), 0))
    *
    INDEX($AN$5:$AN$77, MATCH($A104,_xlfn.ANCHORARRAY( $W$5), 0))
)</f>
        <v>0.77269305356706375</v>
      </c>
      <c r="AP104" s="17" cm="1">
        <f t="array" ref="AP104">MMULT(
    MMULT(
        INDEX($X$5:$AM$77, MATCH(AP$100,_xlfn.ANCHORARRAY( $W$5), 0), 0),
        $F$5:$U$20
    ),
    TRANSPOSE(
        INDEX($X$5:$AM$77, MATCH($A104,_xlfn.ANCHORARRAY( $W$5), 0), 0)
    )
)
/
(
    INDEX($AN$5:$AN$77, MATCH(AP$100,_xlfn.ANCHORARRAY( $W$5), 0))
    *
    INDEX($AN$5:$AN$77, MATCH($A104,_xlfn.ANCHORARRAY( $W$5), 0))
)</f>
        <v>0.77036044859737629</v>
      </c>
      <c r="AQ104" s="17" cm="1">
        <f t="array" ref="AQ104">MMULT(
    MMULT(
        INDEX($X$5:$AM$77, MATCH(AQ$100,_xlfn.ANCHORARRAY( $W$5), 0), 0),
        $F$5:$U$20
    ),
    TRANSPOSE(
        INDEX($X$5:$AM$77, MATCH($A104,_xlfn.ANCHORARRAY( $W$5), 0), 0)
    )
)
/
(
    INDEX($AN$5:$AN$77, MATCH(AQ$100,_xlfn.ANCHORARRAY( $W$5), 0))
    *
    INDEX($AN$5:$AN$77, MATCH($A104,_xlfn.ANCHORARRAY( $W$5), 0))
)</f>
        <v>0.60178217146311763</v>
      </c>
      <c r="AR104" s="17" cm="1">
        <f t="array" ref="AR104">MMULT(
    MMULT(
        INDEX($X$5:$AM$77, MATCH(AR$100,_xlfn.ANCHORARRAY( $W$5), 0), 0),
        $F$5:$U$20
    ),
    TRANSPOSE(
        INDEX($X$5:$AM$77, MATCH($A104,_xlfn.ANCHORARRAY( $W$5), 0), 0)
    )
)
/
(
    INDEX($AN$5:$AN$77, MATCH(AR$100,_xlfn.ANCHORARRAY( $W$5), 0))
    *
    INDEX($AN$5:$AN$77, MATCH($A104,_xlfn.ANCHORARRAY( $W$5), 0))
)</f>
        <v>0.82110745841458221</v>
      </c>
      <c r="AS104" s="17" cm="1">
        <f t="array" ref="AS104">MMULT(
    MMULT(
        INDEX($X$5:$AM$77, MATCH(AS$100,_xlfn.ANCHORARRAY( $W$5), 0), 0),
        $F$5:$U$20
    ),
    TRANSPOSE(
        INDEX($X$5:$AM$77, MATCH($A104,_xlfn.ANCHORARRAY( $W$5), 0), 0)
    )
)
/
(
    INDEX($AN$5:$AN$77, MATCH(AS$100,_xlfn.ANCHORARRAY( $W$5), 0))
    *
    INDEX($AN$5:$AN$77, MATCH($A104,_xlfn.ANCHORARRAY( $W$5), 0))
)</f>
        <v>0.8725688035214515</v>
      </c>
      <c r="AT104" s="17" cm="1">
        <f t="array" ref="AT104">MMULT(
    MMULT(
        INDEX($X$5:$AM$77, MATCH(AT$100,_xlfn.ANCHORARRAY( $W$5), 0), 0),
        $F$5:$U$20
    ),
    TRANSPOSE(
        INDEX($X$5:$AM$77, MATCH($A104,_xlfn.ANCHORARRAY( $W$5), 0), 0)
    )
)
/
(
    INDEX($AN$5:$AN$77, MATCH(AT$100,_xlfn.ANCHORARRAY( $W$5), 0))
    *
    INDEX($AN$5:$AN$77, MATCH($A104,_xlfn.ANCHORARRAY( $W$5), 0))
)</f>
        <v>0.79454660317842474</v>
      </c>
      <c r="AU104" s="17" cm="1">
        <f t="array" ref="AU104">MMULT(
    MMULT(
        INDEX($X$5:$AM$77, MATCH(AU$100,_xlfn.ANCHORARRAY( $W$5), 0), 0),
        $F$5:$U$20
    ),
    TRANSPOSE(
        INDEX($X$5:$AM$77, MATCH($A104,_xlfn.ANCHORARRAY( $W$5), 0), 0)
    )
)
/
(
    INDEX($AN$5:$AN$77, MATCH(AU$100,_xlfn.ANCHORARRAY( $W$5), 0))
    *
    INDEX($AN$5:$AN$77, MATCH($A104,_xlfn.ANCHORARRAY( $W$5), 0))
)</f>
        <v>0.88364493605529915</v>
      </c>
      <c r="AV104" s="17" cm="1">
        <f t="array" ref="AV104">MMULT(
    MMULT(
        INDEX($X$5:$AM$77, MATCH(AV$100,_xlfn.ANCHORARRAY( $W$5), 0), 0),
        $F$5:$U$20
    ),
    TRANSPOSE(
        INDEX($X$5:$AM$77, MATCH($A104,_xlfn.ANCHORARRAY( $W$5), 0), 0)
    )
)
/
(
    INDEX($AN$5:$AN$77, MATCH(AV$100,_xlfn.ANCHORARRAY( $W$5), 0))
    *
    INDEX($AN$5:$AN$77, MATCH($A104,_xlfn.ANCHORARRAY( $W$5), 0))
)</f>
        <v>0.90146984572545574</v>
      </c>
      <c r="AW104" s="17" cm="1">
        <f t="array" ref="AW104">MMULT(
    MMULT(
        INDEX($X$5:$AM$77, MATCH(AW$100,_xlfn.ANCHORARRAY( $W$5), 0), 0),
        $F$5:$U$20
    ),
    TRANSPOSE(
        INDEX($X$5:$AM$77, MATCH($A104,_xlfn.ANCHORARRAY( $W$5), 0), 0)
    )
)
/
(
    INDEX($AN$5:$AN$77, MATCH(AW$100,_xlfn.ANCHORARRAY( $W$5), 0))
    *
    INDEX($AN$5:$AN$77, MATCH($A104,_xlfn.ANCHORARRAY( $W$5), 0))
)</f>
        <v>0.8563272937300962</v>
      </c>
      <c r="AX104" s="17" cm="1">
        <f t="array" ref="AX104">MMULT(
    MMULT(
        INDEX($X$5:$AM$77, MATCH(AX$100,_xlfn.ANCHORARRAY( $W$5), 0), 0),
        $F$5:$U$20
    ),
    TRANSPOSE(
        INDEX($X$5:$AM$77, MATCH($A104,_xlfn.ANCHORARRAY( $W$5), 0), 0)
    )
)
/
(
    INDEX($AN$5:$AN$77, MATCH(AX$100,_xlfn.ANCHORARRAY( $W$5), 0))
    *
    INDEX($AN$5:$AN$77, MATCH($A104,_xlfn.ANCHORARRAY( $W$5), 0))
)</f>
        <v>0.52196585050144828</v>
      </c>
      <c r="AY104" s="17" cm="1">
        <f t="array" ref="AY104">MMULT(
    MMULT(
        INDEX($X$5:$AM$77, MATCH(AY$100,_xlfn.ANCHORARRAY( $W$5), 0), 0),
        $F$5:$U$20
    ),
    TRANSPOSE(
        INDEX($X$5:$AM$77, MATCH($A104,_xlfn.ANCHORARRAY( $W$5), 0), 0)
    )
)
/
(
    INDEX($AN$5:$AN$77, MATCH(AY$100,_xlfn.ANCHORARRAY( $W$5), 0))
    *
    INDEX($AN$5:$AN$77, MATCH($A104,_xlfn.ANCHORARRAY( $W$5), 0))
)</f>
        <v>0.61333518413658017</v>
      </c>
      <c r="AZ104" s="17" cm="1">
        <f t="array" ref="AZ104">MMULT(
    MMULT(
        INDEX($X$5:$AM$77, MATCH(AZ$100,_xlfn.ANCHORARRAY( $W$5), 0), 0),
        $F$5:$U$20
    ),
    TRANSPOSE(
        INDEX($X$5:$AM$77, MATCH($A104,_xlfn.ANCHORARRAY( $W$5), 0), 0)
    )
)
/
(
    INDEX($AN$5:$AN$77, MATCH(AZ$100,_xlfn.ANCHORARRAY( $W$5), 0))
    *
    INDEX($AN$5:$AN$77, MATCH($A104,_xlfn.ANCHORARRAY( $W$5), 0))
)</f>
        <v>0.86289163811344483</v>
      </c>
      <c r="BA104" s="17" cm="1">
        <f t="array" ref="BA104">MMULT(
    MMULT(
        INDEX($X$5:$AM$77, MATCH(BA$100,_xlfn.ANCHORARRAY( $W$5), 0), 0),
        $F$5:$U$20
    ),
    TRANSPOSE(
        INDEX($X$5:$AM$77, MATCH($A104,_xlfn.ANCHORARRAY( $W$5), 0), 0)
    )
)
/
(
    INDEX($AN$5:$AN$77, MATCH(BA$100,_xlfn.ANCHORARRAY( $W$5), 0))
    *
    INDEX($AN$5:$AN$77, MATCH($A104,_xlfn.ANCHORARRAY( $W$5), 0))
)</f>
        <v>0.8492832907708141</v>
      </c>
      <c r="BB104" s="17" cm="1">
        <f t="array" ref="BB104">MMULT(
    MMULT(
        INDEX($X$5:$AM$77, MATCH(BB$100,_xlfn.ANCHORARRAY( $W$5), 0), 0),
        $F$5:$U$20
    ),
    TRANSPOSE(
        INDEX($X$5:$AM$77, MATCH($A104,_xlfn.ANCHORARRAY( $W$5), 0), 0)
    )
)
/
(
    INDEX($AN$5:$AN$77, MATCH(BB$100,_xlfn.ANCHORARRAY( $W$5), 0))
    *
    INDEX($AN$5:$AN$77, MATCH($A104,_xlfn.ANCHORARRAY( $W$5), 0))
)</f>
        <v>0.96561216823483931</v>
      </c>
      <c r="BC104" s="17" cm="1">
        <f t="array" ref="BC104">MMULT(
    MMULT(
        INDEX($X$5:$AM$77, MATCH(BC$100,_xlfn.ANCHORARRAY( $W$5), 0), 0),
        $F$5:$U$20
    ),
    TRANSPOSE(
        INDEX($X$5:$AM$77, MATCH($A104,_xlfn.ANCHORARRAY( $W$5), 0), 0)
    )
)
/
(
    INDEX($AN$5:$AN$77, MATCH(BC$100,_xlfn.ANCHORARRAY( $W$5), 0))
    *
    INDEX($AN$5:$AN$77, MATCH($A104,_xlfn.ANCHORARRAY( $W$5), 0))
)</f>
        <v>0.79274728500460312</v>
      </c>
      <c r="BD104" s="17" cm="1">
        <f t="array" ref="BD104">MMULT(
    MMULT(
        INDEX($X$5:$AM$77, MATCH(BD$100,_xlfn.ANCHORARRAY( $W$5), 0), 0),
        $F$5:$U$20
    ),
    TRANSPOSE(
        INDEX($X$5:$AM$77, MATCH($A104,_xlfn.ANCHORARRAY( $W$5), 0), 0)
    )
)
/
(
    INDEX($AN$5:$AN$77, MATCH(BD$100,_xlfn.ANCHORARRAY( $W$5), 0))
    *
    INDEX($AN$5:$AN$77, MATCH($A104,_xlfn.ANCHORARRAY( $W$5), 0))
)</f>
        <v>0.49898891400764617</v>
      </c>
      <c r="BE104" s="17" cm="1">
        <f t="array" ref="BE104">MMULT(
    MMULT(
        INDEX($X$5:$AM$77, MATCH(BE$100,_xlfn.ANCHORARRAY( $W$5), 0), 0),
        $F$5:$U$20
    ),
    TRANSPOSE(
        INDEX($X$5:$AM$77, MATCH($A104,_xlfn.ANCHORARRAY( $W$5), 0), 0)
    )
)
/
(
    INDEX($AN$5:$AN$77, MATCH(BE$100,_xlfn.ANCHORARRAY( $W$5), 0))
    *
    INDEX($AN$5:$AN$77, MATCH($A104,_xlfn.ANCHORARRAY( $W$5), 0))
)</f>
        <v>0.87376323487485053</v>
      </c>
      <c r="BF104" s="17" cm="1">
        <f t="array" ref="BF104">MMULT(
    MMULT(
        INDEX($X$5:$AM$77, MATCH(BF$100,_xlfn.ANCHORARRAY( $W$5), 0), 0),
        $F$5:$U$20
    ),
    TRANSPOSE(
        INDEX($X$5:$AM$77, MATCH($A104,_xlfn.ANCHORARRAY( $W$5), 0), 0)
    )
)
/
(
    INDEX($AN$5:$AN$77, MATCH(BF$100,_xlfn.ANCHORARRAY( $W$5), 0))
    *
    INDEX($AN$5:$AN$77, MATCH($A104,_xlfn.ANCHORARRAY( $W$5), 0))
)</f>
        <v>0.75967889424500634</v>
      </c>
      <c r="BG104" s="17" cm="1">
        <f t="array" ref="BG104">MMULT(
    MMULT(
        INDEX($X$5:$AM$77, MATCH(BG$100,_xlfn.ANCHORARRAY( $W$5), 0), 0),
        $F$5:$U$20
    ),
    TRANSPOSE(
        INDEX($X$5:$AM$77, MATCH($A104,_xlfn.ANCHORARRAY( $W$5), 0), 0)
    )
)
/
(
    INDEX($AN$5:$AN$77, MATCH(BG$100,_xlfn.ANCHORARRAY( $W$5), 0))
    *
    INDEX($AN$5:$AN$77, MATCH($A104,_xlfn.ANCHORARRAY( $W$5), 0))
)</f>
        <v>0.83588518125423772</v>
      </c>
      <c r="BH104" s="17" cm="1">
        <f t="array" ref="BH104">MMULT(
    MMULT(
        INDEX($X$5:$AM$77, MATCH(BH$100,_xlfn.ANCHORARRAY( $W$5), 0), 0),
        $F$5:$U$20
    ),
    TRANSPOSE(
        INDEX($X$5:$AM$77, MATCH($A104,_xlfn.ANCHORARRAY( $W$5), 0), 0)
    )
)
/
(
    INDEX($AN$5:$AN$77, MATCH(BH$100,_xlfn.ANCHORARRAY( $W$5), 0))
    *
    INDEX($AN$5:$AN$77, MATCH($A104,_xlfn.ANCHORARRAY( $W$5), 0))
)</f>
        <v>0.6267046511298604</v>
      </c>
      <c r="BI104" s="17" cm="1">
        <f t="array" ref="BI104">MMULT(
    MMULT(
        INDEX($X$5:$AM$77, MATCH(BI$100,_xlfn.ANCHORARRAY( $W$5), 0), 0),
        $F$5:$U$20
    ),
    TRANSPOSE(
        INDEX($X$5:$AM$77, MATCH($A104,_xlfn.ANCHORARRAY( $W$5), 0), 0)
    )
)
/
(
    INDEX($AN$5:$AN$77, MATCH(BI$100,_xlfn.ANCHORARRAY( $W$5), 0))
    *
    INDEX($AN$5:$AN$77, MATCH($A104,_xlfn.ANCHORARRAY( $W$5), 0))
)</f>
        <v>0.81302636215864588</v>
      </c>
      <c r="BJ104" s="17" cm="1">
        <f t="array" ref="BJ104">MMULT(
    MMULT(
        INDEX($X$5:$AM$77, MATCH(BJ$100,_xlfn.ANCHORARRAY( $W$5), 0), 0),
        $F$5:$U$20
    ),
    TRANSPOSE(
        INDEX($X$5:$AM$77, MATCH($A104,_xlfn.ANCHORARRAY( $W$5), 0), 0)
    )
)
/
(
    INDEX($AN$5:$AN$77, MATCH(BJ$100,_xlfn.ANCHORARRAY( $W$5), 0))
    *
    INDEX($AN$5:$AN$77, MATCH($A104,_xlfn.ANCHORARRAY( $W$5), 0))
)</f>
        <v>0.75399096119401987</v>
      </c>
      <c r="BK104" s="17" cm="1">
        <f t="array" ref="BK104">MMULT(
    MMULT(
        INDEX($X$5:$AM$77, MATCH(BK$100,_xlfn.ANCHORARRAY( $W$5), 0), 0),
        $F$5:$U$20
    ),
    TRANSPOSE(
        INDEX($X$5:$AM$77, MATCH($A104,_xlfn.ANCHORARRAY( $W$5), 0), 0)
    )
)
/
(
    INDEX($AN$5:$AN$77, MATCH(BK$100,_xlfn.ANCHORARRAY( $W$5), 0))
    *
    INDEX($AN$5:$AN$77, MATCH($A104,_xlfn.ANCHORARRAY( $W$5), 0))
)</f>
        <v>0.49103621197266867</v>
      </c>
      <c r="BL104" s="17" cm="1">
        <f t="array" ref="BL104">MMULT(
    MMULT(
        INDEX($X$5:$AM$77, MATCH(BL$100,_xlfn.ANCHORARRAY( $W$5), 0), 0),
        $F$5:$U$20
    ),
    TRANSPOSE(
        INDEX($X$5:$AM$77, MATCH($A104,_xlfn.ANCHORARRAY( $W$5), 0), 0)
    )
)
/
(
    INDEX($AN$5:$AN$77, MATCH(BL$100,_xlfn.ANCHORARRAY( $W$5), 0))
    *
    INDEX($AN$5:$AN$77, MATCH($A104,_xlfn.ANCHORARRAY( $W$5), 0))
)</f>
        <v>0.65088423255898842</v>
      </c>
      <c r="BM104" s="17" cm="1">
        <f t="array" ref="BM104">MMULT(
    MMULT(
        INDEX($X$5:$AM$77, MATCH(BM$100,_xlfn.ANCHORARRAY( $W$5), 0), 0),
        $F$5:$U$20
    ),
    TRANSPOSE(
        INDEX($X$5:$AM$77, MATCH($A104,_xlfn.ANCHORARRAY( $W$5), 0), 0)
    )
)
/
(
    INDEX($AN$5:$AN$77, MATCH(BM$100,_xlfn.ANCHORARRAY( $W$5), 0))
    *
    INDEX($AN$5:$AN$77, MATCH($A104,_xlfn.ANCHORARRAY( $W$5), 0))
)</f>
        <v>0.7412436909263852</v>
      </c>
      <c r="BN104" s="17" cm="1">
        <f t="array" ref="BN104">MMULT(
    MMULT(
        INDEX($X$5:$AM$77, MATCH(BN$100,_xlfn.ANCHORARRAY( $W$5), 0), 0),
        $F$5:$U$20
    ),
    TRANSPOSE(
        INDEX($X$5:$AM$77, MATCH($A104,_xlfn.ANCHORARRAY( $W$5), 0), 0)
    )
)
/
(
    INDEX($AN$5:$AN$77, MATCH(BN$100,_xlfn.ANCHORARRAY( $W$5), 0))
    *
    INDEX($AN$5:$AN$77, MATCH($A104,_xlfn.ANCHORARRAY( $W$5), 0))
)</f>
        <v>0.86369830628848443</v>
      </c>
      <c r="BO104" s="17" cm="1">
        <f t="array" ref="BO104">MMULT(
    MMULT(
        INDEX($X$5:$AM$77, MATCH(BO$100,_xlfn.ANCHORARRAY( $W$5), 0), 0),
        $F$5:$U$20
    ),
    TRANSPOSE(
        INDEX($X$5:$AM$77, MATCH($A104,_xlfn.ANCHORARRAY( $W$5), 0), 0)
    )
)
/
(
    INDEX($AN$5:$AN$77, MATCH(BO$100,_xlfn.ANCHORARRAY( $W$5), 0))
    *
    INDEX($AN$5:$AN$77, MATCH($A104,_xlfn.ANCHORARRAY( $W$5), 0))
)</f>
        <v>0.86516736148981166</v>
      </c>
      <c r="BP104" s="17" cm="1">
        <f t="array" ref="BP104">MMULT(
    MMULT(
        INDEX($X$5:$AM$77, MATCH(BP$100,_xlfn.ANCHORARRAY( $W$5), 0), 0),
        $F$5:$U$20
    ),
    TRANSPOSE(
        INDEX($X$5:$AM$77, MATCH($A104,_xlfn.ANCHORARRAY( $W$5), 0), 0)
    )
)
/
(
    INDEX($AN$5:$AN$77, MATCH(BP$100,_xlfn.ANCHORARRAY( $W$5), 0))
    *
    INDEX($AN$5:$AN$77, MATCH($A104,_xlfn.ANCHORARRAY( $W$5), 0))
)</f>
        <v>0.76013685152935606</v>
      </c>
      <c r="BQ104" s="17" cm="1">
        <f t="array" ref="BQ104">MMULT(
    MMULT(
        INDEX($X$5:$AM$77, MATCH(BQ$100,_xlfn.ANCHORARRAY( $W$5), 0), 0),
        $F$5:$U$20
    ),
    TRANSPOSE(
        INDEX($X$5:$AM$77, MATCH($A104,_xlfn.ANCHORARRAY( $W$5), 0), 0)
    )
)
/
(
    INDEX($AN$5:$AN$77, MATCH(BQ$100,_xlfn.ANCHORARRAY( $W$5), 0))
    *
    INDEX($AN$5:$AN$77, MATCH($A104,_xlfn.ANCHORARRAY( $W$5), 0))
)</f>
        <v>0.71384695325443148</v>
      </c>
      <c r="BR104" s="17" cm="1">
        <f t="array" ref="BR104">MMULT(
    MMULT(
        INDEX($X$5:$AM$77, MATCH(BR$100,_xlfn.ANCHORARRAY( $W$5), 0), 0),
        $F$5:$U$20
    ),
    TRANSPOSE(
        INDEX($X$5:$AM$77, MATCH($A104,_xlfn.ANCHORARRAY( $W$5), 0), 0)
    )
)
/
(
    INDEX($AN$5:$AN$77, MATCH(BR$100,_xlfn.ANCHORARRAY( $W$5), 0))
    *
    INDEX($AN$5:$AN$77, MATCH($A104,_xlfn.ANCHORARRAY( $W$5), 0))
)</f>
        <v>0.89571624657244286</v>
      </c>
      <c r="BS104" s="17" cm="1">
        <f t="array" ref="BS104">MMULT(
    MMULT(
        INDEX($X$5:$AM$77, MATCH(BS$100,_xlfn.ANCHORARRAY( $W$5), 0), 0),
        $F$5:$U$20
    ),
    TRANSPOSE(
        INDEX($X$5:$AM$77, MATCH($A104,_xlfn.ANCHORARRAY( $W$5), 0), 0)
    )
)
/
(
    INDEX($AN$5:$AN$77, MATCH(BS$100,_xlfn.ANCHORARRAY( $W$5), 0))
    *
    INDEX($AN$5:$AN$77, MATCH($A104,_xlfn.ANCHORARRAY( $W$5), 0))
)</f>
        <v>0.85582286557009946</v>
      </c>
      <c r="BT104" s="17" cm="1">
        <f t="array" ref="BT104">MMULT(
    MMULT(
        INDEX($X$5:$AM$77, MATCH(BT$100,_xlfn.ANCHORARRAY( $W$5), 0), 0),
        $F$5:$U$20
    ),
    TRANSPOSE(
        INDEX($X$5:$AM$77, MATCH($A104,_xlfn.ANCHORARRAY( $W$5), 0), 0)
    )
)
/
(
    INDEX($AN$5:$AN$77, MATCH(BT$100,_xlfn.ANCHORARRAY( $W$5), 0))
    *
    INDEX($AN$5:$AN$77, MATCH($A104,_xlfn.ANCHORARRAY( $W$5), 0))
)</f>
        <v>0.8540387803205598</v>
      </c>
      <c r="BU104" s="17" cm="1">
        <f t="array" ref="BU104">MMULT(
    MMULT(
        INDEX($X$5:$AM$77, MATCH(BU$100,_xlfn.ANCHORARRAY( $W$5), 0), 0),
        $F$5:$U$20
    ),
    TRANSPOSE(
        INDEX($X$5:$AM$77, MATCH($A104,_xlfn.ANCHORARRAY( $W$5), 0), 0)
    )
)
/
(
    INDEX($AN$5:$AN$77, MATCH(BU$100,_xlfn.ANCHORARRAY( $W$5), 0))
    *
    INDEX($AN$5:$AN$77, MATCH($A104,_xlfn.ANCHORARRAY( $W$5), 0))
)</f>
        <v>0.63659215526825119</v>
      </c>
      <c r="BV104" s="17" cm="1">
        <f t="array" ref="BV104">MMULT(
    MMULT(
        INDEX($X$5:$AM$77, MATCH(BV$100,_xlfn.ANCHORARRAY( $W$5), 0), 0),
        $F$5:$U$20
    ),
    TRANSPOSE(
        INDEX($X$5:$AM$77, MATCH($A104,_xlfn.ANCHORARRAY( $W$5), 0), 0)
    )
)
/
(
    INDEX($AN$5:$AN$77, MATCH(BV$100,_xlfn.ANCHORARRAY( $W$5), 0))
    *
    INDEX($AN$5:$AN$77, MATCH($A104,_xlfn.ANCHORARRAY( $W$5), 0))
)</f>
        <v>0.7239261873392735</v>
      </c>
    </row>
    <row r="105" spans="1:74" x14ac:dyDescent="0.3">
      <c r="A105" s="7" t="str">
        <v>Sale, Chris</v>
      </c>
      <c r="B105" s="17" cm="1">
        <f t="array" ref="B105">MMULT(
    MMULT(
        INDEX($X$5:$AM$77, MATCH(B$100,_xlfn.ANCHORARRAY( $W$5), 0), 0),
        $F$5:$U$20
    ),
    TRANSPOSE(
        INDEX($X$5:$AM$77, MATCH($A105,_xlfn.ANCHORARRAY( $W$5), 0), 0)
    )
)
/
(
    INDEX($AN$5:$AN$77, MATCH(B$100,_xlfn.ANCHORARRAY( $W$5), 0))
    *
    INDEX($AN$5:$AN$77, MATCH($A105,_xlfn.ANCHORARRAY( $W$5), 0))
)</f>
        <v>0.82006119398020683</v>
      </c>
      <c r="C105" s="17" cm="1">
        <f t="array" ref="C105">MMULT(
    MMULT(
        INDEX($X$5:$AM$77, MATCH(C$100,_xlfn.ANCHORARRAY( $W$5), 0), 0),
        $F$5:$U$20
    ),
    TRANSPOSE(
        INDEX($X$5:$AM$77, MATCH($A105,_xlfn.ANCHORARRAY( $W$5), 0), 0)
    )
)
/
(
    INDEX($AN$5:$AN$77, MATCH(C$100,_xlfn.ANCHORARRAY( $W$5), 0))
    *
    INDEX($AN$5:$AN$77, MATCH($A105,_xlfn.ANCHORARRAY( $W$5), 0))
)</f>
        <v>0.54623750933220372</v>
      </c>
      <c r="D105" s="17" cm="1">
        <f t="array" ref="D105">MMULT(
    MMULT(
        INDEX($X$5:$AM$77, MATCH(D$100,_xlfn.ANCHORARRAY( $W$5), 0), 0),
        $F$5:$U$20
    ),
    TRANSPOSE(
        INDEX($X$5:$AM$77, MATCH($A105,_xlfn.ANCHORARRAY( $W$5), 0), 0)
    )
)
/
(
    INDEX($AN$5:$AN$77, MATCH(D$100,_xlfn.ANCHORARRAY( $W$5), 0))
    *
    INDEX($AN$5:$AN$77, MATCH($A105,_xlfn.ANCHORARRAY( $W$5), 0))
)</f>
        <v>0.95452574896209175</v>
      </c>
      <c r="E105" s="17" cm="1">
        <f t="array" ref="E105">MMULT(
    MMULT(
        INDEX($X$5:$AM$77, MATCH(E$100,_xlfn.ANCHORARRAY( $W$5), 0), 0),
        $F$5:$U$20
    ),
    TRANSPOSE(
        INDEX($X$5:$AM$77, MATCH($A105,_xlfn.ANCHORARRAY( $W$5), 0), 0)
    )
)
/
(
    INDEX($AN$5:$AN$77, MATCH(E$100,_xlfn.ANCHORARRAY( $W$5), 0))
    *
    INDEX($AN$5:$AN$77, MATCH($A105,_xlfn.ANCHORARRAY( $W$5), 0))
)</f>
        <v>0.9078721399865376</v>
      </c>
      <c r="F105" s="17" cm="1">
        <f t="array" ref="F105">MMULT(
    MMULT(
        INDEX($X$5:$AM$77, MATCH(F$100,_xlfn.ANCHORARRAY( $W$5), 0), 0),
        $F$5:$U$20
    ),
    TRANSPOSE(
        INDEX($X$5:$AM$77, MATCH($A105,_xlfn.ANCHORARRAY( $W$5), 0), 0)
    )
)
/
(
    INDEX($AN$5:$AN$77, MATCH(F$100,_xlfn.ANCHORARRAY( $W$5), 0))
    *
    INDEX($AN$5:$AN$77, MATCH($A105,_xlfn.ANCHORARRAY( $W$5), 0))
)</f>
        <v>0.99999999999999989</v>
      </c>
      <c r="G105" s="17" cm="1">
        <f t="array" ref="G105">MMULT(
    MMULT(
        INDEX($X$5:$AM$77, MATCH(G$100,_xlfn.ANCHORARRAY( $W$5), 0), 0),
        $F$5:$U$20
    ),
    TRANSPOSE(
        INDEX($X$5:$AM$77, MATCH($A105,_xlfn.ANCHORARRAY( $W$5), 0), 0)
    )
)
/
(
    INDEX($AN$5:$AN$77, MATCH(G$100,_xlfn.ANCHORARRAY( $W$5), 0))
    *
    INDEX($AN$5:$AN$77, MATCH($A105,_xlfn.ANCHORARRAY( $W$5), 0))
)</f>
        <v>0.64995697983021716</v>
      </c>
      <c r="H105" s="17" cm="1">
        <f t="array" ref="H105">MMULT(
    MMULT(
        INDEX($X$5:$AM$77, MATCH(H$100,_xlfn.ANCHORARRAY( $W$5), 0), 0),
        $F$5:$U$20
    ),
    TRANSPOSE(
        INDEX($X$5:$AM$77, MATCH($A105,_xlfn.ANCHORARRAY( $W$5), 0), 0)
    )
)
/
(
    INDEX($AN$5:$AN$77, MATCH(H$100,_xlfn.ANCHORARRAY( $W$5), 0))
    *
    INDEX($AN$5:$AN$77, MATCH($A105,_xlfn.ANCHORARRAY( $W$5), 0))
)</f>
        <v>0.68364655818295494</v>
      </c>
      <c r="I105" s="17" cm="1">
        <f t="array" ref="I105">MMULT(
    MMULT(
        INDEX($X$5:$AM$77, MATCH(I$100,_xlfn.ANCHORARRAY( $W$5), 0), 0),
        $F$5:$U$20
    ),
    TRANSPOSE(
        INDEX($X$5:$AM$77, MATCH($A105,_xlfn.ANCHORARRAY( $W$5), 0), 0)
    )
)
/
(
    INDEX($AN$5:$AN$77, MATCH(I$100,_xlfn.ANCHORARRAY( $W$5), 0))
    *
    INDEX($AN$5:$AN$77, MATCH($A105,_xlfn.ANCHORARRAY( $W$5), 0))
)</f>
        <v>0.68963076279522506</v>
      </c>
      <c r="J105" s="17" cm="1">
        <f t="array" ref="J105">MMULT(
    MMULT(
        INDEX($X$5:$AM$77, MATCH(J$100,_xlfn.ANCHORARRAY( $W$5), 0), 0),
        $F$5:$U$20
    ),
    TRANSPOSE(
        INDEX($X$5:$AM$77, MATCH($A105,_xlfn.ANCHORARRAY( $W$5), 0), 0)
    )
)
/
(
    INDEX($AN$5:$AN$77, MATCH(J$100,_xlfn.ANCHORARRAY( $W$5), 0))
    *
    INDEX($AN$5:$AN$77, MATCH($A105,_xlfn.ANCHORARRAY( $W$5), 0))
)</f>
        <v>0.86497195220038514</v>
      </c>
      <c r="K105" s="17" cm="1">
        <f t="array" ref="K105">MMULT(
    MMULT(
        INDEX($X$5:$AM$77, MATCH(K$100,_xlfn.ANCHORARRAY( $W$5), 0), 0),
        $F$5:$U$20
    ),
    TRANSPOSE(
        INDEX($X$5:$AM$77, MATCH($A105,_xlfn.ANCHORARRAY( $W$5), 0), 0)
    )
)
/
(
    INDEX($AN$5:$AN$77, MATCH(K$100,_xlfn.ANCHORARRAY( $W$5), 0))
    *
    INDEX($AN$5:$AN$77, MATCH($A105,_xlfn.ANCHORARRAY( $W$5), 0))
)</f>
        <v>0.87674313139036852</v>
      </c>
      <c r="L105" s="17" cm="1">
        <f t="array" ref="L105">MMULT(
    MMULT(
        INDEX($X$5:$AM$77, MATCH(L$100,_xlfn.ANCHORARRAY( $W$5), 0), 0),
        $F$5:$U$20
    ),
    TRANSPOSE(
        INDEX($X$5:$AM$77, MATCH($A105,_xlfn.ANCHORARRAY( $W$5), 0), 0)
    )
)
/
(
    INDEX($AN$5:$AN$77, MATCH(L$100,_xlfn.ANCHORARRAY( $W$5), 0))
    *
    INDEX($AN$5:$AN$77, MATCH($A105,_xlfn.ANCHORARRAY( $W$5), 0))
)</f>
        <v>0.59961134761267132</v>
      </c>
      <c r="M105" s="17" cm="1">
        <f t="array" ref="M105">MMULT(
    MMULT(
        INDEX($X$5:$AM$77, MATCH(M$100,_xlfn.ANCHORARRAY( $W$5), 0), 0),
        $F$5:$U$20
    ),
    TRANSPOSE(
        INDEX($X$5:$AM$77, MATCH($A105,_xlfn.ANCHORARRAY( $W$5), 0), 0)
    )
)
/
(
    INDEX($AN$5:$AN$77, MATCH(M$100,_xlfn.ANCHORARRAY( $W$5), 0))
    *
    INDEX($AN$5:$AN$77, MATCH($A105,_xlfn.ANCHORARRAY( $W$5), 0))
)</f>
        <v>0.83582536030173482</v>
      </c>
      <c r="N105" s="17" cm="1">
        <f t="array" ref="N105">MMULT(
    MMULT(
        INDEX($X$5:$AM$77, MATCH(N$100,_xlfn.ANCHORARRAY( $W$5), 0), 0),
        $F$5:$U$20
    ),
    TRANSPOSE(
        INDEX($X$5:$AM$77, MATCH($A105,_xlfn.ANCHORARRAY( $W$5), 0), 0)
    )
)
/
(
    INDEX($AN$5:$AN$77, MATCH(N$100,_xlfn.ANCHORARRAY( $W$5), 0))
    *
    INDEX($AN$5:$AN$77, MATCH($A105,_xlfn.ANCHORARRAY( $W$5), 0))
)</f>
        <v>0.94737968616615664</v>
      </c>
      <c r="O105" s="17" cm="1">
        <f t="array" ref="O105">MMULT(
    MMULT(
        INDEX($X$5:$AM$77, MATCH(O$100,_xlfn.ANCHORARRAY( $W$5), 0), 0),
        $F$5:$U$20
    ),
    TRANSPOSE(
        INDEX($X$5:$AM$77, MATCH($A105,_xlfn.ANCHORARRAY( $W$5), 0), 0)
    )
)
/
(
    INDEX($AN$5:$AN$77, MATCH(O$100,_xlfn.ANCHORARRAY( $W$5), 0))
    *
    INDEX($AN$5:$AN$77, MATCH($A105,_xlfn.ANCHORARRAY( $W$5), 0))
)</f>
        <v>0.98197792137759932</v>
      </c>
      <c r="P105" s="17" cm="1">
        <f t="array" ref="P105">MMULT(
    MMULT(
        INDEX($X$5:$AM$77, MATCH(P$100,_xlfn.ANCHORARRAY( $W$5), 0), 0),
        $F$5:$U$20
    ),
    TRANSPOSE(
        INDEX($X$5:$AM$77, MATCH($A105,_xlfn.ANCHORARRAY( $W$5), 0), 0)
    )
)
/
(
    INDEX($AN$5:$AN$77, MATCH(P$100,_xlfn.ANCHORARRAY( $W$5), 0))
    *
    INDEX($AN$5:$AN$77, MATCH($A105,_xlfn.ANCHORARRAY( $W$5), 0))
)</f>
        <v>0.92788987898202446</v>
      </c>
      <c r="Q105" s="17" cm="1">
        <f t="array" ref="Q105">MMULT(
    MMULT(
        INDEX($X$5:$AM$77, MATCH(Q$100,_xlfn.ANCHORARRAY( $W$5), 0), 0),
        $F$5:$U$20
    ),
    TRANSPOSE(
        INDEX($X$5:$AM$77, MATCH($A105,_xlfn.ANCHORARRAY( $W$5), 0), 0)
    )
)
/
(
    INDEX($AN$5:$AN$77, MATCH(Q$100,_xlfn.ANCHORARRAY( $W$5), 0))
    *
    INDEX($AN$5:$AN$77, MATCH($A105,_xlfn.ANCHORARRAY( $W$5), 0))
)</f>
        <v>0.59244062047977708</v>
      </c>
      <c r="R105" s="17" cm="1">
        <f t="array" ref="R105">MMULT(
    MMULT(
        INDEX($X$5:$AM$77, MATCH(R$100,_xlfn.ANCHORARRAY( $W$5), 0), 0),
        $F$5:$U$20
    ),
    TRANSPOSE(
        INDEX($X$5:$AM$77, MATCH($A105,_xlfn.ANCHORARRAY( $W$5), 0), 0)
    )
)
/
(
    INDEX($AN$5:$AN$77, MATCH(R$100,_xlfn.ANCHORARRAY( $W$5), 0))
    *
    INDEX($AN$5:$AN$77, MATCH($A105,_xlfn.ANCHORARRAY( $W$5), 0))
)</f>
        <v>0.88589641469334213</v>
      </c>
      <c r="S105" s="17" cm="1">
        <f t="array" ref="S105">MMULT(
    MMULT(
        INDEX($X$5:$AM$77, MATCH(S$100,_xlfn.ANCHORARRAY( $W$5), 0), 0),
        $F$5:$U$20
    ),
    TRANSPOSE(
        INDEX($X$5:$AM$77, MATCH($A105,_xlfn.ANCHORARRAY( $W$5), 0), 0)
    )
)
/
(
    INDEX($AN$5:$AN$77, MATCH(S$100,_xlfn.ANCHORARRAY( $W$5), 0))
    *
    INDEX($AN$5:$AN$77, MATCH($A105,_xlfn.ANCHORARRAY( $W$5), 0))
)</f>
        <v>0.73911063663554455</v>
      </c>
      <c r="T105" s="17" cm="1">
        <f t="array" ref="T105">MMULT(
    MMULT(
        INDEX($X$5:$AM$77, MATCH(T$100,_xlfn.ANCHORARRAY( $W$5), 0), 0),
        $F$5:$U$20
    ),
    TRANSPOSE(
        INDEX($X$5:$AM$77, MATCH($A105,_xlfn.ANCHORARRAY( $W$5), 0), 0)
    )
)
/
(
    INDEX($AN$5:$AN$77, MATCH(T$100,_xlfn.ANCHORARRAY( $W$5), 0))
    *
    INDEX($AN$5:$AN$77, MATCH($A105,_xlfn.ANCHORARRAY( $W$5), 0))
)</f>
        <v>0.24730393635364309</v>
      </c>
      <c r="U105" s="17" cm="1">
        <f t="array" ref="U105">MMULT(
    MMULT(
        INDEX($X$5:$AM$77, MATCH(U$100,_xlfn.ANCHORARRAY( $W$5), 0), 0),
        $F$5:$U$20
    ),
    TRANSPOSE(
        INDEX($X$5:$AM$77, MATCH($A105,_xlfn.ANCHORARRAY( $W$5), 0), 0)
    )
)
/
(
    INDEX($AN$5:$AN$77, MATCH(U$100,_xlfn.ANCHORARRAY( $W$5), 0))
    *
    INDEX($AN$5:$AN$77, MATCH($A105,_xlfn.ANCHORARRAY( $W$5), 0))
)</f>
        <v>0.93401482602932095</v>
      </c>
      <c r="V105" s="17" cm="1">
        <f t="array" ref="V105">MMULT(
    MMULT(
        INDEX($X$5:$AM$77, MATCH(V$100,_xlfn.ANCHORARRAY( $W$5), 0), 0),
        $F$5:$U$20
    ),
    TRANSPOSE(
        INDEX($X$5:$AM$77, MATCH($A105,_xlfn.ANCHORARRAY( $W$5), 0), 0)
    )
)
/
(
    INDEX($AN$5:$AN$77, MATCH(V$100,_xlfn.ANCHORARRAY( $W$5), 0))
    *
    INDEX($AN$5:$AN$77, MATCH($A105,_xlfn.ANCHORARRAY( $W$5), 0))
)</f>
        <v>0.44255300684005283</v>
      </c>
      <c r="W105" s="17" cm="1">
        <f t="array" ref="W105">MMULT(
    MMULT(
        INDEX($X$5:$AM$77, MATCH(W$100,_xlfn.ANCHORARRAY( $W$5), 0), 0),
        $F$5:$U$20
    ),
    TRANSPOSE(
        INDEX($X$5:$AM$77, MATCH($A105,_xlfn.ANCHORARRAY( $W$5), 0), 0)
    )
)
/
(
    INDEX($AN$5:$AN$77, MATCH(W$100,_xlfn.ANCHORARRAY( $W$5), 0))
    *
    INDEX($AN$5:$AN$77, MATCH($A105,_xlfn.ANCHORARRAY( $W$5), 0))
)</f>
        <v>0.711701125907379</v>
      </c>
      <c r="X105" s="17" cm="1">
        <f t="array" ref="X105">MMULT(
    MMULT(
        INDEX($X$5:$AM$77, MATCH(X$100,_xlfn.ANCHORARRAY( $W$5), 0), 0),
        $F$5:$U$20
    ),
    TRANSPOSE(
        INDEX($X$5:$AM$77, MATCH($A105,_xlfn.ANCHORARRAY( $W$5), 0), 0)
    )
)
/
(
    INDEX($AN$5:$AN$77, MATCH(X$100,_xlfn.ANCHORARRAY( $W$5), 0))
    *
    INDEX($AN$5:$AN$77, MATCH($A105,_xlfn.ANCHORARRAY( $W$5), 0))
)</f>
        <v>0.99620431346311566</v>
      </c>
      <c r="Y105" s="17" cm="1">
        <f t="array" ref="Y105">MMULT(
    MMULT(
        INDEX($X$5:$AM$77, MATCH(Y$100,_xlfn.ANCHORARRAY( $W$5), 0), 0),
        $F$5:$U$20
    ),
    TRANSPOSE(
        INDEX($X$5:$AM$77, MATCH($A105,_xlfn.ANCHORARRAY( $W$5), 0), 0)
    )
)
/
(
    INDEX($AN$5:$AN$77, MATCH(Y$100,_xlfn.ANCHORARRAY( $W$5), 0))
    *
    INDEX($AN$5:$AN$77, MATCH($A105,_xlfn.ANCHORARRAY( $W$5), 0))
)</f>
        <v>0.58332245966798246</v>
      </c>
      <c r="Z105" s="17" cm="1">
        <f t="array" ref="Z105">MMULT(
    MMULT(
        INDEX($X$5:$AM$77, MATCH(Z$100,_xlfn.ANCHORARRAY( $W$5), 0), 0),
        $F$5:$U$20
    ),
    TRANSPOSE(
        INDEX($X$5:$AM$77, MATCH($A105,_xlfn.ANCHORARRAY( $W$5), 0), 0)
    )
)
/
(
    INDEX($AN$5:$AN$77, MATCH(Z$100,_xlfn.ANCHORARRAY( $W$5), 0))
    *
    INDEX($AN$5:$AN$77, MATCH($A105,_xlfn.ANCHORARRAY( $W$5), 0))
)</f>
        <v>0.98451963566149292</v>
      </c>
      <c r="AA105" s="17" cm="1">
        <f t="array" ref="AA105">MMULT(
    MMULT(
        INDEX($X$5:$AM$77, MATCH(AA$100,_xlfn.ANCHORARRAY( $W$5), 0), 0),
        $F$5:$U$20
    ),
    TRANSPOSE(
        INDEX($X$5:$AM$77, MATCH($A105,_xlfn.ANCHORARRAY( $W$5), 0), 0)
    )
)
/
(
    INDEX($AN$5:$AN$77, MATCH(AA$100,_xlfn.ANCHORARRAY( $W$5), 0))
    *
    INDEX($AN$5:$AN$77, MATCH($A105,_xlfn.ANCHORARRAY( $W$5), 0))
)</f>
        <v>0.96656700440902665</v>
      </c>
      <c r="AB105" s="17" cm="1">
        <f t="array" ref="AB105">MMULT(
    MMULT(
        INDEX($X$5:$AM$77, MATCH(AB$100,_xlfn.ANCHORARRAY( $W$5), 0), 0),
        $F$5:$U$20
    ),
    TRANSPOSE(
        INDEX($X$5:$AM$77, MATCH($A105,_xlfn.ANCHORARRAY( $W$5), 0), 0)
    )
)
/
(
    INDEX($AN$5:$AN$77, MATCH(AB$100,_xlfn.ANCHORARRAY( $W$5), 0))
    *
    INDEX($AN$5:$AN$77, MATCH($A105,_xlfn.ANCHORARRAY( $W$5), 0))
)</f>
        <v>0.93131611114875457</v>
      </c>
      <c r="AC105" s="17" cm="1">
        <f t="array" ref="AC105">MMULT(
    MMULT(
        INDEX($X$5:$AM$77, MATCH(AC$100,_xlfn.ANCHORARRAY( $W$5), 0), 0),
        $F$5:$U$20
    ),
    TRANSPOSE(
        INDEX($X$5:$AM$77, MATCH($A105,_xlfn.ANCHORARRAY( $W$5), 0), 0)
    )
)
/
(
    INDEX($AN$5:$AN$77, MATCH(AC$100,_xlfn.ANCHORARRAY( $W$5), 0))
    *
    INDEX($AN$5:$AN$77, MATCH($A105,_xlfn.ANCHORARRAY( $W$5), 0))
)</f>
        <v>0.73547135013528242</v>
      </c>
      <c r="AD105" s="17" cm="1">
        <f t="array" ref="AD105">MMULT(
    MMULT(
        INDEX($X$5:$AM$77, MATCH(AD$100,_xlfn.ANCHORARRAY( $W$5), 0), 0),
        $F$5:$U$20
    ),
    TRANSPOSE(
        INDEX($X$5:$AM$77, MATCH($A105,_xlfn.ANCHORARRAY( $W$5), 0), 0)
    )
)
/
(
    INDEX($AN$5:$AN$77, MATCH(AD$100,_xlfn.ANCHORARRAY( $W$5), 0))
    *
    INDEX($AN$5:$AN$77, MATCH($A105,_xlfn.ANCHORARRAY( $W$5), 0))
)</f>
        <v>0.95710121735653597</v>
      </c>
      <c r="AE105" s="17" cm="1">
        <f t="array" ref="AE105">MMULT(
    MMULT(
        INDEX($X$5:$AM$77, MATCH(AE$100,_xlfn.ANCHORARRAY( $W$5), 0), 0),
        $F$5:$U$20
    ),
    TRANSPOSE(
        INDEX($X$5:$AM$77, MATCH($A105,_xlfn.ANCHORARRAY( $W$5), 0), 0)
    )
)
/
(
    INDEX($AN$5:$AN$77, MATCH(AE$100,_xlfn.ANCHORARRAY( $W$5), 0))
    *
    INDEX($AN$5:$AN$77, MATCH($A105,_xlfn.ANCHORARRAY( $W$5), 0))
)</f>
        <v>0.78242501499176353</v>
      </c>
      <c r="AF105" s="17" cm="1">
        <f t="array" ref="AF105">MMULT(
    MMULT(
        INDEX($X$5:$AM$77, MATCH(AF$100,_xlfn.ANCHORARRAY( $W$5), 0), 0),
        $F$5:$U$20
    ),
    TRANSPOSE(
        INDEX($X$5:$AM$77, MATCH($A105,_xlfn.ANCHORARRAY( $W$5), 0), 0)
    )
)
/
(
    INDEX($AN$5:$AN$77, MATCH(AF$100,_xlfn.ANCHORARRAY( $W$5), 0))
    *
    INDEX($AN$5:$AN$77, MATCH($A105,_xlfn.ANCHORARRAY( $W$5), 0))
)</f>
        <v>0.69141556382335279</v>
      </c>
      <c r="AG105" s="17" cm="1">
        <f t="array" ref="AG105">MMULT(
    MMULT(
        INDEX($X$5:$AM$77, MATCH(AG$100,_xlfn.ANCHORARRAY( $W$5), 0), 0),
        $F$5:$U$20
    ),
    TRANSPOSE(
        INDEX($X$5:$AM$77, MATCH($A105,_xlfn.ANCHORARRAY( $W$5), 0), 0)
    )
)
/
(
    INDEX($AN$5:$AN$77, MATCH(AG$100,_xlfn.ANCHORARRAY( $W$5), 0))
    *
    INDEX($AN$5:$AN$77, MATCH($A105,_xlfn.ANCHORARRAY( $W$5), 0))
)</f>
        <v>0.76365033326787768</v>
      </c>
      <c r="AH105" s="17" cm="1">
        <f t="array" ref="AH105">MMULT(
    MMULT(
        INDEX($X$5:$AM$77, MATCH(AH$100,_xlfn.ANCHORARRAY( $W$5), 0), 0),
        $F$5:$U$20
    ),
    TRANSPOSE(
        INDEX($X$5:$AM$77, MATCH($A105,_xlfn.ANCHORARRAY( $W$5), 0), 0)
    )
)
/
(
    INDEX($AN$5:$AN$77, MATCH(AH$100,_xlfn.ANCHORARRAY( $W$5), 0))
    *
    INDEX($AN$5:$AN$77, MATCH($A105,_xlfn.ANCHORARRAY( $W$5), 0))
)</f>
        <v>0.62564446092449044</v>
      </c>
      <c r="AI105" s="17" cm="1">
        <f t="array" ref="AI105">MMULT(
    MMULT(
        INDEX($X$5:$AM$77, MATCH(AI$100,_xlfn.ANCHORARRAY( $W$5), 0), 0),
        $F$5:$U$20
    ),
    TRANSPOSE(
        INDEX($X$5:$AM$77, MATCH($A105,_xlfn.ANCHORARRAY( $W$5), 0), 0)
    )
)
/
(
    INDEX($AN$5:$AN$77, MATCH(AI$100,_xlfn.ANCHORARRAY( $W$5), 0))
    *
    INDEX($AN$5:$AN$77, MATCH($A105,_xlfn.ANCHORARRAY( $W$5), 0))
)</f>
        <v>0.8071145890795095</v>
      </c>
      <c r="AJ105" s="17" cm="1">
        <f t="array" ref="AJ105">MMULT(
    MMULT(
        INDEX($X$5:$AM$77, MATCH(AJ$100,_xlfn.ANCHORARRAY( $W$5), 0), 0),
        $F$5:$U$20
    ),
    TRANSPOSE(
        INDEX($X$5:$AM$77, MATCH($A105,_xlfn.ANCHORARRAY( $W$5), 0), 0)
    )
)
/
(
    INDEX($AN$5:$AN$77, MATCH(AJ$100,_xlfn.ANCHORARRAY( $W$5), 0))
    *
    INDEX($AN$5:$AN$77, MATCH($A105,_xlfn.ANCHORARRAY( $W$5), 0))
)</f>
        <v>0.93841904803435028</v>
      </c>
      <c r="AK105" s="17" cm="1">
        <f t="array" ref="AK105">MMULT(
    MMULT(
        INDEX($X$5:$AM$77, MATCH(AK$100,_xlfn.ANCHORARRAY( $W$5), 0), 0),
        $F$5:$U$20
    ),
    TRANSPOSE(
        INDEX($X$5:$AM$77, MATCH($A105,_xlfn.ANCHORARRAY( $W$5), 0), 0)
    )
)
/
(
    INDEX($AN$5:$AN$77, MATCH(AK$100,_xlfn.ANCHORARRAY( $W$5), 0))
    *
    INDEX($AN$5:$AN$77, MATCH($A105,_xlfn.ANCHORARRAY( $W$5), 0))
)</f>
        <v>0.83784536658272069</v>
      </c>
      <c r="AL105" s="17" cm="1">
        <f t="array" ref="AL105">MMULT(
    MMULT(
        INDEX($X$5:$AM$77, MATCH(AL$100,_xlfn.ANCHORARRAY( $W$5), 0), 0),
        $F$5:$U$20
    ),
    TRANSPOSE(
        INDEX($X$5:$AM$77, MATCH($A105,_xlfn.ANCHORARRAY( $W$5), 0), 0)
    )
)
/
(
    INDEX($AN$5:$AN$77, MATCH(AL$100,_xlfn.ANCHORARRAY( $W$5), 0))
    *
    INDEX($AN$5:$AN$77, MATCH($A105,_xlfn.ANCHORARRAY( $W$5), 0))
)</f>
        <v>0.97541245651567876</v>
      </c>
      <c r="AM105" s="17" cm="1">
        <f t="array" ref="AM105">MMULT(
    MMULT(
        INDEX($X$5:$AM$77, MATCH(AM$100,_xlfn.ANCHORARRAY( $W$5), 0), 0),
        $F$5:$U$20
    ),
    TRANSPOSE(
        INDEX($X$5:$AM$77, MATCH($A105,_xlfn.ANCHORARRAY( $W$5), 0), 0)
    )
)
/
(
    INDEX($AN$5:$AN$77, MATCH(AM$100,_xlfn.ANCHORARRAY( $W$5), 0))
    *
    INDEX($AN$5:$AN$77, MATCH($A105,_xlfn.ANCHORARRAY( $W$5), 0))
)</f>
        <v>0.71515534637702183</v>
      </c>
      <c r="AN105" s="17" cm="1">
        <f t="array" ref="AN105">MMULT(
    MMULT(
        INDEX($X$5:$AM$77, MATCH(AN$100,_xlfn.ANCHORARRAY( $W$5), 0), 0),
        $F$5:$U$20
    ),
    TRANSPOSE(
        INDEX($X$5:$AM$77, MATCH($A105,_xlfn.ANCHORARRAY( $W$5), 0), 0)
    )
)
/
(
    INDEX($AN$5:$AN$77, MATCH(AN$100,_xlfn.ANCHORARRAY( $W$5), 0))
    *
    INDEX($AN$5:$AN$77, MATCH($A105,_xlfn.ANCHORARRAY( $W$5), 0))
)</f>
        <v>0.6888779286982204</v>
      </c>
      <c r="AO105" s="17" cm="1">
        <f t="array" ref="AO105">MMULT(
    MMULT(
        INDEX($X$5:$AM$77, MATCH(AO$100,_xlfn.ANCHORARRAY( $W$5), 0), 0),
        $F$5:$U$20
    ),
    TRANSPOSE(
        INDEX($X$5:$AM$77, MATCH($A105,_xlfn.ANCHORARRAY( $W$5), 0), 0)
    )
)
/
(
    INDEX($AN$5:$AN$77, MATCH(AO$100,_xlfn.ANCHORARRAY( $W$5), 0))
    *
    INDEX($AN$5:$AN$77, MATCH($A105,_xlfn.ANCHORARRAY( $W$5), 0))
)</f>
        <v>0.64791740838462852</v>
      </c>
      <c r="AP105" s="17" cm="1">
        <f t="array" ref="AP105">MMULT(
    MMULT(
        INDEX($X$5:$AM$77, MATCH(AP$100,_xlfn.ANCHORARRAY( $W$5), 0), 0),
        $F$5:$U$20
    ),
    TRANSPOSE(
        INDEX($X$5:$AM$77, MATCH($A105,_xlfn.ANCHORARRAY( $W$5), 0), 0)
    )
)
/
(
    INDEX($AN$5:$AN$77, MATCH(AP$100,_xlfn.ANCHORARRAY( $W$5), 0))
    *
    INDEX($AN$5:$AN$77, MATCH($A105,_xlfn.ANCHORARRAY( $W$5), 0))
)</f>
        <v>0.68625715103519302</v>
      </c>
      <c r="AQ105" s="17" cm="1">
        <f t="array" ref="AQ105">MMULT(
    MMULT(
        INDEX($X$5:$AM$77, MATCH(AQ$100,_xlfn.ANCHORARRAY( $W$5), 0), 0),
        $F$5:$U$20
    ),
    TRANSPOSE(
        INDEX($X$5:$AM$77, MATCH($A105,_xlfn.ANCHORARRAY( $W$5), 0), 0)
    )
)
/
(
    INDEX($AN$5:$AN$77, MATCH(AQ$100,_xlfn.ANCHORARRAY( $W$5), 0))
    *
    INDEX($AN$5:$AN$77, MATCH($A105,_xlfn.ANCHORARRAY( $W$5), 0))
)</f>
        <v>0.61949306056998876</v>
      </c>
      <c r="AR105" s="17" cm="1">
        <f t="array" ref="AR105">MMULT(
    MMULT(
        INDEX($X$5:$AM$77, MATCH(AR$100,_xlfn.ANCHORARRAY( $W$5), 0), 0),
        $F$5:$U$20
    ),
    TRANSPOSE(
        INDEX($X$5:$AM$77, MATCH($A105,_xlfn.ANCHORARRAY( $W$5), 0), 0)
    )
)
/
(
    INDEX($AN$5:$AN$77, MATCH(AR$100,_xlfn.ANCHORARRAY( $W$5), 0))
    *
    INDEX($AN$5:$AN$77, MATCH($A105,_xlfn.ANCHORARRAY( $W$5), 0))
)</f>
        <v>0.91887996495481916</v>
      </c>
      <c r="AS105" s="17" cm="1">
        <f t="array" ref="AS105">MMULT(
    MMULT(
        INDEX($X$5:$AM$77, MATCH(AS$100,_xlfn.ANCHORARRAY( $W$5), 0), 0),
        $F$5:$U$20
    ),
    TRANSPOSE(
        INDEX($X$5:$AM$77, MATCH($A105,_xlfn.ANCHORARRAY( $W$5), 0), 0)
    )
)
/
(
    INDEX($AN$5:$AN$77, MATCH(AS$100,_xlfn.ANCHORARRAY( $W$5), 0))
    *
    INDEX($AN$5:$AN$77, MATCH($A105,_xlfn.ANCHORARRAY( $W$5), 0))
)</f>
        <v>0.96675858945181792</v>
      </c>
      <c r="AT105" s="17" cm="1">
        <f t="array" ref="AT105">MMULT(
    MMULT(
        INDEX($X$5:$AM$77, MATCH(AT$100,_xlfn.ANCHORARRAY( $W$5), 0), 0),
        $F$5:$U$20
    ),
    TRANSPOSE(
        INDEX($X$5:$AM$77, MATCH($A105,_xlfn.ANCHORARRAY( $W$5), 0), 0)
    )
)
/
(
    INDEX($AN$5:$AN$77, MATCH(AT$100,_xlfn.ANCHORARRAY( $W$5), 0))
    *
    INDEX($AN$5:$AN$77, MATCH($A105,_xlfn.ANCHORARRAY( $W$5), 0))
)</f>
        <v>0.71179771716512352</v>
      </c>
      <c r="AU105" s="17" cm="1">
        <f t="array" ref="AU105">MMULT(
    MMULT(
        INDEX($X$5:$AM$77, MATCH(AU$100,_xlfn.ANCHORARRAY( $W$5), 0), 0),
        $F$5:$U$20
    ),
    TRANSPOSE(
        INDEX($X$5:$AM$77, MATCH($A105,_xlfn.ANCHORARRAY( $W$5), 0), 0)
    )
)
/
(
    INDEX($AN$5:$AN$77, MATCH(AU$100,_xlfn.ANCHORARRAY( $W$5), 0))
    *
    INDEX($AN$5:$AN$77, MATCH($A105,_xlfn.ANCHORARRAY( $W$5), 0))
)</f>
        <v>0.99500630731332507</v>
      </c>
      <c r="AV105" s="17" cm="1">
        <f t="array" ref="AV105">MMULT(
    MMULT(
        INDEX($X$5:$AM$77, MATCH(AV$100,_xlfn.ANCHORARRAY( $W$5), 0), 0),
        $F$5:$U$20
    ),
    TRANSPOSE(
        INDEX($X$5:$AM$77, MATCH($A105,_xlfn.ANCHORARRAY( $W$5), 0), 0)
    )
)
/
(
    INDEX($AN$5:$AN$77, MATCH(AV$100,_xlfn.ANCHORARRAY( $W$5), 0))
    *
    INDEX($AN$5:$AN$77, MATCH($A105,_xlfn.ANCHORARRAY( $W$5), 0))
)</f>
        <v>0.98128533905686421</v>
      </c>
      <c r="AW105" s="17" cm="1">
        <f t="array" ref="AW105">MMULT(
    MMULT(
        INDEX($X$5:$AM$77, MATCH(AW$100,_xlfn.ANCHORARRAY( $W$5), 0), 0),
        $F$5:$U$20
    ),
    TRANSPOSE(
        INDEX($X$5:$AM$77, MATCH($A105,_xlfn.ANCHORARRAY( $W$5), 0), 0)
    )
)
/
(
    INDEX($AN$5:$AN$77, MATCH(AW$100,_xlfn.ANCHORARRAY( $W$5), 0))
    *
    INDEX($AN$5:$AN$77, MATCH($A105,_xlfn.ANCHORARRAY( $W$5), 0))
)</f>
        <v>0.78406554393924299</v>
      </c>
      <c r="AX105" s="17" cm="1">
        <f t="array" ref="AX105">MMULT(
    MMULT(
        INDEX($X$5:$AM$77, MATCH(AX$100,_xlfn.ANCHORARRAY( $W$5), 0), 0),
        $F$5:$U$20
    ),
    TRANSPOSE(
        INDEX($X$5:$AM$77, MATCH($A105,_xlfn.ANCHORARRAY( $W$5), 0), 0)
    )
)
/
(
    INDEX($AN$5:$AN$77, MATCH(AX$100,_xlfn.ANCHORARRAY( $W$5), 0))
    *
    INDEX($AN$5:$AN$77, MATCH($A105,_xlfn.ANCHORARRAY( $W$5), 0))
)</f>
        <v>0.4427185927939758</v>
      </c>
      <c r="AY105" s="17" cm="1">
        <f t="array" ref="AY105">MMULT(
    MMULT(
        INDEX($X$5:$AM$77, MATCH(AY$100,_xlfn.ANCHORARRAY( $W$5), 0), 0),
        $F$5:$U$20
    ),
    TRANSPOSE(
        INDEX($X$5:$AM$77, MATCH($A105,_xlfn.ANCHORARRAY( $W$5), 0), 0)
    )
)
/
(
    INDEX($AN$5:$AN$77, MATCH(AY$100,_xlfn.ANCHORARRAY( $W$5), 0))
    *
    INDEX($AN$5:$AN$77, MATCH($A105,_xlfn.ANCHORARRAY( $W$5), 0))
)</f>
        <v>0.62715187779888626</v>
      </c>
      <c r="AZ105" s="17" cm="1">
        <f t="array" ref="AZ105">MMULT(
    MMULT(
        INDEX($X$5:$AM$77, MATCH(AZ$100,_xlfn.ANCHORARRAY( $W$5), 0), 0),
        $F$5:$U$20
    ),
    TRANSPOSE(
        INDEX($X$5:$AM$77, MATCH($A105,_xlfn.ANCHORARRAY( $W$5), 0), 0)
    )
)
/
(
    INDEX($AN$5:$AN$77, MATCH(AZ$100,_xlfn.ANCHORARRAY( $W$5), 0))
    *
    INDEX($AN$5:$AN$77, MATCH($A105,_xlfn.ANCHORARRAY( $W$5), 0))
)</f>
        <v>0.97217724136715378</v>
      </c>
      <c r="BA105" s="17" cm="1">
        <f t="array" ref="BA105">MMULT(
    MMULT(
        INDEX($X$5:$AM$77, MATCH(BA$100,_xlfn.ANCHORARRAY( $W$5), 0), 0),
        $F$5:$U$20
    ),
    TRANSPOSE(
        INDEX($X$5:$AM$77, MATCH($A105,_xlfn.ANCHORARRAY( $W$5), 0), 0)
    )
)
/
(
    INDEX($AN$5:$AN$77, MATCH(BA$100,_xlfn.ANCHORARRAY( $W$5), 0))
    *
    INDEX($AN$5:$AN$77, MATCH($A105,_xlfn.ANCHORARRAY( $W$5), 0))
)</f>
        <v>0.95775372841141915</v>
      </c>
      <c r="BB105" s="17" cm="1">
        <f t="array" ref="BB105">MMULT(
    MMULT(
        INDEX($X$5:$AM$77, MATCH(BB$100,_xlfn.ANCHORARRAY( $W$5), 0), 0),
        $F$5:$U$20
    ),
    TRANSPOSE(
        INDEX($X$5:$AM$77, MATCH($A105,_xlfn.ANCHORARRAY( $W$5), 0), 0)
    )
)
/
(
    INDEX($AN$5:$AN$77, MATCH(BB$100,_xlfn.ANCHORARRAY( $W$5), 0))
    *
    INDEX($AN$5:$AN$77, MATCH($A105,_xlfn.ANCHORARRAY( $W$5), 0))
)</f>
        <v>0.80554587209382267</v>
      </c>
      <c r="BC105" s="17" cm="1">
        <f t="array" ref="BC105">MMULT(
    MMULT(
        INDEX($X$5:$AM$77, MATCH(BC$100,_xlfn.ANCHORARRAY( $W$5), 0), 0),
        $F$5:$U$20
    ),
    TRANSPOSE(
        INDEX($X$5:$AM$77, MATCH($A105,_xlfn.ANCHORARRAY( $W$5), 0), 0)
    )
)
/
(
    INDEX($AN$5:$AN$77, MATCH(BC$100,_xlfn.ANCHORARRAY( $W$5), 0))
    *
    INDEX($AN$5:$AN$77, MATCH($A105,_xlfn.ANCHORARRAY( $W$5), 0))
)</f>
        <v>0.78777118866482032</v>
      </c>
      <c r="BD105" s="17" cm="1">
        <f t="array" ref="BD105">MMULT(
    MMULT(
        INDEX($X$5:$AM$77, MATCH(BD$100,_xlfn.ANCHORARRAY( $W$5), 0), 0),
        $F$5:$U$20
    ),
    TRANSPOSE(
        INDEX($X$5:$AM$77, MATCH($A105,_xlfn.ANCHORARRAY( $W$5), 0), 0)
    )
)
/
(
    INDEX($AN$5:$AN$77, MATCH(BD$100,_xlfn.ANCHORARRAY( $W$5), 0))
    *
    INDEX($AN$5:$AN$77, MATCH($A105,_xlfn.ANCHORARRAY( $W$5), 0))
)</f>
        <v>0.48395185040862526</v>
      </c>
      <c r="BE105" s="17" cm="1">
        <f t="array" ref="BE105">MMULT(
    MMULT(
        INDEX($X$5:$AM$77, MATCH(BE$100,_xlfn.ANCHORARRAY( $W$5), 0), 0),
        $F$5:$U$20
    ),
    TRANSPOSE(
        INDEX($X$5:$AM$77, MATCH($A105,_xlfn.ANCHORARRAY( $W$5), 0), 0)
    )
)
/
(
    INDEX($AN$5:$AN$77, MATCH(BE$100,_xlfn.ANCHORARRAY( $W$5), 0))
    *
    INDEX($AN$5:$AN$77, MATCH($A105,_xlfn.ANCHORARRAY( $W$5), 0))
)</f>
        <v>0.73286295863064976</v>
      </c>
      <c r="BF105" s="17" cm="1">
        <f t="array" ref="BF105">MMULT(
    MMULT(
        INDEX($X$5:$AM$77, MATCH(BF$100,_xlfn.ANCHORARRAY( $W$5), 0), 0),
        $F$5:$U$20
    ),
    TRANSPOSE(
        INDEX($X$5:$AM$77, MATCH($A105,_xlfn.ANCHORARRAY( $W$5), 0), 0)
    )
)
/
(
    INDEX($AN$5:$AN$77, MATCH(BF$100,_xlfn.ANCHORARRAY( $W$5), 0))
    *
    INDEX($AN$5:$AN$77, MATCH($A105,_xlfn.ANCHORARRAY( $W$5), 0))
)</f>
        <v>0.81786811181161467</v>
      </c>
      <c r="BG105" s="17" cm="1">
        <f t="array" ref="BG105">MMULT(
    MMULT(
        INDEX($X$5:$AM$77, MATCH(BG$100,_xlfn.ANCHORARRAY( $W$5), 0), 0),
        $F$5:$U$20
    ),
    TRANSPOSE(
        INDEX($X$5:$AM$77, MATCH($A105,_xlfn.ANCHORARRAY( $W$5), 0), 0)
    )
)
/
(
    INDEX($AN$5:$AN$77, MATCH(BG$100,_xlfn.ANCHORARRAY( $W$5), 0))
    *
    INDEX($AN$5:$AN$77, MATCH($A105,_xlfn.ANCHORARRAY( $W$5), 0))
)</f>
        <v>0.93147894025029554</v>
      </c>
      <c r="BH105" s="17" cm="1">
        <f t="array" ref="BH105">MMULT(
    MMULT(
        INDEX($X$5:$AM$77, MATCH(BH$100,_xlfn.ANCHORARRAY( $W$5), 0), 0),
        $F$5:$U$20
    ),
    TRANSPOSE(
        INDEX($X$5:$AM$77, MATCH($A105,_xlfn.ANCHORARRAY( $W$5), 0), 0)
    )
)
/
(
    INDEX($AN$5:$AN$77, MATCH(BH$100,_xlfn.ANCHORARRAY( $W$5), 0))
    *
    INDEX($AN$5:$AN$77, MATCH($A105,_xlfn.ANCHORARRAY( $W$5), 0))
)</f>
        <v>0.64373637221238145</v>
      </c>
      <c r="BI105" s="17" cm="1">
        <f t="array" ref="BI105">MMULT(
    MMULT(
        INDEX($X$5:$AM$77, MATCH(BI$100,_xlfn.ANCHORARRAY( $W$5), 0), 0),
        $F$5:$U$20
    ),
    TRANSPOSE(
        INDEX($X$5:$AM$77, MATCH($A105,_xlfn.ANCHORARRAY( $W$5), 0), 0)
    )
)
/
(
    INDEX($AN$5:$AN$77, MATCH(BI$100,_xlfn.ANCHORARRAY( $W$5), 0))
    *
    INDEX($AN$5:$AN$77, MATCH($A105,_xlfn.ANCHORARRAY( $W$5), 0))
)</f>
        <v>0.64289358025925236</v>
      </c>
      <c r="BJ105" s="17" cm="1">
        <f t="array" ref="BJ105">MMULT(
    MMULT(
        INDEX($X$5:$AM$77, MATCH(BJ$100,_xlfn.ANCHORARRAY( $W$5), 0), 0),
        $F$5:$U$20
    ),
    TRANSPOSE(
        INDEX($X$5:$AM$77, MATCH($A105,_xlfn.ANCHORARRAY( $W$5), 0), 0)
    )
)
/
(
    INDEX($AN$5:$AN$77, MATCH(BJ$100,_xlfn.ANCHORARRAY( $W$5), 0))
    *
    INDEX($AN$5:$AN$77, MATCH($A105,_xlfn.ANCHORARRAY( $W$5), 0))
)</f>
        <v>0.80709103426985163</v>
      </c>
      <c r="BK105" s="17" cm="1">
        <f t="array" ref="BK105">MMULT(
    MMULT(
        INDEX($X$5:$AM$77, MATCH(BK$100,_xlfn.ANCHORARRAY( $W$5), 0), 0),
        $F$5:$U$20
    ),
    TRANSPOSE(
        INDEX($X$5:$AM$77, MATCH($A105,_xlfn.ANCHORARRAY( $W$5), 0), 0)
    )
)
/
(
    INDEX($AN$5:$AN$77, MATCH(BK$100,_xlfn.ANCHORARRAY( $W$5), 0))
    *
    INDEX($AN$5:$AN$77, MATCH($A105,_xlfn.ANCHORARRAY( $W$5), 0))
)</f>
        <v>0.50290126349229214</v>
      </c>
      <c r="BL105" s="17" cm="1">
        <f t="array" ref="BL105">MMULT(
    MMULT(
        INDEX($X$5:$AM$77, MATCH(BL$100,_xlfn.ANCHORARRAY( $W$5), 0), 0),
        $F$5:$U$20
    ),
    TRANSPOSE(
        INDEX($X$5:$AM$77, MATCH($A105,_xlfn.ANCHORARRAY( $W$5), 0), 0)
    )
)
/
(
    INDEX($AN$5:$AN$77, MATCH(BL$100,_xlfn.ANCHORARRAY( $W$5), 0))
    *
    INDEX($AN$5:$AN$77, MATCH($A105,_xlfn.ANCHORARRAY( $W$5), 0))
)</f>
        <v>0.79920524007607008</v>
      </c>
      <c r="BM105" s="17" cm="1">
        <f t="array" ref="BM105">MMULT(
    MMULT(
        INDEX($X$5:$AM$77, MATCH(BM$100,_xlfn.ANCHORARRAY( $W$5), 0), 0),
        $F$5:$U$20
    ),
    TRANSPOSE(
        INDEX($X$5:$AM$77, MATCH($A105,_xlfn.ANCHORARRAY( $W$5), 0), 0)
    )
)
/
(
    INDEX($AN$5:$AN$77, MATCH(BM$100,_xlfn.ANCHORARRAY( $W$5), 0))
    *
    INDEX($AN$5:$AN$77, MATCH($A105,_xlfn.ANCHORARRAY( $W$5), 0))
)</f>
        <v>0.79341723229602823</v>
      </c>
      <c r="BN105" s="17" cm="1">
        <f t="array" ref="BN105">MMULT(
    MMULT(
        INDEX($X$5:$AM$77, MATCH(BN$100,_xlfn.ANCHORARRAY( $W$5), 0), 0),
        $F$5:$U$20
    ),
    TRANSPOSE(
        INDEX($X$5:$AM$77, MATCH($A105,_xlfn.ANCHORARRAY( $W$5), 0), 0)
    )
)
/
(
    INDEX($AN$5:$AN$77, MATCH(BN$100,_xlfn.ANCHORARRAY( $W$5), 0))
    *
    INDEX($AN$5:$AN$77, MATCH($A105,_xlfn.ANCHORARRAY( $W$5), 0))
)</f>
        <v>0.69231166285857981</v>
      </c>
      <c r="BO105" s="17" cm="1">
        <f t="array" ref="BO105">MMULT(
    MMULT(
        INDEX($X$5:$AM$77, MATCH(BO$100,_xlfn.ANCHORARRAY( $W$5), 0), 0),
        $F$5:$U$20
    ),
    TRANSPOSE(
        INDEX($X$5:$AM$77, MATCH($A105,_xlfn.ANCHORARRAY( $W$5), 0), 0)
    )
)
/
(
    INDEX($AN$5:$AN$77, MATCH(BO$100,_xlfn.ANCHORARRAY( $W$5), 0))
    *
    INDEX($AN$5:$AN$77, MATCH($A105,_xlfn.ANCHORARRAY( $W$5), 0))
)</f>
        <v>0.901261427369493</v>
      </c>
      <c r="BP105" s="17" cm="1">
        <f t="array" ref="BP105">MMULT(
    MMULT(
        INDEX($X$5:$AM$77, MATCH(BP$100,_xlfn.ANCHORARRAY( $W$5), 0), 0),
        $F$5:$U$20
    ),
    TRANSPOSE(
        INDEX($X$5:$AM$77, MATCH($A105,_xlfn.ANCHORARRAY( $W$5), 0), 0)
    )
)
/
(
    INDEX($AN$5:$AN$77, MATCH(BP$100,_xlfn.ANCHORARRAY( $W$5), 0))
    *
    INDEX($AN$5:$AN$77, MATCH($A105,_xlfn.ANCHORARRAY( $W$5), 0))
)</f>
        <v>0.82754485063820893</v>
      </c>
      <c r="BQ105" s="17" cm="1">
        <f t="array" ref="BQ105">MMULT(
    MMULT(
        INDEX($X$5:$AM$77, MATCH(BQ$100,_xlfn.ANCHORARRAY( $W$5), 0), 0),
        $F$5:$U$20
    ),
    TRANSPOSE(
        INDEX($X$5:$AM$77, MATCH($A105,_xlfn.ANCHORARRAY( $W$5), 0), 0)
    )
)
/
(
    INDEX($AN$5:$AN$77, MATCH(BQ$100,_xlfn.ANCHORARRAY( $W$5), 0))
    *
    INDEX($AN$5:$AN$77, MATCH($A105,_xlfn.ANCHORARRAY( $W$5), 0))
)</f>
        <v>0.68534248957029809</v>
      </c>
      <c r="BR105" s="17" cm="1">
        <f t="array" ref="BR105">MMULT(
    MMULT(
        INDEX($X$5:$AM$77, MATCH(BR$100,_xlfn.ANCHORARRAY( $W$5), 0), 0),
        $F$5:$U$20
    ),
    TRANSPOSE(
        INDEX($X$5:$AM$77, MATCH($A105,_xlfn.ANCHORARRAY( $W$5), 0), 0)
    )
)
/
(
    INDEX($AN$5:$AN$77, MATCH(BR$100,_xlfn.ANCHORARRAY( $W$5), 0))
    *
    INDEX($AN$5:$AN$77, MATCH($A105,_xlfn.ANCHORARRAY( $W$5), 0))
)</f>
        <v>0.84273614069659841</v>
      </c>
      <c r="BS105" s="17" cm="1">
        <f t="array" ref="BS105">MMULT(
    MMULT(
        INDEX($X$5:$AM$77, MATCH(BS$100,_xlfn.ANCHORARRAY( $W$5), 0), 0),
        $F$5:$U$20
    ),
    TRANSPOSE(
        INDEX($X$5:$AM$77, MATCH($A105,_xlfn.ANCHORARRAY( $W$5), 0), 0)
    )
)
/
(
    INDEX($AN$5:$AN$77, MATCH(BS$100,_xlfn.ANCHORARRAY( $W$5), 0))
    *
    INDEX($AN$5:$AN$77, MATCH($A105,_xlfn.ANCHORARRAY( $W$5), 0))
)</f>
        <v>0.97300098634179499</v>
      </c>
      <c r="BT105" s="17" cm="1">
        <f t="array" ref="BT105">MMULT(
    MMULT(
        INDEX($X$5:$AM$77, MATCH(BT$100,_xlfn.ANCHORARRAY( $W$5), 0), 0),
        $F$5:$U$20
    ),
    TRANSPOSE(
        INDEX($X$5:$AM$77, MATCH($A105,_xlfn.ANCHORARRAY( $W$5), 0), 0)
    )
)
/
(
    INDEX($AN$5:$AN$77, MATCH(BT$100,_xlfn.ANCHORARRAY( $W$5), 0))
    *
    INDEX($AN$5:$AN$77, MATCH($A105,_xlfn.ANCHORARRAY( $W$5), 0))
)</f>
        <v>0.88496332639904074</v>
      </c>
      <c r="BU105" s="17" cm="1">
        <f t="array" ref="BU105">MMULT(
    MMULT(
        INDEX($X$5:$AM$77, MATCH(BU$100,_xlfn.ANCHORARRAY( $W$5), 0), 0),
        $F$5:$U$20
    ),
    TRANSPOSE(
        INDEX($X$5:$AM$77, MATCH($A105,_xlfn.ANCHORARRAY( $W$5), 0), 0)
    )
)
/
(
    INDEX($AN$5:$AN$77, MATCH(BU$100,_xlfn.ANCHORARRAY( $W$5), 0))
    *
    INDEX($AN$5:$AN$77, MATCH($A105,_xlfn.ANCHORARRAY( $W$5), 0))
)</f>
        <v>0.66098040645570322</v>
      </c>
      <c r="BV105" s="17" cm="1">
        <f t="array" ref="BV105">MMULT(
    MMULT(
        INDEX($X$5:$AM$77, MATCH(BV$100,_xlfn.ANCHORARRAY( $W$5), 0), 0),
        $F$5:$U$20
    ),
    TRANSPOSE(
        INDEX($X$5:$AM$77, MATCH($A105,_xlfn.ANCHORARRAY( $W$5), 0), 0)
    )
)
/
(
    INDEX($AN$5:$AN$77, MATCH(BV$100,_xlfn.ANCHORARRAY( $W$5), 0))
    *
    INDEX($AN$5:$AN$77, MATCH($A105,_xlfn.ANCHORARRAY( $W$5), 0))
)</f>
        <v>0.75728094242076538</v>
      </c>
    </row>
    <row r="106" spans="1:74" x14ac:dyDescent="0.3">
      <c r="A106" s="7" t="str">
        <v>Anderson, Ian</v>
      </c>
      <c r="B106" s="17" cm="1">
        <f t="array" ref="B106">MMULT(
    MMULT(
        INDEX($X$5:$AM$77, MATCH(B$100,_xlfn.ANCHORARRAY( $W$5), 0), 0),
        $F$5:$U$20
    ),
    TRANSPOSE(
        INDEX($X$5:$AM$77, MATCH($A106,_xlfn.ANCHORARRAY( $W$5), 0), 0)
    )
)
/
(
    INDEX($AN$5:$AN$77, MATCH(B$100,_xlfn.ANCHORARRAY( $W$5), 0))
    *
    INDEX($AN$5:$AN$77, MATCH($A106,_xlfn.ANCHORARRAY( $W$5), 0))
)</f>
        <v>0.87426669568967597</v>
      </c>
      <c r="C106" s="17" cm="1">
        <f t="array" ref="C106">MMULT(
    MMULT(
        INDEX($X$5:$AM$77, MATCH(C$100,_xlfn.ANCHORARRAY( $W$5), 0), 0),
        $F$5:$U$20
    ),
    TRANSPOSE(
        INDEX($X$5:$AM$77, MATCH($A106,_xlfn.ANCHORARRAY( $W$5), 0), 0)
    )
)
/
(
    INDEX($AN$5:$AN$77, MATCH(C$100,_xlfn.ANCHORARRAY( $W$5), 0))
    *
    INDEX($AN$5:$AN$77, MATCH($A106,_xlfn.ANCHORARRAY( $W$5), 0))
)</f>
        <v>0.85493935470465021</v>
      </c>
      <c r="D106" s="17" cm="1">
        <f t="array" ref="D106">MMULT(
    MMULT(
        INDEX($X$5:$AM$77, MATCH(D$100,_xlfn.ANCHORARRAY( $W$5), 0), 0),
        $F$5:$U$20
    ),
    TRANSPOSE(
        INDEX($X$5:$AM$77, MATCH($A106,_xlfn.ANCHORARRAY( $W$5), 0), 0)
    )
)
/
(
    INDEX($AN$5:$AN$77, MATCH(D$100,_xlfn.ANCHORARRAY( $W$5), 0))
    *
    INDEX($AN$5:$AN$77, MATCH($A106,_xlfn.ANCHORARRAY( $W$5), 0))
)</f>
        <v>0.74667564366366246</v>
      </c>
      <c r="E106" s="17" cm="1">
        <f t="array" ref="E106">MMULT(
    MMULT(
        INDEX($X$5:$AM$77, MATCH(E$100,_xlfn.ANCHORARRAY( $W$5), 0), 0),
        $F$5:$U$20
    ),
    TRANSPOSE(
        INDEX($X$5:$AM$77, MATCH($A106,_xlfn.ANCHORARRAY( $W$5), 0), 0)
    )
)
/
(
    INDEX($AN$5:$AN$77, MATCH(E$100,_xlfn.ANCHORARRAY( $W$5), 0))
    *
    INDEX($AN$5:$AN$77, MATCH($A106,_xlfn.ANCHORARRAY( $W$5), 0))
)</f>
        <v>0.63742809555497515</v>
      </c>
      <c r="F106" s="17" cm="1">
        <f t="array" ref="F106">MMULT(
    MMULT(
        INDEX($X$5:$AM$77, MATCH(F$100,_xlfn.ANCHORARRAY( $W$5), 0), 0),
        $F$5:$U$20
    ),
    TRANSPOSE(
        INDEX($X$5:$AM$77, MATCH($A106,_xlfn.ANCHORARRAY( $W$5), 0), 0)
    )
)
/
(
    INDEX($AN$5:$AN$77, MATCH(F$100,_xlfn.ANCHORARRAY( $W$5), 0))
    *
    INDEX($AN$5:$AN$77, MATCH($A106,_xlfn.ANCHORARRAY( $W$5), 0))
)</f>
        <v>0.64995697983021727</v>
      </c>
      <c r="G106" s="17" cm="1">
        <f t="array" ref="G106">MMULT(
    MMULT(
        INDEX($X$5:$AM$77, MATCH(G$100,_xlfn.ANCHORARRAY( $W$5), 0), 0),
        $F$5:$U$20
    ),
    TRANSPOSE(
        INDEX($X$5:$AM$77, MATCH($A106,_xlfn.ANCHORARRAY( $W$5), 0), 0)
    )
)
/
(
    INDEX($AN$5:$AN$77, MATCH(G$100,_xlfn.ANCHORARRAY( $W$5), 0))
    *
    INDEX($AN$5:$AN$77, MATCH($A106,_xlfn.ANCHORARRAY( $W$5), 0))
)</f>
        <v>0.99999999999999989</v>
      </c>
      <c r="H106" s="17" cm="1">
        <f t="array" ref="H106">MMULT(
    MMULT(
        INDEX($X$5:$AM$77, MATCH(H$100,_xlfn.ANCHORARRAY( $W$5), 0), 0),
        $F$5:$U$20
    ),
    TRANSPOSE(
        INDEX($X$5:$AM$77, MATCH($A106,_xlfn.ANCHORARRAY( $W$5), 0), 0)
    )
)
/
(
    INDEX($AN$5:$AN$77, MATCH(H$100,_xlfn.ANCHORARRAY( $W$5), 0))
    *
    INDEX($AN$5:$AN$77, MATCH($A106,_xlfn.ANCHORARRAY( $W$5), 0))
)</f>
        <v>0.82599518933228799</v>
      </c>
      <c r="I106" s="17" cm="1">
        <f t="array" ref="I106">MMULT(
    MMULT(
        INDEX($X$5:$AM$77, MATCH(I$100,_xlfn.ANCHORARRAY( $W$5), 0), 0),
        $F$5:$U$20
    ),
    TRANSPOSE(
        INDEX($X$5:$AM$77, MATCH($A106,_xlfn.ANCHORARRAY( $W$5), 0), 0)
    )
)
/
(
    INDEX($AN$5:$AN$77, MATCH(I$100,_xlfn.ANCHORARRAY( $W$5), 0))
    *
    INDEX($AN$5:$AN$77, MATCH($A106,_xlfn.ANCHORARRAY( $W$5), 0))
)</f>
        <v>0.80194770535051396</v>
      </c>
      <c r="J106" s="17" cm="1">
        <f t="array" ref="J106">MMULT(
    MMULT(
        INDEX($X$5:$AM$77, MATCH(J$100,_xlfn.ANCHORARRAY( $W$5), 0), 0),
        $F$5:$U$20
    ),
    TRANSPOSE(
        INDEX($X$5:$AM$77, MATCH($A106,_xlfn.ANCHORARRAY( $W$5), 0), 0)
    )
)
/
(
    INDEX($AN$5:$AN$77, MATCH(J$100,_xlfn.ANCHORARRAY( $W$5), 0))
    *
    INDEX($AN$5:$AN$77, MATCH($A106,_xlfn.ANCHORARRAY( $W$5), 0))
)</f>
        <v>0.82956464208482217</v>
      </c>
      <c r="K106" s="17" cm="1">
        <f t="array" ref="K106">MMULT(
    MMULT(
        INDEX($X$5:$AM$77, MATCH(K$100,_xlfn.ANCHORARRAY( $W$5), 0), 0),
        $F$5:$U$20
    ),
    TRANSPOSE(
        INDEX($X$5:$AM$77, MATCH($A106,_xlfn.ANCHORARRAY( $W$5), 0), 0)
    )
)
/
(
    INDEX($AN$5:$AN$77, MATCH(K$100,_xlfn.ANCHORARRAY( $W$5), 0))
    *
    INDEX($AN$5:$AN$77, MATCH($A106,_xlfn.ANCHORARRAY( $W$5), 0))
)</f>
        <v>0.72536988019228588</v>
      </c>
      <c r="L106" s="17" cm="1">
        <f t="array" ref="L106">MMULT(
    MMULT(
        INDEX($X$5:$AM$77, MATCH(L$100,_xlfn.ANCHORARRAY( $W$5), 0), 0),
        $F$5:$U$20
    ),
    TRANSPOSE(
        INDEX($X$5:$AM$77, MATCH($A106,_xlfn.ANCHORARRAY( $W$5), 0), 0)
    )
)
/
(
    INDEX($AN$5:$AN$77, MATCH(L$100,_xlfn.ANCHORARRAY( $W$5), 0))
    *
    INDEX($AN$5:$AN$77, MATCH($A106,_xlfn.ANCHORARRAY( $W$5), 0))
)</f>
        <v>0.69636701069464713</v>
      </c>
      <c r="M106" s="17" cm="1">
        <f t="array" ref="M106">MMULT(
    MMULT(
        INDEX($X$5:$AM$77, MATCH(M$100,_xlfn.ANCHORARRAY( $W$5), 0), 0),
        $F$5:$U$20
    ),
    TRANSPOSE(
        INDEX($X$5:$AM$77, MATCH($A106,_xlfn.ANCHORARRAY( $W$5), 0), 0)
    )
)
/
(
    INDEX($AN$5:$AN$77, MATCH(M$100,_xlfn.ANCHORARRAY( $W$5), 0))
    *
    INDEX($AN$5:$AN$77, MATCH($A106,_xlfn.ANCHORARRAY( $W$5), 0))
)</f>
        <v>0.89531237454801216</v>
      </c>
      <c r="N106" s="17" cm="1">
        <f t="array" ref="N106">MMULT(
    MMULT(
        INDEX($X$5:$AM$77, MATCH(N$100,_xlfn.ANCHORARRAY( $W$5), 0), 0),
        $F$5:$U$20
    ),
    TRANSPOSE(
        INDEX($X$5:$AM$77, MATCH($A106,_xlfn.ANCHORARRAY( $W$5), 0), 0)
    )
)
/
(
    INDEX($AN$5:$AN$77, MATCH(N$100,_xlfn.ANCHORARRAY( $W$5), 0))
    *
    INDEX($AN$5:$AN$77, MATCH($A106,_xlfn.ANCHORARRAY( $W$5), 0))
)</f>
        <v>0.51932179291937497</v>
      </c>
      <c r="O106" s="17" cm="1">
        <f t="array" ref="O106">MMULT(
    MMULT(
        INDEX($X$5:$AM$77, MATCH(O$100,_xlfn.ANCHORARRAY( $W$5), 0), 0),
        $F$5:$U$20
    ),
    TRANSPOSE(
        INDEX($X$5:$AM$77, MATCH($A106,_xlfn.ANCHORARRAY( $W$5), 0), 0)
    )
)
/
(
    INDEX($AN$5:$AN$77, MATCH(O$100,_xlfn.ANCHORARRAY( $W$5), 0))
    *
    INDEX($AN$5:$AN$77, MATCH($A106,_xlfn.ANCHORARRAY( $W$5), 0))
)</f>
        <v>0.54165913725250658</v>
      </c>
      <c r="P106" s="17" cm="1">
        <f t="array" ref="P106">MMULT(
    MMULT(
        INDEX($X$5:$AM$77, MATCH(P$100,_xlfn.ANCHORARRAY( $W$5), 0), 0),
        $F$5:$U$20
    ),
    TRANSPOSE(
        INDEX($X$5:$AM$77, MATCH($A106,_xlfn.ANCHORARRAY( $W$5), 0), 0)
    )
)
/
(
    INDEX($AN$5:$AN$77, MATCH(P$100,_xlfn.ANCHORARRAY( $W$5), 0))
    *
    INDEX($AN$5:$AN$77, MATCH($A106,_xlfn.ANCHORARRAY( $W$5), 0))
)</f>
        <v>0.68747150049546413</v>
      </c>
      <c r="Q106" s="17" cm="1">
        <f t="array" ref="Q106">MMULT(
    MMULT(
        INDEX($X$5:$AM$77, MATCH(Q$100,_xlfn.ANCHORARRAY( $W$5), 0), 0),
        $F$5:$U$20
    ),
    TRANSPOSE(
        INDEX($X$5:$AM$77, MATCH($A106,_xlfn.ANCHORARRAY( $W$5), 0), 0)
    )
)
/
(
    INDEX($AN$5:$AN$77, MATCH(Q$100,_xlfn.ANCHORARRAY( $W$5), 0))
    *
    INDEX($AN$5:$AN$77, MATCH($A106,_xlfn.ANCHORARRAY( $W$5), 0))
)</f>
        <v>0.78078718573974482</v>
      </c>
      <c r="R106" s="17" cm="1">
        <f t="array" ref="R106">MMULT(
    MMULT(
        INDEX($X$5:$AM$77, MATCH(R$100,_xlfn.ANCHORARRAY( $W$5), 0), 0),
        $F$5:$U$20
    ),
    TRANSPOSE(
        INDEX($X$5:$AM$77, MATCH($A106,_xlfn.ANCHORARRAY( $W$5), 0), 0)
    )
)
/
(
    INDEX($AN$5:$AN$77, MATCH(R$100,_xlfn.ANCHORARRAY( $W$5), 0))
    *
    INDEX($AN$5:$AN$77, MATCH($A106,_xlfn.ANCHORARRAY( $W$5), 0))
)</f>
        <v>0.75396254092379167</v>
      </c>
      <c r="S106" s="17" cm="1">
        <f t="array" ref="S106">MMULT(
    MMULT(
        INDEX($X$5:$AM$77, MATCH(S$100,_xlfn.ANCHORARRAY( $W$5), 0), 0),
        $F$5:$U$20
    ),
    TRANSPOSE(
        INDEX($X$5:$AM$77, MATCH($A106,_xlfn.ANCHORARRAY( $W$5), 0), 0)
    )
)
/
(
    INDEX($AN$5:$AN$77, MATCH(S$100,_xlfn.ANCHORARRAY( $W$5), 0))
    *
    INDEX($AN$5:$AN$77, MATCH($A106,_xlfn.ANCHORARRAY( $W$5), 0))
)</f>
        <v>0.88259512780761973</v>
      </c>
      <c r="T106" s="17" cm="1">
        <f t="array" ref="T106">MMULT(
    MMULT(
        INDEX($X$5:$AM$77, MATCH(T$100,_xlfn.ANCHORARRAY( $W$5), 0), 0),
        $F$5:$U$20
    ),
    TRANSPOSE(
        INDEX($X$5:$AM$77, MATCH($A106,_xlfn.ANCHORARRAY( $W$5), 0), 0)
    )
)
/
(
    INDEX($AN$5:$AN$77, MATCH(T$100,_xlfn.ANCHORARRAY( $W$5), 0))
    *
    INDEX($AN$5:$AN$77, MATCH($A106,_xlfn.ANCHORARRAY( $W$5), 0))
)</f>
        <v>0.57054692777729277</v>
      </c>
      <c r="U106" s="17" cm="1">
        <f t="array" ref="U106">MMULT(
    MMULT(
        INDEX($X$5:$AM$77, MATCH(U$100,_xlfn.ANCHORARRAY( $W$5), 0), 0),
        $F$5:$U$20
    ),
    TRANSPOSE(
        INDEX($X$5:$AM$77, MATCH($A106,_xlfn.ANCHORARRAY( $W$5), 0), 0)
    )
)
/
(
    INDEX($AN$5:$AN$77, MATCH(U$100,_xlfn.ANCHORARRAY( $W$5), 0))
    *
    INDEX($AN$5:$AN$77, MATCH($A106,_xlfn.ANCHORARRAY( $W$5), 0))
)</f>
        <v>0.7728956056970544</v>
      </c>
      <c r="V106" s="17" cm="1">
        <f t="array" ref="V106">MMULT(
    MMULT(
        INDEX($X$5:$AM$77, MATCH(V$100,_xlfn.ANCHORARRAY( $W$5), 0), 0),
        $F$5:$U$20
    ),
    TRANSPOSE(
        INDEX($X$5:$AM$77, MATCH($A106,_xlfn.ANCHORARRAY( $W$5), 0), 0)
    )
)
/
(
    INDEX($AN$5:$AN$77, MATCH(V$100,_xlfn.ANCHORARRAY( $W$5), 0))
    *
    INDEX($AN$5:$AN$77, MATCH($A106,_xlfn.ANCHORARRAY( $W$5), 0))
)</f>
        <v>0.59707806104920036</v>
      </c>
      <c r="W106" s="17" cm="1">
        <f t="array" ref="W106">MMULT(
    MMULT(
        INDEX($X$5:$AM$77, MATCH(W$100,_xlfn.ANCHORARRAY( $W$5), 0), 0),
        $F$5:$U$20
    ),
    TRANSPOSE(
        INDEX($X$5:$AM$77, MATCH($A106,_xlfn.ANCHORARRAY( $W$5), 0), 0)
    )
)
/
(
    INDEX($AN$5:$AN$77, MATCH(W$100,_xlfn.ANCHORARRAY( $W$5), 0))
    *
    INDEX($AN$5:$AN$77, MATCH($A106,_xlfn.ANCHORARRAY( $W$5), 0))
)</f>
        <v>0.42494502191912603</v>
      </c>
      <c r="X106" s="17" cm="1">
        <f t="array" ref="X106">MMULT(
    MMULT(
        INDEX($X$5:$AM$77, MATCH(X$100,_xlfn.ANCHORARRAY( $W$5), 0), 0),
        $F$5:$U$20
    ),
    TRANSPOSE(
        INDEX($X$5:$AM$77, MATCH($A106,_xlfn.ANCHORARRAY( $W$5), 0), 0)
    )
)
/
(
    INDEX($AN$5:$AN$77, MATCH(X$100,_xlfn.ANCHORARRAY( $W$5), 0))
    *
    INDEX($AN$5:$AN$77, MATCH($A106,_xlfn.ANCHORARRAY( $W$5), 0))
)</f>
        <v>0.60991053844332477</v>
      </c>
      <c r="Y106" s="17" cm="1">
        <f t="array" ref="Y106">MMULT(
    MMULT(
        INDEX($X$5:$AM$77, MATCH(Y$100,_xlfn.ANCHORARRAY( $W$5), 0), 0),
        $F$5:$U$20
    ),
    TRANSPOSE(
        INDEX($X$5:$AM$77, MATCH($A106,_xlfn.ANCHORARRAY( $W$5), 0), 0)
    )
)
/
(
    INDEX($AN$5:$AN$77, MATCH(Y$100,_xlfn.ANCHORARRAY( $W$5), 0))
    *
    INDEX($AN$5:$AN$77, MATCH($A106,_xlfn.ANCHORARRAY( $W$5), 0))
)</f>
        <v>0.84372335423909472</v>
      </c>
      <c r="Z106" s="17" cm="1">
        <f t="array" ref="Z106">MMULT(
    MMULT(
        INDEX($X$5:$AM$77, MATCH(Z$100,_xlfn.ANCHORARRAY( $W$5), 0), 0),
        $F$5:$U$20
    ),
    TRANSPOSE(
        INDEX($X$5:$AM$77, MATCH($A106,_xlfn.ANCHORARRAY( $W$5), 0), 0)
    )
)
/
(
    INDEX($AN$5:$AN$77, MATCH(Z$100,_xlfn.ANCHORARRAY( $W$5), 0))
    *
    INDEX($AN$5:$AN$77, MATCH($A106,_xlfn.ANCHORARRAY( $W$5), 0))
)</f>
        <v>0.67082008412938332</v>
      </c>
      <c r="AA106" s="17" cm="1">
        <f t="array" ref="AA106">MMULT(
    MMULT(
        INDEX($X$5:$AM$77, MATCH(AA$100,_xlfn.ANCHORARRAY( $W$5), 0), 0),
        $F$5:$U$20
    ),
    TRANSPOSE(
        INDEX($X$5:$AM$77, MATCH($A106,_xlfn.ANCHORARRAY( $W$5), 0), 0)
    )
)
/
(
    INDEX($AN$5:$AN$77, MATCH(AA$100,_xlfn.ANCHORARRAY( $W$5), 0))
    *
    INDEX($AN$5:$AN$77, MATCH($A106,_xlfn.ANCHORARRAY( $W$5), 0))
)</f>
        <v>0.61554377040777941</v>
      </c>
      <c r="AB106" s="17" cm="1">
        <f t="array" ref="AB106">MMULT(
    MMULT(
        INDEX($X$5:$AM$77, MATCH(AB$100,_xlfn.ANCHORARRAY( $W$5), 0), 0),
        $F$5:$U$20
    ),
    TRANSPOSE(
        INDEX($X$5:$AM$77, MATCH($A106,_xlfn.ANCHORARRAY( $W$5), 0), 0)
    )
)
/
(
    INDEX($AN$5:$AN$77, MATCH(AB$100,_xlfn.ANCHORARRAY( $W$5), 0))
    *
    INDEX($AN$5:$AN$77, MATCH($A106,_xlfn.ANCHORARRAY( $W$5), 0))
)</f>
        <v>0.75367100753558636</v>
      </c>
      <c r="AC106" s="17" cm="1">
        <f t="array" ref="AC106">MMULT(
    MMULT(
        INDEX($X$5:$AM$77, MATCH(AC$100,_xlfn.ANCHORARRAY( $W$5), 0), 0),
        $F$5:$U$20
    ),
    TRANSPOSE(
        INDEX($X$5:$AM$77, MATCH($A106,_xlfn.ANCHORARRAY( $W$5), 0), 0)
    )
)
/
(
    INDEX($AN$5:$AN$77, MATCH(AC$100,_xlfn.ANCHORARRAY( $W$5), 0))
    *
    INDEX($AN$5:$AN$77, MATCH($A106,_xlfn.ANCHORARRAY( $W$5), 0))
)</f>
        <v>0.62906590437027132</v>
      </c>
      <c r="AD106" s="17" cm="1">
        <f t="array" ref="AD106">MMULT(
    MMULT(
        INDEX($X$5:$AM$77, MATCH(AD$100,_xlfn.ANCHORARRAY( $W$5), 0), 0),
        $F$5:$U$20
    ),
    TRANSPOSE(
        INDEX($X$5:$AM$77, MATCH($A106,_xlfn.ANCHORARRAY( $W$5), 0), 0)
    )
)
/
(
    INDEX($AN$5:$AN$77, MATCH(AD$100,_xlfn.ANCHORARRAY( $W$5), 0))
    *
    INDEX($AN$5:$AN$77, MATCH($A106,_xlfn.ANCHORARRAY( $W$5), 0))
)</f>
        <v>0.66985022956890639</v>
      </c>
      <c r="AE106" s="17" cm="1">
        <f t="array" ref="AE106">MMULT(
    MMULT(
        INDEX($X$5:$AM$77, MATCH(AE$100,_xlfn.ANCHORARRAY( $W$5), 0), 0),
        $F$5:$U$20
    ),
    TRANSPOSE(
        INDEX($X$5:$AM$77, MATCH($A106,_xlfn.ANCHORARRAY( $W$5), 0), 0)
    )
)
/
(
    INDEX($AN$5:$AN$77, MATCH(AE$100,_xlfn.ANCHORARRAY( $W$5), 0))
    *
    INDEX($AN$5:$AN$77, MATCH($A106,_xlfn.ANCHORARRAY( $W$5), 0))
)</f>
        <v>0.91890898340683447</v>
      </c>
      <c r="AF106" s="17" cm="1">
        <f t="array" ref="AF106">MMULT(
    MMULT(
        INDEX($X$5:$AM$77, MATCH(AF$100,_xlfn.ANCHORARRAY( $W$5), 0), 0),
        $F$5:$U$20
    ),
    TRANSPOSE(
        INDEX($X$5:$AM$77, MATCH($A106,_xlfn.ANCHORARRAY( $W$5), 0), 0)
    )
)
/
(
    INDEX($AN$5:$AN$77, MATCH(AF$100,_xlfn.ANCHORARRAY( $W$5), 0))
    *
    INDEX($AN$5:$AN$77, MATCH($A106,_xlfn.ANCHORARRAY( $W$5), 0))
)</f>
        <v>0.87684628670805254</v>
      </c>
      <c r="AG106" s="17" cm="1">
        <f t="array" ref="AG106">MMULT(
    MMULT(
        INDEX($X$5:$AM$77, MATCH(AG$100,_xlfn.ANCHORARRAY( $W$5), 0), 0),
        $F$5:$U$20
    ),
    TRANSPOSE(
        INDEX($X$5:$AM$77, MATCH($A106,_xlfn.ANCHORARRAY( $W$5), 0), 0)
    )
)
/
(
    INDEX($AN$5:$AN$77, MATCH(AG$100,_xlfn.ANCHORARRAY( $W$5), 0))
    *
    INDEX($AN$5:$AN$77, MATCH($A106,_xlfn.ANCHORARRAY( $W$5), 0))
)</f>
        <v>0.8289592504998412</v>
      </c>
      <c r="AH106" s="17" cm="1">
        <f t="array" ref="AH106">MMULT(
    MMULT(
        INDEX($X$5:$AM$77, MATCH(AH$100,_xlfn.ANCHORARRAY( $W$5), 0), 0),
        $F$5:$U$20
    ),
    TRANSPOSE(
        INDEX($X$5:$AM$77, MATCH($A106,_xlfn.ANCHORARRAY( $W$5), 0), 0)
    )
)
/
(
    INDEX($AN$5:$AN$77, MATCH(AH$100,_xlfn.ANCHORARRAY( $W$5), 0))
    *
    INDEX($AN$5:$AN$77, MATCH($A106,_xlfn.ANCHORARRAY( $W$5), 0))
)</f>
        <v>0.83979270087046931</v>
      </c>
      <c r="AI106" s="17" cm="1">
        <f t="array" ref="AI106">MMULT(
    MMULT(
        INDEX($X$5:$AM$77, MATCH(AI$100,_xlfn.ANCHORARRAY( $W$5), 0), 0),
        $F$5:$U$20
    ),
    TRANSPOSE(
        INDEX($X$5:$AM$77, MATCH($A106,_xlfn.ANCHORARRAY( $W$5), 0), 0)
    )
)
/
(
    INDEX($AN$5:$AN$77, MATCH(AI$100,_xlfn.ANCHORARRAY( $W$5), 0))
    *
    INDEX($AN$5:$AN$77, MATCH($A106,_xlfn.ANCHORARRAY( $W$5), 0))
)</f>
        <v>0.9031266859639</v>
      </c>
      <c r="AJ106" s="17" cm="1">
        <f t="array" ref="AJ106">MMULT(
    MMULT(
        INDEX($X$5:$AM$77, MATCH(AJ$100,_xlfn.ANCHORARRAY( $W$5), 0), 0),
        $F$5:$U$20
    ),
    TRANSPOSE(
        INDEX($X$5:$AM$77, MATCH($A106,_xlfn.ANCHORARRAY( $W$5), 0), 0)
    )
)
/
(
    INDEX($AN$5:$AN$77, MATCH(AJ$100,_xlfn.ANCHORARRAY( $W$5), 0))
    *
    INDEX($AN$5:$AN$77, MATCH($A106,_xlfn.ANCHORARRAY( $W$5), 0))
)</f>
        <v>0.71656184130279721</v>
      </c>
      <c r="AK106" s="17" cm="1">
        <f t="array" ref="AK106">MMULT(
    MMULT(
        INDEX($X$5:$AM$77, MATCH(AK$100,_xlfn.ANCHORARRAY( $W$5), 0), 0),
        $F$5:$U$20
    ),
    TRANSPOSE(
        INDEX($X$5:$AM$77, MATCH($A106,_xlfn.ANCHORARRAY( $W$5), 0), 0)
    )
)
/
(
    INDEX($AN$5:$AN$77, MATCH(AK$100,_xlfn.ANCHORARRAY( $W$5), 0))
    *
    INDEX($AN$5:$AN$77, MATCH($A106,_xlfn.ANCHORARRAY( $W$5), 0))
)</f>
        <v>0.75657561896400627</v>
      </c>
      <c r="AL106" s="17" cm="1">
        <f t="array" ref="AL106">MMULT(
    MMULT(
        INDEX($X$5:$AM$77, MATCH(AL$100,_xlfn.ANCHORARRAY( $W$5), 0), 0),
        $F$5:$U$20
    ),
    TRANSPOSE(
        INDEX($X$5:$AM$77, MATCH($A106,_xlfn.ANCHORARRAY( $W$5), 0), 0)
    )
)
/
(
    INDEX($AN$5:$AN$77, MATCH(AL$100,_xlfn.ANCHORARRAY( $W$5), 0))
    *
    INDEX($AN$5:$AN$77, MATCH($A106,_xlfn.ANCHORARRAY( $W$5), 0))
)</f>
        <v>0.49989694171070781</v>
      </c>
      <c r="AM106" s="17" cm="1">
        <f t="array" ref="AM106">MMULT(
    MMULT(
        INDEX($X$5:$AM$77, MATCH(AM$100,_xlfn.ANCHORARRAY( $W$5), 0), 0),
        $F$5:$U$20
    ),
    TRANSPOSE(
        INDEX($X$5:$AM$77, MATCH($A106,_xlfn.ANCHORARRAY( $W$5), 0), 0)
    )
)
/
(
    INDEX($AN$5:$AN$77, MATCH(AM$100,_xlfn.ANCHORARRAY( $W$5), 0))
    *
    INDEX($AN$5:$AN$77, MATCH($A106,_xlfn.ANCHORARRAY( $W$5), 0))
)</f>
        <v>0.61615843453614894</v>
      </c>
      <c r="AN106" s="17" cm="1">
        <f t="array" ref="AN106">MMULT(
    MMULT(
        INDEX($X$5:$AM$77, MATCH(AN$100,_xlfn.ANCHORARRAY( $W$5), 0), 0),
        $F$5:$U$20
    ),
    TRANSPOSE(
        INDEX($X$5:$AM$77, MATCH($A106,_xlfn.ANCHORARRAY( $W$5), 0), 0)
    )
)
/
(
    INDEX($AN$5:$AN$77, MATCH(AN$100,_xlfn.ANCHORARRAY( $W$5), 0))
    *
    INDEX($AN$5:$AN$77, MATCH($A106,_xlfn.ANCHORARRAY( $W$5), 0))
)</f>
        <v>0.96693308681998191</v>
      </c>
      <c r="AO106" s="17" cm="1">
        <f t="array" ref="AO106">MMULT(
    MMULT(
        INDEX($X$5:$AM$77, MATCH(AO$100,_xlfn.ANCHORARRAY( $W$5), 0), 0),
        $F$5:$U$20
    ),
    TRANSPOSE(
        INDEX($X$5:$AM$77, MATCH($A106,_xlfn.ANCHORARRAY( $W$5), 0), 0)
    )
)
/
(
    INDEX($AN$5:$AN$77, MATCH(AO$100,_xlfn.ANCHORARRAY( $W$5), 0))
    *
    INDEX($AN$5:$AN$77, MATCH($A106,_xlfn.ANCHORARRAY( $W$5), 0))
)</f>
        <v>0.57905694795761797</v>
      </c>
      <c r="AP106" s="17" cm="1">
        <f t="array" ref="AP106">MMULT(
    MMULT(
        INDEX($X$5:$AM$77, MATCH(AP$100,_xlfn.ANCHORARRAY( $W$5), 0), 0),
        $F$5:$U$20
    ),
    TRANSPOSE(
        INDEX($X$5:$AM$77, MATCH($A106,_xlfn.ANCHORARRAY( $W$5), 0), 0)
    )
)
/
(
    INDEX($AN$5:$AN$77, MATCH(AP$100,_xlfn.ANCHORARRAY( $W$5), 0))
    *
    INDEX($AN$5:$AN$77, MATCH($A106,_xlfn.ANCHORARRAY( $W$5), 0))
)</f>
        <v>0.77189219368955908</v>
      </c>
      <c r="AQ106" s="17" cm="1">
        <f t="array" ref="AQ106">MMULT(
    MMULT(
        INDEX($X$5:$AM$77, MATCH(AQ$100,_xlfn.ANCHORARRAY( $W$5), 0), 0),
        $F$5:$U$20
    ),
    TRANSPOSE(
        INDEX($X$5:$AM$77, MATCH($A106,_xlfn.ANCHORARRAY( $W$5), 0), 0)
    )
)
/
(
    INDEX($AN$5:$AN$77, MATCH(AQ$100,_xlfn.ANCHORARRAY( $W$5), 0))
    *
    INDEX($AN$5:$AN$77, MATCH($A106,_xlfn.ANCHORARRAY( $W$5), 0))
)</f>
        <v>0.84546631526718419</v>
      </c>
      <c r="AR106" s="17" cm="1">
        <f t="array" ref="AR106">MMULT(
    MMULT(
        INDEX($X$5:$AM$77, MATCH(AR$100,_xlfn.ANCHORARRAY( $W$5), 0), 0),
        $F$5:$U$20
    ),
    TRANSPOSE(
        INDEX($X$5:$AM$77, MATCH($A106,_xlfn.ANCHORARRAY( $W$5), 0), 0)
    )
)
/
(
    INDEX($AN$5:$AN$77, MATCH(AR$100,_xlfn.ANCHORARRAY( $W$5), 0))
    *
    INDEX($AN$5:$AN$77, MATCH($A106,_xlfn.ANCHORARRAY( $W$5), 0))
)</f>
        <v>0.74223471490926429</v>
      </c>
      <c r="AS106" s="17" cm="1">
        <f t="array" ref="AS106">MMULT(
    MMULT(
        INDEX($X$5:$AM$77, MATCH(AS$100,_xlfn.ANCHORARRAY( $W$5), 0), 0),
        $F$5:$U$20
    ),
    TRANSPOSE(
        INDEX($X$5:$AM$77, MATCH($A106,_xlfn.ANCHORARRAY( $W$5), 0), 0)
    )
)
/
(
    INDEX($AN$5:$AN$77, MATCH(AS$100,_xlfn.ANCHORARRAY( $W$5), 0))
    *
    INDEX($AN$5:$AN$77, MATCH($A106,_xlfn.ANCHORARRAY( $W$5), 0))
)</f>
        <v>0.78987103024750838</v>
      </c>
      <c r="AT106" s="17" cm="1">
        <f t="array" ref="AT106">MMULT(
    MMULT(
        INDEX($X$5:$AM$77, MATCH(AT$100,_xlfn.ANCHORARRAY( $W$5), 0), 0),
        $F$5:$U$20
    ),
    TRANSPOSE(
        INDEX($X$5:$AM$77, MATCH($A106,_xlfn.ANCHORARRAY( $W$5), 0), 0)
    )
)
/
(
    INDEX($AN$5:$AN$77, MATCH(AT$100,_xlfn.ANCHORARRAY( $W$5), 0))
    *
    INDEX($AN$5:$AN$77, MATCH($A106,_xlfn.ANCHORARRAY( $W$5), 0))
)</f>
        <v>0.82033765792473379</v>
      </c>
      <c r="AU106" s="17" cm="1">
        <f t="array" ref="AU106">MMULT(
    MMULT(
        INDEX($X$5:$AM$77, MATCH(AU$100,_xlfn.ANCHORARRAY( $W$5), 0), 0),
        $F$5:$U$20
    ),
    TRANSPOSE(
        INDEX($X$5:$AM$77, MATCH($A106,_xlfn.ANCHORARRAY( $W$5), 0), 0)
    )
)
/
(
    INDEX($AN$5:$AN$77, MATCH(AU$100,_xlfn.ANCHORARRAY( $W$5), 0))
    *
    INDEX($AN$5:$AN$77, MATCH($A106,_xlfn.ANCHORARRAY( $W$5), 0))
)</f>
        <v>0.70104129796169834</v>
      </c>
      <c r="AV106" s="17" cm="1">
        <f t="array" ref="AV106">MMULT(
    MMULT(
        INDEX($X$5:$AM$77, MATCH(AV$100,_xlfn.ANCHORARRAY( $W$5), 0), 0),
        $F$5:$U$20
    ),
    TRANSPOSE(
        INDEX($X$5:$AM$77, MATCH($A106,_xlfn.ANCHORARRAY( $W$5), 0), 0)
    )
)
/
(
    INDEX($AN$5:$AN$77, MATCH(AV$100,_xlfn.ANCHORARRAY( $W$5), 0))
    *
    INDEX($AN$5:$AN$77, MATCH($A106,_xlfn.ANCHORARRAY( $W$5), 0))
)</f>
        <v>0.59034454819147641</v>
      </c>
      <c r="AW106" s="17" cm="1">
        <f t="array" ref="AW106">MMULT(
    MMULT(
        INDEX($X$5:$AM$77, MATCH(AW$100,_xlfn.ANCHORARRAY( $W$5), 0), 0),
        $F$5:$U$20
    ),
    TRANSPOSE(
        INDEX($X$5:$AM$77, MATCH($A106,_xlfn.ANCHORARRAY( $W$5), 0), 0)
    )
)
/
(
    INDEX($AN$5:$AN$77, MATCH(AW$100,_xlfn.ANCHORARRAY( $W$5), 0))
    *
    INDEX($AN$5:$AN$77, MATCH($A106,_xlfn.ANCHORARRAY( $W$5), 0))
)</f>
        <v>0.81495224890649742</v>
      </c>
      <c r="AX106" s="17" cm="1">
        <f t="array" ref="AX106">MMULT(
    MMULT(
        INDEX($X$5:$AM$77, MATCH(AX$100,_xlfn.ANCHORARRAY( $W$5), 0), 0),
        $F$5:$U$20
    ),
    TRANSPOSE(
        INDEX($X$5:$AM$77, MATCH($A106,_xlfn.ANCHORARRAY( $W$5), 0), 0)
    )
)
/
(
    INDEX($AN$5:$AN$77, MATCH(AX$100,_xlfn.ANCHORARRAY( $W$5), 0))
    *
    INDEX($AN$5:$AN$77, MATCH($A106,_xlfn.ANCHORARRAY( $W$5), 0))
)</f>
        <v>0.61128500785664086</v>
      </c>
      <c r="AY106" s="17" cm="1">
        <f t="array" ref="AY106">MMULT(
    MMULT(
        INDEX($X$5:$AM$77, MATCH(AY$100,_xlfn.ANCHORARRAY( $W$5), 0), 0),
        $F$5:$U$20
    ),
    TRANSPOSE(
        INDEX($X$5:$AM$77, MATCH($A106,_xlfn.ANCHORARRAY( $W$5), 0), 0)
    )
)
/
(
    INDEX($AN$5:$AN$77, MATCH(AY$100,_xlfn.ANCHORARRAY( $W$5), 0))
    *
    INDEX($AN$5:$AN$77, MATCH($A106,_xlfn.ANCHORARRAY( $W$5), 0))
)</f>
        <v>0.79161063635427775</v>
      </c>
      <c r="AZ106" s="17" cm="1">
        <f t="array" ref="AZ106">MMULT(
    MMULT(
        INDEX($X$5:$AM$77, MATCH(AZ$100,_xlfn.ANCHORARRAY( $W$5), 0), 0),
        $F$5:$U$20
    ),
    TRANSPOSE(
        INDEX($X$5:$AM$77, MATCH($A106,_xlfn.ANCHORARRAY( $W$5), 0), 0)
    )
)
/
(
    INDEX($AN$5:$AN$77, MATCH(AZ$100,_xlfn.ANCHORARRAY( $W$5), 0))
    *
    INDEX($AN$5:$AN$77, MATCH($A106,_xlfn.ANCHORARRAY( $W$5), 0))
)</f>
        <v>0.63267234797843042</v>
      </c>
      <c r="BA106" s="17" cm="1">
        <f t="array" ref="BA106">MMULT(
    MMULT(
        INDEX($X$5:$AM$77, MATCH(BA$100,_xlfn.ANCHORARRAY( $W$5), 0), 0),
        $F$5:$U$20
    ),
    TRANSPOSE(
        INDEX($X$5:$AM$77, MATCH($A106,_xlfn.ANCHORARRAY( $W$5), 0), 0)
    )
)
/
(
    INDEX($AN$5:$AN$77, MATCH(BA$100,_xlfn.ANCHORARRAY( $W$5), 0))
    *
    INDEX($AN$5:$AN$77, MATCH($A106,_xlfn.ANCHORARRAY( $W$5), 0))
)</f>
        <v>0.68644270657573858</v>
      </c>
      <c r="BB106" s="17" cm="1">
        <f t="array" ref="BB106">MMULT(
    MMULT(
        INDEX($X$5:$AM$77, MATCH(BB$100,_xlfn.ANCHORARRAY( $W$5), 0), 0),
        $F$5:$U$20
    ),
    TRANSPOSE(
        INDEX($X$5:$AM$77, MATCH($A106,_xlfn.ANCHORARRAY( $W$5), 0), 0)
    )
)
/
(
    INDEX($AN$5:$AN$77, MATCH(BB$100,_xlfn.ANCHORARRAY( $W$5), 0))
    *
    INDEX($AN$5:$AN$77, MATCH($A106,_xlfn.ANCHORARRAY( $W$5), 0))
)</f>
        <v>0.49677870849968392</v>
      </c>
      <c r="BC106" s="17" cm="1">
        <f t="array" ref="BC106">MMULT(
    MMULT(
        INDEX($X$5:$AM$77, MATCH(BC$100,_xlfn.ANCHORARRAY( $W$5), 0), 0),
        $F$5:$U$20
    ),
    TRANSPOSE(
        INDEX($X$5:$AM$77, MATCH($A106,_xlfn.ANCHORARRAY( $W$5), 0), 0)
    )
)
/
(
    INDEX($AN$5:$AN$77, MATCH(BC$100,_xlfn.ANCHORARRAY( $W$5), 0))
    *
    INDEX($AN$5:$AN$77, MATCH($A106,_xlfn.ANCHORARRAY( $W$5), 0))
)</f>
        <v>0.90510499571400338</v>
      </c>
      <c r="BD106" s="17" cm="1">
        <f t="array" ref="BD106">MMULT(
    MMULT(
        INDEX($X$5:$AM$77, MATCH(BD$100,_xlfn.ANCHORARRAY( $W$5), 0), 0),
        $F$5:$U$20
    ),
    TRANSPOSE(
        INDEX($X$5:$AM$77, MATCH($A106,_xlfn.ANCHORARRAY( $W$5), 0), 0)
    )
)
/
(
    INDEX($AN$5:$AN$77, MATCH(BD$100,_xlfn.ANCHORARRAY( $W$5), 0))
    *
    INDEX($AN$5:$AN$77, MATCH($A106,_xlfn.ANCHORARRAY( $W$5), 0))
)</f>
        <v>0.76991572030859745</v>
      </c>
      <c r="BE106" s="17" cm="1">
        <f t="array" ref="BE106">MMULT(
    MMULT(
        INDEX($X$5:$AM$77, MATCH(BE$100,_xlfn.ANCHORARRAY( $W$5), 0), 0),
        $F$5:$U$20
    ),
    TRANSPOSE(
        INDEX($X$5:$AM$77, MATCH($A106,_xlfn.ANCHORARRAY( $W$5), 0), 0)
    )
)
/
(
    INDEX($AN$5:$AN$77, MATCH(BE$100,_xlfn.ANCHORARRAY( $W$5), 0))
    *
    INDEX($AN$5:$AN$77, MATCH($A106,_xlfn.ANCHORARRAY( $W$5), 0))
)</f>
        <v>0.66130922289759841</v>
      </c>
      <c r="BF106" s="17" cm="1">
        <f t="array" ref="BF106">MMULT(
    MMULT(
        INDEX($X$5:$AM$77, MATCH(BF$100,_xlfn.ANCHORARRAY( $W$5), 0), 0),
        $F$5:$U$20
    ),
    TRANSPOSE(
        INDEX($X$5:$AM$77, MATCH($A106,_xlfn.ANCHORARRAY( $W$5), 0), 0)
    )
)
/
(
    INDEX($AN$5:$AN$77, MATCH(BF$100,_xlfn.ANCHORARRAY( $W$5), 0))
    *
    INDEX($AN$5:$AN$77, MATCH($A106,_xlfn.ANCHORARRAY( $W$5), 0))
)</f>
        <v>0.79803579724531792</v>
      </c>
      <c r="BG106" s="17" cm="1">
        <f t="array" ref="BG106">MMULT(
    MMULT(
        INDEX($X$5:$AM$77, MATCH(BG$100,_xlfn.ANCHORARRAY( $W$5), 0), 0),
        $F$5:$U$20
    ),
    TRANSPOSE(
        INDEX($X$5:$AM$77, MATCH($A106,_xlfn.ANCHORARRAY( $W$5), 0), 0)
    )
)
/
(
    INDEX($AN$5:$AN$77, MATCH(BG$100,_xlfn.ANCHORARRAY( $W$5), 0))
    *
    INDEX($AN$5:$AN$77, MATCH($A106,_xlfn.ANCHORARRAY( $W$5), 0))
)</f>
        <v>0.73296472366181542</v>
      </c>
      <c r="BH106" s="17" cm="1">
        <f t="array" ref="BH106">MMULT(
    MMULT(
        INDEX($X$5:$AM$77, MATCH(BH$100,_xlfn.ANCHORARRAY( $W$5), 0), 0),
        $F$5:$U$20
    ),
    TRANSPOSE(
        INDEX($X$5:$AM$77, MATCH($A106,_xlfn.ANCHORARRAY( $W$5), 0), 0)
    )
)
/
(
    INDEX($AN$5:$AN$77, MATCH(BH$100,_xlfn.ANCHORARRAY( $W$5), 0))
    *
    INDEX($AN$5:$AN$77, MATCH($A106,_xlfn.ANCHORARRAY( $W$5), 0))
)</f>
        <v>0.95139512419543015</v>
      </c>
      <c r="BI106" s="17" cm="1">
        <f t="array" ref="BI106">MMULT(
    MMULT(
        INDEX($X$5:$AM$77, MATCH(BI$100,_xlfn.ANCHORARRAY( $W$5), 0), 0),
        $F$5:$U$20
    ),
    TRANSPOSE(
        INDEX($X$5:$AM$77, MATCH($A106,_xlfn.ANCHORARRAY( $W$5), 0), 0)
    )
)
/
(
    INDEX($AN$5:$AN$77, MATCH(BI$100,_xlfn.ANCHORARRAY( $W$5), 0))
    *
    INDEX($AN$5:$AN$77, MATCH($A106,_xlfn.ANCHORARRAY( $W$5), 0))
)</f>
        <v>0.66912496814125932</v>
      </c>
      <c r="BJ106" s="17" cm="1">
        <f t="array" ref="BJ106">MMULT(
    MMULT(
        INDEX($X$5:$AM$77, MATCH(BJ$100,_xlfn.ANCHORARRAY( $W$5), 0), 0),
        $F$5:$U$20
    ),
    TRANSPOSE(
        INDEX($X$5:$AM$77, MATCH($A106,_xlfn.ANCHORARRAY( $W$5), 0), 0)
    )
)
/
(
    INDEX($AN$5:$AN$77, MATCH(BJ$100,_xlfn.ANCHORARRAY( $W$5), 0))
    *
    INDEX($AN$5:$AN$77, MATCH($A106,_xlfn.ANCHORARRAY( $W$5), 0))
)</f>
        <v>0.77472583741105283</v>
      </c>
      <c r="BK106" s="17" cm="1">
        <f t="array" ref="BK106">MMULT(
    MMULT(
        INDEX($X$5:$AM$77, MATCH(BK$100,_xlfn.ANCHORARRAY( $W$5), 0), 0),
        $F$5:$U$20
    ),
    TRANSPOSE(
        INDEX($X$5:$AM$77, MATCH($A106,_xlfn.ANCHORARRAY( $W$5), 0), 0)
    )
)
/
(
    INDEX($AN$5:$AN$77, MATCH(BK$100,_xlfn.ANCHORARRAY( $W$5), 0))
    *
    INDEX($AN$5:$AN$77, MATCH($A106,_xlfn.ANCHORARRAY( $W$5), 0))
)</f>
        <v>0.80461355010614388</v>
      </c>
      <c r="BL106" s="17" cm="1">
        <f t="array" ref="BL106">MMULT(
    MMULT(
        INDEX($X$5:$AM$77, MATCH(BL$100,_xlfn.ANCHORARRAY( $W$5), 0), 0),
        $F$5:$U$20
    ),
    TRANSPOSE(
        INDEX($X$5:$AM$77, MATCH($A106,_xlfn.ANCHORARRAY( $W$5), 0), 0)
    )
)
/
(
    INDEX($AN$5:$AN$77, MATCH(BL$100,_xlfn.ANCHORARRAY( $W$5), 0))
    *
    INDEX($AN$5:$AN$77, MATCH($A106,_xlfn.ANCHORARRAY( $W$5), 0))
)</f>
        <v>0.20532216974860962</v>
      </c>
      <c r="BM106" s="17" cm="1">
        <f t="array" ref="BM106">MMULT(
    MMULT(
        INDEX($X$5:$AM$77, MATCH(BM$100,_xlfn.ANCHORARRAY( $W$5), 0), 0),
        $F$5:$U$20
    ),
    TRANSPOSE(
        INDEX($X$5:$AM$77, MATCH($A106,_xlfn.ANCHORARRAY( $W$5), 0), 0)
    )
)
/
(
    INDEX($AN$5:$AN$77, MATCH(BM$100,_xlfn.ANCHORARRAY( $W$5), 0))
    *
    INDEX($AN$5:$AN$77, MATCH($A106,_xlfn.ANCHORARRAY( $W$5), 0))
)</f>
        <v>0.44783536431934973</v>
      </c>
      <c r="BN106" s="17" cm="1">
        <f t="array" ref="BN106">MMULT(
    MMULT(
        INDEX($X$5:$AM$77, MATCH(BN$100,_xlfn.ANCHORARRAY( $W$5), 0), 0),
        $F$5:$U$20
    ),
    TRANSPOSE(
        INDEX($X$5:$AM$77, MATCH($A106,_xlfn.ANCHORARRAY( $W$5), 0), 0)
    )
)
/
(
    INDEX($AN$5:$AN$77, MATCH(BN$100,_xlfn.ANCHORARRAY( $W$5), 0))
    *
    INDEX($AN$5:$AN$77, MATCH($A106,_xlfn.ANCHORARRAY( $W$5), 0))
)</f>
        <v>0.70122547560657433</v>
      </c>
      <c r="BO106" s="17" cm="1">
        <f t="array" ref="BO106">MMULT(
    MMULT(
        INDEX($X$5:$AM$77, MATCH(BO$100,_xlfn.ANCHORARRAY( $W$5), 0), 0),
        $F$5:$U$20
    ),
    TRANSPOSE(
        INDEX($X$5:$AM$77, MATCH($A106,_xlfn.ANCHORARRAY( $W$5), 0), 0)
    )
)
/
(
    INDEX($AN$5:$AN$77, MATCH(BO$100,_xlfn.ANCHORARRAY( $W$5), 0))
    *
    INDEX($AN$5:$AN$77, MATCH($A106,_xlfn.ANCHORARRAY( $W$5), 0))
)</f>
        <v>0.87885934249082642</v>
      </c>
      <c r="BP106" s="17" cm="1">
        <f t="array" ref="BP106">MMULT(
    MMULT(
        INDEX($X$5:$AM$77, MATCH(BP$100,_xlfn.ANCHORARRAY( $W$5), 0), 0),
        $F$5:$U$20
    ),
    TRANSPOSE(
        INDEX($X$5:$AM$77, MATCH($A106,_xlfn.ANCHORARRAY( $W$5), 0), 0)
    )
)
/
(
    INDEX($AN$5:$AN$77, MATCH(BP$100,_xlfn.ANCHORARRAY( $W$5), 0))
    *
    INDEX($AN$5:$AN$77, MATCH($A106,_xlfn.ANCHORARRAY( $W$5), 0))
)</f>
        <v>0.77802143107626276</v>
      </c>
      <c r="BQ106" s="17" cm="1">
        <f t="array" ref="BQ106">MMULT(
    MMULT(
        INDEX($X$5:$AM$77, MATCH(BQ$100,_xlfn.ANCHORARRAY( $W$5), 0), 0),
        $F$5:$U$20
    ),
    TRANSPOSE(
        INDEX($X$5:$AM$77, MATCH($A106,_xlfn.ANCHORARRAY( $W$5), 0), 0)
    )
)
/
(
    INDEX($AN$5:$AN$77, MATCH(BQ$100,_xlfn.ANCHORARRAY( $W$5), 0))
    *
    INDEX($AN$5:$AN$77, MATCH($A106,_xlfn.ANCHORARRAY( $W$5), 0))
)</f>
        <v>0.52345288687770775</v>
      </c>
      <c r="BR106" s="17" cm="1">
        <f t="array" ref="BR106">MMULT(
    MMULT(
        INDEX($X$5:$AM$77, MATCH(BR$100,_xlfn.ANCHORARRAY( $W$5), 0), 0),
        $F$5:$U$20
    ),
    TRANSPOSE(
        INDEX($X$5:$AM$77, MATCH($A106,_xlfn.ANCHORARRAY( $W$5), 0), 0)
    )
)
/
(
    INDEX($AN$5:$AN$77, MATCH(BR$100,_xlfn.ANCHORARRAY( $W$5), 0))
    *
    INDEX($AN$5:$AN$77, MATCH($A106,_xlfn.ANCHORARRAY( $W$5), 0))
)</f>
        <v>0.87957792165140225</v>
      </c>
      <c r="BS106" s="17" cm="1">
        <f t="array" ref="BS106">MMULT(
    MMULT(
        INDEX($X$5:$AM$77, MATCH(BS$100,_xlfn.ANCHORARRAY( $W$5), 0), 0),
        $F$5:$U$20
    ),
    TRANSPOSE(
        INDEX($X$5:$AM$77, MATCH($A106,_xlfn.ANCHORARRAY( $W$5), 0), 0)
    )
)
/
(
    INDEX($AN$5:$AN$77, MATCH(BS$100,_xlfn.ANCHORARRAY( $W$5), 0))
    *
    INDEX($AN$5:$AN$77, MATCH($A106,_xlfn.ANCHORARRAY( $W$5), 0))
)</f>
        <v>0.62930143525164561</v>
      </c>
      <c r="BT106" s="17" cm="1">
        <f t="array" ref="BT106">MMULT(
    MMULT(
        INDEX($X$5:$AM$77, MATCH(BT$100,_xlfn.ANCHORARRAY( $W$5), 0), 0),
        $F$5:$U$20
    ),
    TRANSPOSE(
        INDEX($X$5:$AM$77, MATCH($A106,_xlfn.ANCHORARRAY( $W$5), 0), 0)
    )
)
/
(
    INDEX($AN$5:$AN$77, MATCH(BT$100,_xlfn.ANCHORARRAY( $W$5), 0))
    *
    INDEX($AN$5:$AN$77, MATCH($A106,_xlfn.ANCHORARRAY( $W$5), 0))
)</f>
        <v>0.72403032229528197</v>
      </c>
      <c r="BU106" s="17" cm="1">
        <f t="array" ref="BU106">MMULT(
    MMULT(
        INDEX($X$5:$AM$77, MATCH(BU$100,_xlfn.ANCHORARRAY( $W$5), 0), 0),
        $F$5:$U$20
    ),
    TRANSPOSE(
        INDEX($X$5:$AM$77, MATCH($A106,_xlfn.ANCHORARRAY( $W$5), 0), 0)
    )
)
/
(
    INDEX($AN$5:$AN$77, MATCH(BU$100,_xlfn.ANCHORARRAY( $W$5), 0))
    *
    INDEX($AN$5:$AN$77, MATCH($A106,_xlfn.ANCHORARRAY( $W$5), 0))
)</f>
        <v>0.93955940331487575</v>
      </c>
      <c r="BV106" s="17" cm="1">
        <f t="array" ref="BV106">MMULT(
    MMULT(
        INDEX($X$5:$AM$77, MATCH(BV$100,_xlfn.ANCHORARRAY( $W$5), 0), 0),
        $F$5:$U$20
    ),
    TRANSPOSE(
        INDEX($X$5:$AM$77, MATCH($A106,_xlfn.ANCHORARRAY( $W$5), 0), 0)
    )
)
/
(
    INDEX($AN$5:$AN$77, MATCH(BV$100,_xlfn.ANCHORARRAY( $W$5), 0))
    *
    INDEX($AN$5:$AN$77, MATCH($A106,_xlfn.ANCHORARRAY( $W$5), 0))
)</f>
        <v>0.94100913256422958</v>
      </c>
    </row>
    <row r="107" spans="1:74" x14ac:dyDescent="0.3">
      <c r="A107" s="7" t="str">
        <v>Minter, A.J.</v>
      </c>
      <c r="B107" s="17" cm="1">
        <f t="array" ref="B107">MMULT(
    MMULT(
        INDEX($X$5:$AM$77, MATCH(B$100,_xlfn.ANCHORARRAY( $W$5), 0), 0),
        $F$5:$U$20
    ),
    TRANSPOSE(
        INDEX($X$5:$AM$77, MATCH($A107,_xlfn.ANCHORARRAY( $W$5), 0), 0)
    )
)
/
(
    INDEX($AN$5:$AN$77, MATCH(B$100,_xlfn.ANCHORARRAY( $W$5), 0))
    *
    INDEX($AN$5:$AN$77, MATCH($A107,_xlfn.ANCHORARRAY( $W$5), 0))
)</f>
        <v>0.82615284910967623</v>
      </c>
      <c r="C107" s="17" cm="1">
        <f t="array" ref="C107">MMULT(
    MMULT(
        INDEX($X$5:$AM$77, MATCH(C$100,_xlfn.ANCHORARRAY( $W$5), 0), 0),
        $F$5:$U$20
    ),
    TRANSPOSE(
        INDEX($X$5:$AM$77, MATCH($A107,_xlfn.ANCHORARRAY( $W$5), 0), 0)
    )
)
/
(
    INDEX($AN$5:$AN$77, MATCH(C$100,_xlfn.ANCHORARRAY( $W$5), 0))
    *
    INDEX($AN$5:$AN$77, MATCH($A107,_xlfn.ANCHORARRAY( $W$5), 0))
)</f>
        <v>0.74871371521841124</v>
      </c>
      <c r="D107" s="17" cm="1">
        <f t="array" ref="D107">MMULT(
    MMULT(
        INDEX($X$5:$AM$77, MATCH(D$100,_xlfn.ANCHORARRAY( $W$5), 0), 0),
        $F$5:$U$20
    ),
    TRANSPOSE(
        INDEX($X$5:$AM$77, MATCH($A107,_xlfn.ANCHORARRAY( $W$5), 0), 0)
    )
)
/
(
    INDEX($AN$5:$AN$77, MATCH(D$100,_xlfn.ANCHORARRAY( $W$5), 0))
    *
    INDEX($AN$5:$AN$77, MATCH($A107,_xlfn.ANCHORARRAY( $W$5), 0))
)</f>
        <v>0.81516212698406376</v>
      </c>
      <c r="E107" s="17" cm="1">
        <f t="array" ref="E107">MMULT(
    MMULT(
        INDEX($X$5:$AM$77, MATCH(E$100,_xlfn.ANCHORARRAY( $W$5), 0), 0),
        $F$5:$U$20
    ),
    TRANSPOSE(
        INDEX($X$5:$AM$77, MATCH($A107,_xlfn.ANCHORARRAY( $W$5), 0), 0)
    )
)
/
(
    INDEX($AN$5:$AN$77, MATCH(E$100,_xlfn.ANCHORARRAY( $W$5), 0))
    *
    INDEX($AN$5:$AN$77, MATCH($A107,_xlfn.ANCHORARRAY( $W$5), 0))
)</f>
        <v>0.71978539620059512</v>
      </c>
      <c r="F107" s="17" cm="1">
        <f t="array" ref="F107">MMULT(
    MMULT(
        INDEX($X$5:$AM$77, MATCH(F$100,_xlfn.ANCHORARRAY( $W$5), 0), 0),
        $F$5:$U$20
    ),
    TRANSPOSE(
        INDEX($X$5:$AM$77, MATCH($A107,_xlfn.ANCHORARRAY( $W$5), 0), 0)
    )
)
/
(
    INDEX($AN$5:$AN$77, MATCH(F$100,_xlfn.ANCHORARRAY( $W$5), 0))
    *
    INDEX($AN$5:$AN$77, MATCH($A107,_xlfn.ANCHORARRAY( $W$5), 0))
)</f>
        <v>0.68364655818295506</v>
      </c>
      <c r="G107" s="17" cm="1">
        <f t="array" ref="G107">MMULT(
    MMULT(
        INDEX($X$5:$AM$77, MATCH(G$100,_xlfn.ANCHORARRAY( $W$5), 0), 0),
        $F$5:$U$20
    ),
    TRANSPOSE(
        INDEX($X$5:$AM$77, MATCH($A107,_xlfn.ANCHORARRAY( $W$5), 0), 0)
    )
)
/
(
    INDEX($AN$5:$AN$77, MATCH(G$100,_xlfn.ANCHORARRAY( $W$5), 0))
    *
    INDEX($AN$5:$AN$77, MATCH($A107,_xlfn.ANCHORARRAY( $W$5), 0))
)</f>
        <v>0.82599518933228799</v>
      </c>
      <c r="H107" s="17" cm="1">
        <f t="array" ref="H107">MMULT(
    MMULT(
        INDEX($X$5:$AM$77, MATCH(H$100,_xlfn.ANCHORARRAY( $W$5), 0), 0),
        $F$5:$U$20
    ),
    TRANSPOSE(
        INDEX($X$5:$AM$77, MATCH($A107,_xlfn.ANCHORARRAY( $W$5), 0), 0)
    )
)
/
(
    INDEX($AN$5:$AN$77, MATCH(H$100,_xlfn.ANCHORARRAY( $W$5), 0))
    *
    INDEX($AN$5:$AN$77, MATCH($A107,_xlfn.ANCHORARRAY( $W$5), 0))
)</f>
        <v>1</v>
      </c>
      <c r="I107" s="17" cm="1">
        <f t="array" ref="I107">MMULT(
    MMULT(
        INDEX($X$5:$AM$77, MATCH(I$100,_xlfn.ANCHORARRAY( $W$5), 0), 0),
        $F$5:$U$20
    ),
    TRANSPOSE(
        INDEX($X$5:$AM$77, MATCH($A107,_xlfn.ANCHORARRAY( $W$5), 0), 0)
    )
)
/
(
    INDEX($AN$5:$AN$77, MATCH(I$100,_xlfn.ANCHORARRAY( $W$5), 0))
    *
    INDEX($AN$5:$AN$77, MATCH($A107,_xlfn.ANCHORARRAY( $W$5), 0))
)</f>
        <v>0.73185157457943484</v>
      </c>
      <c r="J107" s="17" cm="1">
        <f t="array" ref="J107">MMULT(
    MMULT(
        INDEX($X$5:$AM$77, MATCH(J$100,_xlfn.ANCHORARRAY( $W$5), 0), 0),
        $F$5:$U$20
    ),
    TRANSPOSE(
        INDEX($X$5:$AM$77, MATCH($A107,_xlfn.ANCHORARRAY( $W$5), 0), 0)
    )
)
/
(
    INDEX($AN$5:$AN$77, MATCH(J$100,_xlfn.ANCHORARRAY( $W$5), 0))
    *
    INDEX($AN$5:$AN$77, MATCH($A107,_xlfn.ANCHORARRAY( $W$5), 0))
)</f>
        <v>0.88572859197260811</v>
      </c>
      <c r="K107" s="17" cm="1">
        <f t="array" ref="K107">MMULT(
    MMULT(
        INDEX($X$5:$AM$77, MATCH(K$100,_xlfn.ANCHORARRAY( $W$5), 0), 0),
        $F$5:$U$20
    ),
    TRANSPOSE(
        INDEX($X$5:$AM$77, MATCH($A107,_xlfn.ANCHORARRAY( $W$5), 0), 0)
    )
)
/
(
    INDEX($AN$5:$AN$77, MATCH(K$100,_xlfn.ANCHORARRAY( $W$5), 0))
    *
    INDEX($AN$5:$AN$77, MATCH($A107,_xlfn.ANCHORARRAY( $W$5), 0))
)</f>
        <v>0.81766406837033878</v>
      </c>
      <c r="L107" s="17" cm="1">
        <f t="array" ref="L107">MMULT(
    MMULT(
        INDEX($X$5:$AM$77, MATCH(L$100,_xlfn.ANCHORARRAY( $W$5), 0), 0),
        $F$5:$U$20
    ),
    TRANSPOSE(
        INDEX($X$5:$AM$77, MATCH($A107,_xlfn.ANCHORARRAY( $W$5), 0), 0)
    )
)
/
(
    INDEX($AN$5:$AN$77, MATCH(L$100,_xlfn.ANCHORARRAY( $W$5), 0))
    *
    INDEX($AN$5:$AN$77, MATCH($A107,_xlfn.ANCHORARRAY( $W$5), 0))
)</f>
        <v>0.92395027888576764</v>
      </c>
      <c r="M107" s="17" cm="1">
        <f t="array" ref="M107">MMULT(
    MMULT(
        INDEX($X$5:$AM$77, MATCH(M$100,_xlfn.ANCHORARRAY( $W$5), 0), 0),
        $F$5:$U$20
    ),
    TRANSPOSE(
        INDEX($X$5:$AM$77, MATCH($A107,_xlfn.ANCHORARRAY( $W$5), 0), 0)
    )
)
/
(
    INDEX($AN$5:$AN$77, MATCH(M$100,_xlfn.ANCHORARRAY( $W$5), 0))
    *
    INDEX($AN$5:$AN$77, MATCH($A107,_xlfn.ANCHORARRAY( $W$5), 0))
)</f>
        <v>0.85826685019488402</v>
      </c>
      <c r="N107" s="17" cm="1">
        <f t="array" ref="N107">MMULT(
    MMULT(
        INDEX($X$5:$AM$77, MATCH(N$100,_xlfn.ANCHORARRAY( $W$5), 0), 0),
        $F$5:$U$20
    ),
    TRANSPOSE(
        INDEX($X$5:$AM$77, MATCH($A107,_xlfn.ANCHORARRAY( $W$5), 0), 0)
    )
)
/
(
    INDEX($AN$5:$AN$77, MATCH(N$100,_xlfn.ANCHORARRAY( $W$5), 0))
    *
    INDEX($AN$5:$AN$77, MATCH($A107,_xlfn.ANCHORARRAY( $W$5), 0))
)</f>
        <v>0.52339201835688587</v>
      </c>
      <c r="O107" s="17" cm="1">
        <f t="array" ref="O107">MMULT(
    MMULT(
        INDEX($X$5:$AM$77, MATCH(O$100,_xlfn.ANCHORARRAY( $W$5), 0), 0),
        $F$5:$U$20
    ),
    TRANSPOSE(
        INDEX($X$5:$AM$77, MATCH($A107,_xlfn.ANCHORARRAY( $W$5), 0), 0)
    )
)
/
(
    INDEX($AN$5:$AN$77, MATCH(O$100,_xlfn.ANCHORARRAY( $W$5), 0))
    *
    INDEX($AN$5:$AN$77, MATCH($A107,_xlfn.ANCHORARRAY( $W$5), 0))
)</f>
        <v>0.55006793210942384</v>
      </c>
      <c r="P107" s="17" cm="1">
        <f t="array" ref="P107">MMULT(
    MMULT(
        INDEX($X$5:$AM$77, MATCH(P$100,_xlfn.ANCHORARRAY( $W$5), 0), 0),
        $F$5:$U$20
    ),
    TRANSPOSE(
        INDEX($X$5:$AM$77, MATCH($A107,_xlfn.ANCHORARRAY( $W$5), 0), 0)
    )
)
/
(
    INDEX($AN$5:$AN$77, MATCH(P$100,_xlfn.ANCHORARRAY( $W$5), 0))
    *
    INDEX($AN$5:$AN$77, MATCH($A107,_xlfn.ANCHORARRAY( $W$5), 0))
)</f>
        <v>0.7320463604105838</v>
      </c>
      <c r="Q107" s="17" cm="1">
        <f t="array" ref="Q107">MMULT(
    MMULT(
        INDEX($X$5:$AM$77, MATCH(Q$100,_xlfn.ANCHORARRAY( $W$5), 0), 0),
        $F$5:$U$20
    ),
    TRANSPOSE(
        INDEX($X$5:$AM$77, MATCH($A107,_xlfn.ANCHORARRAY( $W$5), 0), 0)
    )
)
/
(
    INDEX($AN$5:$AN$77, MATCH(Q$100,_xlfn.ANCHORARRAY( $W$5), 0))
    *
    INDEX($AN$5:$AN$77, MATCH($A107,_xlfn.ANCHORARRAY( $W$5), 0))
)</f>
        <v>0.92417305938200778</v>
      </c>
      <c r="R107" s="17" cm="1">
        <f t="array" ref="R107">MMULT(
    MMULT(
        INDEX($X$5:$AM$77, MATCH(R$100,_xlfn.ANCHORARRAY( $W$5), 0), 0),
        $F$5:$U$20
    ),
    TRANSPOSE(
        INDEX($X$5:$AM$77, MATCH($A107,_xlfn.ANCHORARRAY( $W$5), 0), 0)
    )
)
/
(
    INDEX($AN$5:$AN$77, MATCH(R$100,_xlfn.ANCHORARRAY( $W$5), 0))
    *
    INDEX($AN$5:$AN$77, MATCH($A107,_xlfn.ANCHORARRAY( $W$5), 0))
)</f>
        <v>0.86918238252669178</v>
      </c>
      <c r="S107" s="17" cm="1">
        <f t="array" ref="S107">MMULT(
    MMULT(
        INDEX($X$5:$AM$77, MATCH(S$100,_xlfn.ANCHORARRAY( $W$5), 0), 0),
        $F$5:$U$20
    ),
    TRANSPOSE(
        INDEX($X$5:$AM$77, MATCH($A107,_xlfn.ANCHORARRAY( $W$5), 0), 0)
    )
)
/
(
    INDEX($AN$5:$AN$77, MATCH(S$100,_xlfn.ANCHORARRAY( $W$5), 0))
    *
    INDEX($AN$5:$AN$77, MATCH($A107,_xlfn.ANCHORARRAY( $W$5), 0))
)</f>
        <v>0.92396191498189528</v>
      </c>
      <c r="T107" s="17" cm="1">
        <f t="array" ref="T107">MMULT(
    MMULT(
        INDEX($X$5:$AM$77, MATCH(T$100,_xlfn.ANCHORARRAY( $W$5), 0), 0),
        $F$5:$U$20
    ),
    TRANSPOSE(
        INDEX($X$5:$AM$77, MATCH($A107,_xlfn.ANCHORARRAY( $W$5), 0), 0)
    )
)
/
(
    INDEX($AN$5:$AN$77, MATCH(T$100,_xlfn.ANCHORARRAY( $W$5), 0))
    *
    INDEX($AN$5:$AN$77, MATCH($A107,_xlfn.ANCHORARRAY( $W$5), 0))
)</f>
        <v>0.32834525261839242</v>
      </c>
      <c r="U107" s="17" cm="1">
        <f t="array" ref="U107">MMULT(
    MMULT(
        INDEX($X$5:$AM$77, MATCH(U$100,_xlfn.ANCHORARRAY( $W$5), 0), 0),
        $F$5:$U$20
    ),
    TRANSPOSE(
        INDEX($X$5:$AM$77, MATCH($A107,_xlfn.ANCHORARRAY( $W$5), 0), 0)
    )
)
/
(
    INDEX($AN$5:$AN$77, MATCH(U$100,_xlfn.ANCHORARRAY( $W$5), 0))
    *
    INDEX($AN$5:$AN$77, MATCH($A107,_xlfn.ANCHORARRAY( $W$5), 0))
)</f>
        <v>0.80299909548646198</v>
      </c>
      <c r="V107" s="17" cm="1">
        <f t="array" ref="V107">MMULT(
    MMULT(
        INDEX($X$5:$AM$77, MATCH(V$100,_xlfn.ANCHORARRAY( $W$5), 0), 0),
        $F$5:$U$20
    ),
    TRANSPOSE(
        INDEX($X$5:$AM$77, MATCH($A107,_xlfn.ANCHORARRAY( $W$5), 0), 0)
    )
)
/
(
    INDEX($AN$5:$AN$77, MATCH(V$100,_xlfn.ANCHORARRAY( $W$5), 0))
    *
    INDEX($AN$5:$AN$77, MATCH($A107,_xlfn.ANCHORARRAY( $W$5), 0))
)</f>
        <v>0.64655539322248112</v>
      </c>
      <c r="W107" s="17" cm="1">
        <f t="array" ref="W107">MMULT(
    MMULT(
        INDEX($X$5:$AM$77, MATCH(W$100,_xlfn.ANCHORARRAY( $W$5), 0), 0),
        $F$5:$U$20
    ),
    TRANSPOSE(
        INDEX($X$5:$AM$77, MATCH($A107,_xlfn.ANCHORARRAY( $W$5), 0), 0)
    )
)
/
(
    INDEX($AN$5:$AN$77, MATCH(W$100,_xlfn.ANCHORARRAY( $W$5), 0))
    *
    INDEX($AN$5:$AN$77, MATCH($A107,_xlfn.ANCHORARRAY( $W$5), 0))
)</f>
        <v>0.64075931722748647</v>
      </c>
      <c r="X107" s="17" cm="1">
        <f t="array" ref="X107">MMULT(
    MMULT(
        INDEX($X$5:$AM$77, MATCH(X$100,_xlfn.ANCHORARRAY( $W$5), 0), 0),
        $F$5:$U$20
    ),
    TRANSPOSE(
        INDEX($X$5:$AM$77, MATCH($A107,_xlfn.ANCHORARRAY( $W$5), 0), 0)
    )
)
/
(
    INDEX($AN$5:$AN$77, MATCH(X$100,_xlfn.ANCHORARRAY( $W$5), 0))
    *
    INDEX($AN$5:$AN$77, MATCH($A107,_xlfn.ANCHORARRAY( $W$5), 0))
)</f>
        <v>0.6598522964503879</v>
      </c>
      <c r="Y107" s="17" cm="1">
        <f t="array" ref="Y107">MMULT(
    MMULT(
        INDEX($X$5:$AM$77, MATCH(Y$100,_xlfn.ANCHORARRAY( $W$5), 0), 0),
        $F$5:$U$20
    ),
    TRANSPOSE(
        INDEX($X$5:$AM$77, MATCH($A107,_xlfn.ANCHORARRAY( $W$5), 0), 0)
    )
)
/
(
    INDEX($AN$5:$AN$77, MATCH(Y$100,_xlfn.ANCHORARRAY( $W$5), 0))
    *
    INDEX($AN$5:$AN$77, MATCH($A107,_xlfn.ANCHORARRAY( $W$5), 0))
)</f>
        <v>0.74129821332135504</v>
      </c>
      <c r="Z107" s="17" cm="1">
        <f t="array" ref="Z107">MMULT(
    MMULT(
        INDEX($X$5:$AM$77, MATCH(Z$100,_xlfn.ANCHORARRAY( $W$5), 0), 0),
        $F$5:$U$20
    ),
    TRANSPOSE(
        INDEX($X$5:$AM$77, MATCH($A107,_xlfn.ANCHORARRAY( $W$5), 0), 0)
    )
)
/
(
    INDEX($AN$5:$AN$77, MATCH(Z$100,_xlfn.ANCHORARRAY( $W$5), 0))
    *
    INDEX($AN$5:$AN$77, MATCH($A107,_xlfn.ANCHORARRAY( $W$5), 0))
)</f>
        <v>0.74151304711249089</v>
      </c>
      <c r="AA107" s="17" cm="1">
        <f t="array" ref="AA107">MMULT(
    MMULT(
        INDEX($X$5:$AM$77, MATCH(AA$100,_xlfn.ANCHORARRAY( $W$5), 0), 0),
        $F$5:$U$20
    ),
    TRANSPOSE(
        INDEX($X$5:$AM$77, MATCH($A107,_xlfn.ANCHORARRAY( $W$5), 0), 0)
    )
)
/
(
    INDEX($AN$5:$AN$77, MATCH(AA$100,_xlfn.ANCHORARRAY( $W$5), 0))
    *
    INDEX($AN$5:$AN$77, MATCH($A107,_xlfn.ANCHORARRAY( $W$5), 0))
)</f>
        <v>0.64687990985381572</v>
      </c>
      <c r="AB107" s="17" cm="1">
        <f t="array" ref="AB107">MMULT(
    MMULT(
        INDEX($X$5:$AM$77, MATCH(AB$100,_xlfn.ANCHORARRAY( $W$5), 0), 0),
        $F$5:$U$20
    ),
    TRANSPOSE(
        INDEX($X$5:$AM$77, MATCH($A107,_xlfn.ANCHORARRAY( $W$5), 0), 0)
    )
)
/
(
    INDEX($AN$5:$AN$77, MATCH(AB$100,_xlfn.ANCHORARRAY( $W$5), 0))
    *
    INDEX($AN$5:$AN$77, MATCH($A107,_xlfn.ANCHORARRAY( $W$5), 0))
)</f>
        <v>0.78248701528139386</v>
      </c>
      <c r="AC107" s="17" cm="1">
        <f t="array" ref="AC107">MMULT(
    MMULT(
        INDEX($X$5:$AM$77, MATCH(AC$100,_xlfn.ANCHORARRAY( $W$5), 0), 0),
        $F$5:$U$20
    ),
    TRANSPOSE(
        INDEX($X$5:$AM$77, MATCH($A107,_xlfn.ANCHORARRAY( $W$5), 0), 0)
    )
)
/
(
    INDEX($AN$5:$AN$77, MATCH(AC$100,_xlfn.ANCHORARRAY( $W$5), 0))
    *
    INDEX($AN$5:$AN$77, MATCH($A107,_xlfn.ANCHORARRAY( $W$5), 0))
)</f>
        <v>0.68127502921345784</v>
      </c>
      <c r="AD107" s="17" cm="1">
        <f t="array" ref="AD107">MMULT(
    MMULT(
        INDEX($X$5:$AM$77, MATCH(AD$100,_xlfn.ANCHORARRAY( $W$5), 0), 0),
        $F$5:$U$20
    ),
    TRANSPOSE(
        INDEX($X$5:$AM$77, MATCH($A107,_xlfn.ANCHORARRAY( $W$5), 0), 0)
    )
)
/
(
    INDEX($AN$5:$AN$77, MATCH(AD$100,_xlfn.ANCHORARRAY( $W$5), 0))
    *
    INDEX($AN$5:$AN$77, MATCH($A107,_xlfn.ANCHORARRAY( $W$5), 0))
)</f>
        <v>0.77490626668414653</v>
      </c>
      <c r="AE107" s="17" cm="1">
        <f t="array" ref="AE107">MMULT(
    MMULT(
        INDEX($X$5:$AM$77, MATCH(AE$100,_xlfn.ANCHORARRAY( $W$5), 0), 0),
        $F$5:$U$20
    ),
    TRANSPOSE(
        INDEX($X$5:$AM$77, MATCH($A107,_xlfn.ANCHORARRAY( $W$5), 0), 0)
    )
)
/
(
    INDEX($AN$5:$AN$77, MATCH(AE$100,_xlfn.ANCHORARRAY( $W$5), 0))
    *
    INDEX($AN$5:$AN$77, MATCH($A107,_xlfn.ANCHORARRAY( $W$5), 0))
)</f>
        <v>0.84604468363991081</v>
      </c>
      <c r="AF107" s="17" cm="1">
        <f t="array" ref="AF107">MMULT(
    MMULT(
        INDEX($X$5:$AM$77, MATCH(AF$100,_xlfn.ANCHORARRAY( $W$5), 0), 0),
        $F$5:$U$20
    ),
    TRANSPOSE(
        INDEX($X$5:$AM$77, MATCH($A107,_xlfn.ANCHORARRAY( $W$5), 0), 0)
    )
)
/
(
    INDEX($AN$5:$AN$77, MATCH(AF$100,_xlfn.ANCHORARRAY( $W$5), 0))
    *
    INDEX($AN$5:$AN$77, MATCH($A107,_xlfn.ANCHORARRAY( $W$5), 0))
)</f>
        <v>0.84335091641647686</v>
      </c>
      <c r="AG107" s="17" cm="1">
        <f t="array" ref="AG107">MMULT(
    MMULT(
        INDEX($X$5:$AM$77, MATCH(AG$100,_xlfn.ANCHORARRAY( $W$5), 0), 0),
        $F$5:$U$20
    ),
    TRANSPOSE(
        INDEX($X$5:$AM$77, MATCH($A107,_xlfn.ANCHORARRAY( $W$5), 0), 0)
    )
)
/
(
    INDEX($AN$5:$AN$77, MATCH(AG$100,_xlfn.ANCHORARRAY( $W$5), 0))
    *
    INDEX($AN$5:$AN$77, MATCH($A107,_xlfn.ANCHORARRAY( $W$5), 0))
)</f>
        <v>0.96039404239261761</v>
      </c>
      <c r="AH107" s="17" cm="1">
        <f t="array" ref="AH107">MMULT(
    MMULT(
        INDEX($X$5:$AM$77, MATCH(AH$100,_xlfn.ANCHORARRAY( $W$5), 0), 0),
        $F$5:$U$20
    ),
    TRANSPOSE(
        INDEX($X$5:$AM$77, MATCH($A107,_xlfn.ANCHORARRAY( $W$5), 0), 0)
    )
)
/
(
    INDEX($AN$5:$AN$77, MATCH(AH$100,_xlfn.ANCHORARRAY( $W$5), 0))
    *
    INDEX($AN$5:$AN$77, MATCH($A107,_xlfn.ANCHORARRAY( $W$5), 0))
)</f>
        <v>0.79023212874745996</v>
      </c>
      <c r="AI107" s="17" cm="1">
        <f t="array" ref="AI107">MMULT(
    MMULT(
        INDEX($X$5:$AM$77, MATCH(AI$100,_xlfn.ANCHORARRAY( $W$5), 0), 0),
        $F$5:$U$20
    ),
    TRANSPOSE(
        INDEX($X$5:$AM$77, MATCH($A107,_xlfn.ANCHORARRAY( $W$5), 0), 0)
    )
)
/
(
    INDEX($AN$5:$AN$77, MATCH(AI$100,_xlfn.ANCHORARRAY( $W$5), 0))
    *
    INDEX($AN$5:$AN$77, MATCH($A107,_xlfn.ANCHORARRAY( $W$5), 0))
)</f>
        <v>0.93044762443568241</v>
      </c>
      <c r="AJ107" s="17" cm="1">
        <f t="array" ref="AJ107">MMULT(
    MMULT(
        INDEX($X$5:$AM$77, MATCH(AJ$100,_xlfn.ANCHORARRAY( $W$5), 0), 0),
        $F$5:$U$20
    ),
    TRANSPOSE(
        INDEX($X$5:$AM$77, MATCH($A107,_xlfn.ANCHORARRAY( $W$5), 0), 0)
    )
)
/
(
    INDEX($AN$5:$AN$77, MATCH(AJ$100,_xlfn.ANCHORARRAY( $W$5), 0))
    *
    INDEX($AN$5:$AN$77, MATCH($A107,_xlfn.ANCHORARRAY( $W$5), 0))
)</f>
        <v>0.67620841849417357</v>
      </c>
      <c r="AK107" s="17" cm="1">
        <f t="array" ref="AK107">MMULT(
    MMULT(
        INDEX($X$5:$AM$77, MATCH(AK$100,_xlfn.ANCHORARRAY( $W$5), 0), 0),
        $F$5:$U$20
    ),
    TRANSPOSE(
        INDEX($X$5:$AM$77, MATCH($A107,_xlfn.ANCHORARRAY( $W$5), 0), 0)
    )
)
/
(
    INDEX($AN$5:$AN$77, MATCH(AK$100,_xlfn.ANCHORARRAY( $W$5), 0))
    *
    INDEX($AN$5:$AN$77, MATCH($A107,_xlfn.ANCHORARRAY( $W$5), 0))
)</f>
        <v>0.94391723233597624</v>
      </c>
      <c r="AL107" s="17" cm="1">
        <f t="array" ref="AL107">MMULT(
    MMULT(
        INDEX($X$5:$AM$77, MATCH(AL$100,_xlfn.ANCHORARRAY( $W$5), 0), 0),
        $F$5:$U$20
    ),
    TRANSPOSE(
        INDEX($X$5:$AM$77, MATCH($A107,_xlfn.ANCHORARRAY( $W$5), 0), 0)
    )
)
/
(
    INDEX($AN$5:$AN$77, MATCH(AL$100,_xlfn.ANCHORARRAY( $W$5), 0))
    *
    INDEX($AN$5:$AN$77, MATCH($A107,_xlfn.ANCHORARRAY( $W$5), 0))
)</f>
        <v>0.57559913905568771</v>
      </c>
      <c r="AM107" s="17" cm="1">
        <f t="array" ref="AM107">MMULT(
    MMULT(
        INDEX($X$5:$AM$77, MATCH(AM$100,_xlfn.ANCHORARRAY( $W$5), 0), 0),
        $F$5:$U$20
    ),
    TRANSPOSE(
        INDEX($X$5:$AM$77, MATCH($A107,_xlfn.ANCHORARRAY( $W$5), 0), 0)
    )
)
/
(
    INDEX($AN$5:$AN$77, MATCH(AM$100,_xlfn.ANCHORARRAY( $W$5), 0))
    *
    INDEX($AN$5:$AN$77, MATCH($A107,_xlfn.ANCHORARRAY( $W$5), 0))
)</f>
        <v>0.83807407483707475</v>
      </c>
      <c r="AN107" s="17" cm="1">
        <f t="array" ref="AN107">MMULT(
    MMULT(
        INDEX($X$5:$AM$77, MATCH(AN$100,_xlfn.ANCHORARRAY( $W$5), 0), 0),
        $F$5:$U$20
    ),
    TRANSPOSE(
        INDEX($X$5:$AM$77, MATCH($A107,_xlfn.ANCHORARRAY( $W$5), 0), 0)
    )
)
/
(
    INDEX($AN$5:$AN$77, MATCH(AN$100,_xlfn.ANCHORARRAY( $W$5), 0))
    *
    INDEX($AN$5:$AN$77, MATCH($A107,_xlfn.ANCHORARRAY( $W$5), 0))
)</f>
        <v>0.88464229676946693</v>
      </c>
      <c r="AO107" s="17" cm="1">
        <f t="array" ref="AO107">MMULT(
    MMULT(
        INDEX($X$5:$AM$77, MATCH(AO$100,_xlfn.ANCHORARRAY( $W$5), 0), 0),
        $F$5:$U$20
    ),
    TRANSPOSE(
        INDEX($X$5:$AM$77, MATCH($A107,_xlfn.ANCHORARRAY( $W$5), 0), 0)
    )
)
/
(
    INDEX($AN$5:$AN$77, MATCH(AO$100,_xlfn.ANCHORARRAY( $W$5), 0))
    *
    INDEX($AN$5:$AN$77, MATCH($A107,_xlfn.ANCHORARRAY( $W$5), 0))
)</f>
        <v>0.89459760628201901</v>
      </c>
      <c r="AP107" s="17" cm="1">
        <f t="array" ref="AP107">MMULT(
    MMULT(
        INDEX($X$5:$AM$77, MATCH(AP$100,_xlfn.ANCHORARRAY( $W$5), 0), 0),
        $F$5:$U$20
    ),
    TRANSPOSE(
        INDEX($X$5:$AM$77, MATCH($A107,_xlfn.ANCHORARRAY( $W$5), 0), 0)
    )
)
/
(
    INDEX($AN$5:$AN$77, MATCH(AP$100,_xlfn.ANCHORARRAY( $W$5), 0))
    *
    INDEX($AN$5:$AN$77, MATCH($A107,_xlfn.ANCHORARRAY( $W$5), 0))
)</f>
        <v>0.75511286339353789</v>
      </c>
      <c r="AQ107" s="17" cm="1">
        <f t="array" ref="AQ107">MMULT(
    MMULT(
        INDEX($X$5:$AM$77, MATCH(AQ$100,_xlfn.ANCHORARRAY( $W$5), 0), 0),
        $F$5:$U$20
    ),
    TRANSPOSE(
        INDEX($X$5:$AM$77, MATCH($A107,_xlfn.ANCHORARRAY( $W$5), 0), 0)
    )
)
/
(
    INDEX($AN$5:$AN$77, MATCH(AQ$100,_xlfn.ANCHORARRAY( $W$5), 0))
    *
    INDEX($AN$5:$AN$77, MATCH($A107,_xlfn.ANCHORARRAY( $W$5), 0))
)</f>
        <v>0.81390950689029107</v>
      </c>
      <c r="AR107" s="17" cm="1">
        <f t="array" ref="AR107">MMULT(
    MMULT(
        INDEX($X$5:$AM$77, MATCH(AR$100,_xlfn.ANCHORARRAY( $W$5), 0), 0),
        $F$5:$U$20
    ),
    TRANSPOSE(
        INDEX($X$5:$AM$77, MATCH($A107,_xlfn.ANCHORARRAY( $W$5), 0), 0)
    )
)
/
(
    INDEX($AN$5:$AN$77, MATCH(AR$100,_xlfn.ANCHORARRAY( $W$5), 0))
    *
    INDEX($AN$5:$AN$77, MATCH($A107,_xlfn.ANCHORARRAY( $W$5), 0))
)</f>
        <v>0.70055805260549742</v>
      </c>
      <c r="AS107" s="17" cm="1">
        <f t="array" ref="AS107">MMULT(
    MMULT(
        INDEX($X$5:$AM$77, MATCH(AS$100,_xlfn.ANCHORARRAY( $W$5), 0), 0),
        $F$5:$U$20
    ),
    TRANSPOSE(
        INDEX($X$5:$AM$77, MATCH($A107,_xlfn.ANCHORARRAY( $W$5), 0), 0)
    )
)
/
(
    INDEX($AN$5:$AN$77, MATCH(AS$100,_xlfn.ANCHORARRAY( $W$5), 0))
    *
    INDEX($AN$5:$AN$77, MATCH($A107,_xlfn.ANCHORARRAY( $W$5), 0))
)</f>
        <v>0.75442321630590092</v>
      </c>
      <c r="AT107" s="17" cm="1">
        <f t="array" ref="AT107">MMULT(
    MMULT(
        INDEX($X$5:$AM$77, MATCH(AT$100,_xlfn.ANCHORARRAY( $W$5), 0), 0),
        $F$5:$U$20
    ),
    TRANSPOSE(
        INDEX($X$5:$AM$77, MATCH($A107,_xlfn.ANCHORARRAY( $W$5), 0), 0)
    )
)
/
(
    INDEX($AN$5:$AN$77, MATCH(AT$100,_xlfn.ANCHORARRAY( $W$5), 0))
    *
    INDEX($AN$5:$AN$77, MATCH($A107,_xlfn.ANCHORARRAY( $W$5), 0))
)</f>
        <v>0.95591183459186935</v>
      </c>
      <c r="AU107" s="17" cm="1">
        <f t="array" ref="AU107">MMULT(
    MMULT(
        INDEX($X$5:$AM$77, MATCH(AU$100,_xlfn.ANCHORARRAY( $W$5), 0), 0),
        $F$5:$U$20
    ),
    TRANSPOSE(
        INDEX($X$5:$AM$77, MATCH($A107,_xlfn.ANCHORARRAY( $W$5), 0), 0)
    )
)
/
(
    INDEX($AN$5:$AN$77, MATCH(AU$100,_xlfn.ANCHORARRAY( $W$5), 0))
    *
    INDEX($AN$5:$AN$77, MATCH($A107,_xlfn.ANCHORARRAY( $W$5), 0))
)</f>
        <v>0.71209791779059228</v>
      </c>
      <c r="AV107" s="17" cm="1">
        <f t="array" ref="AV107">MMULT(
    MMULT(
        INDEX($X$5:$AM$77, MATCH(AV$100,_xlfn.ANCHORARRAY( $W$5), 0), 0),
        $F$5:$U$20
    ),
    TRANSPOSE(
        INDEX($X$5:$AM$77, MATCH($A107,_xlfn.ANCHORARRAY( $W$5), 0), 0)
    )
)
/
(
    INDEX($AN$5:$AN$77, MATCH(AV$100,_xlfn.ANCHORARRAY( $W$5), 0))
    *
    INDEX($AN$5:$AN$77, MATCH($A107,_xlfn.ANCHORARRAY( $W$5), 0))
)</f>
        <v>0.6946775378670198</v>
      </c>
      <c r="AW107" s="17" cm="1">
        <f t="array" ref="AW107">MMULT(
    MMULT(
        INDEX($X$5:$AM$77, MATCH(AW$100,_xlfn.ANCHORARRAY( $W$5), 0), 0),
        $F$5:$U$20
    ),
    TRANSPOSE(
        INDEX($X$5:$AM$77, MATCH($A107,_xlfn.ANCHORARRAY( $W$5), 0), 0)
    )
)
/
(
    INDEX($AN$5:$AN$77, MATCH(AW$100,_xlfn.ANCHORARRAY( $W$5), 0))
    *
    INDEX($AN$5:$AN$77, MATCH($A107,_xlfn.ANCHORARRAY( $W$5), 0))
)</f>
        <v>0.76535370386060275</v>
      </c>
      <c r="AX107" s="17" cm="1">
        <f t="array" ref="AX107">MMULT(
    MMULT(
        INDEX($X$5:$AM$77, MATCH(AX$100,_xlfn.ANCHORARRAY( $W$5), 0), 0),
        $F$5:$U$20
    ),
    TRANSPOSE(
        INDEX($X$5:$AM$77, MATCH($A107,_xlfn.ANCHORARRAY( $W$5), 0), 0)
    )
)
/
(
    INDEX($AN$5:$AN$77, MATCH(AX$100,_xlfn.ANCHORARRAY( $W$5), 0))
    *
    INDEX($AN$5:$AN$77, MATCH($A107,_xlfn.ANCHORARRAY( $W$5), 0))
)</f>
        <v>0.76229825264630147</v>
      </c>
      <c r="AY107" s="17" cm="1">
        <f t="array" ref="AY107">MMULT(
    MMULT(
        INDEX($X$5:$AM$77, MATCH(AY$100,_xlfn.ANCHORARRAY( $W$5), 0), 0),
        $F$5:$U$20
    ),
    TRANSPOSE(
        INDEX($X$5:$AM$77, MATCH($A107,_xlfn.ANCHORARRAY( $W$5), 0), 0)
    )
)
/
(
    INDEX($AN$5:$AN$77, MATCH(AY$100,_xlfn.ANCHORARRAY( $W$5), 0))
    *
    INDEX($AN$5:$AN$77, MATCH($A107,_xlfn.ANCHORARRAY( $W$5), 0))
)</f>
        <v>0.70677493586740991</v>
      </c>
      <c r="AZ107" s="17" cm="1">
        <f t="array" ref="AZ107">MMULT(
    MMULT(
        INDEX($X$5:$AM$77, MATCH(AZ$100,_xlfn.ANCHORARRAY( $W$5), 0), 0),
        $F$5:$U$20
    ),
    TRANSPOSE(
        INDEX($X$5:$AM$77, MATCH($A107,_xlfn.ANCHORARRAY( $W$5), 0), 0)
    )
)
/
(
    INDEX($AN$5:$AN$77, MATCH(AZ$100,_xlfn.ANCHORARRAY( $W$5), 0))
    *
    INDEX($AN$5:$AN$77, MATCH($A107,_xlfn.ANCHORARRAY( $W$5), 0))
)</f>
        <v>0.73439773387655027</v>
      </c>
      <c r="BA107" s="17" cm="1">
        <f t="array" ref="BA107">MMULT(
    MMULT(
        INDEX($X$5:$AM$77, MATCH(BA$100,_xlfn.ANCHORARRAY( $W$5), 0), 0),
        $F$5:$U$20
    ),
    TRANSPOSE(
        INDEX($X$5:$AM$77, MATCH($A107,_xlfn.ANCHORARRAY( $W$5), 0), 0)
    )
)
/
(
    INDEX($AN$5:$AN$77, MATCH(BA$100,_xlfn.ANCHORARRAY( $W$5), 0))
    *
    INDEX($AN$5:$AN$77, MATCH($A107,_xlfn.ANCHORARRAY( $W$5), 0))
)</f>
        <v>0.72398368911678435</v>
      </c>
      <c r="BB107" s="17" cm="1">
        <f t="array" ref="BB107">MMULT(
    MMULT(
        INDEX($X$5:$AM$77, MATCH(BB$100,_xlfn.ANCHORARRAY( $W$5), 0), 0),
        $F$5:$U$20
    ),
    TRANSPOSE(
        INDEX($X$5:$AM$77, MATCH($A107,_xlfn.ANCHORARRAY( $W$5), 0), 0)
    )
)
/
(
    INDEX($AN$5:$AN$77, MATCH(BB$100,_xlfn.ANCHORARRAY( $W$5), 0))
    *
    INDEX($AN$5:$AN$77, MATCH($A107,_xlfn.ANCHORARRAY( $W$5), 0))
)</f>
        <v>0.66069554306322598</v>
      </c>
      <c r="BC107" s="17" cm="1">
        <f t="array" ref="BC107">MMULT(
    MMULT(
        INDEX($X$5:$AM$77, MATCH(BC$100,_xlfn.ANCHORARRAY( $W$5), 0), 0),
        $F$5:$U$20
    ),
    TRANSPOSE(
        INDEX($X$5:$AM$77, MATCH($A107,_xlfn.ANCHORARRAY( $W$5), 0), 0)
    )
)
/
(
    INDEX($AN$5:$AN$77, MATCH(BC$100,_xlfn.ANCHORARRAY( $W$5), 0))
    *
    INDEX($AN$5:$AN$77, MATCH($A107,_xlfn.ANCHORARRAY( $W$5), 0))
)</f>
        <v>0.94978178224041332</v>
      </c>
      <c r="BD107" s="17" cm="1">
        <f t="array" ref="BD107">MMULT(
    MMULT(
        INDEX($X$5:$AM$77, MATCH(BD$100,_xlfn.ANCHORARRAY( $W$5), 0), 0),
        $F$5:$U$20
    ),
    TRANSPOSE(
        INDEX($X$5:$AM$77, MATCH($A107,_xlfn.ANCHORARRAY( $W$5), 0), 0)
    )
)
/
(
    INDEX($AN$5:$AN$77, MATCH(BD$100,_xlfn.ANCHORARRAY( $W$5), 0))
    *
    INDEX($AN$5:$AN$77, MATCH($A107,_xlfn.ANCHORARRAY( $W$5), 0))
)</f>
        <v>0.64015689813305288</v>
      </c>
      <c r="BE107" s="17" cm="1">
        <f t="array" ref="BE107">MMULT(
    MMULT(
        INDEX($X$5:$AM$77, MATCH(BE$100,_xlfn.ANCHORARRAY( $W$5), 0), 0),
        $F$5:$U$20
    ),
    TRANSPOSE(
        INDEX($X$5:$AM$77, MATCH($A107,_xlfn.ANCHORARRAY( $W$5), 0), 0)
    )
)
/
(
    INDEX($AN$5:$AN$77, MATCH(BE$100,_xlfn.ANCHORARRAY( $W$5), 0))
    *
    INDEX($AN$5:$AN$77, MATCH($A107,_xlfn.ANCHORARRAY( $W$5), 0))
)</f>
        <v>0.83837747232367621</v>
      </c>
      <c r="BF107" s="17" cm="1">
        <f t="array" ref="BF107">MMULT(
    MMULT(
        INDEX($X$5:$AM$77, MATCH(BF$100,_xlfn.ANCHORARRAY( $W$5), 0), 0),
        $F$5:$U$20
    ),
    TRANSPOSE(
        INDEX($X$5:$AM$77, MATCH($A107,_xlfn.ANCHORARRAY( $W$5), 0), 0)
    )
)
/
(
    INDEX($AN$5:$AN$77, MATCH(BF$100,_xlfn.ANCHORARRAY( $W$5), 0))
    *
    INDEX($AN$5:$AN$77, MATCH($A107,_xlfn.ANCHORARRAY( $W$5), 0))
)</f>
        <v>0.77200101354884387</v>
      </c>
      <c r="BG107" s="17" cm="1">
        <f t="array" ref="BG107">MMULT(
    MMULT(
        INDEX($X$5:$AM$77, MATCH(BG$100,_xlfn.ANCHORARRAY( $W$5), 0), 0),
        $F$5:$U$20
    ),
    TRANSPOSE(
        INDEX($X$5:$AM$77, MATCH($A107,_xlfn.ANCHORARRAY( $W$5), 0), 0)
    )
)
/
(
    INDEX($AN$5:$AN$77, MATCH(BG$100,_xlfn.ANCHORARRAY( $W$5), 0))
    *
    INDEX($AN$5:$AN$77, MATCH($A107,_xlfn.ANCHORARRAY( $W$5), 0))
)</f>
        <v>0.68971138921456265</v>
      </c>
      <c r="BH107" s="17" cm="1">
        <f t="array" ref="BH107">MMULT(
    MMULT(
        INDEX($X$5:$AM$77, MATCH(BH$100,_xlfn.ANCHORARRAY( $W$5), 0), 0),
        $F$5:$U$20
    ),
    TRANSPOSE(
        INDEX($X$5:$AM$77, MATCH($A107,_xlfn.ANCHORARRAY( $W$5), 0), 0)
    )
)
/
(
    INDEX($AN$5:$AN$77, MATCH(BH$100,_xlfn.ANCHORARRAY( $W$5), 0))
    *
    INDEX($AN$5:$AN$77, MATCH($A107,_xlfn.ANCHORARRAY( $W$5), 0))
)</f>
        <v>0.83554701322968061</v>
      </c>
      <c r="BI107" s="17" cm="1">
        <f t="array" ref="BI107">MMULT(
    MMULT(
        INDEX($X$5:$AM$77, MATCH(BI$100,_xlfn.ANCHORARRAY( $W$5), 0), 0),
        $F$5:$U$20
    ),
    TRANSPOSE(
        INDEX($X$5:$AM$77, MATCH($A107,_xlfn.ANCHORARRAY( $W$5), 0), 0)
    )
)
/
(
    INDEX($AN$5:$AN$77, MATCH(BI$100,_xlfn.ANCHORARRAY( $W$5), 0))
    *
    INDEX($AN$5:$AN$77, MATCH($A107,_xlfn.ANCHORARRAY( $W$5), 0))
)</f>
        <v>0.67162749599532789</v>
      </c>
      <c r="BJ107" s="17" cm="1">
        <f t="array" ref="BJ107">MMULT(
    MMULT(
        INDEX($X$5:$AM$77, MATCH(BJ$100,_xlfn.ANCHORARRAY( $W$5), 0), 0),
        $F$5:$U$20
    ),
    TRANSPOSE(
        INDEX($X$5:$AM$77, MATCH($A107,_xlfn.ANCHORARRAY( $W$5), 0), 0)
    )
)
/
(
    INDEX($AN$5:$AN$77, MATCH(BJ$100,_xlfn.ANCHORARRAY( $W$5), 0))
    *
    INDEX($AN$5:$AN$77, MATCH($A107,_xlfn.ANCHORARRAY( $W$5), 0))
)</f>
        <v>0.90049432898369297</v>
      </c>
      <c r="BK107" s="17" cm="1">
        <f t="array" ref="BK107">MMULT(
    MMULT(
        INDEX($X$5:$AM$77, MATCH(BK$100,_xlfn.ANCHORARRAY( $W$5), 0), 0),
        $F$5:$U$20
    ),
    TRANSPOSE(
        INDEX($X$5:$AM$77, MATCH($A107,_xlfn.ANCHORARRAY( $W$5), 0), 0)
    )
)
/
(
    INDEX($AN$5:$AN$77, MATCH(BK$100,_xlfn.ANCHORARRAY( $W$5), 0))
    *
    INDEX($AN$5:$AN$77, MATCH($A107,_xlfn.ANCHORARRAY( $W$5), 0))
)</f>
        <v>0.67143134217847611</v>
      </c>
      <c r="BL107" s="17" cm="1">
        <f t="array" ref="BL107">MMULT(
    MMULT(
        INDEX($X$5:$AM$77, MATCH(BL$100,_xlfn.ANCHORARRAY( $W$5), 0), 0),
        $F$5:$U$20
    ),
    TRANSPOSE(
        INDEX($X$5:$AM$77, MATCH($A107,_xlfn.ANCHORARRAY( $W$5), 0), 0)
    )
)
/
(
    INDEX($AN$5:$AN$77, MATCH(BL$100,_xlfn.ANCHORARRAY( $W$5), 0))
    *
    INDEX($AN$5:$AN$77, MATCH($A107,_xlfn.ANCHORARRAY( $W$5), 0))
)</f>
        <v>0.17049259409654705</v>
      </c>
      <c r="BM107" s="17" cm="1">
        <f t="array" ref="BM107">MMULT(
    MMULT(
        INDEX($X$5:$AM$77, MATCH(BM$100,_xlfn.ANCHORARRAY( $W$5), 0), 0),
        $F$5:$U$20
    ),
    TRANSPOSE(
        INDEX($X$5:$AM$77, MATCH($A107,_xlfn.ANCHORARRAY( $W$5), 0), 0)
    )
)
/
(
    INDEX($AN$5:$AN$77, MATCH(BM$100,_xlfn.ANCHORARRAY( $W$5), 0))
    *
    INDEX($AN$5:$AN$77, MATCH($A107,_xlfn.ANCHORARRAY( $W$5), 0))
)</f>
        <v>0.52737634536513944</v>
      </c>
      <c r="BN107" s="17" cm="1">
        <f t="array" ref="BN107">MMULT(
    MMULT(
        INDEX($X$5:$AM$77, MATCH(BN$100,_xlfn.ANCHORARRAY( $W$5), 0), 0),
        $F$5:$U$20
    ),
    TRANSPOSE(
        INDEX($X$5:$AM$77, MATCH($A107,_xlfn.ANCHORARRAY( $W$5), 0), 0)
    )
)
/
(
    INDEX($AN$5:$AN$77, MATCH(BN$100,_xlfn.ANCHORARRAY( $W$5), 0))
    *
    INDEX($AN$5:$AN$77, MATCH($A107,_xlfn.ANCHORARRAY( $W$5), 0))
)</f>
        <v>0.89866680592113468</v>
      </c>
      <c r="BO107" s="17" cm="1">
        <f t="array" ref="BO107">MMULT(
    MMULT(
        INDEX($X$5:$AM$77, MATCH(BO$100,_xlfn.ANCHORARRAY( $W$5), 0), 0),
        $F$5:$U$20
    ),
    TRANSPOSE(
        INDEX($X$5:$AM$77, MATCH($A107,_xlfn.ANCHORARRAY( $W$5), 0), 0)
    )
)
/
(
    INDEX($AN$5:$AN$77, MATCH(BO$100,_xlfn.ANCHORARRAY( $W$5), 0))
    *
    INDEX($AN$5:$AN$77, MATCH($A107,_xlfn.ANCHORARRAY( $W$5), 0))
)</f>
        <v>0.82872952171307812</v>
      </c>
      <c r="BP107" s="17" cm="1">
        <f t="array" ref="BP107">MMULT(
    MMULT(
        INDEX($X$5:$AM$77, MATCH(BP$100,_xlfn.ANCHORARRAY( $W$5), 0), 0),
        $F$5:$U$20
    ),
    TRANSPOSE(
        INDEX($X$5:$AM$77, MATCH($A107,_xlfn.ANCHORARRAY( $W$5), 0), 0)
    )
)
/
(
    INDEX($AN$5:$AN$77, MATCH(BP$100,_xlfn.ANCHORARRAY( $W$5), 0))
    *
    INDEX($AN$5:$AN$77, MATCH($A107,_xlfn.ANCHORARRAY( $W$5), 0))
)</f>
        <v>0.81835195725801635</v>
      </c>
      <c r="BQ107" s="17" cm="1">
        <f t="array" ref="BQ107">MMULT(
    MMULT(
        INDEX($X$5:$AM$77, MATCH(BQ$100,_xlfn.ANCHORARRAY( $W$5), 0), 0),
        $F$5:$U$20
    ),
    TRANSPOSE(
        INDEX($X$5:$AM$77, MATCH($A107,_xlfn.ANCHORARRAY( $W$5), 0), 0)
    )
)
/
(
    INDEX($AN$5:$AN$77, MATCH(BQ$100,_xlfn.ANCHORARRAY( $W$5), 0))
    *
    INDEX($AN$5:$AN$77, MATCH($A107,_xlfn.ANCHORARRAY( $W$5), 0))
)</f>
        <v>0.71948885292554199</v>
      </c>
      <c r="BR107" s="17" cm="1">
        <f t="array" ref="BR107">MMULT(
    MMULT(
        INDEX($X$5:$AM$77, MATCH(BR$100,_xlfn.ANCHORARRAY( $W$5), 0), 0),
        $F$5:$U$20
    ),
    TRANSPOSE(
        INDEX($X$5:$AM$77, MATCH($A107,_xlfn.ANCHORARRAY( $W$5), 0), 0)
    )
)
/
(
    INDEX($AN$5:$AN$77, MATCH(BR$100,_xlfn.ANCHORARRAY( $W$5), 0))
    *
    INDEX($AN$5:$AN$77, MATCH($A107,_xlfn.ANCHORARRAY( $W$5), 0))
)</f>
        <v>0.76198491543816715</v>
      </c>
      <c r="BS107" s="17" cm="1">
        <f t="array" ref="BS107">MMULT(
    MMULT(
        INDEX($X$5:$AM$77, MATCH(BS$100,_xlfn.ANCHORARRAY( $W$5), 0), 0),
        $F$5:$U$20
    ),
    TRANSPOSE(
        INDEX($X$5:$AM$77, MATCH($A107,_xlfn.ANCHORARRAY( $W$5), 0), 0)
    )
)
/
(
    INDEX($AN$5:$AN$77, MATCH(BS$100,_xlfn.ANCHORARRAY( $W$5), 0))
    *
    INDEX($AN$5:$AN$77, MATCH($A107,_xlfn.ANCHORARRAY( $W$5), 0))
)</f>
        <v>0.63821901917509005</v>
      </c>
      <c r="BT107" s="17" cm="1">
        <f t="array" ref="BT107">MMULT(
    MMULT(
        INDEX($X$5:$AM$77, MATCH(BT$100,_xlfn.ANCHORARRAY( $W$5), 0), 0),
        $F$5:$U$20
    ),
    TRANSPOSE(
        INDEX($X$5:$AM$77, MATCH($A107,_xlfn.ANCHORARRAY( $W$5), 0), 0)
    )
)
/
(
    INDEX($AN$5:$AN$77, MATCH(BT$100,_xlfn.ANCHORARRAY( $W$5), 0))
    *
    INDEX($AN$5:$AN$77, MATCH($A107,_xlfn.ANCHORARRAY( $W$5), 0))
)</f>
        <v>0.91323070268315909</v>
      </c>
      <c r="BU107" s="17" cm="1">
        <f t="array" ref="BU107">MMULT(
    MMULT(
        INDEX($X$5:$AM$77, MATCH(BU$100,_xlfn.ANCHORARRAY( $W$5), 0), 0),
        $F$5:$U$20
    ),
    TRANSPOSE(
        INDEX($X$5:$AM$77, MATCH($A107,_xlfn.ANCHORARRAY( $W$5), 0), 0)
    )
)
/
(
    INDEX($AN$5:$AN$77, MATCH(BU$100,_xlfn.ANCHORARRAY( $W$5), 0))
    *
    INDEX($AN$5:$AN$77, MATCH($A107,_xlfn.ANCHORARRAY( $W$5), 0))
)</f>
        <v>0.83247797905514742</v>
      </c>
      <c r="BV107" s="17" cm="1">
        <f t="array" ref="BV107">MMULT(
    MMULT(
        INDEX($X$5:$AM$77, MATCH(BV$100,_xlfn.ANCHORARRAY( $W$5), 0), 0),
        $F$5:$U$20
    ),
    TRANSPOSE(
        INDEX($X$5:$AM$77, MATCH($A107,_xlfn.ANCHORARRAY( $W$5), 0), 0)
    )
)
/
(
    INDEX($AN$5:$AN$77, MATCH(BV$100,_xlfn.ANCHORARRAY( $W$5), 0))
    *
    INDEX($AN$5:$AN$77, MATCH($A107,_xlfn.ANCHORARRAY( $W$5), 0))
)</f>
        <v>0.80994617304996475</v>
      </c>
    </row>
    <row r="108" spans="1:74" x14ac:dyDescent="0.3">
      <c r="A108" s="7" t="str">
        <v>Wright, Kyle</v>
      </c>
      <c r="B108" s="17" cm="1">
        <f t="array" ref="B108">MMULT(
    MMULT(
        INDEX($X$5:$AM$77, MATCH(B$100,_xlfn.ANCHORARRAY( $W$5), 0), 0),
        $F$5:$U$20
    ),
    TRANSPOSE(
        INDEX($X$5:$AM$77, MATCH($A108,_xlfn.ANCHORARRAY( $W$5), 0), 0)
    )
)
/
(
    INDEX($AN$5:$AN$77, MATCH(B$100,_xlfn.ANCHORARRAY( $W$5), 0))
    *
    INDEX($AN$5:$AN$77, MATCH($A108,_xlfn.ANCHORARRAY( $W$5), 0))
)</f>
        <v>0.88798093401407807</v>
      </c>
      <c r="C108" s="17" cm="1">
        <f t="array" ref="C108">MMULT(
    MMULT(
        INDEX($X$5:$AM$77, MATCH(C$100,_xlfn.ANCHORARRAY( $W$5), 0), 0),
        $F$5:$U$20
    ),
    TRANSPOSE(
        INDEX($X$5:$AM$77, MATCH($A108,_xlfn.ANCHORARRAY( $W$5), 0), 0)
    )
)
/
(
    INDEX($AN$5:$AN$77, MATCH(C$100,_xlfn.ANCHORARRAY( $W$5), 0))
    *
    INDEX($AN$5:$AN$77, MATCH($A108,_xlfn.ANCHORARRAY( $W$5), 0))
)</f>
        <v>0.84409498608007794</v>
      </c>
      <c r="D108" s="17" cm="1">
        <f t="array" ref="D108">MMULT(
    MMULT(
        INDEX($X$5:$AM$77, MATCH(D$100,_xlfn.ANCHORARRAY( $W$5), 0), 0),
        $F$5:$U$20
    ),
    TRANSPOSE(
        INDEX($X$5:$AM$77, MATCH($A108,_xlfn.ANCHORARRAY( $W$5), 0), 0)
    )
)
/
(
    INDEX($AN$5:$AN$77, MATCH(D$100,_xlfn.ANCHORARRAY( $W$5), 0))
    *
    INDEX($AN$5:$AN$77, MATCH($A108,_xlfn.ANCHORARRAY( $W$5), 0))
)</f>
        <v>0.73971799216896206</v>
      </c>
      <c r="E108" s="17" cm="1">
        <f t="array" ref="E108">MMULT(
    MMULT(
        INDEX($X$5:$AM$77, MATCH(E$100,_xlfn.ANCHORARRAY( $W$5), 0), 0),
        $F$5:$U$20
    ),
    TRANSPOSE(
        INDEX($X$5:$AM$77, MATCH($A108,_xlfn.ANCHORARRAY( $W$5), 0), 0)
    )
)
/
(
    INDEX($AN$5:$AN$77, MATCH(E$100,_xlfn.ANCHORARRAY( $W$5), 0))
    *
    INDEX($AN$5:$AN$77, MATCH($A108,_xlfn.ANCHORARRAY( $W$5), 0))
)</f>
        <v>0.77551183844355054</v>
      </c>
      <c r="F108" s="17" cm="1">
        <f t="array" ref="F108">MMULT(
    MMULT(
        INDEX($X$5:$AM$77, MATCH(F$100,_xlfn.ANCHORARRAY( $W$5), 0), 0),
        $F$5:$U$20
    ),
    TRANSPOSE(
        INDEX($X$5:$AM$77, MATCH($A108,_xlfn.ANCHORARRAY( $W$5), 0), 0)
    )
)
/
(
    INDEX($AN$5:$AN$77, MATCH(F$100,_xlfn.ANCHORARRAY( $W$5), 0))
    *
    INDEX($AN$5:$AN$77, MATCH($A108,_xlfn.ANCHORARRAY( $W$5), 0))
)</f>
        <v>0.68963076279522506</v>
      </c>
      <c r="G108" s="17" cm="1">
        <f t="array" ref="G108">MMULT(
    MMULT(
        INDEX($X$5:$AM$77, MATCH(G$100,_xlfn.ANCHORARRAY( $W$5), 0), 0),
        $F$5:$U$20
    ),
    TRANSPOSE(
        INDEX($X$5:$AM$77, MATCH($A108,_xlfn.ANCHORARRAY( $W$5), 0), 0)
    )
)
/
(
    INDEX($AN$5:$AN$77, MATCH(G$100,_xlfn.ANCHORARRAY( $W$5), 0))
    *
    INDEX($AN$5:$AN$77, MATCH($A108,_xlfn.ANCHORARRAY( $W$5), 0))
)</f>
        <v>0.80194770535051396</v>
      </c>
      <c r="H108" s="17" cm="1">
        <f t="array" ref="H108">MMULT(
    MMULT(
        INDEX($X$5:$AM$77, MATCH(H$100,_xlfn.ANCHORARRAY( $W$5), 0), 0),
        $F$5:$U$20
    ),
    TRANSPOSE(
        INDEX($X$5:$AM$77, MATCH($A108,_xlfn.ANCHORARRAY( $W$5), 0), 0)
    )
)
/
(
    INDEX($AN$5:$AN$77, MATCH(H$100,_xlfn.ANCHORARRAY( $W$5), 0))
    *
    INDEX($AN$5:$AN$77, MATCH($A108,_xlfn.ANCHORARRAY( $W$5), 0))
)</f>
        <v>0.73185157457943473</v>
      </c>
      <c r="I108" s="17" cm="1">
        <f t="array" ref="I108">MMULT(
    MMULT(
        INDEX($X$5:$AM$77, MATCH(I$100,_xlfn.ANCHORARRAY( $W$5), 0), 0),
        $F$5:$U$20
    ),
    TRANSPOSE(
        INDEX($X$5:$AM$77, MATCH($A108,_xlfn.ANCHORARRAY( $W$5), 0), 0)
    )
)
/
(
    INDEX($AN$5:$AN$77, MATCH(I$100,_xlfn.ANCHORARRAY( $W$5), 0))
    *
    INDEX($AN$5:$AN$77, MATCH($A108,_xlfn.ANCHORARRAY( $W$5), 0))
)</f>
        <v>0.99999999999999978</v>
      </c>
      <c r="J108" s="17" cm="1">
        <f t="array" ref="J108">MMULT(
    MMULT(
        INDEX($X$5:$AM$77, MATCH(J$100,_xlfn.ANCHORARRAY( $W$5), 0), 0),
        $F$5:$U$20
    ),
    TRANSPOSE(
        INDEX($X$5:$AM$77, MATCH($A108,_xlfn.ANCHORARRAY( $W$5), 0), 0)
    )
)
/
(
    INDEX($AN$5:$AN$77, MATCH(J$100,_xlfn.ANCHORARRAY( $W$5), 0))
    *
    INDEX($AN$5:$AN$77, MATCH($A108,_xlfn.ANCHORARRAY( $W$5), 0))
)</f>
        <v>0.84657357190522997</v>
      </c>
      <c r="K108" s="17" cm="1">
        <f t="array" ref="K108">MMULT(
    MMULT(
        INDEX($X$5:$AM$77, MATCH(K$100,_xlfn.ANCHORARRAY( $W$5), 0), 0),
        $F$5:$U$20
    ),
    TRANSPOSE(
        INDEX($X$5:$AM$77, MATCH($A108,_xlfn.ANCHORARRAY( $W$5), 0), 0)
    )
)
/
(
    INDEX($AN$5:$AN$77, MATCH(K$100,_xlfn.ANCHORARRAY( $W$5), 0))
    *
    INDEX($AN$5:$AN$77, MATCH($A108,_xlfn.ANCHORARRAY( $W$5), 0))
)</f>
        <v>0.81574218282225275</v>
      </c>
      <c r="L108" s="17" cm="1">
        <f t="array" ref="L108">MMULT(
    MMULT(
        INDEX($X$5:$AM$77, MATCH(L$100,_xlfn.ANCHORARRAY( $W$5), 0), 0),
        $F$5:$U$20
    ),
    TRANSPOSE(
        INDEX($X$5:$AM$77, MATCH($A108,_xlfn.ANCHORARRAY( $W$5), 0), 0)
    )
)
/
(
    INDEX($AN$5:$AN$77, MATCH(L$100,_xlfn.ANCHORARRAY( $W$5), 0))
    *
    INDEX($AN$5:$AN$77, MATCH($A108,_xlfn.ANCHORARRAY( $W$5), 0))
)</f>
        <v>0.73854744853015375</v>
      </c>
      <c r="M108" s="17" cm="1">
        <f t="array" ref="M108">MMULT(
    MMULT(
        INDEX($X$5:$AM$77, MATCH(M$100,_xlfn.ANCHORARRAY( $W$5), 0), 0),
        $F$5:$U$20
    ),
    TRANSPOSE(
        INDEX($X$5:$AM$77, MATCH($A108,_xlfn.ANCHORARRAY( $W$5), 0), 0)
    )
)
/
(
    INDEX($AN$5:$AN$77, MATCH(M$100,_xlfn.ANCHORARRAY( $W$5), 0))
    *
    INDEX($AN$5:$AN$77, MATCH($A108,_xlfn.ANCHORARRAY( $W$5), 0))
)</f>
        <v>0.79660834967353422</v>
      </c>
      <c r="N108" s="17" cm="1">
        <f t="array" ref="N108">MMULT(
    MMULT(
        INDEX($X$5:$AM$77, MATCH(N$100,_xlfn.ANCHORARRAY( $W$5), 0), 0),
        $F$5:$U$20
    ),
    TRANSPOSE(
        INDEX($X$5:$AM$77, MATCH($A108,_xlfn.ANCHORARRAY( $W$5), 0), 0)
    )
)
/
(
    INDEX($AN$5:$AN$77, MATCH(N$100,_xlfn.ANCHORARRAY( $W$5), 0))
    *
    INDEX($AN$5:$AN$77, MATCH($A108,_xlfn.ANCHORARRAY( $W$5), 0))
)</f>
        <v>0.63730251559319617</v>
      </c>
      <c r="O108" s="17" cm="1">
        <f t="array" ref="O108">MMULT(
    MMULT(
        INDEX($X$5:$AM$77, MATCH(O$100,_xlfn.ANCHORARRAY( $W$5), 0), 0),
        $F$5:$U$20
    ),
    TRANSPOSE(
        INDEX($X$5:$AM$77, MATCH($A108,_xlfn.ANCHORARRAY( $W$5), 0), 0)
    )
)
/
(
    INDEX($AN$5:$AN$77, MATCH(O$100,_xlfn.ANCHORARRAY( $W$5), 0))
    *
    INDEX($AN$5:$AN$77, MATCH($A108,_xlfn.ANCHORARRAY( $W$5), 0))
)</f>
        <v>0.59736981897247754</v>
      </c>
      <c r="P108" s="17" cm="1">
        <f t="array" ref="P108">MMULT(
    MMULT(
        INDEX($X$5:$AM$77, MATCH(P$100,_xlfn.ANCHORARRAY( $W$5), 0), 0),
        $F$5:$U$20
    ),
    TRANSPOSE(
        INDEX($X$5:$AM$77, MATCH($A108,_xlfn.ANCHORARRAY( $W$5), 0), 0)
    )
)
/
(
    INDEX($AN$5:$AN$77, MATCH(P$100,_xlfn.ANCHORARRAY( $W$5), 0))
    *
    INDEX($AN$5:$AN$77, MATCH($A108,_xlfn.ANCHORARRAY( $W$5), 0))
)</f>
        <v>0.77149318602799555</v>
      </c>
      <c r="Q108" s="17" cm="1">
        <f t="array" ref="Q108">MMULT(
    MMULT(
        INDEX($X$5:$AM$77, MATCH(Q$100,_xlfn.ANCHORARRAY( $W$5), 0), 0),
        $F$5:$U$20
    ),
    TRANSPOSE(
        INDEX($X$5:$AM$77, MATCH($A108,_xlfn.ANCHORARRAY( $W$5), 0), 0)
    )
)
/
(
    INDEX($AN$5:$AN$77, MATCH(Q$100,_xlfn.ANCHORARRAY( $W$5), 0))
    *
    INDEX($AN$5:$AN$77, MATCH($A108,_xlfn.ANCHORARRAY( $W$5), 0))
)</f>
        <v>0.78063060412131191</v>
      </c>
      <c r="R108" s="17" cm="1">
        <f t="array" ref="R108">MMULT(
    MMULT(
        INDEX($X$5:$AM$77, MATCH(R$100,_xlfn.ANCHORARRAY( $W$5), 0), 0),
        $F$5:$U$20
    ),
    TRANSPOSE(
        INDEX($X$5:$AM$77, MATCH($A108,_xlfn.ANCHORARRAY( $W$5), 0), 0)
    )
)
/
(
    INDEX($AN$5:$AN$77, MATCH(R$100,_xlfn.ANCHORARRAY( $W$5), 0))
    *
    INDEX($AN$5:$AN$77, MATCH($A108,_xlfn.ANCHORARRAY( $W$5), 0))
)</f>
        <v>0.73822340008199794</v>
      </c>
      <c r="S108" s="17" cm="1">
        <f t="array" ref="S108">MMULT(
    MMULT(
        INDEX($X$5:$AM$77, MATCH(S$100,_xlfn.ANCHORARRAY( $W$5), 0), 0),
        $F$5:$U$20
    ),
    TRANSPOSE(
        INDEX($X$5:$AM$77, MATCH($A108,_xlfn.ANCHORARRAY( $W$5), 0), 0)
    )
)
/
(
    INDEX($AN$5:$AN$77, MATCH(S$100,_xlfn.ANCHORARRAY( $W$5), 0))
    *
    INDEX($AN$5:$AN$77, MATCH($A108,_xlfn.ANCHORARRAY( $W$5), 0))
)</f>
        <v>0.81385352871411021</v>
      </c>
      <c r="T108" s="17" cm="1">
        <f t="array" ref="T108">MMULT(
    MMULT(
        INDEX($X$5:$AM$77, MATCH(T$100,_xlfn.ANCHORARRAY( $W$5), 0), 0),
        $F$5:$U$20
    ),
    TRANSPOSE(
        INDEX($X$5:$AM$77, MATCH($A108,_xlfn.ANCHORARRAY( $W$5), 0), 0)
    )
)
/
(
    INDEX($AN$5:$AN$77, MATCH(T$100,_xlfn.ANCHORARRAY( $W$5), 0))
    *
    INDEX($AN$5:$AN$77, MATCH($A108,_xlfn.ANCHORARRAY( $W$5), 0))
)</f>
        <v>0.6124420209438598</v>
      </c>
      <c r="U108" s="17" cm="1">
        <f t="array" ref="U108">MMULT(
    MMULT(
        INDEX($X$5:$AM$77, MATCH(U$100,_xlfn.ANCHORARRAY( $W$5), 0), 0),
        $F$5:$U$20
    ),
    TRANSPOSE(
        INDEX($X$5:$AM$77, MATCH($A108,_xlfn.ANCHORARRAY( $W$5), 0), 0)
    )
)
/
(
    INDEX($AN$5:$AN$77, MATCH(U$100,_xlfn.ANCHORARRAY( $W$5), 0))
    *
    INDEX($AN$5:$AN$77, MATCH($A108,_xlfn.ANCHORARRAY( $W$5), 0))
)</f>
        <v>0.78079647553376719</v>
      </c>
      <c r="V108" s="17" cm="1">
        <f t="array" ref="V108">MMULT(
    MMULT(
        INDEX($X$5:$AM$77, MATCH(V$100,_xlfn.ANCHORARRAY( $W$5), 0), 0),
        $F$5:$U$20
    ),
    TRANSPOSE(
        INDEX($X$5:$AM$77, MATCH($A108,_xlfn.ANCHORARRAY( $W$5), 0), 0)
    )
)
/
(
    INDEX($AN$5:$AN$77, MATCH(V$100,_xlfn.ANCHORARRAY( $W$5), 0))
    *
    INDEX($AN$5:$AN$77, MATCH($A108,_xlfn.ANCHORARRAY( $W$5), 0))
)</f>
        <v>0.91662605990113011</v>
      </c>
      <c r="W108" s="17" cm="1">
        <f t="array" ref="W108">MMULT(
    MMULT(
        INDEX($X$5:$AM$77, MATCH(W$100,_xlfn.ANCHORARRAY( $W$5), 0), 0),
        $F$5:$U$20
    ),
    TRANSPOSE(
        INDEX($X$5:$AM$77, MATCH($A108,_xlfn.ANCHORARRAY( $W$5), 0), 0)
    )
)
/
(
    INDEX($AN$5:$AN$77, MATCH(W$100,_xlfn.ANCHORARRAY( $W$5), 0))
    *
    INDEX($AN$5:$AN$77, MATCH($A108,_xlfn.ANCHORARRAY( $W$5), 0))
)</f>
        <v>0.53810152326967065</v>
      </c>
      <c r="X108" s="17" cm="1">
        <f t="array" ref="X108">MMULT(
    MMULT(
        INDEX($X$5:$AM$77, MATCH(X$100,_xlfn.ANCHORARRAY( $W$5), 0), 0),
        $F$5:$U$20
    ),
    TRANSPOSE(
        INDEX($X$5:$AM$77, MATCH($A108,_xlfn.ANCHORARRAY( $W$5), 0), 0)
    )
)
/
(
    INDEX($AN$5:$AN$77, MATCH(X$100,_xlfn.ANCHORARRAY( $W$5), 0))
    *
    INDEX($AN$5:$AN$77, MATCH($A108,_xlfn.ANCHORARRAY( $W$5), 0))
)</f>
        <v>0.65946162573260025</v>
      </c>
      <c r="Y108" s="17" cm="1">
        <f t="array" ref="Y108">MMULT(
    MMULT(
        INDEX($X$5:$AM$77, MATCH(Y$100,_xlfn.ANCHORARRAY( $W$5), 0), 0),
        $F$5:$U$20
    ),
    TRANSPOSE(
        INDEX($X$5:$AM$77, MATCH($A108,_xlfn.ANCHORARRAY( $W$5), 0), 0)
    )
)
/
(
    INDEX($AN$5:$AN$77, MATCH(Y$100,_xlfn.ANCHORARRAY( $W$5), 0))
    *
    INDEX($AN$5:$AN$77, MATCH($A108,_xlfn.ANCHORARRAY( $W$5), 0))
)</f>
        <v>0.86422146503562469</v>
      </c>
      <c r="Z108" s="17" cm="1">
        <f t="array" ref="Z108">MMULT(
    MMULT(
        INDEX($X$5:$AM$77, MATCH(Z$100,_xlfn.ANCHORARRAY( $W$5), 0), 0),
        $F$5:$U$20
    ),
    TRANSPOSE(
        INDEX($X$5:$AM$77, MATCH($A108,_xlfn.ANCHORARRAY( $W$5), 0), 0)
    )
)
/
(
    INDEX($AN$5:$AN$77, MATCH(Z$100,_xlfn.ANCHORARRAY( $W$5), 0))
    *
    INDEX($AN$5:$AN$77, MATCH($A108,_xlfn.ANCHORARRAY( $W$5), 0))
)</f>
        <v>0.69315885249327036</v>
      </c>
      <c r="AA108" s="17" cm="1">
        <f t="array" ref="AA108">MMULT(
    MMULT(
        INDEX($X$5:$AM$77, MATCH(AA$100,_xlfn.ANCHORARRAY( $W$5), 0), 0),
        $F$5:$U$20
    ),
    TRANSPOSE(
        INDEX($X$5:$AM$77, MATCH($A108,_xlfn.ANCHORARRAY( $W$5), 0), 0)
    )
)
/
(
    INDEX($AN$5:$AN$77, MATCH(AA$100,_xlfn.ANCHORARRAY( $W$5), 0))
    *
    INDEX($AN$5:$AN$77, MATCH($A108,_xlfn.ANCHORARRAY( $W$5), 0))
)</f>
        <v>0.69717441696265947</v>
      </c>
      <c r="AB108" s="17" cm="1">
        <f t="array" ref="AB108">MMULT(
    MMULT(
        INDEX($X$5:$AM$77, MATCH(AB$100,_xlfn.ANCHORARRAY( $W$5), 0), 0),
        $F$5:$U$20
    ),
    TRANSPOSE(
        INDEX($X$5:$AM$77, MATCH($A108,_xlfn.ANCHORARRAY( $W$5), 0), 0)
    )
)
/
(
    INDEX($AN$5:$AN$77, MATCH(AB$100,_xlfn.ANCHORARRAY( $W$5), 0))
    *
    INDEX($AN$5:$AN$77, MATCH($A108,_xlfn.ANCHORARRAY( $W$5), 0))
)</f>
        <v>0.84834624153427196</v>
      </c>
      <c r="AC108" s="17" cm="1">
        <f t="array" ref="AC108">MMULT(
    MMULT(
        INDEX($X$5:$AM$77, MATCH(AC$100,_xlfn.ANCHORARRAY( $W$5), 0), 0),
        $F$5:$U$20
    ),
    TRANSPOSE(
        INDEX($X$5:$AM$77, MATCH($A108,_xlfn.ANCHORARRAY( $W$5), 0), 0)
    )
)
/
(
    INDEX($AN$5:$AN$77, MATCH(AC$100,_xlfn.ANCHORARRAY( $W$5), 0))
    *
    INDEX($AN$5:$AN$77, MATCH($A108,_xlfn.ANCHORARRAY( $W$5), 0))
)</f>
        <v>0.80350486500745488</v>
      </c>
      <c r="AD108" s="17" cm="1">
        <f t="array" ref="AD108">MMULT(
    MMULT(
        INDEX($X$5:$AM$77, MATCH(AD$100,_xlfn.ANCHORARRAY( $W$5), 0), 0),
        $F$5:$U$20
    ),
    TRANSPOSE(
        INDEX($X$5:$AM$77, MATCH($A108,_xlfn.ANCHORARRAY( $W$5), 0), 0)
    )
)
/
(
    INDEX($AN$5:$AN$77, MATCH(AD$100,_xlfn.ANCHORARRAY( $W$5), 0))
    *
    INDEX($AN$5:$AN$77, MATCH($A108,_xlfn.ANCHORARRAY( $W$5), 0))
)</f>
        <v>0.69642847512191985</v>
      </c>
      <c r="AE108" s="17" cm="1">
        <f t="array" ref="AE108">MMULT(
    MMULT(
        INDEX($X$5:$AM$77, MATCH(AE$100,_xlfn.ANCHORARRAY( $W$5), 0), 0),
        $F$5:$U$20
    ),
    TRANSPOSE(
        INDEX($X$5:$AM$77, MATCH($A108,_xlfn.ANCHORARRAY( $W$5), 0), 0)
    )
)
/
(
    INDEX($AN$5:$AN$77, MATCH(AE$100,_xlfn.ANCHORARRAY( $W$5), 0))
    *
    INDEX($AN$5:$AN$77, MATCH($A108,_xlfn.ANCHORARRAY( $W$5), 0))
)</f>
        <v>0.80560895277692124</v>
      </c>
      <c r="AF108" s="17" cm="1">
        <f t="array" ref="AF108">MMULT(
    MMULT(
        INDEX($X$5:$AM$77, MATCH(AF$100,_xlfn.ANCHORARRAY( $W$5), 0), 0),
        $F$5:$U$20
    ),
    TRANSPOSE(
        INDEX($X$5:$AM$77, MATCH($A108,_xlfn.ANCHORARRAY( $W$5), 0), 0)
    )
)
/
(
    INDEX($AN$5:$AN$77, MATCH(AF$100,_xlfn.ANCHORARRAY( $W$5), 0))
    *
    INDEX($AN$5:$AN$77, MATCH($A108,_xlfn.ANCHORARRAY( $W$5), 0))
)</f>
        <v>0.89870795241210311</v>
      </c>
      <c r="AG108" s="17" cm="1">
        <f t="array" ref="AG108">MMULT(
    MMULT(
        INDEX($X$5:$AM$77, MATCH(AG$100,_xlfn.ANCHORARRAY( $W$5), 0), 0),
        $F$5:$U$20
    ),
    TRANSPOSE(
        INDEX($X$5:$AM$77, MATCH($A108,_xlfn.ANCHORARRAY( $W$5), 0), 0)
    )
)
/
(
    INDEX($AN$5:$AN$77, MATCH(AG$100,_xlfn.ANCHORARRAY( $W$5), 0))
    *
    INDEX($AN$5:$AN$77, MATCH($A108,_xlfn.ANCHORARRAY( $W$5), 0))
)</f>
        <v>0.79033578853232289</v>
      </c>
      <c r="AH108" s="17" cm="1">
        <f t="array" ref="AH108">MMULT(
    MMULT(
        INDEX($X$5:$AM$77, MATCH(AH$100,_xlfn.ANCHORARRAY( $W$5), 0), 0),
        $F$5:$U$20
    ),
    TRANSPOSE(
        INDEX($X$5:$AM$77, MATCH($A108,_xlfn.ANCHORARRAY( $W$5), 0), 0)
    )
)
/
(
    INDEX($AN$5:$AN$77, MATCH(AH$100,_xlfn.ANCHORARRAY( $W$5), 0))
    *
    INDEX($AN$5:$AN$77, MATCH($A108,_xlfn.ANCHORARRAY( $W$5), 0))
)</f>
        <v>0.64400777111328056</v>
      </c>
      <c r="AI108" s="17" cm="1">
        <f t="array" ref="AI108">MMULT(
    MMULT(
        INDEX($X$5:$AM$77, MATCH(AI$100,_xlfn.ANCHORARRAY( $W$5), 0), 0),
        $F$5:$U$20
    ),
    TRANSPOSE(
        INDEX($X$5:$AM$77, MATCH($A108,_xlfn.ANCHORARRAY( $W$5), 0), 0)
    )
)
/
(
    INDEX($AN$5:$AN$77, MATCH(AI$100,_xlfn.ANCHORARRAY( $W$5), 0))
    *
    INDEX($AN$5:$AN$77, MATCH($A108,_xlfn.ANCHORARRAY( $W$5), 0))
)</f>
        <v>0.84119632558520196</v>
      </c>
      <c r="AJ108" s="17" cm="1">
        <f t="array" ref="AJ108">MMULT(
    MMULT(
        INDEX($X$5:$AM$77, MATCH(AJ$100,_xlfn.ANCHORARRAY( $W$5), 0), 0),
        $F$5:$U$20
    ),
    TRANSPOSE(
        INDEX($X$5:$AM$77, MATCH($A108,_xlfn.ANCHORARRAY( $W$5), 0), 0)
    )
)
/
(
    INDEX($AN$5:$AN$77, MATCH(AJ$100,_xlfn.ANCHORARRAY( $W$5), 0))
    *
    INDEX($AN$5:$AN$77, MATCH($A108,_xlfn.ANCHORARRAY( $W$5), 0))
)</f>
        <v>0.76903889740764919</v>
      </c>
      <c r="AK108" s="17" cm="1">
        <f t="array" ref="AK108">MMULT(
    MMULT(
        INDEX($X$5:$AM$77, MATCH(AK$100,_xlfn.ANCHORARRAY( $W$5), 0), 0),
        $F$5:$U$20
    ),
    TRANSPOSE(
        INDEX($X$5:$AM$77, MATCH($A108,_xlfn.ANCHORARRAY( $W$5), 0), 0)
    )
)
/
(
    INDEX($AN$5:$AN$77, MATCH(AK$100,_xlfn.ANCHORARRAY( $W$5), 0))
    *
    INDEX($AN$5:$AN$77, MATCH($A108,_xlfn.ANCHORARRAY( $W$5), 0))
)</f>
        <v>0.78678348893451011</v>
      </c>
      <c r="AL108" s="17" cm="1">
        <f t="array" ref="AL108">MMULT(
    MMULT(
        INDEX($X$5:$AM$77, MATCH(AL$100,_xlfn.ANCHORARRAY( $W$5), 0), 0),
        $F$5:$U$20
    ),
    TRANSPOSE(
        INDEX($X$5:$AM$77, MATCH($A108,_xlfn.ANCHORARRAY( $W$5), 0), 0)
    )
)
/
(
    INDEX($AN$5:$AN$77, MATCH(AL$100,_xlfn.ANCHORARRAY( $W$5), 0))
    *
    INDEX($AN$5:$AN$77, MATCH($A108,_xlfn.ANCHORARRAY( $W$5), 0))
)</f>
        <v>0.59604265634353282</v>
      </c>
      <c r="AM108" s="17" cm="1">
        <f t="array" ref="AM108">MMULT(
    MMULT(
        INDEX($X$5:$AM$77, MATCH(AM$100,_xlfn.ANCHORARRAY( $W$5), 0), 0),
        $F$5:$U$20
    ),
    TRANSPOSE(
        INDEX($X$5:$AM$77, MATCH($A108,_xlfn.ANCHORARRAY( $W$5), 0), 0)
    )
)
/
(
    INDEX($AN$5:$AN$77, MATCH(AM$100,_xlfn.ANCHORARRAY( $W$5), 0))
    *
    INDEX($AN$5:$AN$77, MATCH($A108,_xlfn.ANCHORARRAY( $W$5), 0))
)</f>
        <v>0.74273276743831562</v>
      </c>
      <c r="AN108" s="17" cm="1">
        <f t="array" ref="AN108">MMULT(
    MMULT(
        INDEX($X$5:$AM$77, MATCH(AN$100,_xlfn.ANCHORARRAY( $W$5), 0), 0),
        $F$5:$U$20
    ),
    TRANSPOSE(
        INDEX($X$5:$AM$77, MATCH($A108,_xlfn.ANCHORARRAY( $W$5), 0), 0)
    )
)
/
(
    INDEX($AN$5:$AN$77, MATCH(AN$100,_xlfn.ANCHORARRAY( $W$5), 0))
    *
    INDEX($AN$5:$AN$77, MATCH($A108,_xlfn.ANCHORARRAY( $W$5), 0))
)</f>
        <v>0.7464480197766159</v>
      </c>
      <c r="AO108" s="17" cm="1">
        <f t="array" ref="AO108">MMULT(
    MMULT(
        INDEX($X$5:$AM$77, MATCH(AO$100,_xlfn.ANCHORARRAY( $W$5), 0), 0),
        $F$5:$U$20
    ),
    TRANSPOSE(
        INDEX($X$5:$AM$77, MATCH($A108,_xlfn.ANCHORARRAY( $W$5), 0), 0)
    )
)
/
(
    INDEX($AN$5:$AN$77, MATCH(AO$100,_xlfn.ANCHORARRAY( $W$5), 0))
    *
    INDEX($AN$5:$AN$77, MATCH($A108,_xlfn.ANCHORARRAY( $W$5), 0))
)</f>
        <v>0.67872922680056813</v>
      </c>
      <c r="AP108" s="17" cm="1">
        <f t="array" ref="AP108">MMULT(
    MMULT(
        INDEX($X$5:$AM$77, MATCH(AP$100,_xlfn.ANCHORARRAY( $W$5), 0), 0),
        $F$5:$U$20
    ),
    TRANSPOSE(
        INDEX($X$5:$AM$77, MATCH($A108,_xlfn.ANCHORARRAY( $W$5), 0), 0)
    )
)
/
(
    INDEX($AN$5:$AN$77, MATCH(AP$100,_xlfn.ANCHORARRAY( $W$5), 0))
    *
    INDEX($AN$5:$AN$77, MATCH($A108,_xlfn.ANCHORARRAY( $W$5), 0))
)</f>
        <v>0.7622917487306804</v>
      </c>
      <c r="AQ108" s="17" cm="1">
        <f t="array" ref="AQ108">MMULT(
    MMULT(
        INDEX($X$5:$AM$77, MATCH(AQ$100,_xlfn.ANCHORARRAY( $W$5), 0), 0),
        $F$5:$U$20
    ),
    TRANSPOSE(
        INDEX($X$5:$AM$77, MATCH($A108,_xlfn.ANCHORARRAY( $W$5), 0), 0)
    )
)
/
(
    INDEX($AN$5:$AN$77, MATCH(AQ$100,_xlfn.ANCHORARRAY( $W$5), 0))
    *
    INDEX($AN$5:$AN$77, MATCH($A108,_xlfn.ANCHORARRAY( $W$5), 0))
)</f>
        <v>0.80289963422271848</v>
      </c>
      <c r="AR108" s="17" cm="1">
        <f t="array" ref="AR108">MMULT(
    MMULT(
        INDEX($X$5:$AM$77, MATCH(AR$100,_xlfn.ANCHORARRAY( $W$5), 0), 0),
        $F$5:$U$20
    ),
    TRANSPOSE(
        INDEX($X$5:$AM$77, MATCH($A108,_xlfn.ANCHORARRAY( $W$5), 0), 0)
    )
)
/
(
    INDEX($AN$5:$AN$77, MATCH(AR$100,_xlfn.ANCHORARRAY( $W$5), 0))
    *
    INDEX($AN$5:$AN$77, MATCH($A108,_xlfn.ANCHORARRAY( $W$5), 0))
)</f>
        <v>0.79110788362616846</v>
      </c>
      <c r="AS108" s="17" cm="1">
        <f t="array" ref="AS108">MMULT(
    MMULT(
        INDEX($X$5:$AM$77, MATCH(AS$100,_xlfn.ANCHORARRAY( $W$5), 0), 0),
        $F$5:$U$20
    ),
    TRANSPOSE(
        INDEX($X$5:$AM$77, MATCH($A108,_xlfn.ANCHORARRAY( $W$5), 0), 0)
    )
)
/
(
    INDEX($AN$5:$AN$77, MATCH(AS$100,_xlfn.ANCHORARRAY( $W$5), 0))
    *
    INDEX($AN$5:$AN$77, MATCH($A108,_xlfn.ANCHORARRAY( $W$5), 0))
)</f>
        <v>0.72017222491509236</v>
      </c>
      <c r="AT108" s="17" cm="1">
        <f t="array" ref="AT108">MMULT(
    MMULT(
        INDEX($X$5:$AM$77, MATCH(AT$100,_xlfn.ANCHORARRAY( $W$5), 0), 0),
        $F$5:$U$20
    ),
    TRANSPOSE(
        INDEX($X$5:$AM$77, MATCH($A108,_xlfn.ANCHORARRAY( $W$5), 0), 0)
    )
)
/
(
    INDEX($AN$5:$AN$77, MATCH(AT$100,_xlfn.ANCHORARRAY( $W$5), 0))
    *
    INDEX($AN$5:$AN$77, MATCH($A108,_xlfn.ANCHORARRAY( $W$5), 0))
)</f>
        <v>0.78310337522787365</v>
      </c>
      <c r="AU108" s="17" cm="1">
        <f t="array" ref="AU108">MMULT(
    MMULT(
        INDEX($X$5:$AM$77, MATCH(AU$100,_xlfn.ANCHORARRAY( $W$5), 0), 0),
        $F$5:$U$20
    ),
    TRANSPOSE(
        INDEX($X$5:$AM$77, MATCH($A108,_xlfn.ANCHORARRAY( $W$5), 0), 0)
    )
)
/
(
    INDEX($AN$5:$AN$77, MATCH(AU$100,_xlfn.ANCHORARRAY( $W$5), 0))
    *
    INDEX($AN$5:$AN$77, MATCH($A108,_xlfn.ANCHORARRAY( $W$5), 0))
)</f>
        <v>0.69294996032309319</v>
      </c>
      <c r="AV108" s="17" cm="1">
        <f t="array" ref="AV108">MMULT(
    MMULT(
        INDEX($X$5:$AM$77, MATCH(AV$100,_xlfn.ANCHORARRAY( $W$5), 0), 0),
        $F$5:$U$20
    ),
    TRANSPOSE(
        INDEX($X$5:$AM$77, MATCH($A108,_xlfn.ANCHORARRAY( $W$5), 0), 0)
    )
)
/
(
    INDEX($AN$5:$AN$77, MATCH(AV$100,_xlfn.ANCHORARRAY( $W$5), 0))
    *
    INDEX($AN$5:$AN$77, MATCH($A108,_xlfn.ANCHORARRAY( $W$5), 0))
)</f>
        <v>0.68235902056987774</v>
      </c>
      <c r="AW108" s="17" cm="1">
        <f t="array" ref="AW108">MMULT(
    MMULT(
        INDEX($X$5:$AM$77, MATCH(AW$100,_xlfn.ANCHORARRAY( $W$5), 0), 0),
        $F$5:$U$20
    ),
    TRANSPOSE(
        INDEX($X$5:$AM$77, MATCH($A108,_xlfn.ANCHORARRAY( $W$5), 0), 0)
    )
)
/
(
    INDEX($AN$5:$AN$77, MATCH(AW$100,_xlfn.ANCHORARRAY( $W$5), 0))
    *
    INDEX($AN$5:$AN$77, MATCH($A108,_xlfn.ANCHORARRAY( $W$5), 0))
)</f>
        <v>0.75472193724264158</v>
      </c>
      <c r="AX108" s="17" cm="1">
        <f t="array" ref="AX108">MMULT(
    MMULT(
        INDEX($X$5:$AM$77, MATCH(AX$100,_xlfn.ANCHORARRAY( $W$5), 0), 0),
        $F$5:$U$20
    ),
    TRANSPOSE(
        INDEX($X$5:$AM$77, MATCH($A108,_xlfn.ANCHORARRAY( $W$5), 0), 0)
    )
)
/
(
    INDEX($AN$5:$AN$77, MATCH(AX$100,_xlfn.ANCHORARRAY( $W$5), 0))
    *
    INDEX($AN$5:$AN$77, MATCH($A108,_xlfn.ANCHORARRAY( $W$5), 0))
)</f>
        <v>0.80858024867721634</v>
      </c>
      <c r="AY108" s="17" cm="1">
        <f t="array" ref="AY108">MMULT(
    MMULT(
        INDEX($X$5:$AM$77, MATCH(AY$100,_xlfn.ANCHORARRAY( $W$5), 0), 0),
        $F$5:$U$20
    ),
    TRANSPOSE(
        INDEX($X$5:$AM$77, MATCH($A108,_xlfn.ANCHORARRAY( $W$5), 0), 0)
    )
)
/
(
    INDEX($AN$5:$AN$77, MATCH(AY$100,_xlfn.ANCHORARRAY( $W$5), 0))
    *
    INDEX($AN$5:$AN$77, MATCH($A108,_xlfn.ANCHORARRAY( $W$5), 0))
)</f>
        <v>0.61202021256430783</v>
      </c>
      <c r="AZ108" s="17" cm="1">
        <f t="array" ref="AZ108">MMULT(
    MMULT(
        INDEX($X$5:$AM$77, MATCH(AZ$100,_xlfn.ANCHORARRAY( $W$5), 0), 0),
        $F$5:$U$20
    ),
    TRANSPOSE(
        INDEX($X$5:$AM$77, MATCH($A108,_xlfn.ANCHORARRAY( $W$5), 0), 0)
    )
)
/
(
    INDEX($AN$5:$AN$77, MATCH(AZ$100,_xlfn.ANCHORARRAY( $W$5), 0))
    *
    INDEX($AN$5:$AN$77, MATCH($A108,_xlfn.ANCHORARRAY( $W$5), 0))
)</f>
        <v>0.67852259013890437</v>
      </c>
      <c r="BA108" s="17" cm="1">
        <f t="array" ref="BA108">MMULT(
    MMULT(
        INDEX($X$5:$AM$77, MATCH(BA$100,_xlfn.ANCHORARRAY( $W$5), 0), 0),
        $F$5:$U$20
    ),
    TRANSPOSE(
        INDEX($X$5:$AM$77, MATCH($A108,_xlfn.ANCHORARRAY( $W$5), 0), 0)
    )
)
/
(
    INDEX($AN$5:$AN$77, MATCH(BA$100,_xlfn.ANCHORARRAY( $W$5), 0))
    *
    INDEX($AN$5:$AN$77, MATCH($A108,_xlfn.ANCHORARRAY( $W$5), 0))
)</f>
        <v>0.73917236355488081</v>
      </c>
      <c r="BB108" s="17" cm="1">
        <f t="array" ref="BB108">MMULT(
    MMULT(
        INDEX($X$5:$AM$77, MATCH(BB$100,_xlfn.ANCHORARRAY( $W$5), 0), 0),
        $F$5:$U$20
    ),
    TRANSPOSE(
        INDEX($X$5:$AM$77, MATCH($A108,_xlfn.ANCHORARRAY( $W$5), 0), 0)
    )
)
/
(
    INDEX($AN$5:$AN$77, MATCH(BB$100,_xlfn.ANCHORARRAY( $W$5), 0))
    *
    INDEX($AN$5:$AN$77, MATCH($A108,_xlfn.ANCHORARRAY( $W$5), 0))
)</f>
        <v>0.73224223152431023</v>
      </c>
      <c r="BC108" s="17" cm="1">
        <f t="array" ref="BC108">MMULT(
    MMULT(
        INDEX($X$5:$AM$77, MATCH(BC$100,_xlfn.ANCHORARRAY( $W$5), 0), 0),
        $F$5:$U$20
    ),
    TRANSPOSE(
        INDEX($X$5:$AM$77, MATCH($A108,_xlfn.ANCHORARRAY( $W$5), 0), 0)
    )
)
/
(
    INDEX($AN$5:$AN$77, MATCH(BC$100,_xlfn.ANCHORARRAY( $W$5), 0))
    *
    INDEX($AN$5:$AN$77, MATCH($A108,_xlfn.ANCHORARRAY( $W$5), 0))
)</f>
        <v>0.7749896009686611</v>
      </c>
      <c r="BD108" s="17" cm="1">
        <f t="array" ref="BD108">MMULT(
    MMULT(
        INDEX($X$5:$AM$77, MATCH(BD$100,_xlfn.ANCHORARRAY( $W$5), 0), 0),
        $F$5:$U$20
    ),
    TRANSPOSE(
        INDEX($X$5:$AM$77, MATCH($A108,_xlfn.ANCHORARRAY( $W$5), 0), 0)
    )
)
/
(
    INDEX($AN$5:$AN$77, MATCH(BD$100,_xlfn.ANCHORARRAY( $W$5), 0))
    *
    INDEX($AN$5:$AN$77, MATCH($A108,_xlfn.ANCHORARRAY( $W$5), 0))
)</f>
        <v>0.78663919632748691</v>
      </c>
      <c r="BE108" s="17" cm="1">
        <f t="array" ref="BE108">MMULT(
    MMULT(
        INDEX($X$5:$AM$77, MATCH(BE$100,_xlfn.ANCHORARRAY( $W$5), 0), 0),
        $F$5:$U$20
    ),
    TRANSPOSE(
        INDEX($X$5:$AM$77, MATCH($A108,_xlfn.ANCHORARRAY( $W$5), 0), 0)
    )
)
/
(
    INDEX($AN$5:$AN$77, MATCH(BE$100,_xlfn.ANCHORARRAY( $W$5), 0))
    *
    INDEX($AN$5:$AN$77, MATCH($A108,_xlfn.ANCHORARRAY( $W$5), 0))
)</f>
        <v>0.74076410159412798</v>
      </c>
      <c r="BF108" s="17" cm="1">
        <f t="array" ref="BF108">MMULT(
    MMULT(
        INDEX($X$5:$AM$77, MATCH(BF$100,_xlfn.ANCHORARRAY( $W$5), 0), 0),
        $F$5:$U$20
    ),
    TRANSPOSE(
        INDEX($X$5:$AM$77, MATCH($A108,_xlfn.ANCHORARRAY( $W$5), 0), 0)
    )
)
/
(
    INDEX($AN$5:$AN$77, MATCH(BF$100,_xlfn.ANCHORARRAY( $W$5), 0))
    *
    INDEX($AN$5:$AN$77, MATCH($A108,_xlfn.ANCHORARRAY( $W$5), 0))
)</f>
        <v>0.82954506977763642</v>
      </c>
      <c r="BG108" s="17" cm="1">
        <f t="array" ref="BG108">MMULT(
    MMULT(
        INDEX($X$5:$AM$77, MATCH(BG$100,_xlfn.ANCHORARRAY( $W$5), 0), 0),
        $F$5:$U$20
    ),
    TRANSPOSE(
        INDEX($X$5:$AM$77, MATCH($A108,_xlfn.ANCHORARRAY( $W$5), 0), 0)
    )
)
/
(
    INDEX($AN$5:$AN$77, MATCH(BG$100,_xlfn.ANCHORARRAY( $W$5), 0))
    *
    INDEX($AN$5:$AN$77, MATCH($A108,_xlfn.ANCHORARRAY( $W$5), 0))
)</f>
        <v>0.77857593441621398</v>
      </c>
      <c r="BH108" s="17" cm="1">
        <f t="array" ref="BH108">MMULT(
    MMULT(
        INDEX($X$5:$AM$77, MATCH(BH$100,_xlfn.ANCHORARRAY( $W$5), 0), 0),
        $F$5:$U$20
    ),
    TRANSPOSE(
        INDEX($X$5:$AM$77, MATCH($A108,_xlfn.ANCHORARRAY( $W$5), 0), 0)
    )
)
/
(
    INDEX($AN$5:$AN$77, MATCH(BH$100,_xlfn.ANCHORARRAY( $W$5), 0))
    *
    INDEX($AN$5:$AN$77, MATCH($A108,_xlfn.ANCHORARRAY( $W$5), 0))
)</f>
        <v>0.83430663710797515</v>
      </c>
      <c r="BI108" s="17" cm="1">
        <f t="array" ref="BI108">MMULT(
    MMULT(
        INDEX($X$5:$AM$77, MATCH(BI$100,_xlfn.ANCHORARRAY( $W$5), 0), 0),
        $F$5:$U$20
    ),
    TRANSPOSE(
        INDEX($X$5:$AM$77, MATCH($A108,_xlfn.ANCHORARRAY( $W$5), 0), 0)
    )
)
/
(
    INDEX($AN$5:$AN$77, MATCH(BI$100,_xlfn.ANCHORARRAY( $W$5), 0))
    *
    INDEX($AN$5:$AN$77, MATCH($A108,_xlfn.ANCHORARRAY( $W$5), 0))
)</f>
        <v>0.70276431863543731</v>
      </c>
      <c r="BJ108" s="17" cm="1">
        <f t="array" ref="BJ108">MMULT(
    MMULT(
        INDEX($X$5:$AM$77, MATCH(BJ$100,_xlfn.ANCHORARRAY( $W$5), 0), 0),
        $F$5:$U$20
    ),
    TRANSPOSE(
        INDEX($X$5:$AM$77, MATCH($A108,_xlfn.ANCHORARRAY( $W$5), 0), 0)
    )
)
/
(
    INDEX($AN$5:$AN$77, MATCH(BJ$100,_xlfn.ANCHORARRAY( $W$5), 0))
    *
    INDEX($AN$5:$AN$77, MATCH($A108,_xlfn.ANCHORARRAY( $W$5), 0))
)</f>
        <v>0.7198732406482593</v>
      </c>
      <c r="BK108" s="17" cm="1">
        <f t="array" ref="BK108">MMULT(
    MMULT(
        INDEX($X$5:$AM$77, MATCH(BK$100,_xlfn.ANCHORARRAY( $W$5), 0), 0),
        $F$5:$U$20
    ),
    TRANSPOSE(
        INDEX($X$5:$AM$77, MATCH($A108,_xlfn.ANCHORARRAY( $W$5), 0), 0)
    )
)
/
(
    INDEX($AN$5:$AN$77, MATCH(BK$100,_xlfn.ANCHORARRAY( $W$5), 0))
    *
    INDEX($AN$5:$AN$77, MATCH($A108,_xlfn.ANCHORARRAY( $W$5), 0))
)</f>
        <v>0.78287962817834289</v>
      </c>
      <c r="BL108" s="17" cm="1">
        <f t="array" ref="BL108">MMULT(
    MMULT(
        INDEX($X$5:$AM$77, MATCH(BL$100,_xlfn.ANCHORARRAY( $W$5), 0), 0),
        $F$5:$U$20
    ),
    TRANSPOSE(
        INDEX($X$5:$AM$77, MATCH($A108,_xlfn.ANCHORARRAY( $W$5), 0), 0)
    )
)
/
(
    INDEX($AN$5:$AN$77, MATCH(BL$100,_xlfn.ANCHORARRAY( $W$5), 0))
    *
    INDEX($AN$5:$AN$77, MATCH($A108,_xlfn.ANCHORARRAY( $W$5), 0))
)</f>
        <v>0.38829084393027141</v>
      </c>
      <c r="BM108" s="17" cm="1">
        <f t="array" ref="BM108">MMULT(
    MMULT(
        INDEX($X$5:$AM$77, MATCH(BM$100,_xlfn.ANCHORARRAY( $W$5), 0), 0),
        $F$5:$U$20
    ),
    TRANSPOSE(
        INDEX($X$5:$AM$77, MATCH($A108,_xlfn.ANCHORARRAY( $W$5), 0), 0)
    )
)
/
(
    INDEX($AN$5:$AN$77, MATCH(BM$100,_xlfn.ANCHORARRAY( $W$5), 0))
    *
    INDEX($AN$5:$AN$77, MATCH($A108,_xlfn.ANCHORARRAY( $W$5), 0))
)</f>
        <v>0.54309272874068892</v>
      </c>
      <c r="BN108" s="17" cm="1">
        <f t="array" ref="BN108">MMULT(
    MMULT(
        INDEX($X$5:$AM$77, MATCH(BN$100,_xlfn.ANCHORARRAY( $W$5), 0), 0),
        $F$5:$U$20
    ),
    TRANSPOSE(
        INDEX($X$5:$AM$77, MATCH($A108,_xlfn.ANCHORARRAY( $W$5), 0), 0)
    )
)
/
(
    INDEX($AN$5:$AN$77, MATCH(BN$100,_xlfn.ANCHORARRAY( $W$5), 0))
    *
    INDEX($AN$5:$AN$77, MATCH($A108,_xlfn.ANCHORARRAY( $W$5), 0))
)</f>
        <v>0.77269571966571304</v>
      </c>
      <c r="BO108" s="17" cm="1">
        <f t="array" ref="BO108">MMULT(
    MMULT(
        INDEX($X$5:$AM$77, MATCH(BO$100,_xlfn.ANCHORARRAY( $W$5), 0), 0),
        $F$5:$U$20
    ),
    TRANSPOSE(
        INDEX($X$5:$AM$77, MATCH($A108,_xlfn.ANCHORARRAY( $W$5), 0), 0)
    )
)
/
(
    INDEX($AN$5:$AN$77, MATCH(BO$100,_xlfn.ANCHORARRAY( $W$5), 0))
    *
    INDEX($AN$5:$AN$77, MATCH($A108,_xlfn.ANCHORARRAY( $W$5), 0))
)</f>
        <v>0.76901209935851444</v>
      </c>
      <c r="BP108" s="17" cm="1">
        <f t="array" ref="BP108">MMULT(
    MMULT(
        INDEX($X$5:$AM$77, MATCH(BP$100,_xlfn.ANCHORARRAY( $W$5), 0), 0),
        $F$5:$U$20
    ),
    TRANSPOSE(
        INDEX($X$5:$AM$77, MATCH($A108,_xlfn.ANCHORARRAY( $W$5), 0), 0)
    )
)
/
(
    INDEX($AN$5:$AN$77, MATCH(BP$100,_xlfn.ANCHORARRAY( $W$5), 0))
    *
    INDEX($AN$5:$AN$77, MATCH($A108,_xlfn.ANCHORARRAY( $W$5), 0))
)</f>
        <v>0.75616897374343506</v>
      </c>
      <c r="BQ108" s="17" cm="1">
        <f t="array" ref="BQ108">MMULT(
    MMULT(
        INDEX($X$5:$AM$77, MATCH(BQ$100,_xlfn.ANCHORARRAY( $W$5), 0), 0),
        $F$5:$U$20
    ),
    TRANSPOSE(
        INDEX($X$5:$AM$77, MATCH($A108,_xlfn.ANCHORARRAY( $W$5), 0), 0)
    )
)
/
(
    INDEX($AN$5:$AN$77, MATCH(BQ$100,_xlfn.ANCHORARRAY( $W$5), 0))
    *
    INDEX($AN$5:$AN$77, MATCH($A108,_xlfn.ANCHORARRAY( $W$5), 0))
)</f>
        <v>0.64162390670093994</v>
      </c>
      <c r="BR108" s="17" cm="1">
        <f t="array" ref="BR108">MMULT(
    MMULT(
        INDEX($X$5:$AM$77, MATCH(BR$100,_xlfn.ANCHORARRAY( $W$5), 0), 0),
        $F$5:$U$20
    ),
    TRANSPOSE(
        INDEX($X$5:$AM$77, MATCH($A108,_xlfn.ANCHORARRAY( $W$5), 0), 0)
    )
)
/
(
    INDEX($AN$5:$AN$77, MATCH(BR$100,_xlfn.ANCHORARRAY( $W$5), 0))
    *
    INDEX($AN$5:$AN$77, MATCH($A108,_xlfn.ANCHORARRAY( $W$5), 0))
)</f>
        <v>0.86093214718083211</v>
      </c>
      <c r="BS108" s="17" cm="1">
        <f t="array" ref="BS108">MMULT(
    MMULT(
        INDEX($X$5:$AM$77, MATCH(BS$100,_xlfn.ANCHORARRAY( $W$5), 0), 0),
        $F$5:$U$20
    ),
    TRANSPOSE(
        INDEX($X$5:$AM$77, MATCH($A108,_xlfn.ANCHORARRAY( $W$5), 0), 0)
    )
)
/
(
    INDEX($AN$5:$AN$77, MATCH(BS$100,_xlfn.ANCHORARRAY( $W$5), 0))
    *
    INDEX($AN$5:$AN$77, MATCH($A108,_xlfn.ANCHORARRAY( $W$5), 0))
)</f>
        <v>0.64487375374325806</v>
      </c>
      <c r="BT108" s="17" cm="1">
        <f t="array" ref="BT108">MMULT(
    MMULT(
        INDEX($X$5:$AM$77, MATCH(BT$100,_xlfn.ANCHORARRAY( $W$5), 0), 0),
        $F$5:$U$20
    ),
    TRANSPOSE(
        INDEX($X$5:$AM$77, MATCH($A108,_xlfn.ANCHORARRAY( $W$5), 0), 0)
    )
)
/
(
    INDEX($AN$5:$AN$77, MATCH(BT$100,_xlfn.ANCHORARRAY( $W$5), 0))
    *
    INDEX($AN$5:$AN$77, MATCH($A108,_xlfn.ANCHORARRAY( $W$5), 0))
)</f>
        <v>0.74263591837138898</v>
      </c>
      <c r="BU108" s="17" cm="1">
        <f t="array" ref="BU108">MMULT(
    MMULT(
        INDEX($X$5:$AM$77, MATCH(BU$100,_xlfn.ANCHORARRAY( $W$5), 0), 0),
        $F$5:$U$20
    ),
    TRANSPOSE(
        INDEX($X$5:$AM$77, MATCH($A108,_xlfn.ANCHORARRAY( $W$5), 0), 0)
    )
)
/
(
    INDEX($AN$5:$AN$77, MATCH(BU$100,_xlfn.ANCHORARRAY( $W$5), 0))
    *
    INDEX($AN$5:$AN$77, MATCH($A108,_xlfn.ANCHORARRAY( $W$5), 0))
)</f>
        <v>0.83652609101189424</v>
      </c>
      <c r="BV108" s="17" cm="1">
        <f t="array" ref="BV108">MMULT(
    MMULT(
        INDEX($X$5:$AM$77, MATCH(BV$100,_xlfn.ANCHORARRAY( $W$5), 0), 0),
        $F$5:$U$20
    ),
    TRANSPOSE(
        INDEX($X$5:$AM$77, MATCH($A108,_xlfn.ANCHORARRAY( $W$5), 0), 0)
    )
)
/
(
    INDEX($AN$5:$AN$77, MATCH(BV$100,_xlfn.ANCHORARRAY( $W$5), 0))
    *
    INDEX($AN$5:$AN$77, MATCH($A108,_xlfn.ANCHORARRAY( $W$5), 0))
)</f>
        <v>0.72805685045622259</v>
      </c>
    </row>
    <row r="109" spans="1:74" x14ac:dyDescent="0.3">
      <c r="A109" s="7" t="str">
        <v>Schwellenbach, Spencer</v>
      </c>
      <c r="B109" s="17" cm="1">
        <f t="array" ref="B109">MMULT(
    MMULT(
        INDEX($X$5:$AM$77, MATCH(B$100,_xlfn.ANCHORARRAY( $W$5), 0), 0),
        $F$5:$U$20
    ),
    TRANSPOSE(
        INDEX($X$5:$AM$77, MATCH($A109,_xlfn.ANCHORARRAY( $W$5), 0), 0)
    )
)
/
(
    INDEX($AN$5:$AN$77, MATCH(B$100,_xlfn.ANCHORARRAY( $W$5), 0))
    *
    INDEX($AN$5:$AN$77, MATCH($A109,_xlfn.ANCHORARRAY( $W$5), 0))
)</f>
        <v>0.95758817558476517</v>
      </c>
      <c r="C109" s="17" cm="1">
        <f t="array" ref="C109">MMULT(
    MMULT(
        INDEX($X$5:$AM$77, MATCH(C$100,_xlfn.ANCHORARRAY( $W$5), 0), 0),
        $F$5:$U$20
    ),
    TRANSPOSE(
        INDEX($X$5:$AM$77, MATCH($A109,_xlfn.ANCHORARRAY( $W$5), 0), 0)
    )
)
/
(
    INDEX($AN$5:$AN$77, MATCH(C$100,_xlfn.ANCHORARRAY( $W$5), 0))
    *
    INDEX($AN$5:$AN$77, MATCH($A109,_xlfn.ANCHORARRAY( $W$5), 0))
)</f>
        <v>0.83504150592176629</v>
      </c>
      <c r="D109" s="17" cm="1">
        <f t="array" ref="D109">MMULT(
    MMULT(
        INDEX($X$5:$AM$77, MATCH(D$100,_xlfn.ANCHORARRAY( $W$5), 0), 0),
        $F$5:$U$20
    ),
    TRANSPOSE(
        INDEX($X$5:$AM$77, MATCH($A109,_xlfn.ANCHORARRAY( $W$5), 0), 0)
    )
)
/
(
    INDEX($AN$5:$AN$77, MATCH(D$100,_xlfn.ANCHORARRAY( $W$5), 0))
    *
    INDEX($AN$5:$AN$77, MATCH($A109,_xlfn.ANCHORARRAY( $W$5), 0))
)</f>
        <v>0.92350149126082481</v>
      </c>
      <c r="E109" s="17" cm="1">
        <f t="array" ref="E109">MMULT(
    MMULT(
        INDEX($X$5:$AM$77, MATCH(E$100,_xlfn.ANCHORARRAY( $W$5), 0), 0),
        $F$5:$U$20
    ),
    TRANSPOSE(
        INDEX($X$5:$AM$77, MATCH($A109,_xlfn.ANCHORARRAY( $W$5), 0), 0)
    )
)
/
(
    INDEX($AN$5:$AN$77, MATCH(E$100,_xlfn.ANCHORARRAY( $W$5), 0))
    *
    INDEX($AN$5:$AN$77, MATCH($A109,_xlfn.ANCHORARRAY( $W$5), 0))
)</f>
        <v>0.86724435367476893</v>
      </c>
      <c r="F109" s="17" cm="1">
        <f t="array" ref="F109">MMULT(
    MMULT(
        INDEX($X$5:$AM$77, MATCH(F$100,_xlfn.ANCHORARRAY( $W$5), 0), 0),
        $F$5:$U$20
    ),
    TRANSPOSE(
        INDEX($X$5:$AM$77, MATCH($A109,_xlfn.ANCHORARRAY( $W$5), 0), 0)
    )
)
/
(
    INDEX($AN$5:$AN$77, MATCH(F$100,_xlfn.ANCHORARRAY( $W$5), 0))
    *
    INDEX($AN$5:$AN$77, MATCH($A109,_xlfn.ANCHORARRAY( $W$5), 0))
)</f>
        <v>0.86497195220038514</v>
      </c>
      <c r="G109" s="17" cm="1">
        <f t="array" ref="G109">MMULT(
    MMULT(
        INDEX($X$5:$AM$77, MATCH(G$100,_xlfn.ANCHORARRAY( $W$5), 0), 0),
        $F$5:$U$20
    ),
    TRANSPOSE(
        INDEX($X$5:$AM$77, MATCH($A109,_xlfn.ANCHORARRAY( $W$5), 0), 0)
    )
)
/
(
    INDEX($AN$5:$AN$77, MATCH(G$100,_xlfn.ANCHORARRAY( $W$5), 0))
    *
    INDEX($AN$5:$AN$77, MATCH($A109,_xlfn.ANCHORARRAY( $W$5), 0))
)</f>
        <v>0.82956464208482228</v>
      </c>
      <c r="H109" s="17" cm="1">
        <f t="array" ref="H109">MMULT(
    MMULT(
        INDEX($X$5:$AM$77, MATCH(H$100,_xlfn.ANCHORARRAY( $W$5), 0), 0),
        $F$5:$U$20
    ),
    TRANSPOSE(
        INDEX($X$5:$AM$77, MATCH($A109,_xlfn.ANCHORARRAY( $W$5), 0), 0)
    )
)
/
(
    INDEX($AN$5:$AN$77, MATCH(H$100,_xlfn.ANCHORARRAY( $W$5), 0))
    *
    INDEX($AN$5:$AN$77, MATCH($A109,_xlfn.ANCHORARRAY( $W$5), 0))
)</f>
        <v>0.885728591972608</v>
      </c>
      <c r="I109" s="17" cm="1">
        <f t="array" ref="I109">MMULT(
    MMULT(
        INDEX($X$5:$AM$77, MATCH(I$100,_xlfn.ANCHORARRAY( $W$5), 0), 0),
        $F$5:$U$20
    ),
    TRANSPOSE(
        INDEX($X$5:$AM$77, MATCH($A109,_xlfn.ANCHORARRAY( $W$5), 0), 0)
    )
)
/
(
    INDEX($AN$5:$AN$77, MATCH(I$100,_xlfn.ANCHORARRAY( $W$5), 0))
    *
    INDEX($AN$5:$AN$77, MATCH($A109,_xlfn.ANCHORARRAY( $W$5), 0))
)</f>
        <v>0.84657357190522997</v>
      </c>
      <c r="J109" s="17" cm="1">
        <f t="array" ref="J109">MMULT(
    MMULT(
        INDEX($X$5:$AM$77, MATCH(J$100,_xlfn.ANCHORARRAY( $W$5), 0), 0),
        $F$5:$U$20
    ),
    TRANSPOSE(
        INDEX($X$5:$AM$77, MATCH($A109,_xlfn.ANCHORARRAY( $W$5), 0), 0)
    )
)
/
(
    INDEX($AN$5:$AN$77, MATCH(J$100,_xlfn.ANCHORARRAY( $W$5), 0))
    *
    INDEX($AN$5:$AN$77, MATCH($A109,_xlfn.ANCHORARRAY( $W$5), 0))
)</f>
        <v>1</v>
      </c>
      <c r="K109" s="17" cm="1">
        <f t="array" ref="K109">MMULT(
    MMULT(
        INDEX($X$5:$AM$77, MATCH(K$100,_xlfn.ANCHORARRAY( $W$5), 0), 0),
        $F$5:$U$20
    ),
    TRANSPOSE(
        INDEX($X$5:$AM$77, MATCH($A109,_xlfn.ANCHORARRAY( $W$5), 0), 0)
    )
)
/
(
    INDEX($AN$5:$AN$77, MATCH(K$100,_xlfn.ANCHORARRAY( $W$5), 0))
    *
    INDEX($AN$5:$AN$77, MATCH($A109,_xlfn.ANCHORARRAY( $W$5), 0))
)</f>
        <v>0.90444315477593507</v>
      </c>
      <c r="L109" s="17" cm="1">
        <f t="array" ref="L109">MMULT(
    MMULT(
        INDEX($X$5:$AM$77, MATCH(L$100,_xlfn.ANCHORARRAY( $W$5), 0), 0),
        $F$5:$U$20
    ),
    TRANSPOSE(
        INDEX($X$5:$AM$77, MATCH($A109,_xlfn.ANCHORARRAY( $W$5), 0), 0)
    )
)
/
(
    INDEX($AN$5:$AN$77, MATCH(L$100,_xlfn.ANCHORARRAY( $W$5), 0))
    *
    INDEX($AN$5:$AN$77, MATCH($A109,_xlfn.ANCHORARRAY( $W$5), 0))
)</f>
        <v>0.83727433752653402</v>
      </c>
      <c r="M109" s="17" cm="1">
        <f t="array" ref="M109">MMULT(
    MMULT(
        INDEX($X$5:$AM$77, MATCH(M$100,_xlfn.ANCHORARRAY( $W$5), 0), 0),
        $F$5:$U$20
    ),
    TRANSPOSE(
        INDEX($X$5:$AM$77, MATCH($A109,_xlfn.ANCHORARRAY( $W$5), 0), 0)
    )
)
/
(
    INDEX($AN$5:$AN$77, MATCH(M$100,_xlfn.ANCHORARRAY( $W$5), 0))
    *
    INDEX($AN$5:$AN$77, MATCH($A109,_xlfn.ANCHORARRAY( $W$5), 0))
)</f>
        <v>0.87963260287331513</v>
      </c>
      <c r="N109" s="17" cm="1">
        <f t="array" ref="N109">MMULT(
    MMULT(
        INDEX($X$5:$AM$77, MATCH(N$100,_xlfn.ANCHORARRAY( $W$5), 0), 0),
        $F$5:$U$20
    ),
    TRANSPOSE(
        INDEX($X$5:$AM$77, MATCH($A109,_xlfn.ANCHORARRAY( $W$5), 0), 0)
    )
)
/
(
    INDEX($AN$5:$AN$77, MATCH(N$100,_xlfn.ANCHORARRAY( $W$5), 0))
    *
    INDEX($AN$5:$AN$77, MATCH($A109,_xlfn.ANCHORARRAY( $W$5), 0))
)</f>
        <v>0.8001165393247005</v>
      </c>
      <c r="O109" s="17" cm="1">
        <f t="array" ref="O109">MMULT(
    MMULT(
        INDEX($X$5:$AM$77, MATCH(O$100,_xlfn.ANCHORARRAY( $W$5), 0), 0),
        $F$5:$U$20
    ),
    TRANSPOSE(
        INDEX($X$5:$AM$77, MATCH($A109,_xlfn.ANCHORARRAY( $W$5), 0), 0)
    )
)
/
(
    INDEX($AN$5:$AN$77, MATCH(O$100,_xlfn.ANCHORARRAY( $W$5), 0))
    *
    INDEX($AN$5:$AN$77, MATCH($A109,_xlfn.ANCHORARRAY( $W$5), 0))
)</f>
        <v>0.77823639130893574</v>
      </c>
      <c r="P109" s="17" cm="1">
        <f t="array" ref="P109">MMULT(
    MMULT(
        INDEX($X$5:$AM$77, MATCH(P$100,_xlfn.ANCHORARRAY( $W$5), 0), 0),
        $F$5:$U$20
    ),
    TRANSPOSE(
        INDEX($X$5:$AM$77, MATCH($A109,_xlfn.ANCHORARRAY( $W$5), 0), 0)
    )
)
/
(
    INDEX($AN$5:$AN$77, MATCH(P$100,_xlfn.ANCHORARRAY( $W$5), 0))
    *
    INDEX($AN$5:$AN$77, MATCH($A109,_xlfn.ANCHORARRAY( $W$5), 0))
)</f>
        <v>0.92900515843954146</v>
      </c>
      <c r="Q109" s="17" cm="1">
        <f t="array" ref="Q109">MMULT(
    MMULT(
        INDEX($X$5:$AM$77, MATCH(Q$100,_xlfn.ANCHORARRAY( $W$5), 0), 0),
        $F$5:$U$20
    ),
    TRANSPOSE(
        INDEX($X$5:$AM$77, MATCH($A109,_xlfn.ANCHORARRAY( $W$5), 0), 0)
    )
)
/
(
    INDEX($AN$5:$AN$77, MATCH(Q$100,_xlfn.ANCHORARRAY( $W$5), 0))
    *
    INDEX($AN$5:$AN$77, MATCH($A109,_xlfn.ANCHORARRAY( $W$5), 0))
)</f>
        <v>0.88425994264017016</v>
      </c>
      <c r="R109" s="17" cm="1">
        <f t="array" ref="R109">MMULT(
    MMULT(
        INDEX($X$5:$AM$77, MATCH(R$100,_xlfn.ANCHORARRAY( $W$5), 0), 0),
        $F$5:$U$20
    ),
    TRANSPOSE(
        INDEX($X$5:$AM$77, MATCH($A109,_xlfn.ANCHORARRAY( $W$5), 0), 0)
    )
)
/
(
    INDEX($AN$5:$AN$77, MATCH(R$100,_xlfn.ANCHORARRAY( $W$5), 0))
    *
    INDEX($AN$5:$AN$77, MATCH($A109,_xlfn.ANCHORARRAY( $W$5), 0))
)</f>
        <v>0.92141603083310208</v>
      </c>
      <c r="S109" s="17" cm="1">
        <f t="array" ref="S109">MMULT(
    MMULT(
        INDEX($X$5:$AM$77, MATCH(S$100,_xlfn.ANCHORARRAY( $W$5), 0), 0),
        $F$5:$U$20
    ),
    TRANSPOSE(
        INDEX($X$5:$AM$77, MATCH($A109,_xlfn.ANCHORARRAY( $W$5), 0), 0)
    )
)
/
(
    INDEX($AN$5:$AN$77, MATCH(S$100,_xlfn.ANCHORARRAY( $W$5), 0))
    *
    INDEX($AN$5:$AN$77, MATCH($A109,_xlfn.ANCHORARRAY( $W$5), 0))
)</f>
        <v>0.92899299520683098</v>
      </c>
      <c r="T109" s="17" cm="1">
        <f t="array" ref="T109">MMULT(
    MMULT(
        INDEX($X$5:$AM$77, MATCH(T$100,_xlfn.ANCHORARRAY( $W$5), 0), 0),
        $F$5:$U$20
    ),
    TRANSPOSE(
        INDEX($X$5:$AM$77, MATCH($A109,_xlfn.ANCHORARRAY( $W$5), 0), 0)
    )
)
/
(
    INDEX($AN$5:$AN$77, MATCH(T$100,_xlfn.ANCHORARRAY( $W$5), 0))
    *
    INDEX($AN$5:$AN$77, MATCH($A109,_xlfn.ANCHORARRAY( $W$5), 0))
)</f>
        <v>0.52167549352251541</v>
      </c>
      <c r="U109" s="17" cm="1">
        <f t="array" ref="U109">MMULT(
    MMULT(
        INDEX($X$5:$AM$77, MATCH(U$100,_xlfn.ANCHORARRAY( $W$5), 0), 0),
        $F$5:$U$20
    ),
    TRANSPOSE(
        INDEX($X$5:$AM$77, MATCH($A109,_xlfn.ANCHORARRAY( $W$5), 0), 0)
    )
)
/
(
    INDEX($AN$5:$AN$77, MATCH(U$100,_xlfn.ANCHORARRAY( $W$5), 0))
    *
    INDEX($AN$5:$AN$77, MATCH($A109,_xlfn.ANCHORARRAY( $W$5), 0))
)</f>
        <v>0.94084517568003367</v>
      </c>
      <c r="V109" s="17" cm="1">
        <f t="array" ref="V109">MMULT(
    MMULT(
        INDEX($X$5:$AM$77, MATCH(V$100,_xlfn.ANCHORARRAY( $W$5), 0), 0),
        $F$5:$U$20
    ),
    TRANSPOSE(
        INDEX($X$5:$AM$77, MATCH($A109,_xlfn.ANCHORARRAY( $W$5), 0), 0)
    )
)
/
(
    INDEX($AN$5:$AN$77, MATCH(V$100,_xlfn.ANCHORARRAY( $W$5), 0))
    *
    INDEX($AN$5:$AN$77, MATCH($A109,_xlfn.ANCHORARRAY( $W$5), 0))
)</f>
        <v>0.70792242595451671</v>
      </c>
      <c r="W109" s="17" cm="1">
        <f t="array" ref="W109">MMULT(
    MMULT(
        INDEX($X$5:$AM$77, MATCH(W$100,_xlfn.ANCHORARRAY( $W$5), 0), 0),
        $F$5:$U$20
    ),
    TRANSPOSE(
        INDEX($X$5:$AM$77, MATCH($A109,_xlfn.ANCHORARRAY( $W$5), 0), 0)
    )
)
/
(
    INDEX($AN$5:$AN$77, MATCH(W$100,_xlfn.ANCHORARRAY( $W$5), 0))
    *
    INDEX($AN$5:$AN$77, MATCH($A109,_xlfn.ANCHORARRAY( $W$5), 0))
)</f>
        <v>0.71991420791385896</v>
      </c>
      <c r="X109" s="17" cm="1">
        <f t="array" ref="X109">MMULT(
    MMULT(
        INDEX($X$5:$AM$77, MATCH(X$100,_xlfn.ANCHORARRAY( $W$5), 0), 0),
        $F$5:$U$20
    ),
    TRANSPOSE(
        INDEX($X$5:$AM$77, MATCH($A109,_xlfn.ANCHORARRAY( $W$5), 0), 0)
    )
)
/
(
    INDEX($AN$5:$AN$77, MATCH(X$100,_xlfn.ANCHORARRAY( $W$5), 0))
    *
    INDEX($AN$5:$AN$77, MATCH($A109,_xlfn.ANCHORARRAY( $W$5), 0))
)</f>
        <v>0.84931432444343591</v>
      </c>
      <c r="Y109" s="17" cm="1">
        <f t="array" ref="Y109">MMULT(
    MMULT(
        INDEX($X$5:$AM$77, MATCH(Y$100,_xlfn.ANCHORARRAY( $W$5), 0), 0),
        $F$5:$U$20
    ),
    TRANSPOSE(
        INDEX($X$5:$AM$77, MATCH($A109,_xlfn.ANCHORARRAY( $W$5), 0), 0)
    )
)
/
(
    INDEX($AN$5:$AN$77, MATCH(Y$100,_xlfn.ANCHORARRAY( $W$5), 0))
    *
    INDEX($AN$5:$AN$77, MATCH($A109,_xlfn.ANCHORARRAY( $W$5), 0))
)</f>
        <v>0.87013565323094877</v>
      </c>
      <c r="Z109" s="17" cm="1">
        <f t="array" ref="Z109">MMULT(
    MMULT(
        INDEX($X$5:$AM$77, MATCH(Z$100,_xlfn.ANCHORARRAY( $W$5), 0), 0),
        $F$5:$U$20
    ),
    TRANSPOSE(
        INDEX($X$5:$AM$77, MATCH($A109,_xlfn.ANCHORARRAY( $W$5), 0), 0)
    )
)
/
(
    INDEX($AN$5:$AN$77, MATCH(Z$100,_xlfn.ANCHORARRAY( $W$5), 0))
    *
    INDEX($AN$5:$AN$77, MATCH($A109,_xlfn.ANCHORARRAY( $W$5), 0))
)</f>
        <v>0.88834665126683499</v>
      </c>
      <c r="AA109" s="17" cm="1">
        <f t="array" ref="AA109">MMULT(
    MMULT(
        INDEX($X$5:$AM$77, MATCH(AA$100,_xlfn.ANCHORARRAY( $W$5), 0), 0),
        $F$5:$U$20
    ),
    TRANSPOSE(
        INDEX($X$5:$AM$77, MATCH($A109,_xlfn.ANCHORARRAY( $W$5), 0), 0)
    )
)
/
(
    INDEX($AN$5:$AN$77, MATCH(AA$100,_xlfn.ANCHORARRAY( $W$5), 0))
    *
    INDEX($AN$5:$AN$77, MATCH($A109,_xlfn.ANCHORARRAY( $W$5), 0))
)</f>
        <v>0.87018854501445675</v>
      </c>
      <c r="AB109" s="17" cm="1">
        <f t="array" ref="AB109">MMULT(
    MMULT(
        INDEX($X$5:$AM$77, MATCH(AB$100,_xlfn.ANCHORARRAY( $W$5), 0), 0),
        $F$5:$U$20
    ),
    TRANSPOSE(
        INDEX($X$5:$AM$77, MATCH($A109,_xlfn.ANCHORARRAY( $W$5), 0), 0)
    )
)
/
(
    INDEX($AN$5:$AN$77, MATCH(AB$100,_xlfn.ANCHORARRAY( $W$5), 0))
    *
    INDEX($AN$5:$AN$77, MATCH($A109,_xlfn.ANCHORARRAY( $W$5), 0))
)</f>
        <v>0.94524901710819464</v>
      </c>
      <c r="AC109" s="17" cm="1">
        <f t="array" ref="AC109">MMULT(
    MMULT(
        INDEX($X$5:$AM$77, MATCH(AC$100,_xlfn.ANCHORARRAY( $W$5), 0), 0),
        $F$5:$U$20
    ),
    TRANSPOSE(
        INDEX($X$5:$AM$77, MATCH($A109,_xlfn.ANCHORARRAY( $W$5), 0), 0)
    )
)
/
(
    INDEX($AN$5:$AN$77, MATCH(AC$100,_xlfn.ANCHORARRAY( $W$5), 0))
    *
    INDEX($AN$5:$AN$77, MATCH($A109,_xlfn.ANCHORARRAY( $W$5), 0))
)</f>
        <v>0.83969640063204742</v>
      </c>
      <c r="AD109" s="17" cm="1">
        <f t="array" ref="AD109">MMULT(
    MMULT(
        INDEX($X$5:$AM$77, MATCH(AD$100,_xlfn.ANCHORARRAY( $W$5), 0), 0),
        $F$5:$U$20
    ),
    TRANSPOSE(
        INDEX($X$5:$AM$77, MATCH($A109,_xlfn.ANCHORARRAY( $W$5), 0), 0)
    )
)
/
(
    INDEX($AN$5:$AN$77, MATCH(AD$100,_xlfn.ANCHORARRAY( $W$5), 0))
    *
    INDEX($AN$5:$AN$77, MATCH($A109,_xlfn.ANCHORARRAY( $W$5), 0))
)</f>
        <v>0.89623560403675639</v>
      </c>
      <c r="AE109" s="17" cm="1">
        <f t="array" ref="AE109">MMULT(
    MMULT(
        INDEX($X$5:$AM$77, MATCH(AE$100,_xlfn.ANCHORARRAY( $W$5), 0), 0),
        $F$5:$U$20
    ),
    TRANSPOSE(
        INDEX($X$5:$AM$77, MATCH($A109,_xlfn.ANCHORARRAY( $W$5), 0), 0)
    )
)
/
(
    INDEX($AN$5:$AN$77, MATCH(AE$100,_xlfn.ANCHORARRAY( $W$5), 0))
    *
    INDEX($AN$5:$AN$77, MATCH($A109,_xlfn.ANCHORARRAY( $W$5), 0))
)</f>
        <v>0.94211042017345148</v>
      </c>
      <c r="AF109" s="17" cm="1">
        <f t="array" ref="AF109">MMULT(
    MMULT(
        INDEX($X$5:$AM$77, MATCH(AF$100,_xlfn.ANCHORARRAY( $W$5), 0), 0),
        $F$5:$U$20
    ),
    TRANSPOSE(
        INDEX($X$5:$AM$77, MATCH($A109,_xlfn.ANCHORARRAY( $W$5), 0), 0)
    )
)
/
(
    INDEX($AN$5:$AN$77, MATCH(AF$100,_xlfn.ANCHORARRAY( $W$5), 0))
    *
    INDEX($AN$5:$AN$77, MATCH($A109,_xlfn.ANCHORARRAY( $W$5), 0))
)</f>
        <v>0.92104904652858643</v>
      </c>
      <c r="AG109" s="17" cm="1">
        <f t="array" ref="AG109">MMULT(
    MMULT(
        INDEX($X$5:$AM$77, MATCH(AG$100,_xlfn.ANCHORARRAY( $W$5), 0), 0),
        $F$5:$U$20
    ),
    TRANSPOSE(
        INDEX($X$5:$AM$77, MATCH($A109,_xlfn.ANCHORARRAY( $W$5), 0), 0)
    )
)
/
(
    INDEX($AN$5:$AN$77, MATCH(AG$100,_xlfn.ANCHORARRAY( $W$5), 0))
    *
    INDEX($AN$5:$AN$77, MATCH($A109,_xlfn.ANCHORARRAY( $W$5), 0))
)</f>
        <v>0.94892256537037212</v>
      </c>
      <c r="AH109" s="17" cm="1">
        <f t="array" ref="AH109">MMULT(
    MMULT(
        INDEX($X$5:$AM$77, MATCH(AH$100,_xlfn.ANCHORARRAY( $W$5), 0), 0),
        $F$5:$U$20
    ),
    TRANSPOSE(
        INDEX($X$5:$AM$77, MATCH($A109,_xlfn.ANCHORARRAY( $W$5), 0), 0)
    )
)
/
(
    INDEX($AN$5:$AN$77, MATCH(AH$100,_xlfn.ANCHORARRAY( $W$5), 0))
    *
    INDEX($AN$5:$AN$77, MATCH($A109,_xlfn.ANCHORARRAY( $W$5), 0))
)</f>
        <v>0.80363664350202957</v>
      </c>
      <c r="AI109" s="17" cm="1">
        <f t="array" ref="AI109">MMULT(
    MMULT(
        INDEX($X$5:$AM$77, MATCH(AI$100,_xlfn.ANCHORARRAY( $W$5), 0), 0),
        $F$5:$U$20
    ),
    TRANSPOSE(
        INDEX($X$5:$AM$77, MATCH($A109,_xlfn.ANCHORARRAY( $W$5), 0), 0)
    )
)
/
(
    INDEX($AN$5:$AN$77, MATCH(AI$100,_xlfn.ANCHORARRAY( $W$5), 0))
    *
    INDEX($AN$5:$AN$77, MATCH($A109,_xlfn.ANCHORARRAY( $W$5), 0))
)</f>
        <v>0.93918255497057768</v>
      </c>
      <c r="AJ109" s="17" cm="1">
        <f t="array" ref="AJ109">MMULT(
    MMULT(
        INDEX($X$5:$AM$77, MATCH(AJ$100,_xlfn.ANCHORARRAY( $W$5), 0), 0),
        $F$5:$U$20
    ),
    TRANSPOSE(
        INDEX($X$5:$AM$77, MATCH($A109,_xlfn.ANCHORARRAY( $W$5), 0), 0)
    )
)
/
(
    INDEX($AN$5:$AN$77, MATCH(AJ$100,_xlfn.ANCHORARRAY( $W$5), 0))
    *
    INDEX($AN$5:$AN$77, MATCH($A109,_xlfn.ANCHORARRAY( $W$5), 0))
)</f>
        <v>0.90415575523943803</v>
      </c>
      <c r="AK109" s="17" cm="1">
        <f t="array" ref="AK109">MMULT(
    MMULT(
        INDEX($X$5:$AM$77, MATCH(AK$100,_xlfn.ANCHORARRAY( $W$5), 0), 0),
        $F$5:$U$20
    ),
    TRANSPOSE(
        INDEX($X$5:$AM$77, MATCH($A109,_xlfn.ANCHORARRAY( $W$5), 0), 0)
    )
)
/
(
    INDEX($AN$5:$AN$77, MATCH(AK$100,_xlfn.ANCHORARRAY( $W$5), 0))
    *
    INDEX($AN$5:$AN$77, MATCH($A109,_xlfn.ANCHORARRAY( $W$5), 0))
)</f>
        <v>0.94353506287370059</v>
      </c>
      <c r="AL109" s="17" cm="1">
        <f t="array" ref="AL109">MMULT(
    MMULT(
        INDEX($X$5:$AM$77, MATCH(AL$100,_xlfn.ANCHORARRAY( $W$5), 0), 0),
        $F$5:$U$20
    ),
    TRANSPOSE(
        INDEX($X$5:$AM$77, MATCH($A109,_xlfn.ANCHORARRAY( $W$5), 0), 0)
    )
)
/
(
    INDEX($AN$5:$AN$77, MATCH(AL$100,_xlfn.ANCHORARRAY( $W$5), 0))
    *
    INDEX($AN$5:$AN$77, MATCH($A109,_xlfn.ANCHORARRAY( $W$5), 0))
)</f>
        <v>0.79573359569452173</v>
      </c>
      <c r="AM109" s="17" cm="1">
        <f t="array" ref="AM109">MMULT(
    MMULT(
        INDEX($X$5:$AM$77, MATCH(AM$100,_xlfn.ANCHORARRAY( $W$5), 0), 0),
        $F$5:$U$20
    ),
    TRANSPOSE(
        INDEX($X$5:$AM$77, MATCH($A109,_xlfn.ANCHORARRAY( $W$5), 0), 0)
    )
)
/
(
    INDEX($AN$5:$AN$77, MATCH(AM$100,_xlfn.ANCHORARRAY( $W$5), 0))
    *
    INDEX($AN$5:$AN$77, MATCH($A109,_xlfn.ANCHORARRAY( $W$5), 0))
)</f>
        <v>0.84381972326247412</v>
      </c>
      <c r="AN109" s="17" cm="1">
        <f t="array" ref="AN109">MMULT(
    MMULT(
        INDEX($X$5:$AM$77, MATCH(AN$100,_xlfn.ANCHORARRAY( $W$5), 0), 0),
        $F$5:$U$20
    ),
    TRANSPOSE(
        INDEX($X$5:$AM$77, MATCH($A109,_xlfn.ANCHORARRAY( $W$5), 0), 0)
    )
)
/
(
    INDEX($AN$5:$AN$77, MATCH(AN$100,_xlfn.ANCHORARRAY( $W$5), 0))
    *
    INDEX($AN$5:$AN$77, MATCH($A109,_xlfn.ANCHORARRAY( $W$5), 0))
)</f>
        <v>0.82346862615917649</v>
      </c>
      <c r="AO109" s="17" cm="1">
        <f t="array" ref="AO109">MMULT(
    MMULT(
        INDEX($X$5:$AM$77, MATCH(AO$100,_xlfn.ANCHORARRAY( $W$5), 0), 0),
        $F$5:$U$20
    ),
    TRANSPOSE(
        INDEX($X$5:$AM$77, MATCH($A109,_xlfn.ANCHORARRAY( $W$5), 0), 0)
    )
)
/
(
    INDEX($AN$5:$AN$77, MATCH(AO$100,_xlfn.ANCHORARRAY( $W$5), 0))
    *
    INDEX($AN$5:$AN$77, MATCH($A109,_xlfn.ANCHORARRAY( $W$5), 0))
)</f>
        <v>0.8345422372900394</v>
      </c>
      <c r="AP109" s="17" cm="1">
        <f t="array" ref="AP109">MMULT(
    MMULT(
        INDEX($X$5:$AM$77, MATCH(AP$100,_xlfn.ANCHORARRAY( $W$5), 0), 0),
        $F$5:$U$20
    ),
    TRANSPOSE(
        INDEX($X$5:$AM$77, MATCH($A109,_xlfn.ANCHORARRAY( $W$5), 0), 0)
    )
)
/
(
    INDEX($AN$5:$AN$77, MATCH(AP$100,_xlfn.ANCHORARRAY( $W$5), 0))
    *
    INDEX($AN$5:$AN$77, MATCH($A109,_xlfn.ANCHORARRAY( $W$5), 0))
)</f>
        <v>0.88283797457004931</v>
      </c>
      <c r="AQ109" s="17" cm="1">
        <f t="array" ref="AQ109">MMULT(
    MMULT(
        INDEX($X$5:$AM$77, MATCH(AQ$100,_xlfn.ANCHORARRAY( $W$5), 0), 0),
        $F$5:$U$20
    ),
    TRANSPOSE(
        INDEX($X$5:$AM$77, MATCH($A109,_xlfn.ANCHORARRAY( $W$5), 0), 0)
    )
)
/
(
    INDEX($AN$5:$AN$77, MATCH(AQ$100,_xlfn.ANCHORARRAY( $W$5), 0))
    *
    INDEX($AN$5:$AN$77, MATCH($A109,_xlfn.ANCHORARRAY( $W$5), 0))
)</f>
        <v>0.86118452275829482</v>
      </c>
      <c r="AR109" s="17" cm="1">
        <f t="array" ref="AR109">MMULT(
    MMULT(
        INDEX($X$5:$AM$77, MATCH(AR$100,_xlfn.ANCHORARRAY( $W$5), 0), 0),
        $F$5:$U$20
    ),
    TRANSPOSE(
        INDEX($X$5:$AM$77, MATCH($A109,_xlfn.ANCHORARRAY( $W$5), 0), 0)
    )
)
/
(
    INDEX($AN$5:$AN$77, MATCH(AR$100,_xlfn.ANCHORARRAY( $W$5), 0))
    *
    INDEX($AN$5:$AN$77, MATCH($A109,_xlfn.ANCHORARRAY( $W$5), 0))
)</f>
        <v>0.91729934342676744</v>
      </c>
      <c r="AS109" s="17" cm="1">
        <f t="array" ref="AS109">MMULT(
    MMULT(
        INDEX($X$5:$AM$77, MATCH(AS$100,_xlfn.ANCHORARRAY( $W$5), 0), 0),
        $F$5:$U$20
    ),
    TRANSPOSE(
        INDEX($X$5:$AM$77, MATCH($A109,_xlfn.ANCHORARRAY( $W$5), 0), 0)
    )
)
/
(
    INDEX($AN$5:$AN$77, MATCH(AS$100,_xlfn.ANCHORARRAY( $W$5), 0))
    *
    INDEX($AN$5:$AN$77, MATCH($A109,_xlfn.ANCHORARRAY( $W$5), 0))
)</f>
        <v>0.8760623285998772</v>
      </c>
      <c r="AT109" s="17" cm="1">
        <f t="array" ref="AT109">MMULT(
    MMULT(
        INDEX($X$5:$AM$77, MATCH(AT$100,_xlfn.ANCHORARRAY( $W$5), 0), 0),
        $F$5:$U$20
    ),
    TRANSPOSE(
        INDEX($X$5:$AM$77, MATCH($A109,_xlfn.ANCHORARRAY( $W$5), 0), 0)
    )
)
/
(
    INDEX($AN$5:$AN$77, MATCH(AT$100,_xlfn.ANCHORARRAY( $W$5), 0))
    *
    INDEX($AN$5:$AN$77, MATCH($A109,_xlfn.ANCHORARRAY( $W$5), 0))
)</f>
        <v>0.93411211858730514</v>
      </c>
      <c r="AU109" s="17" cm="1">
        <f t="array" ref="AU109">MMULT(
    MMULT(
        INDEX($X$5:$AM$77, MATCH(AU$100,_xlfn.ANCHORARRAY( $W$5), 0), 0),
        $F$5:$U$20
    ),
    TRANSPOSE(
        INDEX($X$5:$AM$77, MATCH($A109,_xlfn.ANCHORARRAY( $W$5), 0), 0)
    )
)
/
(
    INDEX($AN$5:$AN$77, MATCH(AU$100,_xlfn.ANCHORARRAY( $W$5), 0))
    *
    INDEX($AN$5:$AN$77, MATCH($A109,_xlfn.ANCHORARRAY( $W$5), 0))
)</f>
        <v>0.87175055969957682</v>
      </c>
      <c r="AV109" s="17" cm="1">
        <f t="array" ref="AV109">MMULT(
    MMULT(
        INDEX($X$5:$AM$77, MATCH(AV$100,_xlfn.ANCHORARRAY( $W$5), 0), 0),
        $F$5:$U$20
    ),
    TRANSPOSE(
        INDEX($X$5:$AM$77, MATCH($A109,_xlfn.ANCHORARRAY( $W$5), 0), 0)
    )
)
/
(
    INDEX($AN$5:$AN$77, MATCH(AV$100,_xlfn.ANCHORARRAY( $W$5), 0))
    *
    INDEX($AN$5:$AN$77, MATCH($A109,_xlfn.ANCHORARRAY( $W$5), 0))
)</f>
        <v>0.87055792720040104</v>
      </c>
      <c r="AW109" s="17" cm="1">
        <f t="array" ref="AW109">MMULT(
    MMULT(
        INDEX($X$5:$AM$77, MATCH(AW$100,_xlfn.ANCHORARRAY( $W$5), 0), 0),
        $F$5:$U$20
    ),
    TRANSPOSE(
        INDEX($X$5:$AM$77, MATCH($A109,_xlfn.ANCHORARRAY( $W$5), 0), 0)
    )
)
/
(
    INDEX($AN$5:$AN$77, MATCH(AW$100,_xlfn.ANCHORARRAY( $W$5), 0))
    *
    INDEX($AN$5:$AN$77, MATCH($A109,_xlfn.ANCHORARRAY( $W$5), 0))
)</f>
        <v>0.80876766408971468</v>
      </c>
      <c r="AX109" s="17" cm="1">
        <f t="array" ref="AX109">MMULT(
    MMULT(
        INDEX($X$5:$AM$77, MATCH(AX$100,_xlfn.ANCHORARRAY( $W$5), 0), 0),
        $F$5:$U$20
    ),
    TRANSPOSE(
        INDEX($X$5:$AM$77, MATCH($A109,_xlfn.ANCHORARRAY( $W$5), 0), 0)
    )
)
/
(
    INDEX($AN$5:$AN$77, MATCH(AX$100,_xlfn.ANCHORARRAY( $W$5), 0))
    *
    INDEX($AN$5:$AN$77, MATCH($A109,_xlfn.ANCHORARRAY( $W$5), 0))
)</f>
        <v>0.74017584018330629</v>
      </c>
      <c r="AY109" s="17" cm="1">
        <f t="array" ref="AY109">MMULT(
    MMULT(
        INDEX($X$5:$AM$77, MATCH(AY$100,_xlfn.ANCHORARRAY( $W$5), 0), 0),
        $F$5:$U$20
    ),
    TRANSPOSE(
        INDEX($X$5:$AM$77, MATCH($A109,_xlfn.ANCHORARRAY( $W$5), 0), 0)
    )
)
/
(
    INDEX($AN$5:$AN$77, MATCH(AY$100,_xlfn.ANCHORARRAY( $W$5), 0))
    *
    INDEX($AN$5:$AN$77, MATCH($A109,_xlfn.ANCHORARRAY( $W$5), 0))
)</f>
        <v>0.77034289384273191</v>
      </c>
      <c r="AZ109" s="17" cm="1">
        <f t="array" ref="AZ109">MMULT(
    MMULT(
        INDEX($X$5:$AM$77, MATCH(AZ$100,_xlfn.ANCHORARRAY( $W$5), 0), 0),
        $F$5:$U$20
    ),
    TRANSPOSE(
        INDEX($X$5:$AM$77, MATCH($A109,_xlfn.ANCHORARRAY( $W$5), 0), 0)
    )
)
/
(
    INDEX($AN$5:$AN$77, MATCH(AZ$100,_xlfn.ANCHORARRAY( $W$5), 0))
    *
    INDEX($AN$5:$AN$77, MATCH($A109,_xlfn.ANCHORARRAY( $W$5), 0))
)</f>
        <v>0.88147830751736533</v>
      </c>
      <c r="BA109" s="17" cm="1">
        <f t="array" ref="BA109">MMULT(
    MMULT(
        INDEX($X$5:$AM$77, MATCH(BA$100,_xlfn.ANCHORARRAY( $W$5), 0), 0),
        $F$5:$U$20
    ),
    TRANSPOSE(
        INDEX($X$5:$AM$77, MATCH($A109,_xlfn.ANCHORARRAY( $W$5), 0), 0)
    )
)
/
(
    INDEX($AN$5:$AN$77, MATCH(BA$100,_xlfn.ANCHORARRAY( $W$5), 0))
    *
    INDEX($AN$5:$AN$77, MATCH($A109,_xlfn.ANCHORARRAY( $W$5), 0))
)</f>
        <v>0.90944937867979425</v>
      </c>
      <c r="BB109" s="17" cm="1">
        <f t="array" ref="BB109">MMULT(
    MMULT(
        INDEX($X$5:$AM$77, MATCH(BB$100,_xlfn.ANCHORARRAY( $W$5), 0), 0),
        $F$5:$U$20
    ),
    TRANSPOSE(
        INDEX($X$5:$AM$77, MATCH($A109,_xlfn.ANCHORARRAY( $W$5), 0), 0)
    )
)
/
(
    INDEX($AN$5:$AN$77, MATCH(BB$100,_xlfn.ANCHORARRAY( $W$5), 0))
    *
    INDEX($AN$5:$AN$77, MATCH($A109,_xlfn.ANCHORARRAY( $W$5), 0))
)</f>
        <v>0.80220955170073782</v>
      </c>
      <c r="BC109" s="17" cm="1">
        <f t="array" ref="BC109">MMULT(
    MMULT(
        INDEX($X$5:$AM$77, MATCH(BC$100,_xlfn.ANCHORARRAY( $W$5), 0), 0),
        $F$5:$U$20
    ),
    TRANSPOSE(
        INDEX($X$5:$AM$77, MATCH($A109,_xlfn.ANCHORARRAY( $W$5), 0), 0)
    )
)
/
(
    INDEX($AN$5:$AN$77, MATCH(BC$100,_xlfn.ANCHORARRAY( $W$5), 0))
    *
    INDEX($AN$5:$AN$77, MATCH($A109,_xlfn.ANCHORARRAY( $W$5), 0))
)</f>
        <v>0.90833603299854615</v>
      </c>
      <c r="BD109" s="17" cm="1">
        <f t="array" ref="BD109">MMULT(
    MMULT(
        INDEX($X$5:$AM$77, MATCH(BD$100,_xlfn.ANCHORARRAY( $W$5), 0), 0),
        $F$5:$U$20
    ),
    TRANSPOSE(
        INDEX($X$5:$AM$77, MATCH($A109,_xlfn.ANCHORARRAY( $W$5), 0), 0)
    )
)
/
(
    INDEX($AN$5:$AN$77, MATCH(BD$100,_xlfn.ANCHORARRAY( $W$5), 0))
    *
    INDEX($AN$5:$AN$77, MATCH($A109,_xlfn.ANCHORARRAY( $W$5), 0))
)</f>
        <v>0.76446879270159351</v>
      </c>
      <c r="BE109" s="17" cm="1">
        <f t="array" ref="BE109">MMULT(
    MMULT(
        INDEX($X$5:$AM$77, MATCH(BE$100,_xlfn.ANCHORARRAY( $W$5), 0), 0),
        $F$5:$U$20
    ),
    TRANSPOSE(
        INDEX($X$5:$AM$77, MATCH($A109,_xlfn.ANCHORARRAY( $W$5), 0), 0)
    )
)
/
(
    INDEX($AN$5:$AN$77, MATCH(BE$100,_xlfn.ANCHORARRAY( $W$5), 0))
    *
    INDEX($AN$5:$AN$77, MATCH($A109,_xlfn.ANCHORARRAY( $W$5), 0))
)</f>
        <v>0.84371642785594358</v>
      </c>
      <c r="BF109" s="17" cm="1">
        <f t="array" ref="BF109">MMULT(
    MMULT(
        INDEX($X$5:$AM$77, MATCH(BF$100,_xlfn.ANCHORARRAY( $W$5), 0), 0),
        $F$5:$U$20
    ),
    TRANSPOSE(
        INDEX($X$5:$AM$77, MATCH($A109,_xlfn.ANCHORARRAY( $W$5), 0), 0)
    )
)
/
(
    INDEX($AN$5:$AN$77, MATCH(BF$100,_xlfn.ANCHORARRAY( $W$5), 0))
    *
    INDEX($AN$5:$AN$77, MATCH($A109,_xlfn.ANCHORARRAY( $W$5), 0))
)</f>
        <v>0.9289008775957236</v>
      </c>
      <c r="BG109" s="17" cm="1">
        <f t="array" ref="BG109">MMULT(
    MMULT(
        INDEX($X$5:$AM$77, MATCH(BG$100,_xlfn.ANCHORARRAY( $W$5), 0), 0),
        $F$5:$U$20
    ),
    TRANSPOSE(
        INDEX($X$5:$AM$77, MATCH($A109,_xlfn.ANCHORARRAY( $W$5), 0), 0)
    )
)
/
(
    INDEX($AN$5:$AN$77, MATCH(BG$100,_xlfn.ANCHORARRAY( $W$5), 0))
    *
    INDEX($AN$5:$AN$77, MATCH($A109,_xlfn.ANCHORARRAY( $W$5), 0))
)</f>
        <v>0.93148974125396422</v>
      </c>
      <c r="BH109" s="17" cm="1">
        <f t="array" ref="BH109">MMULT(
    MMULT(
        INDEX($X$5:$AM$77, MATCH(BH$100,_xlfn.ANCHORARRAY( $W$5), 0), 0),
        $F$5:$U$20
    ),
    TRANSPOSE(
        INDEX($X$5:$AM$77, MATCH($A109,_xlfn.ANCHORARRAY( $W$5), 0), 0)
    )
)
/
(
    INDEX($AN$5:$AN$77, MATCH(BH$100,_xlfn.ANCHORARRAY( $W$5), 0))
    *
    INDEX($AN$5:$AN$77, MATCH($A109,_xlfn.ANCHORARRAY( $W$5), 0))
)</f>
        <v>0.87205448022888798</v>
      </c>
      <c r="BI109" s="17" cm="1">
        <f t="array" ref="BI109">MMULT(
    MMULT(
        INDEX($X$5:$AM$77, MATCH(BI$100,_xlfn.ANCHORARRAY( $W$5), 0), 0),
        $F$5:$U$20
    ),
    TRANSPOSE(
        INDEX($X$5:$AM$77, MATCH($A109,_xlfn.ANCHORARRAY( $W$5), 0), 0)
    )
)
/
(
    INDEX($AN$5:$AN$77, MATCH(BI$100,_xlfn.ANCHORARRAY( $W$5), 0))
    *
    INDEX($AN$5:$AN$77, MATCH($A109,_xlfn.ANCHORARRAY( $W$5), 0))
)</f>
        <v>0.78017364866019134</v>
      </c>
      <c r="BJ109" s="17" cm="1">
        <f t="array" ref="BJ109">MMULT(
    MMULT(
        INDEX($X$5:$AM$77, MATCH(BJ$100,_xlfn.ANCHORARRAY( $W$5), 0), 0),
        $F$5:$U$20
    ),
    TRANSPOSE(
        INDEX($X$5:$AM$77, MATCH($A109,_xlfn.ANCHORARRAY( $W$5), 0), 0)
    )
)
/
(
    INDEX($AN$5:$AN$77, MATCH(BJ$100,_xlfn.ANCHORARRAY( $W$5), 0))
    *
    INDEX($AN$5:$AN$77, MATCH($A109,_xlfn.ANCHORARRAY( $W$5), 0))
)</f>
        <v>0.89192643490706691</v>
      </c>
      <c r="BK109" s="17" cm="1">
        <f t="array" ref="BK109">MMULT(
    MMULT(
        INDEX($X$5:$AM$77, MATCH(BK$100,_xlfn.ANCHORARRAY( $W$5), 0), 0),
        $F$5:$U$20
    ),
    TRANSPOSE(
        INDEX($X$5:$AM$77, MATCH($A109,_xlfn.ANCHORARRAY( $W$5), 0), 0)
    )
)
/
(
    INDEX($AN$5:$AN$77, MATCH(BK$100,_xlfn.ANCHORARRAY( $W$5), 0))
    *
    INDEX($AN$5:$AN$77, MATCH($A109,_xlfn.ANCHORARRAY( $W$5), 0))
)</f>
        <v>0.78748342312561537</v>
      </c>
      <c r="BL109" s="17" cm="1">
        <f t="array" ref="BL109">MMULT(
    MMULT(
        INDEX($X$5:$AM$77, MATCH(BL$100,_xlfn.ANCHORARRAY( $W$5), 0), 0),
        $F$5:$U$20
    ),
    TRANSPOSE(
        INDEX($X$5:$AM$77, MATCH($A109,_xlfn.ANCHORARRAY( $W$5), 0), 0)
    )
)
/
(
    INDEX($AN$5:$AN$77, MATCH(BL$100,_xlfn.ANCHORARRAY( $W$5), 0))
    *
    INDEX($AN$5:$AN$77, MATCH($A109,_xlfn.ANCHORARRAY( $W$5), 0))
)</f>
        <v>0.52311284637385569</v>
      </c>
      <c r="BM109" s="17" cm="1">
        <f t="array" ref="BM109">MMULT(
    MMULT(
        INDEX($X$5:$AM$77, MATCH(BM$100,_xlfn.ANCHORARRAY( $W$5), 0), 0),
        $F$5:$U$20
    ),
    TRANSPOSE(
        INDEX($X$5:$AM$77, MATCH($A109,_xlfn.ANCHORARRAY( $W$5), 0), 0)
    )
)
/
(
    INDEX($AN$5:$AN$77, MATCH(BM$100,_xlfn.ANCHORARRAY( $W$5), 0))
    *
    INDEX($AN$5:$AN$77, MATCH($A109,_xlfn.ANCHORARRAY( $W$5), 0))
)</f>
        <v>0.68796851434852013</v>
      </c>
      <c r="BN109" s="17" cm="1">
        <f t="array" ref="BN109">MMULT(
    MMULT(
        INDEX($X$5:$AM$77, MATCH(BN$100,_xlfn.ANCHORARRAY( $W$5), 0), 0),
        $F$5:$U$20
    ),
    TRANSPOSE(
        INDEX($X$5:$AM$77, MATCH($A109,_xlfn.ANCHORARRAY( $W$5), 0), 0)
    )
)
/
(
    INDEX($AN$5:$AN$77, MATCH(BN$100,_xlfn.ANCHORARRAY( $W$5), 0))
    *
    INDEX($AN$5:$AN$77, MATCH($A109,_xlfn.ANCHORARRAY( $W$5), 0))
)</f>
        <v>0.86172693692798974</v>
      </c>
      <c r="BO109" s="17" cm="1">
        <f t="array" ref="BO109">MMULT(
    MMULT(
        INDEX($X$5:$AM$77, MATCH(BO$100,_xlfn.ANCHORARRAY( $W$5), 0), 0),
        $F$5:$U$20
    ),
    TRANSPOSE(
        INDEX($X$5:$AM$77, MATCH($A109,_xlfn.ANCHORARRAY( $W$5), 0), 0)
    )
)
/
(
    INDEX($AN$5:$AN$77, MATCH(BO$100,_xlfn.ANCHORARRAY( $W$5), 0))
    *
    INDEX($AN$5:$AN$77, MATCH($A109,_xlfn.ANCHORARRAY( $W$5), 0))
)</f>
        <v>0.88838102123707052</v>
      </c>
      <c r="BP109" s="17" cm="1">
        <f t="array" ref="BP109">MMULT(
    MMULT(
        INDEX($X$5:$AM$77, MATCH(BP$100,_xlfn.ANCHORARRAY( $W$5), 0), 0),
        $F$5:$U$20
    ),
    TRANSPOSE(
        INDEX($X$5:$AM$77, MATCH($A109,_xlfn.ANCHORARRAY( $W$5), 0), 0)
    )
)
/
(
    INDEX($AN$5:$AN$77, MATCH(BP$100,_xlfn.ANCHORARRAY( $W$5), 0))
    *
    INDEX($AN$5:$AN$77, MATCH($A109,_xlfn.ANCHORARRAY( $W$5), 0))
)</f>
        <v>0.90406364031405129</v>
      </c>
      <c r="BQ109" s="17" cm="1">
        <f t="array" ref="BQ109">MMULT(
    MMULT(
        INDEX($X$5:$AM$77, MATCH(BQ$100,_xlfn.ANCHORARRAY( $W$5), 0), 0),
        $F$5:$U$20
    ),
    TRANSPOSE(
        INDEX($X$5:$AM$77, MATCH($A109,_xlfn.ANCHORARRAY( $W$5), 0), 0)
    )
)
/
(
    INDEX($AN$5:$AN$77, MATCH(BQ$100,_xlfn.ANCHORARRAY( $W$5), 0))
    *
    INDEX($AN$5:$AN$77, MATCH($A109,_xlfn.ANCHORARRAY( $W$5), 0))
)</f>
        <v>0.79403963077049089</v>
      </c>
      <c r="BR109" s="17" cm="1">
        <f t="array" ref="BR109">MMULT(
    MMULT(
        INDEX($X$5:$AM$77, MATCH(BR$100,_xlfn.ANCHORARRAY( $W$5), 0), 0),
        $F$5:$U$20
    ),
    TRANSPOSE(
        INDEX($X$5:$AM$77, MATCH($A109,_xlfn.ANCHORARRAY( $W$5), 0), 0)
    )
)
/
(
    INDEX($AN$5:$AN$77, MATCH(BR$100,_xlfn.ANCHORARRAY( $W$5), 0))
    *
    INDEX($AN$5:$AN$77, MATCH($A109,_xlfn.ANCHORARRAY( $W$5), 0))
)</f>
        <v>0.89354661779077815</v>
      </c>
      <c r="BS109" s="17" cm="1">
        <f t="array" ref="BS109">MMULT(
    MMULT(
        INDEX($X$5:$AM$77, MATCH(BS$100,_xlfn.ANCHORARRAY( $W$5), 0), 0),
        $F$5:$U$20
    ),
    TRANSPOSE(
        INDEX($X$5:$AM$77, MATCH($A109,_xlfn.ANCHORARRAY( $W$5), 0), 0)
    )
)
/
(
    INDEX($AN$5:$AN$77, MATCH(BS$100,_xlfn.ANCHORARRAY( $W$5), 0))
    *
    INDEX($AN$5:$AN$77, MATCH($A109,_xlfn.ANCHORARRAY( $W$5), 0))
)</f>
        <v>0.85755834327967406</v>
      </c>
      <c r="BT109" s="17" cm="1">
        <f t="array" ref="BT109">MMULT(
    MMULT(
        INDEX($X$5:$AM$77, MATCH(BT$100,_xlfn.ANCHORARRAY( $W$5), 0), 0),
        $F$5:$U$20
    ),
    TRANSPOSE(
        INDEX($X$5:$AM$77, MATCH($A109,_xlfn.ANCHORARRAY( $W$5), 0), 0)
    )
)
/
(
    INDEX($AN$5:$AN$77, MATCH(BT$100,_xlfn.ANCHORARRAY( $W$5), 0))
    *
    INDEX($AN$5:$AN$77, MATCH($A109,_xlfn.ANCHORARRAY( $W$5), 0))
)</f>
        <v>0.94504008997152855</v>
      </c>
      <c r="BU109" s="17" cm="1">
        <f t="array" ref="BU109">MMULT(
    MMULT(
        INDEX($X$5:$AM$77, MATCH(BU$100,_xlfn.ANCHORARRAY( $W$5), 0), 0),
        $F$5:$U$20
    ),
    TRANSPOSE(
        INDEX($X$5:$AM$77, MATCH($A109,_xlfn.ANCHORARRAY( $W$5), 0), 0)
    )
)
/
(
    INDEX($AN$5:$AN$77, MATCH(BU$100,_xlfn.ANCHORARRAY( $W$5), 0))
    *
    INDEX($AN$5:$AN$77, MATCH($A109,_xlfn.ANCHORARRAY( $W$5), 0))
)</f>
        <v>0.88143433351987754</v>
      </c>
      <c r="BV109" s="17" cm="1">
        <f t="array" ref="BV109">MMULT(
    MMULT(
        INDEX($X$5:$AM$77, MATCH(BV$100,_xlfn.ANCHORARRAY( $W$5), 0), 0),
        $F$5:$U$20
    ),
    TRANSPOSE(
        INDEX($X$5:$AM$77, MATCH($A109,_xlfn.ANCHORARRAY( $W$5), 0), 0)
    )
)
/
(
    INDEX($AN$5:$AN$77, MATCH(BV$100,_xlfn.ANCHORARRAY( $W$5), 0))
    *
    INDEX($AN$5:$AN$77, MATCH($A109,_xlfn.ANCHORARRAY( $W$5), 0))
)</f>
        <v>0.80569885259223817</v>
      </c>
    </row>
    <row r="110" spans="1:74" x14ac:dyDescent="0.3">
      <c r="A110" s="7" t="str">
        <v>Soroka, Michael</v>
      </c>
      <c r="B110" s="17" cm="1">
        <f t="array" ref="B110">MMULT(
    MMULT(
        INDEX($X$5:$AM$77, MATCH(B$100,_xlfn.ANCHORARRAY( $W$5), 0), 0),
        $F$5:$U$20
    ),
    TRANSPOSE(
        INDEX($X$5:$AM$77, MATCH($A110,_xlfn.ANCHORARRAY( $W$5), 0), 0)
    )
)
/
(
    INDEX($AN$5:$AN$77, MATCH(B$100,_xlfn.ANCHORARRAY( $W$5), 0))
    *
    INDEX($AN$5:$AN$77, MATCH($A110,_xlfn.ANCHORARRAY( $W$5), 0))
)</f>
        <v>0.86428009061327804</v>
      </c>
      <c r="C110" s="17" cm="1">
        <f t="array" ref="C110">MMULT(
    MMULT(
        INDEX($X$5:$AM$77, MATCH(C$100,_xlfn.ANCHORARRAY( $W$5), 0), 0),
        $F$5:$U$20
    ),
    TRANSPOSE(
        INDEX($X$5:$AM$77, MATCH($A110,_xlfn.ANCHORARRAY( $W$5), 0), 0)
    )
)
/
(
    INDEX($AN$5:$AN$77, MATCH(C$100,_xlfn.ANCHORARRAY( $W$5), 0))
    *
    INDEX($AN$5:$AN$77, MATCH($A110,_xlfn.ANCHORARRAY( $W$5), 0))
)</f>
        <v>0.66799114702022999</v>
      </c>
      <c r="D110" s="17" cm="1">
        <f t="array" ref="D110">MMULT(
    MMULT(
        INDEX($X$5:$AM$77, MATCH(D$100,_xlfn.ANCHORARRAY( $W$5), 0), 0),
        $F$5:$U$20
    ),
    TRANSPOSE(
        INDEX($X$5:$AM$77, MATCH($A110,_xlfn.ANCHORARRAY( $W$5), 0), 0)
    )
)
/
(
    INDEX($AN$5:$AN$77, MATCH(D$100,_xlfn.ANCHORARRAY( $W$5), 0))
    *
    INDEX($AN$5:$AN$77, MATCH($A110,_xlfn.ANCHORARRAY( $W$5), 0))
)</f>
        <v>0.88176617604165719</v>
      </c>
      <c r="E110" s="17" cm="1">
        <f t="array" ref="E110">MMULT(
    MMULT(
        INDEX($X$5:$AM$77, MATCH(E$100,_xlfn.ANCHORARRAY( $W$5), 0), 0),
        $F$5:$U$20
    ),
    TRANSPOSE(
        INDEX($X$5:$AM$77, MATCH($A110,_xlfn.ANCHORARRAY( $W$5), 0), 0)
    )
)
/
(
    INDEX($AN$5:$AN$77, MATCH(E$100,_xlfn.ANCHORARRAY( $W$5), 0))
    *
    INDEX($AN$5:$AN$77, MATCH($A110,_xlfn.ANCHORARRAY( $W$5), 0))
)</f>
        <v>0.98204674576625117</v>
      </c>
      <c r="F110" s="17" cm="1">
        <f t="array" ref="F110">MMULT(
    MMULT(
        INDEX($X$5:$AM$77, MATCH(F$100,_xlfn.ANCHORARRAY( $W$5), 0), 0),
        $F$5:$U$20
    ),
    TRANSPOSE(
        INDEX($X$5:$AM$77, MATCH($A110,_xlfn.ANCHORARRAY( $W$5), 0), 0)
    )
)
/
(
    INDEX($AN$5:$AN$77, MATCH(F$100,_xlfn.ANCHORARRAY( $W$5), 0))
    *
    INDEX($AN$5:$AN$77, MATCH($A110,_xlfn.ANCHORARRAY( $W$5), 0))
)</f>
        <v>0.87674313139036852</v>
      </c>
      <c r="G110" s="17" cm="1">
        <f t="array" ref="G110">MMULT(
    MMULT(
        INDEX($X$5:$AM$77, MATCH(G$100,_xlfn.ANCHORARRAY( $W$5), 0), 0),
        $F$5:$U$20
    ),
    TRANSPOSE(
        INDEX($X$5:$AM$77, MATCH($A110,_xlfn.ANCHORARRAY( $W$5), 0), 0)
    )
)
/
(
    INDEX($AN$5:$AN$77, MATCH(G$100,_xlfn.ANCHORARRAY( $W$5), 0))
    *
    INDEX($AN$5:$AN$77, MATCH($A110,_xlfn.ANCHORARRAY( $W$5), 0))
)</f>
        <v>0.72536988019228599</v>
      </c>
      <c r="H110" s="17" cm="1">
        <f t="array" ref="H110">MMULT(
    MMULT(
        INDEX($X$5:$AM$77, MATCH(H$100,_xlfn.ANCHORARRAY( $W$5), 0), 0),
        $F$5:$U$20
    ),
    TRANSPOSE(
        INDEX($X$5:$AM$77, MATCH($A110,_xlfn.ANCHORARRAY( $W$5), 0), 0)
    )
)
/
(
    INDEX($AN$5:$AN$77, MATCH(H$100,_xlfn.ANCHORARRAY( $W$5), 0))
    *
    INDEX($AN$5:$AN$77, MATCH($A110,_xlfn.ANCHORARRAY( $W$5), 0))
)</f>
        <v>0.81766406837033878</v>
      </c>
      <c r="I110" s="17" cm="1">
        <f t="array" ref="I110">MMULT(
    MMULT(
        INDEX($X$5:$AM$77, MATCH(I$100,_xlfn.ANCHORARRAY( $W$5), 0), 0),
        $F$5:$U$20
    ),
    TRANSPOSE(
        INDEX($X$5:$AM$77, MATCH($A110,_xlfn.ANCHORARRAY( $W$5), 0), 0)
    )
)
/
(
    INDEX($AN$5:$AN$77, MATCH(I$100,_xlfn.ANCHORARRAY( $W$5), 0))
    *
    INDEX($AN$5:$AN$77, MATCH($A110,_xlfn.ANCHORARRAY( $W$5), 0))
)</f>
        <v>0.81574218282225275</v>
      </c>
      <c r="J110" s="17" cm="1">
        <f t="array" ref="J110">MMULT(
    MMULT(
        INDEX($X$5:$AM$77, MATCH(J$100,_xlfn.ANCHORARRAY( $W$5), 0), 0),
        $F$5:$U$20
    ),
    TRANSPOSE(
        INDEX($X$5:$AM$77, MATCH($A110,_xlfn.ANCHORARRAY( $W$5), 0), 0)
    )
)
/
(
    INDEX($AN$5:$AN$77, MATCH(J$100,_xlfn.ANCHORARRAY( $W$5), 0))
    *
    INDEX($AN$5:$AN$77, MATCH($A110,_xlfn.ANCHORARRAY( $W$5), 0))
)</f>
        <v>0.90444315477593529</v>
      </c>
      <c r="K110" s="17" cm="1">
        <f t="array" ref="K110">MMULT(
    MMULT(
        INDEX($X$5:$AM$77, MATCH(K$100,_xlfn.ANCHORARRAY( $W$5), 0), 0),
        $F$5:$U$20
    ),
    TRANSPOSE(
        INDEX($X$5:$AM$77, MATCH($A110,_xlfn.ANCHORARRAY( $W$5), 0), 0)
    )
)
/
(
    INDEX($AN$5:$AN$77, MATCH(K$100,_xlfn.ANCHORARRAY( $W$5), 0))
    *
    INDEX($AN$5:$AN$77, MATCH($A110,_xlfn.ANCHORARRAY( $W$5), 0))
)</f>
        <v>1.0000000000000002</v>
      </c>
      <c r="L110" s="17" cm="1">
        <f t="array" ref="L110">MMULT(
    MMULT(
        INDEX($X$5:$AM$77, MATCH(L$100,_xlfn.ANCHORARRAY( $W$5), 0), 0),
        $F$5:$U$20
    ),
    TRANSPOSE(
        INDEX($X$5:$AM$77, MATCH($A110,_xlfn.ANCHORARRAY( $W$5), 0), 0)
    )
)
/
(
    INDEX($AN$5:$AN$77, MATCH(L$100,_xlfn.ANCHORARRAY( $W$5), 0))
    *
    INDEX($AN$5:$AN$77, MATCH($A110,_xlfn.ANCHORARRAY( $W$5), 0))
)</f>
        <v>0.83575190957768775</v>
      </c>
      <c r="M110" s="17" cm="1">
        <f t="array" ref="M110">MMULT(
    MMULT(
        INDEX($X$5:$AM$77, MATCH(M$100,_xlfn.ANCHORARRAY( $W$5), 0), 0),
        $F$5:$U$20
    ),
    TRANSPOSE(
        INDEX($X$5:$AM$77, MATCH($A110,_xlfn.ANCHORARRAY( $W$5), 0), 0)
    )
)
/
(
    INDEX($AN$5:$AN$77, MATCH(M$100,_xlfn.ANCHORARRAY( $W$5), 0))
    *
    INDEX($AN$5:$AN$77, MATCH($A110,_xlfn.ANCHORARRAY( $W$5), 0))
)</f>
        <v>0.9181910908267259</v>
      </c>
      <c r="N110" s="17" cm="1">
        <f t="array" ref="N110">MMULT(
    MMULT(
        INDEX($X$5:$AM$77, MATCH(N$100,_xlfn.ANCHORARRAY( $W$5), 0), 0),
        $F$5:$U$20
    ),
    TRANSPOSE(
        INDEX($X$5:$AM$77, MATCH($A110,_xlfn.ANCHORARRAY( $W$5), 0), 0)
    )
)
/
(
    INDEX($AN$5:$AN$77, MATCH(N$100,_xlfn.ANCHORARRAY( $W$5), 0))
    *
    INDEX($AN$5:$AN$77, MATCH($A110,_xlfn.ANCHORARRAY( $W$5), 0))
)</f>
        <v>0.75318753881664324</v>
      </c>
      <c r="O110" s="17" cm="1">
        <f t="array" ref="O110">MMULT(
    MMULT(
        INDEX($X$5:$AM$77, MATCH(O$100,_xlfn.ANCHORARRAY( $W$5), 0), 0),
        $F$5:$U$20
    ),
    TRANSPOSE(
        INDEX($X$5:$AM$77, MATCH($A110,_xlfn.ANCHORARRAY( $W$5), 0), 0)
    )
)
/
(
    INDEX($AN$5:$AN$77, MATCH(O$100,_xlfn.ANCHORARRAY( $W$5), 0))
    *
    INDEX($AN$5:$AN$77, MATCH($A110,_xlfn.ANCHORARRAY( $W$5), 0))
)</f>
        <v>0.78752247051056001</v>
      </c>
      <c r="P110" s="17" cm="1">
        <f t="array" ref="P110">MMULT(
    MMULT(
        INDEX($X$5:$AM$77, MATCH(P$100,_xlfn.ANCHORARRAY( $W$5), 0), 0),
        $F$5:$U$20
    ),
    TRANSPOSE(
        INDEX($X$5:$AM$77, MATCH($A110,_xlfn.ANCHORARRAY( $W$5), 0), 0)
    )
)
/
(
    INDEX($AN$5:$AN$77, MATCH(P$100,_xlfn.ANCHORARRAY( $W$5), 0))
    *
    INDEX($AN$5:$AN$77, MATCH($A110,_xlfn.ANCHORARRAY( $W$5), 0))
)</f>
        <v>0.83425175168114085</v>
      </c>
      <c r="Q110" s="17" cm="1">
        <f t="array" ref="Q110">MMULT(
    MMULT(
        INDEX($X$5:$AM$77, MATCH(Q$100,_xlfn.ANCHORARRAY( $W$5), 0), 0),
        $F$5:$U$20
    ),
    TRANSPOSE(
        INDEX($X$5:$AM$77, MATCH($A110,_xlfn.ANCHORARRAY( $W$5), 0), 0)
    )
)
/
(
    INDEX($AN$5:$AN$77, MATCH(Q$100,_xlfn.ANCHORARRAY( $W$5), 0))
    *
    INDEX($AN$5:$AN$77, MATCH($A110,_xlfn.ANCHORARRAY( $W$5), 0))
)</f>
        <v>0.7441601645572844</v>
      </c>
      <c r="R110" s="17" cm="1">
        <f t="array" ref="R110">MMULT(
    MMULT(
        INDEX($X$5:$AM$77, MATCH(R$100,_xlfn.ANCHORARRAY( $W$5), 0), 0),
        $F$5:$U$20
    ),
    TRANSPOSE(
        INDEX($X$5:$AM$77, MATCH($A110,_xlfn.ANCHORARRAY( $W$5), 0), 0)
    )
)
/
(
    INDEX($AN$5:$AN$77, MATCH(R$100,_xlfn.ANCHORARRAY( $W$5), 0))
    *
    INDEX($AN$5:$AN$77, MATCH($A110,_xlfn.ANCHORARRAY( $W$5), 0))
)</f>
        <v>0.86517189163425634</v>
      </c>
      <c r="S110" s="17" cm="1">
        <f t="array" ref="S110">MMULT(
    MMULT(
        INDEX($X$5:$AM$77, MATCH(S$100,_xlfn.ANCHORARRAY( $W$5), 0), 0),
        $F$5:$U$20
    ),
    TRANSPOSE(
        INDEX($X$5:$AM$77, MATCH($A110,_xlfn.ANCHORARRAY( $W$5), 0), 0)
    )
)
/
(
    INDEX($AN$5:$AN$77, MATCH(S$100,_xlfn.ANCHORARRAY( $W$5), 0))
    *
    INDEX($AN$5:$AN$77, MATCH($A110,_xlfn.ANCHORARRAY( $W$5), 0))
)</f>
        <v>0.80887089285158142</v>
      </c>
      <c r="T110" s="17" cm="1">
        <f t="array" ref="T110">MMULT(
    MMULT(
        INDEX($X$5:$AM$77, MATCH(T$100,_xlfn.ANCHORARRAY( $W$5), 0), 0),
        $F$5:$U$20
    ),
    TRANSPOSE(
        INDEX($X$5:$AM$77, MATCH($A110,_xlfn.ANCHORARRAY( $W$5), 0), 0)
    )
)
/
(
    INDEX($AN$5:$AN$77, MATCH(T$100,_xlfn.ANCHORARRAY( $W$5), 0))
    *
    INDEX($AN$5:$AN$77, MATCH($A110,_xlfn.ANCHORARRAY( $W$5), 0))
)</f>
        <v>0.27816504061568198</v>
      </c>
      <c r="U110" s="17" cm="1">
        <f t="array" ref="U110">MMULT(
    MMULT(
        INDEX($X$5:$AM$77, MATCH(U$100,_xlfn.ANCHORARRAY( $W$5), 0), 0),
        $F$5:$U$20
    ),
    TRANSPOSE(
        INDEX($X$5:$AM$77, MATCH($A110,_xlfn.ANCHORARRAY( $W$5), 0), 0)
    )
)
/
(
    INDEX($AN$5:$AN$77, MATCH(U$100,_xlfn.ANCHORARRAY( $W$5), 0))
    *
    INDEX($AN$5:$AN$77, MATCH($A110,_xlfn.ANCHORARRAY( $W$5), 0))
)</f>
        <v>0.86461493061963457</v>
      </c>
      <c r="V110" s="17" cm="1">
        <f t="array" ref="V110">MMULT(
    MMULT(
        INDEX($X$5:$AM$77, MATCH(V$100,_xlfn.ANCHORARRAY( $W$5), 0), 0),
        $F$5:$U$20
    ),
    TRANSPOSE(
        INDEX($X$5:$AM$77, MATCH($A110,_xlfn.ANCHORARRAY( $W$5), 0), 0)
    )
)
/
(
    INDEX($AN$5:$AN$77, MATCH(V$100,_xlfn.ANCHORARRAY( $W$5), 0))
    *
    INDEX($AN$5:$AN$77, MATCH($A110,_xlfn.ANCHORARRAY( $W$5), 0))
)</f>
        <v>0.69273702857388841</v>
      </c>
      <c r="W110" s="17" cm="1">
        <f t="array" ref="W110">MMULT(
    MMULT(
        INDEX($X$5:$AM$77, MATCH(W$100,_xlfn.ANCHORARRAY( $W$5), 0), 0),
        $F$5:$U$20
    ),
    TRANSPOSE(
        INDEX($X$5:$AM$77, MATCH($A110,_xlfn.ANCHORARRAY( $W$5), 0), 0)
    )
)
/
(
    INDEX($AN$5:$AN$77, MATCH(W$100,_xlfn.ANCHORARRAY( $W$5), 0))
    *
    INDEX($AN$5:$AN$77, MATCH($A110,_xlfn.ANCHORARRAY( $W$5), 0))
)</f>
        <v>0.68169857341050943</v>
      </c>
      <c r="X110" s="17" cm="1">
        <f t="array" ref="X110">MMULT(
    MMULT(
        INDEX($X$5:$AM$77, MATCH(X$100,_xlfn.ANCHORARRAY( $W$5), 0), 0),
        $F$5:$U$20
    ),
    TRANSPOSE(
        INDEX($X$5:$AM$77, MATCH($A110,_xlfn.ANCHORARRAY( $W$5), 0), 0)
    )
)
/
(
    INDEX($AN$5:$AN$77, MATCH(X$100,_xlfn.ANCHORARRAY( $W$5), 0))
    *
    INDEX($AN$5:$AN$77, MATCH($A110,_xlfn.ANCHORARRAY( $W$5), 0))
)</f>
        <v>0.84693475214136316</v>
      </c>
      <c r="Y110" s="17" cm="1">
        <f t="array" ref="Y110">MMULT(
    MMULT(
        INDEX($X$5:$AM$77, MATCH(Y$100,_xlfn.ANCHORARRAY( $W$5), 0), 0),
        $F$5:$U$20
    ),
    TRANSPOSE(
        INDEX($X$5:$AM$77, MATCH($A110,_xlfn.ANCHORARRAY( $W$5), 0), 0)
    )
)
/
(
    INDEX($AN$5:$AN$77, MATCH(Y$100,_xlfn.ANCHORARRAY( $W$5), 0))
    *
    INDEX($AN$5:$AN$77, MATCH($A110,_xlfn.ANCHORARRAY( $W$5), 0))
)</f>
        <v>0.77464928203802641</v>
      </c>
      <c r="Z110" s="17" cm="1">
        <f t="array" ref="Z110">MMULT(
    MMULT(
        INDEX($X$5:$AM$77, MATCH(Z$100,_xlfn.ANCHORARRAY( $W$5), 0), 0),
        $F$5:$U$20
    ),
    TRANSPOSE(
        INDEX($X$5:$AM$77, MATCH($A110,_xlfn.ANCHORARRAY( $W$5), 0), 0)
    )
)
/
(
    INDEX($AN$5:$AN$77, MATCH(Z$100,_xlfn.ANCHORARRAY( $W$5), 0))
    *
    INDEX($AN$5:$AN$77, MATCH($A110,_xlfn.ANCHORARRAY( $W$5), 0))
)</f>
        <v>0.86755287079528176</v>
      </c>
      <c r="AA110" s="17" cm="1">
        <f t="array" ref="AA110">MMULT(
    MMULT(
        INDEX($X$5:$AM$77, MATCH(AA$100,_xlfn.ANCHORARRAY( $W$5), 0), 0),
        $F$5:$U$20
    ),
    TRANSPOSE(
        INDEX($X$5:$AM$77, MATCH($A110,_xlfn.ANCHORARRAY( $W$5), 0), 0)
    )
)
/
(
    INDEX($AN$5:$AN$77, MATCH(AA$100,_xlfn.ANCHORARRAY( $W$5), 0))
    *
    INDEX($AN$5:$AN$77, MATCH($A110,_xlfn.ANCHORARRAY( $W$5), 0))
)</f>
        <v>0.81591860408813888</v>
      </c>
      <c r="AB110" s="17" cm="1">
        <f t="array" ref="AB110">MMULT(
    MMULT(
        INDEX($X$5:$AM$77, MATCH(AB$100,_xlfn.ANCHORARRAY( $W$5), 0), 0),
        $F$5:$U$20
    ),
    TRANSPOSE(
        INDEX($X$5:$AM$77, MATCH($A110,_xlfn.ANCHORARRAY( $W$5), 0), 0)
    )
)
/
(
    INDEX($AN$5:$AN$77, MATCH(AB$100,_xlfn.ANCHORARRAY( $W$5), 0))
    *
    INDEX($AN$5:$AN$77, MATCH($A110,_xlfn.ANCHORARRAY( $W$5), 0))
)</f>
        <v>0.96879526686493023</v>
      </c>
      <c r="AC110" s="17" cm="1">
        <f t="array" ref="AC110">MMULT(
    MMULT(
        INDEX($X$5:$AM$77, MATCH(AC$100,_xlfn.ANCHORARRAY( $W$5), 0), 0),
        $F$5:$U$20
    ),
    TRANSPOSE(
        INDEX($X$5:$AM$77, MATCH($A110,_xlfn.ANCHORARRAY( $W$5), 0), 0)
    )
)
/
(
    INDEX($AN$5:$AN$77, MATCH(AC$100,_xlfn.ANCHORARRAY( $W$5), 0))
    *
    INDEX($AN$5:$AN$77, MATCH($A110,_xlfn.ANCHORARRAY( $W$5), 0))
)</f>
        <v>0.86016260260711186</v>
      </c>
      <c r="AD110" s="17" cm="1">
        <f t="array" ref="AD110">MMULT(
    MMULT(
        INDEX($X$5:$AM$77, MATCH(AD$100,_xlfn.ANCHORARRAY( $W$5), 0), 0),
        $F$5:$U$20
    ),
    TRANSPOSE(
        INDEX($X$5:$AM$77, MATCH($A110,_xlfn.ANCHORARRAY( $W$5), 0), 0)
    )
)
/
(
    INDEX($AN$5:$AN$77, MATCH(AD$100,_xlfn.ANCHORARRAY( $W$5), 0))
    *
    INDEX($AN$5:$AN$77, MATCH($A110,_xlfn.ANCHORARRAY( $W$5), 0))
)</f>
        <v>0.86455123738454154</v>
      </c>
      <c r="AE110" s="17" cm="1">
        <f t="array" ref="AE110">MMULT(
    MMULT(
        INDEX($X$5:$AM$77, MATCH(AE$100,_xlfn.ANCHORARRAY( $W$5), 0), 0),
        $F$5:$U$20
    ),
    TRANSPOSE(
        INDEX($X$5:$AM$77, MATCH($A110,_xlfn.ANCHORARRAY( $W$5), 0), 0)
    )
)
/
(
    INDEX($AN$5:$AN$77, MATCH(AE$100,_xlfn.ANCHORARRAY( $W$5), 0))
    *
    INDEX($AN$5:$AN$77, MATCH($A110,_xlfn.ANCHORARRAY( $W$5), 0))
)</f>
        <v>0.80270358297066557</v>
      </c>
      <c r="AF110" s="17" cm="1">
        <f t="array" ref="AF110">MMULT(
    MMULT(
        INDEX($X$5:$AM$77, MATCH(AF$100,_xlfn.ANCHORARRAY( $W$5), 0), 0),
        $F$5:$U$20
    ),
    TRANSPOSE(
        INDEX($X$5:$AM$77, MATCH($A110,_xlfn.ANCHORARRAY( $W$5), 0), 0)
    )
)
/
(
    INDEX($AN$5:$AN$77, MATCH(AF$100,_xlfn.ANCHORARRAY( $W$5), 0))
    *
    INDEX($AN$5:$AN$77, MATCH($A110,_xlfn.ANCHORARRAY( $W$5), 0))
)</f>
        <v>0.8409850830944442</v>
      </c>
      <c r="AG110" s="17" cm="1">
        <f t="array" ref="AG110">MMULT(
    MMULT(
        INDEX($X$5:$AM$77, MATCH(AG$100,_xlfn.ANCHORARRAY( $W$5), 0), 0),
        $F$5:$U$20
    ),
    TRANSPOSE(
        INDEX($X$5:$AM$77, MATCH($A110,_xlfn.ANCHORARRAY( $W$5), 0), 0)
    )
)
/
(
    INDEX($AN$5:$AN$77, MATCH(AG$100,_xlfn.ANCHORARRAY( $W$5), 0))
    *
    INDEX($AN$5:$AN$77, MATCH($A110,_xlfn.ANCHORARRAY( $W$5), 0))
)</f>
        <v>0.88073806660524134</v>
      </c>
      <c r="AH110" s="17" cm="1">
        <f t="array" ref="AH110">MMULT(
    MMULT(
        INDEX($X$5:$AM$77, MATCH(AH$100,_xlfn.ANCHORARRAY( $W$5), 0), 0),
        $F$5:$U$20
    ),
    TRANSPOSE(
        INDEX($X$5:$AM$77, MATCH($A110,_xlfn.ANCHORARRAY( $W$5), 0), 0)
    )
)
/
(
    INDEX($AN$5:$AN$77, MATCH(AH$100,_xlfn.ANCHORARRAY( $W$5), 0))
    *
    INDEX($AN$5:$AN$77, MATCH($A110,_xlfn.ANCHORARRAY( $W$5), 0))
)</f>
        <v>0.6938887411979181</v>
      </c>
      <c r="AI110" s="17" cm="1">
        <f t="array" ref="AI110">MMULT(
    MMULT(
        INDEX($X$5:$AM$77, MATCH(AI$100,_xlfn.ANCHORARRAY( $W$5), 0), 0),
        $F$5:$U$20
    ),
    TRANSPOSE(
        INDEX($X$5:$AM$77, MATCH($A110,_xlfn.ANCHORARRAY( $W$5), 0), 0)
    )
)
/
(
    INDEX($AN$5:$AN$77, MATCH(AI$100,_xlfn.ANCHORARRAY( $W$5), 0))
    *
    INDEX($AN$5:$AN$77, MATCH($A110,_xlfn.ANCHORARRAY( $W$5), 0))
)</f>
        <v>0.91227943026913438</v>
      </c>
      <c r="AJ110" s="17" cm="1">
        <f t="array" ref="AJ110">MMULT(
    MMULT(
        INDEX($X$5:$AM$77, MATCH(AJ$100,_xlfn.ANCHORARRAY( $W$5), 0), 0),
        $F$5:$U$20
    ),
    TRANSPOSE(
        INDEX($X$5:$AM$77, MATCH($A110,_xlfn.ANCHORARRAY( $W$5), 0), 0)
    )
)
/
(
    INDEX($AN$5:$AN$77, MATCH(AJ$100,_xlfn.ANCHORARRAY( $W$5), 0))
    *
    INDEX($AN$5:$AN$77, MATCH($A110,_xlfn.ANCHORARRAY( $W$5), 0))
)</f>
        <v>0.81412594972616226</v>
      </c>
      <c r="AK110" s="17" cm="1">
        <f t="array" ref="AK110">MMULT(
    MMULT(
        INDEX($X$5:$AM$77, MATCH(AK$100,_xlfn.ANCHORARRAY( $W$5), 0), 0),
        $F$5:$U$20
    ),
    TRANSPOSE(
        INDEX($X$5:$AM$77, MATCH($A110,_xlfn.ANCHORARRAY( $W$5), 0), 0)
    )
)
/
(
    INDEX($AN$5:$AN$77, MATCH(AK$100,_xlfn.ANCHORARRAY( $W$5), 0))
    *
    INDEX($AN$5:$AN$77, MATCH($A110,_xlfn.ANCHORARRAY( $W$5), 0))
)</f>
        <v>0.94113615263348205</v>
      </c>
      <c r="AL110" s="17" cm="1">
        <f t="array" ref="AL110">MMULT(
    MMULT(
        INDEX($X$5:$AM$77, MATCH(AL$100,_xlfn.ANCHORARRAY( $W$5), 0), 0),
        $F$5:$U$20
    ),
    TRANSPOSE(
        INDEX($X$5:$AM$77, MATCH($A110,_xlfn.ANCHORARRAY( $W$5), 0), 0)
    )
)
/
(
    INDEX($AN$5:$AN$77, MATCH(AL$100,_xlfn.ANCHORARRAY( $W$5), 0))
    *
    INDEX($AN$5:$AN$77, MATCH($A110,_xlfn.ANCHORARRAY( $W$5), 0))
)</f>
        <v>0.79274295044282217</v>
      </c>
      <c r="AM110" s="17" cm="1">
        <f t="array" ref="AM110">MMULT(
    MMULT(
        INDEX($X$5:$AM$77, MATCH(AM$100,_xlfn.ANCHORARRAY( $W$5), 0), 0),
        $F$5:$U$20
    ),
    TRANSPOSE(
        INDEX($X$5:$AM$77, MATCH($A110,_xlfn.ANCHORARRAY( $W$5), 0), 0)
    )
)
/
(
    INDEX($AN$5:$AN$77, MATCH(AM$100,_xlfn.ANCHORARRAY( $W$5), 0))
    *
    INDEX($AN$5:$AN$77, MATCH($A110,_xlfn.ANCHORARRAY( $W$5), 0))
)</f>
        <v>0.90928286453235385</v>
      </c>
      <c r="AN110" s="17" cm="1">
        <f t="array" ref="AN110">MMULT(
    MMULT(
        INDEX($X$5:$AM$77, MATCH(AN$100,_xlfn.ANCHORARRAY( $W$5), 0), 0),
        $F$5:$U$20
    ),
    TRANSPOSE(
        INDEX($X$5:$AM$77, MATCH($A110,_xlfn.ANCHORARRAY( $W$5), 0), 0)
    )
)
/
(
    INDEX($AN$5:$AN$77, MATCH(AN$100,_xlfn.ANCHORARRAY( $W$5), 0))
    *
    INDEX($AN$5:$AN$77, MATCH($A110,_xlfn.ANCHORARRAY( $W$5), 0))
)</f>
        <v>0.77054380318522964</v>
      </c>
      <c r="AO110" s="17" cm="1">
        <f t="array" ref="AO110">MMULT(
    MMULT(
        INDEX($X$5:$AM$77, MATCH(AO$100,_xlfn.ANCHORARRAY( $W$5), 0), 0),
        $F$5:$U$20
    ),
    TRANSPOSE(
        INDEX($X$5:$AM$77, MATCH($A110,_xlfn.ANCHORARRAY( $W$5), 0), 0)
    )
)
/
(
    INDEX($AN$5:$AN$77, MATCH(AO$100,_xlfn.ANCHORARRAY( $W$5), 0))
    *
    INDEX($AN$5:$AN$77, MATCH($A110,_xlfn.ANCHORARRAY( $W$5), 0))
)</f>
        <v>0.82018224090169234</v>
      </c>
      <c r="AP110" s="17" cm="1">
        <f t="array" ref="AP110">MMULT(
    MMULT(
        INDEX($X$5:$AM$77, MATCH(AP$100,_xlfn.ANCHORARRAY( $W$5), 0), 0),
        $F$5:$U$20
    ),
    TRANSPOSE(
        INDEX($X$5:$AM$77, MATCH($A110,_xlfn.ANCHORARRAY( $W$5), 0), 0)
    )
)
/
(
    INDEX($AN$5:$AN$77, MATCH(AP$100,_xlfn.ANCHORARRAY( $W$5), 0))
    *
    INDEX($AN$5:$AN$77, MATCH($A110,_xlfn.ANCHORARRAY( $W$5), 0))
)</f>
        <v>0.79526803684890668</v>
      </c>
      <c r="AQ110" s="17" cm="1">
        <f t="array" ref="AQ110">MMULT(
    MMULT(
        INDEX($X$5:$AM$77, MATCH(AQ$100,_xlfn.ANCHORARRAY( $W$5), 0), 0),
        $F$5:$U$20
    ),
    TRANSPOSE(
        INDEX($X$5:$AM$77, MATCH($A110,_xlfn.ANCHORARRAY( $W$5), 0), 0)
    )
)
/
(
    INDEX($AN$5:$AN$77, MATCH(AQ$100,_xlfn.ANCHORARRAY( $W$5), 0))
    *
    INDEX($AN$5:$AN$77, MATCH($A110,_xlfn.ANCHORARRAY( $W$5), 0))
)</f>
        <v>0.6971542900547284</v>
      </c>
      <c r="AR110" s="17" cm="1">
        <f t="array" ref="AR110">MMULT(
    MMULT(
        INDEX($X$5:$AM$77, MATCH(AR$100,_xlfn.ANCHORARRAY( $W$5), 0), 0),
        $F$5:$U$20
    ),
    TRANSPOSE(
        INDEX($X$5:$AM$77, MATCH($A110,_xlfn.ANCHORARRAY( $W$5), 0), 0)
    )
)
/
(
    INDEX($AN$5:$AN$77, MATCH(AR$100,_xlfn.ANCHORARRAY( $W$5), 0))
    *
    INDEX($AN$5:$AN$77, MATCH($A110,_xlfn.ANCHORARRAY( $W$5), 0))
)</f>
        <v>0.81647479141561907</v>
      </c>
      <c r="AS110" s="17" cm="1">
        <f t="array" ref="AS110">MMULT(
    MMULT(
        INDEX($X$5:$AM$77, MATCH(AS$100,_xlfn.ANCHORARRAY( $W$5), 0), 0),
        $F$5:$U$20
    ),
    TRANSPOSE(
        INDEX($X$5:$AM$77, MATCH($A110,_xlfn.ANCHORARRAY( $W$5), 0), 0)
    )
)
/
(
    INDEX($AN$5:$AN$77, MATCH(AS$100,_xlfn.ANCHORARRAY( $W$5), 0))
    *
    INDEX($AN$5:$AN$77, MATCH($A110,_xlfn.ANCHORARRAY( $W$5), 0))
)</f>
        <v>0.87021630312465581</v>
      </c>
      <c r="AT110" s="17" cm="1">
        <f t="array" ref="AT110">MMULT(
    MMULT(
        INDEX($X$5:$AM$77, MATCH(AT$100,_xlfn.ANCHORARRAY( $W$5), 0), 0),
        $F$5:$U$20
    ),
    TRANSPOSE(
        INDEX($X$5:$AM$77, MATCH($A110,_xlfn.ANCHORARRAY( $W$5), 0), 0)
    )
)
/
(
    INDEX($AN$5:$AN$77, MATCH(AT$100,_xlfn.ANCHORARRAY( $W$5), 0))
    *
    INDEX($AN$5:$AN$77, MATCH($A110,_xlfn.ANCHORARRAY( $W$5), 0))
)</f>
        <v>0.87580979840864759</v>
      </c>
      <c r="AU110" s="17" cm="1">
        <f t="array" ref="AU110">MMULT(
    MMULT(
        INDEX($X$5:$AM$77, MATCH(AU$100,_xlfn.ANCHORARRAY( $W$5), 0), 0),
        $F$5:$U$20
    ),
    TRANSPOSE(
        INDEX($X$5:$AM$77, MATCH($A110,_xlfn.ANCHORARRAY( $W$5), 0), 0)
    )
)
/
(
    INDEX($AN$5:$AN$77, MATCH(AU$100,_xlfn.ANCHORARRAY( $W$5), 0))
    *
    INDEX($AN$5:$AN$77, MATCH($A110,_xlfn.ANCHORARRAY( $W$5), 0))
)</f>
        <v>0.86421721684869302</v>
      </c>
      <c r="AV110" s="17" cm="1">
        <f t="array" ref="AV110">MMULT(
    MMULT(
        INDEX($X$5:$AM$77, MATCH(AV$100,_xlfn.ANCHORARRAY( $W$5), 0), 0),
        $F$5:$U$20
    ),
    TRANSPOSE(
        INDEX($X$5:$AM$77, MATCH($A110,_xlfn.ANCHORARRAY( $W$5), 0), 0)
    )
)
/
(
    INDEX($AN$5:$AN$77, MATCH(AV$100,_xlfn.ANCHORARRAY( $W$5), 0))
    *
    INDEX($AN$5:$AN$77, MATCH($A110,_xlfn.ANCHORARRAY( $W$5), 0))
)</f>
        <v>0.8779857775718497</v>
      </c>
      <c r="AW110" s="17" cm="1">
        <f t="array" ref="AW110">MMULT(
    MMULT(
        INDEX($X$5:$AM$77, MATCH(AW$100,_xlfn.ANCHORARRAY( $W$5), 0), 0),
        $F$5:$U$20
    ),
    TRANSPOSE(
        INDEX($X$5:$AM$77, MATCH($A110,_xlfn.ANCHORARRAY( $W$5), 0), 0)
    )
)
/
(
    INDEX($AN$5:$AN$77, MATCH(AW$100,_xlfn.ANCHORARRAY( $W$5), 0))
    *
    INDEX($AN$5:$AN$77, MATCH($A110,_xlfn.ANCHORARRAY( $W$5), 0))
)</f>
        <v>0.88352813537259478</v>
      </c>
      <c r="AX110" s="17" cm="1">
        <f t="array" ref="AX110">MMULT(
    MMULT(
        INDEX($X$5:$AM$77, MATCH(AX$100,_xlfn.ANCHORARRAY( $W$5), 0), 0),
        $F$5:$U$20
    ),
    TRANSPOSE(
        INDEX($X$5:$AM$77, MATCH($A110,_xlfn.ANCHORARRAY( $W$5), 0), 0)
    )
)
/
(
    INDEX($AN$5:$AN$77, MATCH(AX$100,_xlfn.ANCHORARRAY( $W$5), 0))
    *
    INDEX($AN$5:$AN$77, MATCH($A110,_xlfn.ANCHORARRAY( $W$5), 0))
)</f>
        <v>0.58354139132515959</v>
      </c>
      <c r="AY110" s="17" cm="1">
        <f t="array" ref="AY110">MMULT(
    MMULT(
        INDEX($X$5:$AM$77, MATCH(AY$100,_xlfn.ANCHORARRAY( $W$5), 0), 0),
        $F$5:$U$20
    ),
    TRANSPOSE(
        INDEX($X$5:$AM$77, MATCH($A110,_xlfn.ANCHORARRAY( $W$5), 0), 0)
    )
)
/
(
    INDEX($AN$5:$AN$77, MATCH(AY$100,_xlfn.ANCHORARRAY( $W$5), 0))
    *
    INDEX($AN$5:$AN$77, MATCH($A110,_xlfn.ANCHORARRAY( $W$5), 0))
)</f>
        <v>0.67093042510028778</v>
      </c>
      <c r="AZ110" s="17" cm="1">
        <f t="array" ref="AZ110">MMULT(
    MMULT(
        INDEX($X$5:$AM$77, MATCH(AZ$100,_xlfn.ANCHORARRAY( $W$5), 0), 0),
        $F$5:$U$20
    ),
    TRANSPOSE(
        INDEX($X$5:$AM$77, MATCH($A110,_xlfn.ANCHORARRAY( $W$5), 0), 0)
    )
)
/
(
    INDEX($AN$5:$AN$77, MATCH(AZ$100,_xlfn.ANCHORARRAY( $W$5), 0))
    *
    INDEX($AN$5:$AN$77, MATCH($A110,_xlfn.ANCHORARRAY( $W$5), 0))
)</f>
        <v>0.85615623343750935</v>
      </c>
      <c r="BA110" s="17" cm="1">
        <f t="array" ref="BA110">MMULT(
    MMULT(
        INDEX($X$5:$AM$77, MATCH(BA$100,_xlfn.ANCHORARRAY( $W$5), 0), 0),
        $F$5:$U$20
    ),
    TRANSPOSE(
        INDEX($X$5:$AM$77, MATCH($A110,_xlfn.ANCHORARRAY( $W$5), 0), 0)
    )
)
/
(
    INDEX($AN$5:$AN$77, MATCH(BA$100,_xlfn.ANCHORARRAY( $W$5), 0))
    *
    INDEX($AN$5:$AN$77, MATCH($A110,_xlfn.ANCHORARRAY( $W$5), 0))
)</f>
        <v>0.8436485061913771</v>
      </c>
      <c r="BB110" s="17" cm="1">
        <f t="array" ref="BB110">MMULT(
    MMULT(
        INDEX($X$5:$AM$77, MATCH(BB$100,_xlfn.ANCHORARRAY( $W$5), 0), 0),
        $F$5:$U$20
    ),
    TRANSPOSE(
        INDEX($X$5:$AM$77, MATCH($A110,_xlfn.ANCHORARRAY( $W$5), 0), 0)
    )
)
/
(
    INDEX($AN$5:$AN$77, MATCH(BB$100,_xlfn.ANCHORARRAY( $W$5), 0))
    *
    INDEX($AN$5:$AN$77, MATCH($A110,_xlfn.ANCHORARRAY( $W$5), 0))
)</f>
        <v>0.94867009427489013</v>
      </c>
      <c r="BC110" s="17" cm="1">
        <f t="array" ref="BC110">MMULT(
    MMULT(
        INDEX($X$5:$AM$77, MATCH(BC$100,_xlfn.ANCHORARRAY( $W$5), 0), 0),
        $F$5:$U$20
    ),
    TRANSPOSE(
        INDEX($X$5:$AM$77, MATCH($A110,_xlfn.ANCHORARRAY( $W$5), 0), 0)
    )
)
/
(
    INDEX($AN$5:$AN$77, MATCH(BC$100,_xlfn.ANCHORARRAY( $W$5), 0))
    *
    INDEX($AN$5:$AN$77, MATCH($A110,_xlfn.ANCHORARRAY( $W$5), 0))
)</f>
        <v>0.85828702933872003</v>
      </c>
      <c r="BD110" s="17" cm="1">
        <f t="array" ref="BD110">MMULT(
    MMULT(
        INDEX($X$5:$AM$77, MATCH(BD$100,_xlfn.ANCHORARRAY( $W$5), 0), 0),
        $F$5:$U$20
    ),
    TRANSPOSE(
        INDEX($X$5:$AM$77, MATCH($A110,_xlfn.ANCHORARRAY( $W$5), 0), 0)
    )
)
/
(
    INDEX($AN$5:$AN$77, MATCH(BD$100,_xlfn.ANCHORARRAY( $W$5), 0))
    *
    INDEX($AN$5:$AN$77, MATCH($A110,_xlfn.ANCHORARRAY( $W$5), 0))
)</f>
        <v>0.57160776225586818</v>
      </c>
      <c r="BE110" s="17" cm="1">
        <f t="array" ref="BE110">MMULT(
    MMULT(
        INDEX($X$5:$AM$77, MATCH(BE$100,_xlfn.ANCHORARRAY( $W$5), 0), 0),
        $F$5:$U$20
    ),
    TRANSPOSE(
        INDEX($X$5:$AM$77, MATCH($A110,_xlfn.ANCHORARRAY( $W$5), 0), 0)
    )
)
/
(
    INDEX($AN$5:$AN$77, MATCH(BE$100,_xlfn.ANCHORARRAY( $W$5), 0))
    *
    INDEX($AN$5:$AN$77, MATCH($A110,_xlfn.ANCHORARRAY( $W$5), 0))
)</f>
        <v>0.89908019063210431</v>
      </c>
      <c r="BF110" s="17" cm="1">
        <f t="array" ref="BF110">MMULT(
    MMULT(
        INDEX($X$5:$AM$77, MATCH(BF$100,_xlfn.ANCHORARRAY( $W$5), 0), 0),
        $F$5:$U$20
    ),
    TRANSPOSE(
        INDEX($X$5:$AM$77, MATCH($A110,_xlfn.ANCHORARRAY( $W$5), 0), 0)
    )
)
/
(
    INDEX($AN$5:$AN$77, MATCH(BF$100,_xlfn.ANCHORARRAY( $W$5), 0))
    *
    INDEX($AN$5:$AN$77, MATCH($A110,_xlfn.ANCHORARRAY( $W$5), 0))
)</f>
        <v>0.79772102857991511</v>
      </c>
      <c r="BG110" s="17" cm="1">
        <f t="array" ref="BG110">MMULT(
    MMULT(
        INDEX($X$5:$AM$77, MATCH(BG$100,_xlfn.ANCHORARRAY( $W$5), 0), 0),
        $F$5:$U$20
    ),
    TRANSPOSE(
        INDEX($X$5:$AM$77, MATCH($A110,_xlfn.ANCHORARRAY( $W$5), 0), 0)
    )
)
/
(
    INDEX($AN$5:$AN$77, MATCH(BG$100,_xlfn.ANCHORARRAY( $W$5), 0))
    *
    INDEX($AN$5:$AN$77, MATCH($A110,_xlfn.ANCHORARRAY( $W$5), 0))
)</f>
        <v>0.8201598883914204</v>
      </c>
      <c r="BH110" s="17" cm="1">
        <f t="array" ref="BH110">MMULT(
    MMULT(
        INDEX($X$5:$AM$77, MATCH(BH$100,_xlfn.ANCHORARRAY( $W$5), 0), 0),
        $F$5:$U$20
    ),
    TRANSPOSE(
        INDEX($X$5:$AM$77, MATCH($A110,_xlfn.ANCHORARRAY( $W$5), 0), 0)
    )
)
/
(
    INDEX($AN$5:$AN$77, MATCH(BH$100,_xlfn.ANCHORARRAY( $W$5), 0))
    *
    INDEX($AN$5:$AN$77, MATCH($A110,_xlfn.ANCHORARRAY( $W$5), 0))
)</f>
        <v>0.72112763234814192</v>
      </c>
      <c r="BI110" s="17" cm="1">
        <f t="array" ref="BI110">MMULT(
    MMULT(
        INDEX($X$5:$AM$77, MATCH(BI$100,_xlfn.ANCHORARRAY( $W$5), 0), 0),
        $F$5:$U$20
    ),
    TRANSPOSE(
        INDEX($X$5:$AM$77, MATCH($A110,_xlfn.ANCHORARRAY( $W$5), 0), 0)
    )
)
/
(
    INDEX($AN$5:$AN$77, MATCH(BI$100,_xlfn.ANCHORARRAY( $W$5), 0))
    *
    INDEX($AN$5:$AN$77, MATCH($A110,_xlfn.ANCHORARRAY( $W$5), 0))
)</f>
        <v>0.83613779770633756</v>
      </c>
      <c r="BJ110" s="17" cm="1">
        <f t="array" ref="BJ110">MMULT(
    MMULT(
        INDEX($X$5:$AM$77, MATCH(BJ$100,_xlfn.ANCHORARRAY( $W$5), 0), 0),
        $F$5:$U$20
    ),
    TRANSPOSE(
        INDEX($X$5:$AM$77, MATCH($A110,_xlfn.ANCHORARRAY( $W$5), 0), 0)
    )
)
/
(
    INDEX($AN$5:$AN$77, MATCH(BJ$100,_xlfn.ANCHORARRAY( $W$5), 0))
    *
    INDEX($AN$5:$AN$77, MATCH($A110,_xlfn.ANCHORARRAY( $W$5), 0))
)</f>
        <v>0.83310997993561364</v>
      </c>
      <c r="BK110" s="17" cm="1">
        <f t="array" ref="BK110">MMULT(
    MMULT(
        INDEX($X$5:$AM$77, MATCH(BK$100,_xlfn.ANCHORARRAY( $W$5), 0), 0),
        $F$5:$U$20
    ),
    TRANSPOSE(
        INDEX($X$5:$AM$77, MATCH($A110,_xlfn.ANCHORARRAY( $W$5), 0), 0)
    )
)
/
(
    INDEX($AN$5:$AN$77, MATCH(BK$100,_xlfn.ANCHORARRAY( $W$5), 0))
    *
    INDEX($AN$5:$AN$77, MATCH($A110,_xlfn.ANCHORARRAY( $W$5), 0))
)</f>
        <v>0.56748689285921605</v>
      </c>
      <c r="BL110" s="17" cm="1">
        <f t="array" ref="BL110">MMULT(
    MMULT(
        INDEX($X$5:$AM$77, MATCH(BL$100,_xlfn.ANCHORARRAY( $W$5), 0), 0),
        $F$5:$U$20
    ),
    TRANSPOSE(
        INDEX($X$5:$AM$77, MATCH($A110,_xlfn.ANCHORARRAY( $W$5), 0), 0)
    )
)
/
(
    INDEX($AN$5:$AN$77, MATCH(BL$100,_xlfn.ANCHORARRAY( $W$5), 0))
    *
    INDEX($AN$5:$AN$77, MATCH($A110,_xlfn.ANCHORARRAY( $W$5), 0))
)</f>
        <v>0.52113021750890132</v>
      </c>
      <c r="BM110" s="17" cm="1">
        <f t="array" ref="BM110">MMULT(
    MMULT(
        INDEX($X$5:$AM$77, MATCH(BM$100,_xlfn.ANCHORARRAY( $W$5), 0), 0),
        $F$5:$U$20
    ),
    TRANSPOSE(
        INDEX($X$5:$AM$77, MATCH($A110,_xlfn.ANCHORARRAY( $W$5), 0), 0)
    )
)
/
(
    INDEX($AN$5:$AN$77, MATCH(BM$100,_xlfn.ANCHORARRAY( $W$5), 0))
    *
    INDEX($AN$5:$AN$77, MATCH($A110,_xlfn.ANCHORARRAY( $W$5), 0))
)</f>
        <v>0.71113176871327388</v>
      </c>
      <c r="BN110" s="17" cm="1">
        <f t="array" ref="BN110">MMULT(
    MMULT(
        INDEX($X$5:$AM$77, MATCH(BN$100,_xlfn.ANCHORARRAY( $W$5), 0), 0),
        $F$5:$U$20
    ),
    TRANSPOSE(
        INDEX($X$5:$AM$77, MATCH($A110,_xlfn.ANCHORARRAY( $W$5), 0), 0)
    )
)
/
(
    INDEX($AN$5:$AN$77, MATCH(BN$100,_xlfn.ANCHORARRAY( $W$5), 0))
    *
    INDEX($AN$5:$AN$77, MATCH($A110,_xlfn.ANCHORARRAY( $W$5), 0))
)</f>
        <v>0.91850911920847644</v>
      </c>
      <c r="BO110" s="17" cm="1">
        <f t="array" ref="BO110">MMULT(
    MMULT(
        INDEX($X$5:$AM$77, MATCH(BO$100,_xlfn.ANCHORARRAY( $W$5), 0), 0),
        $F$5:$U$20
    ),
    TRANSPOSE(
        INDEX($X$5:$AM$77, MATCH($A110,_xlfn.ANCHORARRAY( $W$5), 0), 0)
    )
)
/
(
    INDEX($AN$5:$AN$77, MATCH(BO$100,_xlfn.ANCHORARRAY( $W$5), 0))
    *
    INDEX($AN$5:$AN$77, MATCH($A110,_xlfn.ANCHORARRAY( $W$5), 0))
)</f>
        <v>0.89459608440773541</v>
      </c>
      <c r="BP110" s="17" cm="1">
        <f t="array" ref="BP110">MMULT(
    MMULT(
        INDEX($X$5:$AM$77, MATCH(BP$100,_xlfn.ANCHORARRAY( $W$5), 0), 0),
        $F$5:$U$20
    ),
    TRANSPOSE(
        INDEX($X$5:$AM$77, MATCH($A110,_xlfn.ANCHORARRAY( $W$5), 0), 0)
    )
)
/
(
    INDEX($AN$5:$AN$77, MATCH(BP$100,_xlfn.ANCHORARRAY( $W$5), 0))
    *
    INDEX($AN$5:$AN$77, MATCH($A110,_xlfn.ANCHORARRAY( $W$5), 0))
)</f>
        <v>0.81101453190098127</v>
      </c>
      <c r="BQ110" s="17" cm="1">
        <f t="array" ref="BQ110">MMULT(
    MMULT(
        INDEX($X$5:$AM$77, MATCH(BQ$100,_xlfn.ANCHORARRAY( $W$5), 0), 0),
        $F$5:$U$20
    ),
    TRANSPOSE(
        INDEX($X$5:$AM$77, MATCH($A110,_xlfn.ANCHORARRAY( $W$5), 0), 0)
    )
)
/
(
    INDEX($AN$5:$AN$77, MATCH(BQ$100,_xlfn.ANCHORARRAY( $W$5), 0))
    *
    INDEX($AN$5:$AN$77, MATCH($A110,_xlfn.ANCHORARRAY( $W$5), 0))
)</f>
        <v>0.71101969894184647</v>
      </c>
      <c r="BR110" s="17" cm="1">
        <f t="array" ref="BR110">MMULT(
    MMULT(
        INDEX($X$5:$AM$77, MATCH(BR$100,_xlfn.ANCHORARRAY( $W$5), 0), 0),
        $F$5:$U$20
    ),
    TRANSPOSE(
        INDEX($X$5:$AM$77, MATCH($A110,_xlfn.ANCHORARRAY( $W$5), 0), 0)
    )
)
/
(
    INDEX($AN$5:$AN$77, MATCH(BR$100,_xlfn.ANCHORARRAY( $W$5), 0))
    *
    INDEX($AN$5:$AN$77, MATCH($A110,_xlfn.ANCHORARRAY( $W$5), 0))
)</f>
        <v>0.90935660260846318</v>
      </c>
      <c r="BS110" s="17" cm="1">
        <f t="array" ref="BS110">MMULT(
    MMULT(
        INDEX($X$5:$AM$77, MATCH(BS$100,_xlfn.ANCHORARRAY( $W$5), 0), 0),
        $F$5:$U$20
    ),
    TRANSPOSE(
        INDEX($X$5:$AM$77, MATCH($A110,_xlfn.ANCHORARRAY( $W$5), 0), 0)
    )
)
/
(
    INDEX($AN$5:$AN$77, MATCH(BS$100,_xlfn.ANCHORARRAY( $W$5), 0))
    *
    INDEX($AN$5:$AN$77, MATCH($A110,_xlfn.ANCHORARRAY( $W$5), 0))
)</f>
        <v>0.82022256224038703</v>
      </c>
      <c r="BT110" s="17" cm="1">
        <f t="array" ref="BT110">MMULT(
    MMULT(
        INDEX($X$5:$AM$77, MATCH(BT$100,_xlfn.ANCHORARRAY( $W$5), 0), 0),
        $F$5:$U$20
    ),
    TRANSPOSE(
        INDEX($X$5:$AM$77, MATCH($A110,_xlfn.ANCHORARRAY( $W$5), 0), 0)
    )
)
/
(
    INDEX($AN$5:$AN$77, MATCH(BT$100,_xlfn.ANCHORARRAY( $W$5), 0))
    *
    INDEX($AN$5:$AN$77, MATCH($A110,_xlfn.ANCHORARRAY( $W$5), 0))
)</f>
        <v>0.89580054874735693</v>
      </c>
      <c r="BU110" s="17" cm="1">
        <f t="array" ref="BU110">MMULT(
    MMULT(
        INDEX($X$5:$AM$77, MATCH(BU$100,_xlfn.ANCHORARRAY( $W$5), 0), 0),
        $F$5:$U$20
    ),
    TRANSPOSE(
        INDEX($X$5:$AM$77, MATCH($A110,_xlfn.ANCHORARRAY( $W$5), 0), 0)
    )
)
/
(
    INDEX($AN$5:$AN$77, MATCH(BU$100,_xlfn.ANCHORARRAY( $W$5), 0))
    *
    INDEX($AN$5:$AN$77, MATCH($A110,_xlfn.ANCHORARRAY( $W$5), 0))
)</f>
        <v>0.72682970683284764</v>
      </c>
      <c r="BV110" s="17" cm="1">
        <f t="array" ref="BV110">MMULT(
    MMULT(
        INDEX($X$5:$AM$77, MATCH(BV$100,_xlfn.ANCHORARRAY( $W$5), 0), 0),
        $F$5:$U$20
    ),
    TRANSPOSE(
        INDEX($X$5:$AM$77, MATCH($A110,_xlfn.ANCHORARRAY( $W$5), 0), 0)
    )
)
/
(
    INDEX($AN$5:$AN$77, MATCH(BV$100,_xlfn.ANCHORARRAY( $W$5), 0))
    *
    INDEX($AN$5:$AN$77, MATCH($A110,_xlfn.ANCHORARRAY( $W$5), 0))
)</f>
        <v>0.78207506077082645</v>
      </c>
    </row>
    <row r="111" spans="1:74" x14ac:dyDescent="0.3">
      <c r="A111" s="7" t="str">
        <v>Chavez, Jesse</v>
      </c>
      <c r="B111" s="17" cm="1">
        <f t="array" ref="B111">MMULT(
    MMULT(
        INDEX($X$5:$AM$77, MATCH(B$100,_xlfn.ANCHORARRAY( $W$5), 0), 0),
        $F$5:$U$20
    ),
    TRANSPOSE(
        INDEX($X$5:$AM$77, MATCH($A111,_xlfn.ANCHORARRAY( $W$5), 0), 0)
    )
)
/
(
    INDEX($AN$5:$AN$77, MATCH(B$100,_xlfn.ANCHORARRAY( $W$5), 0))
    *
    INDEX($AN$5:$AN$77, MATCH($A111,_xlfn.ANCHORARRAY( $W$5), 0))
)</f>
        <v>0.76076316215827611</v>
      </c>
      <c r="C111" s="17" cm="1">
        <f t="array" ref="C111">MMULT(
    MMULT(
        INDEX($X$5:$AM$77, MATCH(C$100,_xlfn.ANCHORARRAY( $W$5), 0), 0),
        $F$5:$U$20
    ),
    TRANSPOSE(
        INDEX($X$5:$AM$77, MATCH($A111,_xlfn.ANCHORARRAY( $W$5), 0), 0)
    )
)
/
(
    INDEX($AN$5:$AN$77, MATCH(C$100,_xlfn.ANCHORARRAY( $W$5), 0))
    *
    INDEX($AN$5:$AN$77, MATCH($A111,_xlfn.ANCHORARRAY( $W$5), 0))
)</f>
        <v>0.71471385725495484</v>
      </c>
      <c r="D111" s="17" cm="1">
        <f t="array" ref="D111">MMULT(
    MMULT(
        INDEX($X$5:$AM$77, MATCH(D$100,_xlfn.ANCHORARRAY( $W$5), 0), 0),
        $F$5:$U$20
    ),
    TRANSPOSE(
        INDEX($X$5:$AM$77, MATCH($A111,_xlfn.ANCHORARRAY( $W$5), 0), 0)
    )
)
/
(
    INDEX($AN$5:$AN$77, MATCH(D$100,_xlfn.ANCHORARRAY( $W$5), 0))
    *
    INDEX($AN$5:$AN$77, MATCH($A111,_xlfn.ANCHORARRAY( $W$5), 0))
)</f>
        <v>0.6794545050378008</v>
      </c>
      <c r="E111" s="17" cm="1">
        <f t="array" ref="E111">MMULT(
    MMULT(
        INDEX($X$5:$AM$77, MATCH(E$100,_xlfn.ANCHORARRAY( $W$5), 0), 0),
        $F$5:$U$20
    ),
    TRANSPOSE(
        INDEX($X$5:$AM$77, MATCH($A111,_xlfn.ANCHORARRAY( $W$5), 0), 0)
    )
)
/
(
    INDEX($AN$5:$AN$77, MATCH(E$100,_xlfn.ANCHORARRAY( $W$5), 0))
    *
    INDEX($AN$5:$AN$77, MATCH($A111,_xlfn.ANCHORARRAY( $W$5), 0))
)</f>
        <v>0.76605977501785505</v>
      </c>
      <c r="F111" s="17" cm="1">
        <f t="array" ref="F111">MMULT(
    MMULT(
        INDEX($X$5:$AM$77, MATCH(F$100,_xlfn.ANCHORARRAY( $W$5), 0), 0),
        $F$5:$U$20
    ),
    TRANSPOSE(
        INDEX($X$5:$AM$77, MATCH($A111,_xlfn.ANCHORARRAY( $W$5), 0), 0)
    )
)
/
(
    INDEX($AN$5:$AN$77, MATCH(F$100,_xlfn.ANCHORARRAY( $W$5), 0))
    *
    INDEX($AN$5:$AN$77, MATCH($A111,_xlfn.ANCHORARRAY( $W$5), 0))
)</f>
        <v>0.59961134761267143</v>
      </c>
      <c r="G111" s="17" cm="1">
        <f t="array" ref="G111">MMULT(
    MMULT(
        INDEX($X$5:$AM$77, MATCH(G$100,_xlfn.ANCHORARRAY( $W$5), 0), 0),
        $F$5:$U$20
    ),
    TRANSPOSE(
        INDEX($X$5:$AM$77, MATCH($A111,_xlfn.ANCHORARRAY( $W$5), 0), 0)
    )
)
/
(
    INDEX($AN$5:$AN$77, MATCH(G$100,_xlfn.ANCHORARRAY( $W$5), 0))
    *
    INDEX($AN$5:$AN$77, MATCH($A111,_xlfn.ANCHORARRAY( $W$5), 0))
)</f>
        <v>0.69636701069464724</v>
      </c>
      <c r="H111" s="17" cm="1">
        <f t="array" ref="H111">MMULT(
    MMULT(
        INDEX($X$5:$AM$77, MATCH(H$100,_xlfn.ANCHORARRAY( $W$5), 0), 0),
        $F$5:$U$20
    ),
    TRANSPOSE(
        INDEX($X$5:$AM$77, MATCH($A111,_xlfn.ANCHORARRAY( $W$5), 0), 0)
    )
)
/
(
    INDEX($AN$5:$AN$77, MATCH(H$100,_xlfn.ANCHORARRAY( $W$5), 0))
    *
    INDEX($AN$5:$AN$77, MATCH($A111,_xlfn.ANCHORARRAY( $W$5), 0))
)</f>
        <v>0.92395027888576764</v>
      </c>
      <c r="I111" s="17" cm="1">
        <f t="array" ref="I111">MMULT(
    MMULT(
        INDEX($X$5:$AM$77, MATCH(I$100,_xlfn.ANCHORARRAY( $W$5), 0), 0),
        $F$5:$U$20
    ),
    TRANSPOSE(
        INDEX($X$5:$AM$77, MATCH($A111,_xlfn.ANCHORARRAY( $W$5), 0), 0)
    )
)
/
(
    INDEX($AN$5:$AN$77, MATCH(I$100,_xlfn.ANCHORARRAY( $W$5), 0))
    *
    INDEX($AN$5:$AN$77, MATCH($A111,_xlfn.ANCHORARRAY( $W$5), 0))
)</f>
        <v>0.73854744853015386</v>
      </c>
      <c r="J111" s="17" cm="1">
        <f t="array" ref="J111">MMULT(
    MMULT(
        INDEX($X$5:$AM$77, MATCH(J$100,_xlfn.ANCHORARRAY( $W$5), 0), 0),
        $F$5:$U$20
    ),
    TRANSPOSE(
        INDEX($X$5:$AM$77, MATCH($A111,_xlfn.ANCHORARRAY( $W$5), 0), 0)
    )
)
/
(
    INDEX($AN$5:$AN$77, MATCH(J$100,_xlfn.ANCHORARRAY( $W$5), 0))
    *
    INDEX($AN$5:$AN$77, MATCH($A111,_xlfn.ANCHORARRAY( $W$5), 0))
)</f>
        <v>0.83727433752653413</v>
      </c>
      <c r="K111" s="17" cm="1">
        <f t="array" ref="K111">MMULT(
    MMULT(
        INDEX($X$5:$AM$77, MATCH(K$100,_xlfn.ANCHORARRAY( $W$5), 0), 0),
        $F$5:$U$20
    ),
    TRANSPOSE(
        INDEX($X$5:$AM$77, MATCH($A111,_xlfn.ANCHORARRAY( $W$5), 0), 0)
    )
)
/
(
    INDEX($AN$5:$AN$77, MATCH(K$100,_xlfn.ANCHORARRAY( $W$5), 0))
    *
    INDEX($AN$5:$AN$77, MATCH($A111,_xlfn.ANCHORARRAY( $W$5), 0))
)</f>
        <v>0.83575190957768775</v>
      </c>
      <c r="L111" s="17" cm="1">
        <f t="array" ref="L111">MMULT(
    MMULT(
        INDEX($X$5:$AM$77, MATCH(L$100,_xlfn.ANCHORARRAY( $W$5), 0), 0),
        $F$5:$U$20
    ),
    TRANSPOSE(
        INDEX($X$5:$AM$77, MATCH($A111,_xlfn.ANCHORARRAY( $W$5), 0), 0)
    )
)
/
(
    INDEX($AN$5:$AN$77, MATCH(L$100,_xlfn.ANCHORARRAY( $W$5), 0))
    *
    INDEX($AN$5:$AN$77, MATCH($A111,_xlfn.ANCHORARRAY( $W$5), 0))
)</f>
        <v>1</v>
      </c>
      <c r="M111" s="17" cm="1">
        <f t="array" ref="M111">MMULT(
    MMULT(
        INDEX($X$5:$AM$77, MATCH(M$100,_xlfn.ANCHORARRAY( $W$5), 0), 0),
        $F$5:$U$20
    ),
    TRANSPOSE(
        INDEX($X$5:$AM$77, MATCH($A111,_xlfn.ANCHORARRAY( $W$5), 0), 0)
    )
)
/
(
    INDEX($AN$5:$AN$77, MATCH(M$100,_xlfn.ANCHORARRAY( $W$5), 0))
    *
    INDEX($AN$5:$AN$77, MATCH($A111,_xlfn.ANCHORARRAY( $W$5), 0))
)</f>
        <v>0.7869084471931258</v>
      </c>
      <c r="N111" s="17" cm="1">
        <f t="array" ref="N111">MMULT(
    MMULT(
        INDEX($X$5:$AM$77, MATCH(N$100,_xlfn.ANCHORARRAY( $W$5), 0), 0),
        $F$5:$U$20
    ),
    TRANSPOSE(
        INDEX($X$5:$AM$77, MATCH($A111,_xlfn.ANCHORARRAY( $W$5), 0), 0)
    )
)
/
(
    INDEX($AN$5:$AN$77, MATCH(N$100,_xlfn.ANCHORARRAY( $W$5), 0))
    *
    INDEX($AN$5:$AN$77, MATCH($A111,_xlfn.ANCHORARRAY( $W$5), 0))
)</f>
        <v>0.45908482178150883</v>
      </c>
      <c r="O111" s="17" cm="1">
        <f t="array" ref="O111">MMULT(
    MMULT(
        INDEX($X$5:$AM$77, MATCH(O$100,_xlfn.ANCHORARRAY( $W$5), 0), 0),
        $F$5:$U$20
    ),
    TRANSPOSE(
        INDEX($X$5:$AM$77, MATCH($A111,_xlfn.ANCHORARRAY( $W$5), 0), 0)
    )
)
/
(
    INDEX($AN$5:$AN$77, MATCH(O$100,_xlfn.ANCHORARRAY( $W$5), 0))
    *
    INDEX($AN$5:$AN$77, MATCH($A111,_xlfn.ANCHORARRAY( $W$5), 0))
)</f>
        <v>0.47135467379358303</v>
      </c>
      <c r="P111" s="17" cm="1">
        <f t="array" ref="P111">MMULT(
    MMULT(
        INDEX($X$5:$AM$77, MATCH(P$100,_xlfn.ANCHORARRAY( $W$5), 0), 0),
        $F$5:$U$20
    ),
    TRANSPOSE(
        INDEX($X$5:$AM$77, MATCH($A111,_xlfn.ANCHORARRAY( $W$5), 0), 0)
    )
)
/
(
    INDEX($AN$5:$AN$77, MATCH(P$100,_xlfn.ANCHORARRAY( $W$5), 0))
    *
    INDEX($AN$5:$AN$77, MATCH($A111,_xlfn.ANCHORARRAY( $W$5), 0))
)</f>
        <v>0.6753607431473343</v>
      </c>
      <c r="Q111" s="17" cm="1">
        <f t="array" ref="Q111">MMULT(
    MMULT(
        INDEX($X$5:$AM$77, MATCH(Q$100,_xlfn.ANCHORARRAY( $W$5), 0), 0),
        $F$5:$U$20
    ),
    TRANSPOSE(
        INDEX($X$5:$AM$77, MATCH($A111,_xlfn.ANCHORARRAY( $W$5), 0), 0)
    )
)
/
(
    INDEX($AN$5:$AN$77, MATCH(Q$100,_xlfn.ANCHORARRAY( $W$5), 0))
    *
    INDEX($AN$5:$AN$77, MATCH($A111,_xlfn.ANCHORARRAY( $W$5), 0))
)</f>
        <v>0.92421418014652112</v>
      </c>
      <c r="R111" s="17" cm="1">
        <f t="array" ref="R111">MMULT(
    MMULT(
        INDEX($X$5:$AM$77, MATCH(R$100,_xlfn.ANCHORARRAY( $W$5), 0), 0),
        $F$5:$U$20
    ),
    TRANSPOSE(
        INDEX($X$5:$AM$77, MATCH($A111,_xlfn.ANCHORARRAY( $W$5), 0), 0)
    )
)
/
(
    INDEX($AN$5:$AN$77, MATCH(R$100,_xlfn.ANCHORARRAY( $W$5), 0))
    *
    INDEX($AN$5:$AN$77, MATCH($A111,_xlfn.ANCHORARRAY( $W$5), 0))
)</f>
        <v>0.7242841084185867</v>
      </c>
      <c r="S111" s="17" cm="1">
        <f t="array" ref="S111">MMULT(
    MMULT(
        INDEX($X$5:$AM$77, MATCH(S$100,_xlfn.ANCHORARRAY( $W$5), 0), 0),
        $F$5:$U$20
    ),
    TRANSPOSE(
        INDEX($X$5:$AM$77, MATCH($A111,_xlfn.ANCHORARRAY( $W$5), 0), 0)
    )
)
/
(
    INDEX($AN$5:$AN$77, MATCH(S$100,_xlfn.ANCHORARRAY( $W$5), 0))
    *
    INDEX($AN$5:$AN$77, MATCH($A111,_xlfn.ANCHORARRAY( $W$5), 0))
)</f>
        <v>0.79587537163832522</v>
      </c>
      <c r="T111" s="17" cm="1">
        <f t="array" ref="T111">MMULT(
    MMULT(
        INDEX($X$5:$AM$77, MATCH(T$100,_xlfn.ANCHORARRAY( $W$5), 0), 0),
        $F$5:$U$20
    ),
    TRANSPOSE(
        INDEX($X$5:$AM$77, MATCH($A111,_xlfn.ANCHORARRAY( $W$5), 0), 0)
    )
)
/
(
    INDEX($AN$5:$AN$77, MATCH(T$100,_xlfn.ANCHORARRAY( $W$5), 0))
    *
    INDEX($AN$5:$AN$77, MATCH($A111,_xlfn.ANCHORARRAY( $W$5), 0))
)</f>
        <v>0.32801174267237149</v>
      </c>
      <c r="U111" s="17" cm="1">
        <f t="array" ref="U111">MMULT(
    MMULT(
        INDEX($X$5:$AM$77, MATCH(U$100,_xlfn.ANCHORARRAY( $W$5), 0), 0),
        $F$5:$U$20
    ),
    TRANSPOSE(
        INDEX($X$5:$AM$77, MATCH($A111,_xlfn.ANCHORARRAY( $W$5), 0), 0)
    )
)
/
(
    INDEX($AN$5:$AN$77, MATCH(U$100,_xlfn.ANCHORARRAY( $W$5), 0))
    *
    INDEX($AN$5:$AN$77, MATCH($A111,_xlfn.ANCHORARRAY( $W$5), 0))
)</f>
        <v>0.67640655975030894</v>
      </c>
      <c r="V111" s="17" cm="1">
        <f t="array" ref="V111">MMULT(
    MMULT(
        INDEX($X$5:$AM$77, MATCH(V$100,_xlfn.ANCHORARRAY( $W$5), 0), 0),
        $F$5:$U$20
    ),
    TRANSPOSE(
        INDEX($X$5:$AM$77, MATCH($A111,_xlfn.ANCHORARRAY( $W$5), 0), 0)
    )
)
/
(
    INDEX($AN$5:$AN$77, MATCH(V$100,_xlfn.ANCHORARRAY( $W$5), 0))
    *
    INDEX($AN$5:$AN$77, MATCH($A111,_xlfn.ANCHORARRAY( $W$5), 0))
)</f>
        <v>0.75311441288878211</v>
      </c>
      <c r="W111" s="17" cm="1">
        <f t="array" ref="W111">MMULT(
    MMULT(
        INDEX($X$5:$AM$77, MATCH(W$100,_xlfn.ANCHORARRAY( $W$5), 0), 0),
        $F$5:$U$20
    ),
    TRANSPOSE(
        INDEX($X$5:$AM$77, MATCH($A111,_xlfn.ANCHORARRAY( $W$5), 0), 0)
    )
)
/
(
    INDEX($AN$5:$AN$77, MATCH(W$100,_xlfn.ANCHORARRAY( $W$5), 0))
    *
    INDEX($AN$5:$AN$77, MATCH($A111,_xlfn.ANCHORARRAY( $W$5), 0))
)</f>
        <v>0.68692073418694199</v>
      </c>
      <c r="X111" s="17" cm="1">
        <f t="array" ref="X111">MMULT(
    MMULT(
        INDEX($X$5:$AM$77, MATCH(X$100,_xlfn.ANCHORARRAY( $W$5), 0), 0),
        $F$5:$U$20
    ),
    TRANSPOSE(
        INDEX($X$5:$AM$77, MATCH($A111,_xlfn.ANCHORARRAY( $W$5), 0), 0)
    )
)
/
(
    INDEX($AN$5:$AN$77, MATCH(X$100,_xlfn.ANCHORARRAY( $W$5), 0))
    *
    INDEX($AN$5:$AN$77, MATCH($A111,_xlfn.ANCHORARRAY( $W$5), 0))
)</f>
        <v>0.56392205878552248</v>
      </c>
      <c r="Y111" s="17" cm="1">
        <f t="array" ref="Y111">MMULT(
    MMULT(
        INDEX($X$5:$AM$77, MATCH(Y$100,_xlfn.ANCHORARRAY( $W$5), 0), 0),
        $F$5:$U$20
    ),
    TRANSPOSE(
        INDEX($X$5:$AM$77, MATCH($A111,_xlfn.ANCHORARRAY( $W$5), 0), 0)
    )
)
/
(
    INDEX($AN$5:$AN$77, MATCH(Y$100,_xlfn.ANCHORARRAY( $W$5), 0))
    *
    INDEX($AN$5:$AN$77, MATCH($A111,_xlfn.ANCHORARRAY( $W$5), 0))
)</f>
        <v>0.76134126865699758</v>
      </c>
      <c r="Z111" s="17" cm="1">
        <f t="array" ref="Z111">MMULT(
    MMULT(
        INDEX($X$5:$AM$77, MATCH(Z$100,_xlfn.ANCHORARRAY( $W$5), 0), 0),
        $F$5:$U$20
    ),
    TRANSPOSE(
        INDEX($X$5:$AM$77, MATCH($A111,_xlfn.ANCHORARRAY( $W$5), 0), 0)
    )
)
/
(
    INDEX($AN$5:$AN$77, MATCH(Z$100,_xlfn.ANCHORARRAY( $W$5), 0))
    *
    INDEX($AN$5:$AN$77, MATCH($A111,_xlfn.ANCHORARRAY( $W$5), 0))
)</f>
        <v>0.62067182156232492</v>
      </c>
      <c r="AA111" s="17" cm="1">
        <f t="array" ref="AA111">MMULT(
    MMULT(
        INDEX($X$5:$AM$77, MATCH(AA$100,_xlfn.ANCHORARRAY( $W$5), 0), 0),
        $F$5:$U$20
    ),
    TRANSPOSE(
        INDEX($X$5:$AM$77, MATCH($A111,_xlfn.ANCHORARRAY( $W$5), 0), 0)
    )
)
/
(
    INDEX($AN$5:$AN$77, MATCH(AA$100,_xlfn.ANCHORARRAY( $W$5), 0))
    *
    INDEX($AN$5:$AN$77, MATCH($A111,_xlfn.ANCHORARRAY( $W$5), 0))
)</f>
        <v>0.55394921600557911</v>
      </c>
      <c r="AB111" s="17" cm="1">
        <f t="array" ref="AB111">MMULT(
    MMULT(
        INDEX($X$5:$AM$77, MATCH(AB$100,_xlfn.ANCHORARRAY( $W$5), 0), 0),
        $F$5:$U$20
    ),
    TRANSPOSE(
        INDEX($X$5:$AM$77, MATCH($A111,_xlfn.ANCHORARRAY( $W$5), 0), 0)
    )
)
/
(
    INDEX($AN$5:$AN$77, MATCH(AB$100,_xlfn.ANCHORARRAY( $W$5), 0))
    *
    INDEX($AN$5:$AN$77, MATCH($A111,_xlfn.ANCHORARRAY( $W$5), 0))
)</f>
        <v>0.77298089744324461</v>
      </c>
      <c r="AC111" s="17" cm="1">
        <f t="array" ref="AC111">MMULT(
    MMULT(
        INDEX($X$5:$AM$77, MATCH(AC$100,_xlfn.ANCHORARRAY( $W$5), 0), 0),
        $F$5:$U$20
    ),
    TRANSPOSE(
        INDEX($X$5:$AM$77, MATCH($A111,_xlfn.ANCHORARRAY( $W$5), 0), 0)
    )
)
/
(
    INDEX($AN$5:$AN$77, MATCH(AC$100,_xlfn.ANCHORARRAY( $W$5), 0))
    *
    INDEX($AN$5:$AN$77, MATCH($A111,_xlfn.ANCHORARRAY( $W$5), 0))
)</f>
        <v>0.74763771317107619</v>
      </c>
      <c r="AD111" s="17" cm="1">
        <f t="array" ref="AD111">MMULT(
    MMULT(
        INDEX($X$5:$AM$77, MATCH(AD$100,_xlfn.ANCHORARRAY( $W$5), 0), 0),
        $F$5:$U$20
    ),
    TRANSPOSE(
        INDEX($X$5:$AM$77, MATCH($A111,_xlfn.ANCHORARRAY( $W$5), 0), 0)
    )
)
/
(
    INDEX($AN$5:$AN$77, MATCH(AD$100,_xlfn.ANCHORARRAY( $W$5), 0))
    *
    INDEX($AN$5:$AN$77, MATCH($A111,_xlfn.ANCHORARRAY( $W$5), 0))
)</f>
        <v>0.64503735537768125</v>
      </c>
      <c r="AE111" s="17" cm="1">
        <f t="array" ref="AE111">MMULT(
    MMULT(
        INDEX($X$5:$AM$77, MATCH(AE$100,_xlfn.ANCHORARRAY( $W$5), 0), 0),
        $F$5:$U$20
    ),
    TRANSPOSE(
        INDEX($X$5:$AM$77, MATCH($A111,_xlfn.ANCHORARRAY( $W$5), 0), 0)
    )
)
/
(
    INDEX($AN$5:$AN$77, MATCH(AE$100,_xlfn.ANCHORARRAY( $W$5), 0))
    *
    INDEX($AN$5:$AN$77, MATCH($A111,_xlfn.ANCHORARRAY( $W$5), 0))
)</f>
        <v>0.710250775921626</v>
      </c>
      <c r="AF111" s="17" cm="1">
        <f t="array" ref="AF111">MMULT(
    MMULT(
        INDEX($X$5:$AM$77, MATCH(AF$100,_xlfn.ANCHORARRAY( $W$5), 0), 0),
        $F$5:$U$20
    ),
    TRANSPOSE(
        INDEX($X$5:$AM$77, MATCH($A111,_xlfn.ANCHORARRAY( $W$5), 0), 0)
    )
)
/
(
    INDEX($AN$5:$AN$77, MATCH(AF$100,_xlfn.ANCHORARRAY( $W$5), 0))
    *
    INDEX($AN$5:$AN$77, MATCH($A111,_xlfn.ANCHORARRAY( $W$5), 0))
)</f>
        <v>0.81941463235897161</v>
      </c>
      <c r="AG111" s="17" cm="1">
        <f t="array" ref="AG111">MMULT(
    MMULT(
        INDEX($X$5:$AM$77, MATCH(AG$100,_xlfn.ANCHORARRAY( $W$5), 0), 0),
        $F$5:$U$20
    ),
    TRANSPOSE(
        INDEX($X$5:$AM$77, MATCH($A111,_xlfn.ANCHORARRAY( $W$5), 0), 0)
    )
)
/
(
    INDEX($AN$5:$AN$77, MATCH(AG$100,_xlfn.ANCHORARRAY( $W$5), 0))
    *
    INDEX($AN$5:$AN$77, MATCH($A111,_xlfn.ANCHORARRAY( $W$5), 0))
)</f>
        <v>0.88483957775910427</v>
      </c>
      <c r="AH111" s="17" cm="1">
        <f t="array" ref="AH111">MMULT(
    MMULT(
        INDEX($X$5:$AM$77, MATCH(AH$100,_xlfn.ANCHORARRAY( $W$5), 0), 0),
        $F$5:$U$20
    ),
    TRANSPOSE(
        INDEX($X$5:$AM$77, MATCH($A111,_xlfn.ANCHORARRAY( $W$5), 0), 0)
    )
)
/
(
    INDEX($AN$5:$AN$77, MATCH(AH$100,_xlfn.ANCHORARRAY( $W$5), 0))
    *
    INDEX($AN$5:$AN$77, MATCH($A111,_xlfn.ANCHORARRAY( $W$5), 0))
)</f>
        <v>0.64862516197189934</v>
      </c>
      <c r="AI111" s="17" cm="1">
        <f t="array" ref="AI111">MMULT(
    MMULT(
        INDEX($X$5:$AM$77, MATCH(AI$100,_xlfn.ANCHORARRAY( $W$5), 0), 0),
        $F$5:$U$20
    ),
    TRANSPOSE(
        INDEX($X$5:$AM$77, MATCH($A111,_xlfn.ANCHORARRAY( $W$5), 0), 0)
    )
)
/
(
    INDEX($AN$5:$AN$77, MATCH(AI$100,_xlfn.ANCHORARRAY( $W$5), 0))
    *
    INDEX($AN$5:$AN$77, MATCH($A111,_xlfn.ANCHORARRAY( $W$5), 0))
)</f>
        <v>0.83133916641251437</v>
      </c>
      <c r="AJ111" s="17" cm="1">
        <f t="array" ref="AJ111">MMULT(
    MMULT(
        INDEX($X$5:$AM$77, MATCH(AJ$100,_xlfn.ANCHORARRAY( $W$5), 0), 0),
        $F$5:$U$20
    ),
    TRANSPOSE(
        INDEX($X$5:$AM$77, MATCH($A111,_xlfn.ANCHORARRAY( $W$5), 0), 0)
    )
)
/
(
    INDEX($AN$5:$AN$77, MATCH(AJ$100,_xlfn.ANCHORARRAY( $W$5), 0))
    *
    INDEX($AN$5:$AN$77, MATCH($A111,_xlfn.ANCHORARRAY( $W$5), 0))
)</f>
        <v>0.58448251128093254</v>
      </c>
      <c r="AK111" s="17" cm="1">
        <f t="array" ref="AK111">MMULT(
    MMULT(
        INDEX($X$5:$AM$77, MATCH(AK$100,_xlfn.ANCHORARRAY( $W$5), 0), 0),
        $F$5:$U$20
    ),
    TRANSPOSE(
        INDEX($X$5:$AM$77, MATCH($A111,_xlfn.ANCHORARRAY( $W$5), 0), 0)
    )
)
/
(
    INDEX($AN$5:$AN$77, MATCH(AK$100,_xlfn.ANCHORARRAY( $W$5), 0))
    *
    INDEX($AN$5:$AN$77, MATCH($A111,_xlfn.ANCHORARRAY( $W$5), 0))
)</f>
        <v>0.93279991015276553</v>
      </c>
      <c r="AL111" s="17" cm="1">
        <f t="array" ref="AL111">MMULT(
    MMULT(
        INDEX($X$5:$AM$77, MATCH(AL$100,_xlfn.ANCHORARRAY( $W$5), 0), 0),
        $F$5:$U$20
    ),
    TRANSPOSE(
        INDEX($X$5:$AM$77, MATCH($A111,_xlfn.ANCHORARRAY( $W$5), 0), 0)
    )
)
/
(
    INDEX($AN$5:$AN$77, MATCH(AL$100,_xlfn.ANCHORARRAY( $W$5), 0))
    *
    INDEX($AN$5:$AN$77, MATCH($A111,_xlfn.ANCHORARRAY( $W$5), 0))
)</f>
        <v>0.49120406342188455</v>
      </c>
      <c r="AM111" s="17" cm="1">
        <f t="array" ref="AM111">MMULT(
    MMULT(
        INDEX($X$5:$AM$77, MATCH(AM$100,_xlfn.ANCHORARRAY( $W$5), 0), 0),
        $F$5:$U$20
    ),
    TRANSPOSE(
        INDEX($X$5:$AM$77, MATCH($A111,_xlfn.ANCHORARRAY( $W$5), 0), 0)
    )
)
/
(
    INDEX($AN$5:$AN$77, MATCH(AM$100,_xlfn.ANCHORARRAY( $W$5), 0))
    *
    INDEX($AN$5:$AN$77, MATCH($A111,_xlfn.ANCHORARRAY( $W$5), 0))
)</f>
        <v>0.92659497024280768</v>
      </c>
      <c r="AN111" s="17" cm="1">
        <f t="array" ref="AN111">MMULT(
    MMULT(
        INDEX($X$5:$AM$77, MATCH(AN$100,_xlfn.ANCHORARRAY( $W$5), 0), 0),
        $F$5:$U$20
    ),
    TRANSPOSE(
        INDEX($X$5:$AM$77, MATCH($A111,_xlfn.ANCHORARRAY( $W$5), 0), 0)
    )
)
/
(
    INDEX($AN$5:$AN$77, MATCH(AN$100,_xlfn.ANCHORARRAY( $W$5), 0))
    *
    INDEX($AN$5:$AN$77, MATCH($A111,_xlfn.ANCHORARRAY( $W$5), 0))
)</f>
        <v>0.72956490059313361</v>
      </c>
      <c r="AO111" s="17" cm="1">
        <f t="array" ref="AO111">MMULT(
    MMULT(
        INDEX($X$5:$AM$77, MATCH(AO$100,_xlfn.ANCHORARRAY( $W$5), 0), 0),
        $F$5:$U$20
    ),
    TRANSPOSE(
        INDEX($X$5:$AM$77, MATCH($A111,_xlfn.ANCHORARRAY( $W$5), 0), 0)
    )
)
/
(
    INDEX($AN$5:$AN$77, MATCH(AO$100,_xlfn.ANCHORARRAY( $W$5), 0))
    *
    INDEX($AN$5:$AN$77, MATCH($A111,_xlfn.ANCHORARRAY( $W$5), 0))
)</f>
        <v>0.97076549403795587</v>
      </c>
      <c r="AP111" s="17" cm="1">
        <f t="array" ref="AP111">MMULT(
    MMULT(
        INDEX($X$5:$AM$77, MATCH(AP$100,_xlfn.ANCHORARRAY( $W$5), 0), 0),
        $F$5:$U$20
    ),
    TRANSPOSE(
        INDEX($X$5:$AM$77, MATCH($A111,_xlfn.ANCHORARRAY( $W$5), 0), 0)
    )
)
/
(
    INDEX($AN$5:$AN$77, MATCH(AP$100,_xlfn.ANCHORARRAY( $W$5), 0))
    *
    INDEX($AN$5:$AN$77, MATCH($A111,_xlfn.ANCHORARRAY( $W$5), 0))
)</f>
        <v>0.79190808051939743</v>
      </c>
      <c r="AQ111" s="17" cm="1">
        <f t="array" ref="AQ111">MMULT(
    MMULT(
        INDEX($X$5:$AM$77, MATCH(AQ$100,_xlfn.ANCHORARRAY( $W$5), 0), 0),
        $F$5:$U$20
    ),
    TRANSPOSE(
        INDEX($X$5:$AM$77, MATCH($A111,_xlfn.ANCHORARRAY( $W$5), 0), 0)
    )
)
/
(
    INDEX($AN$5:$AN$77, MATCH(AQ$100,_xlfn.ANCHORARRAY( $W$5), 0))
    *
    INDEX($AN$5:$AN$77, MATCH($A111,_xlfn.ANCHORARRAY( $W$5), 0))
)</f>
        <v>0.69299948691371893</v>
      </c>
      <c r="AR111" s="17" cm="1">
        <f t="array" ref="AR111">MMULT(
    MMULT(
        INDEX($X$5:$AM$77, MATCH(AR$100,_xlfn.ANCHORARRAY( $W$5), 0), 0),
        $F$5:$U$20
    ),
    TRANSPOSE(
        INDEX($X$5:$AM$77, MATCH($A111,_xlfn.ANCHORARRAY( $W$5), 0), 0)
    )
)
/
(
    INDEX($AN$5:$AN$77, MATCH(AR$100,_xlfn.ANCHORARRAY( $W$5), 0))
    *
    INDEX($AN$5:$AN$77, MATCH($A111,_xlfn.ANCHORARRAY( $W$5), 0))
)</f>
        <v>0.60790356587165284</v>
      </c>
      <c r="AS111" s="17" cm="1">
        <f t="array" ref="AS111">MMULT(
    MMULT(
        INDEX($X$5:$AM$77, MATCH(AS$100,_xlfn.ANCHORARRAY( $W$5), 0), 0),
        $F$5:$U$20
    ),
    TRANSPOSE(
        INDEX($X$5:$AM$77, MATCH($A111,_xlfn.ANCHORARRAY( $W$5), 0), 0)
    )
)
/
(
    INDEX($AN$5:$AN$77, MATCH(AS$100,_xlfn.ANCHORARRAY( $W$5), 0))
    *
    INDEX($AN$5:$AN$77, MATCH($A111,_xlfn.ANCHORARRAY( $W$5), 0))
)</f>
        <v>0.63402249117310816</v>
      </c>
      <c r="AT111" s="17" cm="1">
        <f t="array" ref="AT111">MMULT(
    MMULT(
        INDEX($X$5:$AM$77, MATCH(AT$100,_xlfn.ANCHORARRAY( $W$5), 0), 0),
        $F$5:$U$20
    ),
    TRANSPOSE(
        INDEX($X$5:$AM$77, MATCH($A111,_xlfn.ANCHORARRAY( $W$5), 0), 0)
    )
)
/
(
    INDEX($AN$5:$AN$77, MATCH(AT$100,_xlfn.ANCHORARRAY( $W$5), 0))
    *
    INDEX($AN$5:$AN$77, MATCH($A111,_xlfn.ANCHORARRAY( $W$5), 0))
)</f>
        <v>0.92333653601159849</v>
      </c>
      <c r="AU111" s="17" cm="1">
        <f t="array" ref="AU111">MMULT(
    MMULT(
        INDEX($X$5:$AM$77, MATCH(AU$100,_xlfn.ANCHORARRAY( $W$5), 0), 0),
        $F$5:$U$20
    ),
    TRANSPOSE(
        INDEX($X$5:$AM$77, MATCH($A111,_xlfn.ANCHORARRAY( $W$5), 0), 0)
    )
)
/
(
    INDEX($AN$5:$AN$77, MATCH(AU$100,_xlfn.ANCHORARRAY( $W$5), 0))
    *
    INDEX($AN$5:$AN$77, MATCH($A111,_xlfn.ANCHORARRAY( $W$5), 0))
)</f>
        <v>0.59947474511409615</v>
      </c>
      <c r="AV111" s="17" cm="1">
        <f t="array" ref="AV111">MMULT(
    MMULT(
        INDEX($X$5:$AM$77, MATCH(AV$100,_xlfn.ANCHORARRAY( $W$5), 0), 0),
        $F$5:$U$20
    ),
    TRANSPOSE(
        INDEX($X$5:$AM$77, MATCH($A111,_xlfn.ANCHORARRAY( $W$5), 0), 0)
    )
)
/
(
    INDEX($AN$5:$AN$77, MATCH(AV$100,_xlfn.ANCHORARRAY( $W$5), 0))
    *
    INDEX($AN$5:$AN$77, MATCH($A111,_xlfn.ANCHORARRAY( $W$5), 0))
)</f>
        <v>0.61663709042130421</v>
      </c>
      <c r="AW111" s="17" cm="1">
        <f t="array" ref="AW111">MMULT(
    MMULT(
        INDEX($X$5:$AM$77, MATCH(AW$100,_xlfn.ANCHORARRAY( $W$5), 0), 0),
        $F$5:$U$20
    ),
    TRANSPOSE(
        INDEX($X$5:$AM$77, MATCH($A111,_xlfn.ANCHORARRAY( $W$5), 0), 0)
    )
)
/
(
    INDEX($AN$5:$AN$77, MATCH(AW$100,_xlfn.ANCHORARRAY( $W$5), 0))
    *
    INDEX($AN$5:$AN$77, MATCH($A111,_xlfn.ANCHORARRAY( $W$5), 0))
)</f>
        <v>0.74497885717775281</v>
      </c>
      <c r="AX111" s="17" cm="1">
        <f t="array" ref="AX111">MMULT(
    MMULT(
        INDEX($X$5:$AM$77, MATCH(AX$100,_xlfn.ANCHORARRAY( $W$5), 0), 0),
        $F$5:$U$20
    ),
    TRANSPOSE(
        INDEX($X$5:$AM$77, MATCH($A111,_xlfn.ANCHORARRAY( $W$5), 0), 0)
    )
)
/
(
    INDEX($AN$5:$AN$77, MATCH(AX$100,_xlfn.ANCHORARRAY( $W$5), 0))
    *
    INDEX($AN$5:$AN$77, MATCH($A111,_xlfn.ANCHORARRAY( $W$5), 0))
)</f>
        <v>0.81856616787104086</v>
      </c>
      <c r="AY111" s="17" cm="1">
        <f t="array" ref="AY111">MMULT(
    MMULT(
        INDEX($X$5:$AM$77, MATCH(AY$100,_xlfn.ANCHORARRAY( $W$5), 0), 0),
        $F$5:$U$20
    ),
    TRANSPOSE(
        INDEX($X$5:$AM$77, MATCH($A111,_xlfn.ANCHORARRAY( $W$5), 0), 0)
    )
)
/
(
    INDEX($AN$5:$AN$77, MATCH(AY$100,_xlfn.ANCHORARRAY( $W$5), 0))
    *
    INDEX($AN$5:$AN$77, MATCH($A111,_xlfn.ANCHORARRAY( $W$5), 0))
)</f>
        <v>0.59374847808352949</v>
      </c>
      <c r="AZ111" s="17" cm="1">
        <f t="array" ref="AZ111">MMULT(
    MMULT(
        INDEX($X$5:$AM$77, MATCH(AZ$100,_xlfn.ANCHORARRAY( $W$5), 0), 0),
        $F$5:$U$20
    ),
    TRANSPOSE(
        INDEX($X$5:$AM$77, MATCH($A111,_xlfn.ANCHORARRAY( $W$5), 0), 0)
    )
)
/
(
    INDEX($AN$5:$AN$77, MATCH(AZ$100,_xlfn.ANCHORARRAY( $W$5), 0))
    *
    INDEX($AN$5:$AN$77, MATCH($A111,_xlfn.ANCHORARRAY( $W$5), 0))
)</f>
        <v>0.61681168830543265</v>
      </c>
      <c r="BA111" s="17" cm="1">
        <f t="array" ref="BA111">MMULT(
    MMULT(
        INDEX($X$5:$AM$77, MATCH(BA$100,_xlfn.ANCHORARRAY( $W$5), 0), 0),
        $F$5:$U$20
    ),
    TRANSPOSE(
        INDEX($X$5:$AM$77, MATCH($A111,_xlfn.ANCHORARRAY( $W$5), 0), 0)
    )
)
/
(
    INDEX($AN$5:$AN$77, MATCH(BA$100,_xlfn.ANCHORARRAY( $W$5), 0))
    *
    INDEX($AN$5:$AN$77, MATCH($A111,_xlfn.ANCHORARRAY( $W$5), 0))
)</f>
        <v>0.61454110475007961</v>
      </c>
      <c r="BB111" s="17" cm="1">
        <f t="array" ref="BB111">MMULT(
    MMULT(
        INDEX($X$5:$AM$77, MATCH(BB$100,_xlfn.ANCHORARRAY( $W$5), 0), 0),
        $F$5:$U$20
    ),
    TRANSPOSE(
        INDEX($X$5:$AM$77, MATCH($A111,_xlfn.ANCHORARRAY( $W$5), 0), 0)
    )
)
/
(
    INDEX($AN$5:$AN$77, MATCH(BB$100,_xlfn.ANCHORARRAY( $W$5), 0))
    *
    INDEX($AN$5:$AN$77, MATCH($A111,_xlfn.ANCHORARRAY( $W$5), 0))
)</f>
        <v>0.76686872732989808</v>
      </c>
      <c r="BC111" s="17" cm="1">
        <f t="array" ref="BC111">MMULT(
    MMULT(
        INDEX($X$5:$AM$77, MATCH(BC$100,_xlfn.ANCHORARRAY( $W$5), 0), 0),
        $F$5:$U$20
    ),
    TRANSPOSE(
        INDEX($X$5:$AM$77, MATCH($A111,_xlfn.ANCHORARRAY( $W$5), 0), 0)
    )
)
/
(
    INDEX($AN$5:$AN$77, MATCH(BC$100,_xlfn.ANCHORARRAY( $W$5), 0))
    *
    INDEX($AN$5:$AN$77, MATCH($A111,_xlfn.ANCHORARRAY( $W$5), 0))
)</f>
        <v>0.86937560604576813</v>
      </c>
      <c r="BD111" s="17" cm="1">
        <f t="array" ref="BD111">MMULT(
    MMULT(
        INDEX($X$5:$AM$77, MATCH(BD$100,_xlfn.ANCHORARRAY( $W$5), 0), 0),
        $F$5:$U$20
    ),
    TRANSPOSE(
        INDEX($X$5:$AM$77, MATCH($A111,_xlfn.ANCHORARRAY( $W$5), 0), 0)
    )
)
/
(
    INDEX($AN$5:$AN$77, MATCH(BD$100,_xlfn.ANCHORARRAY( $W$5), 0))
    *
    INDEX($AN$5:$AN$77, MATCH($A111,_xlfn.ANCHORARRAY( $W$5), 0))
)</f>
        <v>0.5890035220869384</v>
      </c>
      <c r="BE111" s="17" cm="1">
        <f t="array" ref="BE111">MMULT(
    MMULT(
        INDEX($X$5:$AM$77, MATCH(BE$100,_xlfn.ANCHORARRAY( $W$5), 0), 0),
        $F$5:$U$20
    ),
    TRANSPOSE(
        INDEX($X$5:$AM$77, MATCH($A111,_xlfn.ANCHORARRAY( $W$5), 0), 0)
    )
)
/
(
    INDEX($AN$5:$AN$77, MATCH(BE$100,_xlfn.ANCHORARRAY( $W$5), 0))
    *
    INDEX($AN$5:$AN$77, MATCH($A111,_xlfn.ANCHORARRAY( $W$5), 0))
)</f>
        <v>0.9195871447429087</v>
      </c>
      <c r="BF111" s="17" cm="1">
        <f t="array" ref="BF111">MMULT(
    MMULT(
        INDEX($X$5:$AM$77, MATCH(BF$100,_xlfn.ANCHORARRAY( $W$5), 0), 0),
        $F$5:$U$20
    ),
    TRANSPOSE(
        INDEX($X$5:$AM$77, MATCH($A111,_xlfn.ANCHORARRAY( $W$5), 0), 0)
    )
)
/
(
    INDEX($AN$5:$AN$77, MATCH(BF$100,_xlfn.ANCHORARRAY( $W$5), 0))
    *
    INDEX($AN$5:$AN$77, MATCH($A111,_xlfn.ANCHORARRAY( $W$5), 0))
)</f>
        <v>0.67269809192791952</v>
      </c>
      <c r="BG111" s="17" cm="1">
        <f t="array" ref="BG111">MMULT(
    MMULT(
        INDEX($X$5:$AM$77, MATCH(BG$100,_xlfn.ANCHORARRAY( $W$5), 0), 0),
        $F$5:$U$20
    ),
    TRANSPOSE(
        INDEX($X$5:$AM$77, MATCH($A111,_xlfn.ANCHORARRAY( $W$5), 0), 0)
    )
)
/
(
    INDEX($AN$5:$AN$77, MATCH(BG$100,_xlfn.ANCHORARRAY( $W$5), 0))
    *
    INDEX($AN$5:$AN$77, MATCH($A111,_xlfn.ANCHORARRAY( $W$5), 0))
)</f>
        <v>0.61229948531755329</v>
      </c>
      <c r="BH111" s="17" cm="1">
        <f t="array" ref="BH111">MMULT(
    MMULT(
        INDEX($X$5:$AM$77, MATCH(BH$100,_xlfn.ANCHORARRAY( $W$5), 0), 0),
        $F$5:$U$20
    ),
    TRANSPOSE(
        INDEX($X$5:$AM$77, MATCH($A111,_xlfn.ANCHORARRAY( $W$5), 0), 0)
    )
)
/
(
    INDEX($AN$5:$AN$77, MATCH(BH$100,_xlfn.ANCHORARRAY( $W$5), 0))
    *
    INDEX($AN$5:$AN$77, MATCH($A111,_xlfn.ANCHORARRAY( $W$5), 0))
)</f>
        <v>0.70869653770495944</v>
      </c>
      <c r="BI111" s="17" cm="1">
        <f t="array" ref="BI111">MMULT(
    MMULT(
        INDEX($X$5:$AM$77, MATCH(BI$100,_xlfn.ANCHORARRAY( $W$5), 0), 0),
        $F$5:$U$20
    ),
    TRANSPOSE(
        INDEX($X$5:$AM$77, MATCH($A111,_xlfn.ANCHORARRAY( $W$5), 0), 0)
    )
)
/
(
    INDEX($AN$5:$AN$77, MATCH(BI$100,_xlfn.ANCHORARRAY( $W$5), 0))
    *
    INDEX($AN$5:$AN$77, MATCH($A111,_xlfn.ANCHORARRAY( $W$5), 0))
)</f>
        <v>0.73884540771944751</v>
      </c>
      <c r="BJ111" s="17" cm="1">
        <f t="array" ref="BJ111">MMULT(
    MMULT(
        INDEX($X$5:$AM$77, MATCH(BJ$100,_xlfn.ANCHORARRAY( $W$5), 0), 0),
        $F$5:$U$20
    ),
    TRANSPOSE(
        INDEX($X$5:$AM$77, MATCH($A111,_xlfn.ANCHORARRAY( $W$5), 0), 0)
    )
)
/
(
    INDEX($AN$5:$AN$77, MATCH(BJ$100,_xlfn.ANCHORARRAY( $W$5), 0))
    *
    INDEX($AN$5:$AN$77, MATCH($A111,_xlfn.ANCHORARRAY( $W$5), 0))
)</f>
        <v>0.73782071355698342</v>
      </c>
      <c r="BK111" s="17" cm="1">
        <f t="array" ref="BK111">MMULT(
    MMULT(
        INDEX($X$5:$AM$77, MATCH(BK$100,_xlfn.ANCHORARRAY( $W$5), 0), 0),
        $F$5:$U$20
    ),
    TRANSPOSE(
        INDEX($X$5:$AM$77, MATCH($A111,_xlfn.ANCHORARRAY( $W$5), 0), 0)
    )
)
/
(
    INDEX($AN$5:$AN$77, MATCH(BK$100,_xlfn.ANCHORARRAY( $W$5), 0))
    *
    INDEX($AN$5:$AN$77, MATCH($A111,_xlfn.ANCHORARRAY( $W$5), 0))
)</f>
        <v>0.59706516109854368</v>
      </c>
      <c r="BL111" s="17" cm="1">
        <f t="array" ref="BL111">MMULT(
    MMULT(
        INDEX($X$5:$AM$77, MATCH(BL$100,_xlfn.ANCHORARRAY( $W$5), 0), 0),
        $F$5:$U$20
    ),
    TRANSPOSE(
        INDEX($X$5:$AM$77, MATCH($A111,_xlfn.ANCHORARRAY( $W$5), 0), 0)
    )
)
/
(
    INDEX($AN$5:$AN$77, MATCH(BL$100,_xlfn.ANCHORARRAY( $W$5), 0))
    *
    INDEX($AN$5:$AN$77, MATCH($A111,_xlfn.ANCHORARRAY( $W$5), 0))
)</f>
        <v>0.1730645831587482</v>
      </c>
      <c r="BM111" s="17" cm="1">
        <f t="array" ref="BM111">MMULT(
    MMULT(
        INDEX($X$5:$AM$77, MATCH(BM$100,_xlfn.ANCHORARRAY( $W$5), 0), 0),
        $F$5:$U$20
    ),
    TRANSPOSE(
        INDEX($X$5:$AM$77, MATCH($A111,_xlfn.ANCHORARRAY( $W$5), 0), 0)
    )
)
/
(
    INDEX($AN$5:$AN$77, MATCH(BM$100,_xlfn.ANCHORARRAY( $W$5), 0))
    *
    INDEX($AN$5:$AN$77, MATCH($A111,_xlfn.ANCHORARRAY( $W$5), 0))
)</f>
        <v>0.48668192718197945</v>
      </c>
      <c r="BN111" s="17" cm="1">
        <f t="array" ref="BN111">MMULT(
    MMULT(
        INDEX($X$5:$AM$77, MATCH(BN$100,_xlfn.ANCHORARRAY( $W$5), 0), 0),
        $F$5:$U$20
    ),
    TRANSPOSE(
        INDEX($X$5:$AM$77, MATCH($A111,_xlfn.ANCHORARRAY( $W$5), 0), 0)
    )
)
/
(
    INDEX($AN$5:$AN$77, MATCH(BN$100,_xlfn.ANCHORARRAY( $W$5), 0))
    *
    INDEX($AN$5:$AN$77, MATCH($A111,_xlfn.ANCHORARRAY( $W$5), 0))
)</f>
        <v>0.96813508485797561</v>
      </c>
      <c r="BO111" s="17" cm="1">
        <f t="array" ref="BO111">MMULT(
    MMULT(
        INDEX($X$5:$AM$77, MATCH(BO$100,_xlfn.ANCHORARRAY( $W$5), 0), 0),
        $F$5:$U$20
    ),
    TRANSPOSE(
        INDEX($X$5:$AM$77, MATCH($A111,_xlfn.ANCHORARRAY( $W$5), 0), 0)
    )
)
/
(
    INDEX($AN$5:$AN$77, MATCH(BO$100,_xlfn.ANCHORARRAY( $W$5), 0))
    *
    INDEX($AN$5:$AN$77, MATCH($A111,_xlfn.ANCHORARRAY( $W$5), 0))
)</f>
        <v>0.71893497813799379</v>
      </c>
      <c r="BP111" s="17" cm="1">
        <f t="array" ref="BP111">MMULT(
    MMULT(
        INDEX($X$5:$AM$77, MATCH(BP$100,_xlfn.ANCHORARRAY( $W$5), 0), 0),
        $F$5:$U$20
    ),
    TRANSPOSE(
        INDEX($X$5:$AM$77, MATCH($A111,_xlfn.ANCHORARRAY( $W$5), 0), 0)
    )
)
/
(
    INDEX($AN$5:$AN$77, MATCH(BP$100,_xlfn.ANCHORARRAY( $W$5), 0))
    *
    INDEX($AN$5:$AN$77, MATCH($A111,_xlfn.ANCHORARRAY( $W$5), 0))
)</f>
        <v>0.68416407909712429</v>
      </c>
      <c r="BQ111" s="17" cm="1">
        <f t="array" ref="BQ111">MMULT(
    MMULT(
        INDEX($X$5:$AM$77, MATCH(BQ$100,_xlfn.ANCHORARRAY( $W$5), 0), 0),
        $F$5:$U$20
    ),
    TRANSPOSE(
        INDEX($X$5:$AM$77, MATCH($A111,_xlfn.ANCHORARRAY( $W$5), 0), 0)
    )
)
/
(
    INDEX($AN$5:$AN$77, MATCH(BQ$100,_xlfn.ANCHORARRAY( $W$5), 0))
    *
    INDEX($AN$5:$AN$77, MATCH($A111,_xlfn.ANCHORARRAY( $W$5), 0))
)</f>
        <v>0.78602431159229169</v>
      </c>
      <c r="BR111" s="17" cm="1">
        <f t="array" ref="BR111">MMULT(
    MMULT(
        INDEX($X$5:$AM$77, MATCH(BR$100,_xlfn.ANCHORARRAY( $W$5), 0), 0),
        $F$5:$U$20
    ),
    TRANSPOSE(
        INDEX($X$5:$AM$77, MATCH($A111,_xlfn.ANCHORARRAY( $W$5), 0), 0)
    )
)
/
(
    INDEX($AN$5:$AN$77, MATCH(BR$100,_xlfn.ANCHORARRAY( $W$5), 0))
    *
    INDEX($AN$5:$AN$77, MATCH($A111,_xlfn.ANCHORARRAY( $W$5), 0))
)</f>
        <v>0.75259187087244772</v>
      </c>
      <c r="BS111" s="17" cm="1">
        <f t="array" ref="BS111">MMULT(
    MMULT(
        INDEX($X$5:$AM$77, MATCH(BS$100,_xlfn.ANCHORARRAY( $W$5), 0), 0),
        $F$5:$U$20
    ),
    TRANSPOSE(
        INDEX($X$5:$AM$77, MATCH($A111,_xlfn.ANCHORARRAY( $W$5), 0), 0)
    )
)
/
(
    INDEX($AN$5:$AN$77, MATCH(BS$100,_xlfn.ANCHORARRAY( $W$5), 0))
    *
    INDEX($AN$5:$AN$77, MATCH($A111,_xlfn.ANCHORARRAY( $W$5), 0))
)</f>
        <v>0.54041136374402199</v>
      </c>
      <c r="BT111" s="17" cm="1">
        <f t="array" ref="BT111">MMULT(
    MMULT(
        INDEX($X$5:$AM$77, MATCH(BT$100,_xlfn.ANCHORARRAY( $W$5), 0), 0),
        $F$5:$U$20
    ),
    TRANSPOSE(
        INDEX($X$5:$AM$77, MATCH($A111,_xlfn.ANCHORARRAY( $W$5), 0), 0)
    )
)
/
(
    INDEX($AN$5:$AN$77, MATCH(BT$100,_xlfn.ANCHORARRAY( $W$5), 0))
    *
    INDEX($AN$5:$AN$77, MATCH($A111,_xlfn.ANCHORARRAY( $W$5), 0))
)</f>
        <v>0.82869088717610806</v>
      </c>
      <c r="BU111" s="17" cm="1">
        <f t="array" ref="BU111">MMULT(
    MMULT(
        INDEX($X$5:$AM$77, MATCH(BU$100,_xlfn.ANCHORARRAY( $W$5), 0), 0),
        $F$5:$U$20
    ),
    TRANSPOSE(
        INDEX($X$5:$AM$77, MATCH($A111,_xlfn.ANCHORARRAY( $W$5), 0), 0)
    )
)
/
(
    INDEX($AN$5:$AN$77, MATCH(BU$100,_xlfn.ANCHORARRAY( $W$5), 0))
    *
    INDEX($AN$5:$AN$77, MATCH($A111,_xlfn.ANCHORARRAY( $W$5), 0))
)</f>
        <v>0.70503313811018864</v>
      </c>
      <c r="BV111" s="17" cm="1">
        <f t="array" ref="BV111">MMULT(
    MMULT(
        INDEX($X$5:$AM$77, MATCH(BV$100,_xlfn.ANCHORARRAY( $W$5), 0), 0),
        $F$5:$U$20
    ),
    TRANSPOSE(
        INDEX($X$5:$AM$77, MATCH($A111,_xlfn.ANCHORARRAY( $W$5), 0), 0)
    )
)
/
(
    INDEX($AN$5:$AN$77, MATCH(BV$100,_xlfn.ANCHORARRAY( $W$5), 0))
    *
    INDEX($AN$5:$AN$77, MATCH($A111,_xlfn.ANCHORARRAY( $W$5), 0))
)</f>
        <v>0.67538975082735286</v>
      </c>
    </row>
    <row r="112" spans="1:74" x14ac:dyDescent="0.3">
      <c r="A112" s="7" t="str">
        <v>Iglesias, Raisel</v>
      </c>
      <c r="B112" s="17" cm="1">
        <f t="array" ref="B112">MMULT(
    MMULT(
        INDEX($X$5:$AM$77, MATCH(B$100,_xlfn.ANCHORARRAY( $W$5), 0), 0),
        $F$5:$U$20
    ),
    TRANSPOSE(
        INDEX($X$5:$AM$77, MATCH($A112,_xlfn.ANCHORARRAY( $W$5), 0), 0)
    )
)
/
(
    INDEX($AN$5:$AN$77, MATCH(B$100,_xlfn.ANCHORARRAY( $W$5), 0))
    *
    INDEX($AN$5:$AN$77, MATCH($A112,_xlfn.ANCHORARRAY( $W$5), 0))
)</f>
        <v>0.8497319110743552</v>
      </c>
      <c r="C112" s="17" cm="1">
        <f t="array" ref="C112">MMULT(
    MMULT(
        INDEX($X$5:$AM$77, MATCH(C$100,_xlfn.ANCHORARRAY( $W$5), 0), 0),
        $F$5:$U$20
    ),
    TRANSPOSE(
        INDEX($X$5:$AM$77, MATCH($A112,_xlfn.ANCHORARRAY( $W$5), 0), 0)
    )
)
/
(
    INDEX($AN$5:$AN$77, MATCH(C$100,_xlfn.ANCHORARRAY( $W$5), 0))
    *
    INDEX($AN$5:$AN$77, MATCH($A112,_xlfn.ANCHORARRAY( $W$5), 0))
)</f>
        <v>0.68474931723284249</v>
      </c>
      <c r="D112" s="17" cm="1">
        <f t="array" ref="D112">MMULT(
    MMULT(
        INDEX($X$5:$AM$77, MATCH(D$100,_xlfn.ANCHORARRAY( $W$5), 0), 0),
        $F$5:$U$20
    ),
    TRANSPOSE(
        INDEX($X$5:$AM$77, MATCH($A112,_xlfn.ANCHORARRAY( $W$5), 0), 0)
    )
)
/
(
    INDEX($AN$5:$AN$77, MATCH(D$100,_xlfn.ANCHORARRAY( $W$5), 0))
    *
    INDEX($AN$5:$AN$77, MATCH($A112,_xlfn.ANCHORARRAY( $W$5), 0))
)</f>
        <v>0.85645547337595906</v>
      </c>
      <c r="E112" s="17" cm="1">
        <f t="array" ref="E112">MMULT(
    MMULT(
        INDEX($X$5:$AM$77, MATCH(E$100,_xlfn.ANCHORARRAY( $W$5), 0), 0),
        $F$5:$U$20
    ),
    TRANSPOSE(
        INDEX($X$5:$AM$77, MATCH($A112,_xlfn.ANCHORARRAY( $W$5), 0), 0)
    )
)
/
(
    INDEX($AN$5:$AN$77, MATCH(E$100,_xlfn.ANCHORARRAY( $W$5), 0))
    *
    INDEX($AN$5:$AN$77, MATCH($A112,_xlfn.ANCHORARRAY( $W$5), 0))
)</f>
        <v>0.87179614858259435</v>
      </c>
      <c r="F112" s="17" cm="1">
        <f t="array" ref="F112">MMULT(
    MMULT(
        INDEX($X$5:$AM$77, MATCH(F$100,_xlfn.ANCHORARRAY( $W$5), 0), 0),
        $F$5:$U$20
    ),
    TRANSPOSE(
        INDEX($X$5:$AM$77, MATCH($A112,_xlfn.ANCHORARRAY( $W$5), 0), 0)
    )
)
/
(
    INDEX($AN$5:$AN$77, MATCH(F$100,_xlfn.ANCHORARRAY( $W$5), 0))
    *
    INDEX($AN$5:$AN$77, MATCH($A112,_xlfn.ANCHORARRAY( $W$5), 0))
)</f>
        <v>0.83582536030173471</v>
      </c>
      <c r="G112" s="17" cm="1">
        <f t="array" ref="G112">MMULT(
    MMULT(
        INDEX($X$5:$AM$77, MATCH(G$100,_xlfn.ANCHORARRAY( $W$5), 0), 0),
        $F$5:$U$20
    ),
    TRANSPOSE(
        INDEX($X$5:$AM$77, MATCH($A112,_xlfn.ANCHORARRAY( $W$5), 0), 0)
    )
)
/
(
    INDEX($AN$5:$AN$77, MATCH(G$100,_xlfn.ANCHORARRAY( $W$5), 0))
    *
    INDEX($AN$5:$AN$77, MATCH($A112,_xlfn.ANCHORARRAY( $W$5), 0))
)</f>
        <v>0.89531237454801216</v>
      </c>
      <c r="H112" s="17" cm="1">
        <f t="array" ref="H112">MMULT(
    MMULT(
        INDEX($X$5:$AM$77, MATCH(H$100,_xlfn.ANCHORARRAY( $W$5), 0), 0),
        $F$5:$U$20
    ),
    TRANSPOSE(
        INDEX($X$5:$AM$77, MATCH($A112,_xlfn.ANCHORARRAY( $W$5), 0), 0)
    )
)
/
(
    INDEX($AN$5:$AN$77, MATCH(H$100,_xlfn.ANCHORARRAY( $W$5), 0))
    *
    INDEX($AN$5:$AN$77, MATCH($A112,_xlfn.ANCHORARRAY( $W$5), 0))
)</f>
        <v>0.85826685019488402</v>
      </c>
      <c r="I112" s="17" cm="1">
        <f t="array" ref="I112">MMULT(
    MMULT(
        INDEX($X$5:$AM$77, MATCH(I$100,_xlfn.ANCHORARRAY( $W$5), 0), 0),
        $F$5:$U$20
    ),
    TRANSPOSE(
        INDEX($X$5:$AM$77, MATCH($A112,_xlfn.ANCHORARRAY( $W$5), 0), 0)
    )
)
/
(
    INDEX($AN$5:$AN$77, MATCH(I$100,_xlfn.ANCHORARRAY( $W$5), 0))
    *
    INDEX($AN$5:$AN$77, MATCH($A112,_xlfn.ANCHORARRAY( $W$5), 0))
)</f>
        <v>0.79660834967353422</v>
      </c>
      <c r="J112" s="17" cm="1">
        <f t="array" ref="J112">MMULT(
    MMULT(
        INDEX($X$5:$AM$77, MATCH(J$100,_xlfn.ANCHORARRAY( $W$5), 0), 0),
        $F$5:$U$20
    ),
    TRANSPOSE(
        INDEX($X$5:$AM$77, MATCH($A112,_xlfn.ANCHORARRAY( $W$5), 0), 0)
    )
)
/
(
    INDEX($AN$5:$AN$77, MATCH(J$100,_xlfn.ANCHORARRAY( $W$5), 0))
    *
    INDEX($AN$5:$AN$77, MATCH($A112,_xlfn.ANCHORARRAY( $W$5), 0))
)</f>
        <v>0.87963260287331524</v>
      </c>
      <c r="K112" s="17" cm="1">
        <f t="array" ref="K112">MMULT(
    MMULT(
        INDEX($X$5:$AM$77, MATCH(K$100,_xlfn.ANCHORARRAY( $W$5), 0), 0),
        $F$5:$U$20
    ),
    TRANSPOSE(
        INDEX($X$5:$AM$77, MATCH($A112,_xlfn.ANCHORARRAY( $W$5), 0), 0)
    )
)
/
(
    INDEX($AN$5:$AN$77, MATCH(K$100,_xlfn.ANCHORARRAY( $W$5), 0))
    *
    INDEX($AN$5:$AN$77, MATCH($A112,_xlfn.ANCHORARRAY( $W$5), 0))
)</f>
        <v>0.91819109082672579</v>
      </c>
      <c r="L112" s="17" cm="1">
        <f t="array" ref="L112">MMULT(
    MMULT(
        INDEX($X$5:$AM$77, MATCH(L$100,_xlfn.ANCHORARRAY( $W$5), 0), 0),
        $F$5:$U$20
    ),
    TRANSPOSE(
        INDEX($X$5:$AM$77, MATCH($A112,_xlfn.ANCHORARRAY( $W$5), 0), 0)
    )
)
/
(
    INDEX($AN$5:$AN$77, MATCH(L$100,_xlfn.ANCHORARRAY( $W$5), 0))
    *
    INDEX($AN$5:$AN$77, MATCH($A112,_xlfn.ANCHORARRAY( $W$5), 0))
)</f>
        <v>0.7869084471931258</v>
      </c>
      <c r="M112" s="17" cm="1">
        <f t="array" ref="M112">MMULT(
    MMULT(
        INDEX($X$5:$AM$77, MATCH(M$100,_xlfn.ANCHORARRAY( $W$5), 0), 0),
        $F$5:$U$20
    ),
    TRANSPOSE(
        INDEX($X$5:$AM$77, MATCH($A112,_xlfn.ANCHORARRAY( $W$5), 0), 0)
    )
)
/
(
    INDEX($AN$5:$AN$77, MATCH(M$100,_xlfn.ANCHORARRAY( $W$5), 0))
    *
    INDEX($AN$5:$AN$77, MATCH($A112,_xlfn.ANCHORARRAY( $W$5), 0))
)</f>
        <v>1</v>
      </c>
      <c r="N112" s="17" cm="1">
        <f t="array" ref="N112">MMULT(
    MMULT(
        INDEX($X$5:$AM$77, MATCH(N$100,_xlfn.ANCHORARRAY( $W$5), 0), 0),
        $F$5:$U$20
    ),
    TRANSPOSE(
        INDEX($X$5:$AM$77, MATCH($A112,_xlfn.ANCHORARRAY( $W$5), 0), 0)
    )
)
/
(
    INDEX($AN$5:$AN$77, MATCH(N$100,_xlfn.ANCHORARRAY( $W$5), 0))
    *
    INDEX($AN$5:$AN$77, MATCH($A112,_xlfn.ANCHORARRAY( $W$5), 0))
)</f>
        <v>0.65603874217964375</v>
      </c>
      <c r="O112" s="17" cm="1">
        <f t="array" ref="O112">MMULT(
    MMULT(
        INDEX($X$5:$AM$77, MATCH(O$100,_xlfn.ANCHORARRAY( $W$5), 0), 0),
        $F$5:$U$20
    ),
    TRANSPOSE(
        INDEX($X$5:$AM$77, MATCH($A112,_xlfn.ANCHORARRAY( $W$5), 0), 0)
    )
)
/
(
    INDEX($AN$5:$AN$77, MATCH(O$100,_xlfn.ANCHORARRAY( $W$5), 0))
    *
    INDEX($AN$5:$AN$77, MATCH($A112,_xlfn.ANCHORARRAY( $W$5), 0))
)</f>
        <v>0.74227204629889898</v>
      </c>
      <c r="P112" s="17" cm="1">
        <f t="array" ref="P112">MMULT(
    MMULT(
        INDEX($X$5:$AM$77, MATCH(P$100,_xlfn.ANCHORARRAY( $W$5), 0), 0),
        $F$5:$U$20
    ),
    TRANSPOSE(
        INDEX($X$5:$AM$77, MATCH($A112,_xlfn.ANCHORARRAY( $W$5), 0), 0)
    )
)
/
(
    INDEX($AN$5:$AN$77, MATCH(P$100,_xlfn.ANCHORARRAY( $W$5), 0))
    *
    INDEX($AN$5:$AN$77, MATCH($A112,_xlfn.ANCHORARRAY( $W$5), 0))
)</f>
        <v>0.75800082799025725</v>
      </c>
      <c r="Q112" s="17" cm="1">
        <f t="array" ref="Q112">MMULT(
    MMULT(
        INDEX($X$5:$AM$77, MATCH(Q$100,_xlfn.ANCHORARRAY( $W$5), 0), 0),
        $F$5:$U$20
    ),
    TRANSPOSE(
        INDEX($X$5:$AM$77, MATCH($A112,_xlfn.ANCHORARRAY( $W$5), 0), 0)
    )
)
/
(
    INDEX($AN$5:$AN$77, MATCH(Q$100,_xlfn.ANCHORARRAY( $W$5), 0))
    *
    INDEX($AN$5:$AN$77, MATCH($A112,_xlfn.ANCHORARRAY( $W$5), 0))
)</f>
        <v>0.72684772515398122</v>
      </c>
      <c r="R112" s="17" cm="1">
        <f t="array" ref="R112">MMULT(
    MMULT(
        INDEX($X$5:$AM$77, MATCH(R$100,_xlfn.ANCHORARRAY( $W$5), 0), 0),
        $F$5:$U$20
    ),
    TRANSPOSE(
        INDEX($X$5:$AM$77, MATCH($A112,_xlfn.ANCHORARRAY( $W$5), 0), 0)
    )
)
/
(
    INDEX($AN$5:$AN$77, MATCH(R$100,_xlfn.ANCHORARRAY( $W$5), 0))
    *
    INDEX($AN$5:$AN$77, MATCH($A112,_xlfn.ANCHORARRAY( $W$5), 0))
)</f>
        <v>0.83295156850813801</v>
      </c>
      <c r="S112" s="17" cm="1">
        <f t="array" ref="S112">MMULT(
    MMULT(
        INDEX($X$5:$AM$77, MATCH(S$100,_xlfn.ANCHORARRAY( $W$5), 0), 0),
        $F$5:$U$20
    ),
    TRANSPOSE(
        INDEX($X$5:$AM$77, MATCH($A112,_xlfn.ANCHORARRAY( $W$5), 0), 0)
    )
)
/
(
    INDEX($AN$5:$AN$77, MATCH(S$100,_xlfn.ANCHORARRAY( $W$5), 0))
    *
    INDEX($AN$5:$AN$77, MATCH($A112,_xlfn.ANCHORARRAY( $W$5), 0))
)</f>
        <v>0.83255883041865564</v>
      </c>
      <c r="T112" s="17" cm="1">
        <f t="array" ref="T112">MMULT(
    MMULT(
        INDEX($X$5:$AM$77, MATCH(T$100,_xlfn.ANCHORARRAY( $W$5), 0), 0),
        $F$5:$U$20
    ),
    TRANSPOSE(
        INDEX($X$5:$AM$77, MATCH($A112,_xlfn.ANCHORARRAY( $W$5), 0), 0)
    )
)
/
(
    INDEX($AN$5:$AN$77, MATCH(T$100,_xlfn.ANCHORARRAY( $W$5), 0))
    *
    INDEX($AN$5:$AN$77, MATCH($A112,_xlfn.ANCHORARRAY( $W$5), 0))
)</f>
        <v>0.27857814696813615</v>
      </c>
      <c r="U112" s="17" cm="1">
        <f t="array" ref="U112">MMULT(
    MMULT(
        INDEX($X$5:$AM$77, MATCH(U$100,_xlfn.ANCHORARRAY( $W$5), 0), 0),
        $F$5:$U$20
    ),
    TRANSPOSE(
        INDEX($X$5:$AM$77, MATCH($A112,_xlfn.ANCHORARRAY( $W$5), 0), 0)
    )
)
/
(
    INDEX($AN$5:$AN$77, MATCH(U$100,_xlfn.ANCHORARRAY( $W$5), 0))
    *
    INDEX($AN$5:$AN$77, MATCH($A112,_xlfn.ANCHORARRAY( $W$5), 0))
)</f>
        <v>0.83385817178090194</v>
      </c>
      <c r="V112" s="17" cm="1">
        <f t="array" ref="V112">MMULT(
    MMULT(
        INDEX($X$5:$AM$77, MATCH(V$100,_xlfn.ANCHORARRAY( $W$5), 0), 0),
        $F$5:$U$20
    ),
    TRANSPOSE(
        INDEX($X$5:$AM$77, MATCH($A112,_xlfn.ANCHORARRAY( $W$5), 0), 0)
    )
)
/
(
    INDEX($AN$5:$AN$77, MATCH(V$100,_xlfn.ANCHORARRAY( $W$5), 0))
    *
    INDEX($AN$5:$AN$77, MATCH($A112,_xlfn.ANCHORARRAY( $W$5), 0))
)</f>
        <v>0.57802389548120692</v>
      </c>
      <c r="W112" s="17" cm="1">
        <f t="array" ref="W112">MMULT(
    MMULT(
        INDEX($X$5:$AM$77, MATCH(W$100,_xlfn.ANCHORARRAY( $W$5), 0), 0),
        $F$5:$U$20
    ),
    TRANSPOSE(
        INDEX($X$5:$AM$77, MATCH($A112,_xlfn.ANCHORARRAY( $W$5), 0), 0)
    )
)
/
(
    INDEX($AN$5:$AN$77, MATCH(W$100,_xlfn.ANCHORARRAY( $W$5), 0))
    *
    INDEX($AN$5:$AN$77, MATCH($A112,_xlfn.ANCHORARRAY( $W$5), 0))
)</f>
        <v>0.57734543850919096</v>
      </c>
      <c r="X112" s="17" cm="1">
        <f t="array" ref="X112">MMULT(
    MMULT(
        INDEX($X$5:$AM$77, MATCH(X$100,_xlfn.ANCHORARRAY( $W$5), 0), 0),
        $F$5:$U$20
    ),
    TRANSPOSE(
        INDEX($X$5:$AM$77, MATCH($A112,_xlfn.ANCHORARRAY( $W$5), 0), 0)
    )
)
/
(
    INDEX($AN$5:$AN$77, MATCH(X$100,_xlfn.ANCHORARRAY( $W$5), 0))
    *
    INDEX($AN$5:$AN$77, MATCH($A112,_xlfn.ANCHORARRAY( $W$5), 0))
)</f>
        <v>0.79245544408584212</v>
      </c>
      <c r="Y112" s="17" cm="1">
        <f t="array" ref="Y112">MMULT(
    MMULT(
        INDEX($X$5:$AM$77, MATCH(Y$100,_xlfn.ANCHORARRAY( $W$5), 0), 0),
        $F$5:$U$20
    ),
    TRANSPOSE(
        INDEX($X$5:$AM$77, MATCH($A112,_xlfn.ANCHORARRAY( $W$5), 0), 0)
    )
)
/
(
    INDEX($AN$5:$AN$77, MATCH(Y$100,_xlfn.ANCHORARRAY( $W$5), 0))
    *
    INDEX($AN$5:$AN$77, MATCH($A112,_xlfn.ANCHORARRAY( $W$5), 0))
)</f>
        <v>0.77537917047843907</v>
      </c>
      <c r="Z112" s="17" cm="1">
        <f t="array" ref="Z112">MMULT(
    MMULT(
        INDEX($X$5:$AM$77, MATCH(Z$100,_xlfn.ANCHORARRAY( $W$5), 0), 0),
        $F$5:$U$20
    ),
    TRANSPOSE(
        INDEX($X$5:$AM$77, MATCH($A112,_xlfn.ANCHORARRAY( $W$5), 0), 0)
    )
)
/
(
    INDEX($AN$5:$AN$77, MATCH(Z$100,_xlfn.ANCHORARRAY( $W$5), 0))
    *
    INDEX($AN$5:$AN$77, MATCH($A112,_xlfn.ANCHORARRAY( $W$5), 0))
)</f>
        <v>0.82394300966765155</v>
      </c>
      <c r="AA112" s="17" cm="1">
        <f t="array" ref="AA112">MMULT(
    MMULT(
        INDEX($X$5:$AM$77, MATCH(AA$100,_xlfn.ANCHORARRAY( $W$5), 0), 0),
        $F$5:$U$20
    ),
    TRANSPOSE(
        INDEX($X$5:$AM$77, MATCH($A112,_xlfn.ANCHORARRAY( $W$5), 0), 0)
    )
)
/
(
    INDEX($AN$5:$AN$77, MATCH(AA$100,_xlfn.ANCHORARRAY( $W$5), 0))
    *
    INDEX($AN$5:$AN$77, MATCH($A112,_xlfn.ANCHORARRAY( $W$5), 0))
)</f>
        <v>0.73552286680068324</v>
      </c>
      <c r="AB112" s="17" cm="1">
        <f t="array" ref="AB112">MMULT(
    MMULT(
        INDEX($X$5:$AM$77, MATCH(AB$100,_xlfn.ANCHORARRAY( $W$5), 0), 0),
        $F$5:$U$20
    ),
    TRANSPOSE(
        INDEX($X$5:$AM$77, MATCH($A112,_xlfn.ANCHORARRAY( $W$5), 0), 0)
    )
)
/
(
    INDEX($AN$5:$AN$77, MATCH(AB$100,_xlfn.ANCHORARRAY( $W$5), 0))
    *
    INDEX($AN$5:$AN$77, MATCH($A112,_xlfn.ANCHORARRAY( $W$5), 0))
)</f>
        <v>0.89049878265896143</v>
      </c>
      <c r="AC112" s="17" cm="1">
        <f t="array" ref="AC112">MMULT(
    MMULT(
        INDEX($X$5:$AM$77, MATCH(AC$100,_xlfn.ANCHORARRAY( $W$5), 0), 0),
        $F$5:$U$20
    ),
    TRANSPOSE(
        INDEX($X$5:$AM$77, MATCH($A112,_xlfn.ANCHORARRAY( $W$5), 0), 0)
    )
)
/
(
    INDEX($AN$5:$AN$77, MATCH(AC$100,_xlfn.ANCHORARRAY( $W$5), 0))
    *
    INDEX($AN$5:$AN$77, MATCH($A112,_xlfn.ANCHORARRAY( $W$5), 0))
)</f>
        <v>0.71774769361439028</v>
      </c>
      <c r="AD112" s="17" cm="1">
        <f t="array" ref="AD112">MMULT(
    MMULT(
        INDEX($X$5:$AM$77, MATCH(AD$100,_xlfn.ANCHORARRAY( $W$5), 0), 0),
        $F$5:$U$20
    ),
    TRANSPOSE(
        INDEX($X$5:$AM$77, MATCH($A112,_xlfn.ANCHORARRAY( $W$5), 0), 0)
    )
)
/
(
    INDEX($AN$5:$AN$77, MATCH(AD$100,_xlfn.ANCHORARRAY( $W$5), 0))
    *
    INDEX($AN$5:$AN$77, MATCH($A112,_xlfn.ANCHORARRAY( $W$5), 0))
)</f>
        <v>0.80656779586147653</v>
      </c>
      <c r="AE112" s="17" cm="1">
        <f t="array" ref="AE112">MMULT(
    MMULT(
        INDEX($X$5:$AM$77, MATCH(AE$100,_xlfn.ANCHORARRAY( $W$5), 0), 0),
        $F$5:$U$20
    ),
    TRANSPOSE(
        INDEX($X$5:$AM$77, MATCH($A112,_xlfn.ANCHORARRAY( $W$5), 0), 0)
    )
)
/
(
    INDEX($AN$5:$AN$77, MATCH(AE$100,_xlfn.ANCHORARRAY( $W$5), 0))
    *
    INDEX($AN$5:$AN$77, MATCH($A112,_xlfn.ANCHORARRAY( $W$5), 0))
)</f>
        <v>0.88507963539355383</v>
      </c>
      <c r="AF112" s="17" cm="1">
        <f t="array" ref="AF112">MMULT(
    MMULT(
        INDEX($X$5:$AM$77, MATCH(AF$100,_xlfn.ANCHORARRAY( $W$5), 0), 0),
        $F$5:$U$20
    ),
    TRANSPOSE(
        INDEX($X$5:$AM$77, MATCH($A112,_xlfn.ANCHORARRAY( $W$5), 0), 0)
    )
)
/
(
    INDEX($AN$5:$AN$77, MATCH(AF$100,_xlfn.ANCHORARRAY( $W$5), 0))
    *
    INDEX($AN$5:$AN$77, MATCH($A112,_xlfn.ANCHORARRAY( $W$5), 0))
)</f>
        <v>0.8210019589595231</v>
      </c>
      <c r="AG112" s="17" cm="1">
        <f t="array" ref="AG112">MMULT(
    MMULT(
        INDEX($X$5:$AM$77, MATCH(AG$100,_xlfn.ANCHORARRAY( $W$5), 0), 0),
        $F$5:$U$20
    ),
    TRANSPOSE(
        INDEX($X$5:$AM$77, MATCH($A112,_xlfn.ANCHORARRAY( $W$5), 0), 0)
    )
)
/
(
    INDEX($AN$5:$AN$77, MATCH(AG$100,_xlfn.ANCHORARRAY( $W$5), 0))
    *
    INDEX($AN$5:$AN$77, MATCH($A112,_xlfn.ANCHORARRAY( $W$5), 0))
)</f>
        <v>0.87779269838257779</v>
      </c>
      <c r="AH112" s="17" cm="1">
        <f t="array" ref="AH112">MMULT(
    MMULT(
        INDEX($X$5:$AM$77, MATCH(AH$100,_xlfn.ANCHORARRAY( $W$5), 0), 0),
        $F$5:$U$20
    ),
    TRANSPOSE(
        INDEX($X$5:$AM$77, MATCH($A112,_xlfn.ANCHORARRAY( $W$5), 0), 0)
    )
)
/
(
    INDEX($AN$5:$AN$77, MATCH(AH$100,_xlfn.ANCHORARRAY( $W$5), 0))
    *
    INDEX($AN$5:$AN$77, MATCH($A112,_xlfn.ANCHORARRAY( $W$5), 0))
)</f>
        <v>0.83937259878214565</v>
      </c>
      <c r="AI112" s="17" cm="1">
        <f t="array" ref="AI112">MMULT(
    MMULT(
        INDEX($X$5:$AM$77, MATCH(AI$100,_xlfn.ANCHORARRAY( $W$5), 0), 0),
        $F$5:$U$20
    ),
    TRANSPOSE(
        INDEX($X$5:$AM$77, MATCH($A112,_xlfn.ANCHORARRAY( $W$5), 0), 0)
    )
)
/
(
    INDEX($AN$5:$AN$77, MATCH(AI$100,_xlfn.ANCHORARRAY( $W$5), 0))
    *
    INDEX($AN$5:$AN$77, MATCH($A112,_xlfn.ANCHORARRAY( $W$5), 0))
)</f>
        <v>0.93967870171643086</v>
      </c>
      <c r="AJ112" s="17" cm="1">
        <f t="array" ref="AJ112">MMULT(
    MMULT(
        INDEX($X$5:$AM$77, MATCH(AJ$100,_xlfn.ANCHORARRAY( $W$5), 0), 0),
        $F$5:$U$20
    ),
    TRANSPOSE(
        INDEX($X$5:$AM$77, MATCH($A112,_xlfn.ANCHORARRAY( $W$5), 0), 0)
    )
)
/
(
    INDEX($AN$5:$AN$77, MATCH(AJ$100,_xlfn.ANCHORARRAY( $W$5), 0))
    *
    INDEX($AN$5:$AN$77, MATCH($A112,_xlfn.ANCHORARRAY( $W$5), 0))
)</f>
        <v>0.76884248070952466</v>
      </c>
      <c r="AK112" s="17" cm="1">
        <f t="array" ref="AK112">MMULT(
    MMULT(
        INDEX($X$5:$AM$77, MATCH(AK$100,_xlfn.ANCHORARRAY( $W$5), 0), 0),
        $F$5:$U$20
    ),
    TRANSPOSE(
        INDEX($X$5:$AM$77, MATCH($A112,_xlfn.ANCHORARRAY( $W$5), 0), 0)
    )
)
/
(
    INDEX($AN$5:$AN$77, MATCH(AK$100,_xlfn.ANCHORARRAY( $W$5), 0))
    *
    INDEX($AN$5:$AN$77, MATCH($A112,_xlfn.ANCHORARRAY( $W$5), 0))
)</f>
        <v>0.89304909163478952</v>
      </c>
      <c r="AL112" s="17" cm="1">
        <f t="array" ref="AL112">MMULT(
    MMULT(
        INDEX($X$5:$AM$77, MATCH(AL$100,_xlfn.ANCHORARRAY( $W$5), 0), 0),
        $F$5:$U$20
    ),
    TRANSPOSE(
        INDEX($X$5:$AM$77, MATCH($A112,_xlfn.ANCHORARRAY( $W$5), 0), 0)
    )
)
/
(
    INDEX($AN$5:$AN$77, MATCH(AL$100,_xlfn.ANCHORARRAY( $W$5), 0))
    *
    INDEX($AN$5:$AN$77, MATCH($A112,_xlfn.ANCHORARRAY( $W$5), 0))
)</f>
        <v>0.69787389277029066</v>
      </c>
      <c r="AM112" s="17" cm="1">
        <f t="array" ref="AM112">MMULT(
    MMULT(
        INDEX($X$5:$AM$77, MATCH(AM$100,_xlfn.ANCHORARRAY( $W$5), 0), 0),
        $F$5:$U$20
    ),
    TRANSPOSE(
        INDEX($X$5:$AM$77, MATCH($A112,_xlfn.ANCHORARRAY( $W$5), 0), 0)
    )
)
/
(
    INDEX($AN$5:$AN$77, MATCH(AM$100,_xlfn.ANCHORARRAY( $W$5), 0))
    *
    INDEX($AN$5:$AN$77, MATCH($A112,_xlfn.ANCHORARRAY( $W$5), 0))
)</f>
        <v>0.79027723861315513</v>
      </c>
      <c r="AN112" s="17" cm="1">
        <f t="array" ref="AN112">MMULT(
    MMULT(
        INDEX($X$5:$AM$77, MATCH(AN$100,_xlfn.ANCHORARRAY( $W$5), 0), 0),
        $F$5:$U$20
    ),
    TRANSPOSE(
        INDEX($X$5:$AM$77, MATCH($A112,_xlfn.ANCHORARRAY( $W$5), 0), 0)
    )
)
/
(
    INDEX($AN$5:$AN$77, MATCH(AN$100,_xlfn.ANCHORARRAY( $W$5), 0))
    *
    INDEX($AN$5:$AN$77, MATCH($A112,_xlfn.ANCHORARRAY( $W$5), 0))
)</f>
        <v>0.93924545475995913</v>
      </c>
      <c r="AO112" s="17" cm="1">
        <f t="array" ref="AO112">MMULT(
    MMULT(
        INDEX($X$5:$AM$77, MATCH(AO$100,_xlfn.ANCHORARRAY( $W$5), 0), 0),
        $F$5:$U$20
    ),
    TRANSPOSE(
        INDEX($X$5:$AM$77, MATCH($A112,_xlfn.ANCHORARRAY( $W$5), 0), 0)
    )
)
/
(
    INDEX($AN$5:$AN$77, MATCH(AO$100,_xlfn.ANCHORARRAY( $W$5), 0))
    *
    INDEX($AN$5:$AN$77, MATCH($A112,_xlfn.ANCHORARRAY( $W$5), 0))
)</f>
        <v>0.71207953097022803</v>
      </c>
      <c r="AP112" s="17" cm="1">
        <f t="array" ref="AP112">MMULT(
    MMULT(
        INDEX($X$5:$AM$77, MATCH(AP$100,_xlfn.ANCHORARRAY( $W$5), 0), 0),
        $F$5:$U$20
    ),
    TRANSPOSE(
        INDEX($X$5:$AM$77, MATCH($A112,_xlfn.ANCHORARRAY( $W$5), 0), 0)
    )
)
/
(
    INDEX($AN$5:$AN$77, MATCH(AP$100,_xlfn.ANCHORARRAY( $W$5), 0))
    *
    INDEX($AN$5:$AN$77, MATCH($A112,_xlfn.ANCHORARRAY( $W$5), 0))
)</f>
        <v>0.82588471505132199</v>
      </c>
      <c r="AQ112" s="17" cm="1">
        <f t="array" ref="AQ112">MMULT(
    MMULT(
        INDEX($X$5:$AM$77, MATCH(AQ$100,_xlfn.ANCHORARRAY( $W$5), 0), 0),
        $F$5:$U$20
    ),
    TRANSPOSE(
        INDEX($X$5:$AM$77, MATCH($A112,_xlfn.ANCHORARRAY( $W$5), 0), 0)
    )
)
/
(
    INDEX($AN$5:$AN$77, MATCH(AQ$100,_xlfn.ANCHORARRAY( $W$5), 0))
    *
    INDEX($AN$5:$AN$77, MATCH($A112,_xlfn.ANCHORARRAY( $W$5), 0))
)</f>
        <v>0.7067419649191925</v>
      </c>
      <c r="AR112" s="17" cm="1">
        <f t="array" ref="AR112">MMULT(
    MMULT(
        INDEX($X$5:$AM$77, MATCH(AR$100,_xlfn.ANCHORARRAY( $W$5), 0), 0),
        $F$5:$U$20
    ),
    TRANSPOSE(
        INDEX($X$5:$AM$77, MATCH($A112,_xlfn.ANCHORARRAY( $W$5), 0), 0)
    )
)
/
(
    INDEX($AN$5:$AN$77, MATCH(AR$100,_xlfn.ANCHORARRAY( $W$5), 0))
    *
    INDEX($AN$5:$AN$77, MATCH($A112,_xlfn.ANCHORARRAY( $W$5), 0))
)</f>
        <v>0.77241372990768531</v>
      </c>
      <c r="AS112" s="17" cm="1">
        <f t="array" ref="AS112">MMULT(
    MMULT(
        INDEX($X$5:$AM$77, MATCH(AS$100,_xlfn.ANCHORARRAY( $W$5), 0), 0),
        $F$5:$U$20
    ),
    TRANSPOSE(
        INDEX($X$5:$AM$77, MATCH($A112,_xlfn.ANCHORARRAY( $W$5), 0), 0)
    )
)
/
(
    INDEX($AN$5:$AN$77, MATCH(AS$100,_xlfn.ANCHORARRAY( $W$5), 0))
    *
    INDEX($AN$5:$AN$77, MATCH($A112,_xlfn.ANCHORARRAY( $W$5), 0))
)</f>
        <v>0.92441708025802927</v>
      </c>
      <c r="AT112" s="17" cm="1">
        <f t="array" ref="AT112">MMULT(
    MMULT(
        INDEX($X$5:$AM$77, MATCH(AT$100,_xlfn.ANCHORARRAY( $W$5), 0), 0),
        $F$5:$U$20
    ),
    TRANSPOSE(
        INDEX($X$5:$AM$77, MATCH($A112,_xlfn.ANCHORARRAY( $W$5), 0), 0)
    )
)
/
(
    INDEX($AN$5:$AN$77, MATCH(AT$100,_xlfn.ANCHORARRAY( $W$5), 0))
    *
    INDEX($AN$5:$AN$77, MATCH($A112,_xlfn.ANCHORARRAY( $W$5), 0))
)</f>
        <v>0.88247055194044588</v>
      </c>
      <c r="AU112" s="17" cm="1">
        <f t="array" ref="AU112">MMULT(
    MMULT(
        INDEX($X$5:$AM$77, MATCH(AU$100,_xlfn.ANCHORARRAY( $W$5), 0), 0),
        $F$5:$U$20
    ),
    TRANSPOSE(
        INDEX($X$5:$AM$77, MATCH($A112,_xlfn.ANCHORARRAY( $W$5), 0), 0)
    )
)
/
(
    INDEX($AN$5:$AN$77, MATCH(AU$100,_xlfn.ANCHORARRAY( $W$5), 0))
    *
    INDEX($AN$5:$AN$77, MATCH($A112,_xlfn.ANCHORARRAY( $W$5), 0))
)</f>
        <v>0.86105267006208963</v>
      </c>
      <c r="AV112" s="17" cm="1">
        <f t="array" ref="AV112">MMULT(
    MMULT(
        INDEX($X$5:$AM$77, MATCH(AV$100,_xlfn.ANCHORARRAY( $W$5), 0), 0),
        $F$5:$U$20
    ),
    TRANSPOSE(
        INDEX($X$5:$AM$77, MATCH($A112,_xlfn.ANCHORARRAY( $W$5), 0), 0)
    )
)
/
(
    INDEX($AN$5:$AN$77, MATCH(AV$100,_xlfn.ANCHORARRAY( $W$5), 0))
    *
    INDEX($AN$5:$AN$77, MATCH($A112,_xlfn.ANCHORARRAY( $W$5), 0))
)</f>
        <v>0.77918289634872095</v>
      </c>
      <c r="AW112" s="17" cm="1">
        <f t="array" ref="AW112">MMULT(
    MMULT(
        INDEX($X$5:$AM$77, MATCH(AW$100,_xlfn.ANCHORARRAY( $W$5), 0), 0),
        $F$5:$U$20
    ),
    TRANSPOSE(
        INDEX($X$5:$AM$77, MATCH($A112,_xlfn.ANCHORARRAY( $W$5), 0), 0)
    )
)
/
(
    INDEX($AN$5:$AN$77, MATCH(AW$100,_xlfn.ANCHORARRAY( $W$5), 0))
    *
    INDEX($AN$5:$AN$77, MATCH($A112,_xlfn.ANCHORARRAY( $W$5), 0))
)</f>
        <v>0.94406027188955288</v>
      </c>
      <c r="AX112" s="17" cm="1">
        <f t="array" ref="AX112">MMULT(
    MMULT(
        INDEX($X$5:$AM$77, MATCH(AX$100,_xlfn.ANCHORARRAY( $W$5), 0), 0),
        $F$5:$U$20
    ),
    TRANSPOSE(
        INDEX($X$5:$AM$77, MATCH($A112,_xlfn.ANCHORARRAY( $W$5), 0), 0)
    )
)
/
(
    INDEX($AN$5:$AN$77, MATCH(AX$100,_xlfn.ANCHORARRAY( $W$5), 0))
    *
    INDEX($AN$5:$AN$77, MATCH($A112,_xlfn.ANCHORARRAY( $W$5), 0))
)</f>
        <v>0.54358879795874326</v>
      </c>
      <c r="AY112" s="17" cm="1">
        <f t="array" ref="AY112">MMULT(
    MMULT(
        INDEX($X$5:$AM$77, MATCH(AY$100,_xlfn.ANCHORARRAY( $W$5), 0), 0),
        $F$5:$U$20
    ),
    TRANSPOSE(
        INDEX($X$5:$AM$77, MATCH($A112,_xlfn.ANCHORARRAY( $W$5), 0), 0)
    )
)
/
(
    INDEX($AN$5:$AN$77, MATCH(AY$100,_xlfn.ANCHORARRAY( $W$5), 0))
    *
    INDEX($AN$5:$AN$77, MATCH($A112,_xlfn.ANCHORARRAY( $W$5), 0))
)</f>
        <v>0.81830032245941897</v>
      </c>
      <c r="AZ112" s="17" cm="1">
        <f t="array" ref="AZ112">MMULT(
    MMULT(
        INDEX($X$5:$AM$77, MATCH(AZ$100,_xlfn.ANCHORARRAY( $W$5), 0), 0),
        $F$5:$U$20
    ),
    TRANSPOSE(
        INDEX($X$5:$AM$77, MATCH($A112,_xlfn.ANCHORARRAY( $W$5), 0), 0)
    )
)
/
(
    INDEX($AN$5:$AN$77, MATCH(AZ$100,_xlfn.ANCHORARRAY( $W$5), 0))
    *
    INDEX($AN$5:$AN$77, MATCH($A112,_xlfn.ANCHORARRAY( $W$5), 0))
)</f>
        <v>0.78739729053734708</v>
      </c>
      <c r="BA112" s="17" cm="1">
        <f t="array" ref="BA112">MMULT(
    MMULT(
        INDEX($X$5:$AM$77, MATCH(BA$100,_xlfn.ANCHORARRAY( $W$5), 0), 0),
        $F$5:$U$20
    ),
    TRANSPOSE(
        INDEX($X$5:$AM$77, MATCH($A112,_xlfn.ANCHORARRAY( $W$5), 0), 0)
    )
)
/
(
    INDEX($AN$5:$AN$77, MATCH(BA$100,_xlfn.ANCHORARRAY( $W$5), 0))
    *
    INDEX($AN$5:$AN$77, MATCH($A112,_xlfn.ANCHORARRAY( $W$5), 0))
)</f>
        <v>0.78035740052653668</v>
      </c>
      <c r="BB112" s="17" cm="1">
        <f t="array" ref="BB112">MMULT(
    MMULT(
        INDEX($X$5:$AM$77, MATCH(BB$100,_xlfn.ANCHORARRAY( $W$5), 0), 0),
        $F$5:$U$20
    ),
    TRANSPOSE(
        INDEX($X$5:$AM$77, MATCH($A112,_xlfn.ANCHORARRAY( $W$5), 0), 0)
    )
)
/
(
    INDEX($AN$5:$AN$77, MATCH(BB$100,_xlfn.ANCHORARRAY( $W$5), 0))
    *
    INDEX($AN$5:$AN$77, MATCH($A112,_xlfn.ANCHORARRAY( $W$5), 0))
)</f>
        <v>0.75073687657530375</v>
      </c>
      <c r="BC112" s="17" cm="1">
        <f t="array" ref="BC112">MMULT(
    MMULT(
        INDEX($X$5:$AM$77, MATCH(BC$100,_xlfn.ANCHORARRAY( $W$5), 0), 0),
        $F$5:$U$20
    ),
    TRANSPOSE(
        INDEX($X$5:$AM$77, MATCH($A112,_xlfn.ANCHORARRAY( $W$5), 0), 0)
    )
)
/
(
    INDEX($AN$5:$AN$77, MATCH(BC$100,_xlfn.ANCHORARRAY( $W$5), 0))
    *
    INDEX($AN$5:$AN$77, MATCH($A112,_xlfn.ANCHORARRAY( $W$5), 0))
)</f>
        <v>0.95536934558206588</v>
      </c>
      <c r="BD112" s="17" cm="1">
        <f t="array" ref="BD112">MMULT(
    MMULT(
        INDEX($X$5:$AM$77, MATCH(BD$100,_xlfn.ANCHORARRAY( $W$5), 0), 0),
        $F$5:$U$20
    ),
    TRANSPOSE(
        INDEX($X$5:$AM$77, MATCH($A112,_xlfn.ANCHORARRAY( $W$5), 0), 0)
    )
)
/
(
    INDEX($AN$5:$AN$77, MATCH(BD$100,_xlfn.ANCHORARRAY( $W$5), 0))
    *
    INDEX($AN$5:$AN$77, MATCH($A112,_xlfn.ANCHORARRAY( $W$5), 0))
)</f>
        <v>0.56164228974135222</v>
      </c>
      <c r="BE112" s="17" cm="1">
        <f t="array" ref="BE112">MMULT(
    MMULT(
        INDEX($X$5:$AM$77, MATCH(BE$100,_xlfn.ANCHORARRAY( $W$5), 0), 0),
        $F$5:$U$20
    ),
    TRANSPOSE(
        INDEX($X$5:$AM$77, MATCH($A112,_xlfn.ANCHORARRAY( $W$5), 0), 0)
    )
)
/
(
    INDEX($AN$5:$AN$77, MATCH(BE$100,_xlfn.ANCHORARRAY( $W$5), 0))
    *
    INDEX($AN$5:$AN$77, MATCH($A112,_xlfn.ANCHORARRAY( $W$5), 0))
)</f>
        <v>0.82951277509009191</v>
      </c>
      <c r="BF112" s="17" cm="1">
        <f t="array" ref="BF112">MMULT(
    MMULT(
        INDEX($X$5:$AM$77, MATCH(BF$100,_xlfn.ANCHORARRAY( $W$5), 0), 0),
        $F$5:$U$20
    ),
    TRANSPOSE(
        INDEX($X$5:$AM$77, MATCH($A112,_xlfn.ANCHORARRAY( $W$5), 0), 0)
    )
)
/
(
    INDEX($AN$5:$AN$77, MATCH(BF$100,_xlfn.ANCHORARRAY( $W$5), 0))
    *
    INDEX($AN$5:$AN$77, MATCH($A112,_xlfn.ANCHORARRAY( $W$5), 0))
)</f>
        <v>0.75709636636442379</v>
      </c>
      <c r="BG112" s="17" cm="1">
        <f t="array" ref="BG112">MMULT(
    MMULT(
        INDEX($X$5:$AM$77, MATCH(BG$100,_xlfn.ANCHORARRAY( $W$5), 0), 0),
        $F$5:$U$20
    ),
    TRANSPOSE(
        INDEX($X$5:$AM$77, MATCH($A112,_xlfn.ANCHORARRAY( $W$5), 0), 0)
    )
)
/
(
    INDEX($AN$5:$AN$77, MATCH(BG$100,_xlfn.ANCHORARRAY( $W$5), 0))
    *
    INDEX($AN$5:$AN$77, MATCH($A112,_xlfn.ANCHORARRAY( $W$5), 0))
)</f>
        <v>0.78556529776531336</v>
      </c>
      <c r="BH112" s="17" cm="1">
        <f t="array" ref="BH112">MMULT(
    MMULT(
        INDEX($X$5:$AM$77, MATCH(BH$100,_xlfn.ANCHORARRAY( $W$5), 0), 0),
        $F$5:$U$20
    ),
    TRANSPOSE(
        INDEX($X$5:$AM$77, MATCH($A112,_xlfn.ANCHORARRAY( $W$5), 0), 0)
    )
)
/
(
    INDEX($AN$5:$AN$77, MATCH(BH$100,_xlfn.ANCHORARRAY( $W$5), 0))
    *
    INDEX($AN$5:$AN$77, MATCH($A112,_xlfn.ANCHORARRAY( $W$5), 0))
)</f>
        <v>0.809521719182278</v>
      </c>
      <c r="BI112" s="17" cm="1">
        <f t="array" ref="BI112">MMULT(
    MMULT(
        INDEX($X$5:$AM$77, MATCH(BI$100,_xlfn.ANCHORARRAY( $W$5), 0), 0),
        $F$5:$U$20
    ),
    TRANSPOSE(
        INDEX($X$5:$AM$77, MATCH($A112,_xlfn.ANCHORARRAY( $W$5), 0), 0)
    )
)
/
(
    INDEX($AN$5:$AN$77, MATCH(BI$100,_xlfn.ANCHORARRAY( $W$5), 0))
    *
    INDEX($AN$5:$AN$77, MATCH($A112,_xlfn.ANCHORARRAY( $W$5), 0))
)</f>
        <v>0.82608243028699524</v>
      </c>
      <c r="BJ112" s="17" cm="1">
        <f t="array" ref="BJ112">MMULT(
    MMULT(
        INDEX($X$5:$AM$77, MATCH(BJ$100,_xlfn.ANCHORARRAY( $W$5), 0), 0),
        $F$5:$U$20
    ),
    TRANSPOSE(
        INDEX($X$5:$AM$77, MATCH($A112,_xlfn.ANCHORARRAY( $W$5), 0), 0)
    )
)
/
(
    INDEX($AN$5:$AN$77, MATCH(BJ$100,_xlfn.ANCHORARRAY( $W$5), 0))
    *
    INDEX($AN$5:$AN$77, MATCH($A112,_xlfn.ANCHORARRAY( $W$5), 0))
)</f>
        <v>0.82402124939257426</v>
      </c>
      <c r="BK112" s="17" cm="1">
        <f t="array" ref="BK112">MMULT(
    MMULT(
        INDEX($X$5:$AM$77, MATCH(BK$100,_xlfn.ANCHORARRAY( $W$5), 0), 0),
        $F$5:$U$20
    ),
    TRANSPOSE(
        INDEX($X$5:$AM$77, MATCH($A112,_xlfn.ANCHORARRAY( $W$5), 0), 0)
    )
)
/
(
    INDEX($AN$5:$AN$77, MATCH(BK$100,_xlfn.ANCHORARRAY( $W$5), 0))
    *
    INDEX($AN$5:$AN$77, MATCH($A112,_xlfn.ANCHORARRAY( $W$5), 0))
)</f>
        <v>0.58760695397564844</v>
      </c>
      <c r="BL112" s="17" cm="1">
        <f t="array" ref="BL112">MMULT(
    MMULT(
        INDEX($X$5:$AM$77, MATCH(BL$100,_xlfn.ANCHORARRAY( $W$5), 0), 0),
        $F$5:$U$20
    ),
    TRANSPOSE(
        INDEX($X$5:$AM$77, MATCH($A112,_xlfn.ANCHORARRAY( $W$5), 0), 0)
    )
)
/
(
    INDEX($AN$5:$AN$77, MATCH(BL$100,_xlfn.ANCHORARRAY( $W$5), 0))
    *
    INDEX($AN$5:$AN$77, MATCH($A112,_xlfn.ANCHORARRAY( $W$5), 0))
)</f>
        <v>0.39596277083403403</v>
      </c>
      <c r="BM112" s="17" cm="1">
        <f t="array" ref="BM112">MMULT(
    MMULT(
        INDEX($X$5:$AM$77, MATCH(BM$100,_xlfn.ANCHORARRAY( $W$5), 0), 0),
        $F$5:$U$20
    ),
    TRANSPOSE(
        INDEX($X$5:$AM$77, MATCH($A112,_xlfn.ANCHORARRAY( $W$5), 0), 0)
    )
)
/
(
    INDEX($AN$5:$AN$77, MATCH(BM$100,_xlfn.ANCHORARRAY( $W$5), 0))
    *
    INDEX($AN$5:$AN$77, MATCH($A112,_xlfn.ANCHORARRAY( $W$5), 0))
)</f>
        <v>0.61465755829266155</v>
      </c>
      <c r="BN112" s="17" cm="1">
        <f t="array" ref="BN112">MMULT(
    MMULT(
        INDEX($X$5:$AM$77, MATCH(BN$100,_xlfn.ANCHORARRAY( $W$5), 0), 0),
        $F$5:$U$20
    ),
    TRANSPOSE(
        INDEX($X$5:$AM$77, MATCH($A112,_xlfn.ANCHORARRAY( $W$5), 0), 0)
    )
)
/
(
    INDEX($AN$5:$AN$77, MATCH(BN$100,_xlfn.ANCHORARRAY( $W$5), 0))
    *
    INDEX($AN$5:$AN$77, MATCH($A112,_xlfn.ANCHORARRAY( $W$5), 0))
)</f>
        <v>0.84522424857415046</v>
      </c>
      <c r="BO112" s="17" cm="1">
        <f t="array" ref="BO112">MMULT(
    MMULT(
        INDEX($X$5:$AM$77, MATCH(BO$100,_xlfn.ANCHORARRAY( $W$5), 0), 0),
        $F$5:$U$20
    ),
    TRANSPOSE(
        INDEX($X$5:$AM$77, MATCH($A112,_xlfn.ANCHORARRAY( $W$5), 0), 0)
    )
)
/
(
    INDEX($AN$5:$AN$77, MATCH(BO$100,_xlfn.ANCHORARRAY( $W$5), 0))
    *
    INDEX($AN$5:$AN$77, MATCH($A112,_xlfn.ANCHORARRAY( $W$5), 0))
)</f>
        <v>0.98313725668421537</v>
      </c>
      <c r="BP112" s="17" cm="1">
        <f t="array" ref="BP112">MMULT(
    MMULT(
        INDEX($X$5:$AM$77, MATCH(BP$100,_xlfn.ANCHORARRAY( $W$5), 0), 0),
        $F$5:$U$20
    ),
    TRANSPOSE(
        INDEX($X$5:$AM$77, MATCH($A112,_xlfn.ANCHORARRAY( $W$5), 0), 0)
    )
)
/
(
    INDEX($AN$5:$AN$77, MATCH(BP$100,_xlfn.ANCHORARRAY( $W$5), 0))
    *
    INDEX($AN$5:$AN$77, MATCH($A112,_xlfn.ANCHORARRAY( $W$5), 0))
)</f>
        <v>0.79454931033539367</v>
      </c>
      <c r="BQ112" s="17" cm="1">
        <f t="array" ref="BQ112">MMULT(
    MMULT(
        INDEX($X$5:$AM$77, MATCH(BQ$100,_xlfn.ANCHORARRAY( $W$5), 0), 0),
        $F$5:$U$20
    ),
    TRANSPOSE(
        INDEX($X$5:$AM$77, MATCH($A112,_xlfn.ANCHORARRAY( $W$5), 0), 0)
    )
)
/
(
    INDEX($AN$5:$AN$77, MATCH(BQ$100,_xlfn.ANCHORARRAY( $W$5), 0))
    *
    INDEX($AN$5:$AN$77, MATCH($A112,_xlfn.ANCHORARRAY( $W$5), 0))
)</f>
        <v>0.60784335217167951</v>
      </c>
      <c r="BR112" s="17" cm="1">
        <f t="array" ref="BR112">MMULT(
    MMULT(
        INDEX($X$5:$AM$77, MATCH(BR$100,_xlfn.ANCHORARRAY( $W$5), 0), 0),
        $F$5:$U$20
    ),
    TRANSPOSE(
        INDEX($X$5:$AM$77, MATCH($A112,_xlfn.ANCHORARRAY( $W$5), 0), 0)
    )
)
/
(
    INDEX($AN$5:$AN$77, MATCH(BR$100,_xlfn.ANCHORARRAY( $W$5), 0))
    *
    INDEX($AN$5:$AN$77, MATCH($A112,_xlfn.ANCHORARRAY( $W$5), 0))
)</f>
        <v>0.95210000085537827</v>
      </c>
      <c r="BS112" s="17" cm="1">
        <f t="array" ref="BS112">MMULT(
    MMULT(
        INDEX($X$5:$AM$77, MATCH(BS$100,_xlfn.ANCHORARRAY( $W$5), 0), 0),
        $F$5:$U$20
    ),
    TRANSPOSE(
        INDEX($X$5:$AM$77, MATCH($A112,_xlfn.ANCHORARRAY( $W$5), 0), 0)
    )
)
/
(
    INDEX($AN$5:$AN$77, MATCH(BS$100,_xlfn.ANCHORARRAY( $W$5), 0))
    *
    INDEX($AN$5:$AN$77, MATCH($A112,_xlfn.ANCHORARRAY( $W$5), 0))
)</f>
        <v>0.80191680709468349</v>
      </c>
      <c r="BT112" s="17" cm="1">
        <f t="array" ref="BT112">MMULT(
    MMULT(
        INDEX($X$5:$AM$77, MATCH(BT$100,_xlfn.ANCHORARRAY( $W$5), 0), 0),
        $F$5:$U$20
    ),
    TRANSPOSE(
        INDEX($X$5:$AM$77, MATCH($A112,_xlfn.ANCHORARRAY( $W$5), 0), 0)
    )
)
/
(
    INDEX($AN$5:$AN$77, MATCH(BT$100,_xlfn.ANCHORARRAY( $W$5), 0))
    *
    INDEX($AN$5:$AN$77, MATCH($A112,_xlfn.ANCHORARRAY( $W$5), 0))
)</f>
        <v>0.84053924781060141</v>
      </c>
      <c r="BU112" s="17" cm="1">
        <f t="array" ref="BU112">MMULT(
    MMULT(
        INDEX($X$5:$AM$77, MATCH(BU$100,_xlfn.ANCHORARRAY( $W$5), 0), 0),
        $F$5:$U$20
    ),
    TRANSPOSE(
        INDEX($X$5:$AM$77, MATCH($A112,_xlfn.ANCHORARRAY( $W$5), 0), 0)
    )
)
/
(
    INDEX($AN$5:$AN$77, MATCH(BU$100,_xlfn.ANCHORARRAY( $W$5), 0))
    *
    INDEX($AN$5:$AN$77, MATCH($A112,_xlfn.ANCHORARRAY( $W$5), 0))
)</f>
        <v>0.80209671881457967</v>
      </c>
      <c r="BV112" s="17" cm="1">
        <f t="array" ref="BV112">MMULT(
    MMULT(
        INDEX($X$5:$AM$77, MATCH(BV$100,_xlfn.ANCHORARRAY( $W$5), 0), 0),
        $F$5:$U$20
    ),
    TRANSPOSE(
        INDEX($X$5:$AM$77, MATCH($A112,_xlfn.ANCHORARRAY( $W$5), 0), 0)
    )
)
/
(
    INDEX($AN$5:$AN$77, MATCH(BV$100,_xlfn.ANCHORARRAY( $W$5), 0))
    *
    INDEX($AN$5:$AN$77, MATCH($A112,_xlfn.ANCHORARRAY( $W$5), 0))
)</f>
        <v>0.96335779878143046</v>
      </c>
    </row>
    <row r="113" spans="1:74" x14ac:dyDescent="0.3">
      <c r="A113" s="7" t="str">
        <v>Jackson, Luke</v>
      </c>
      <c r="B113" s="17" cm="1">
        <f t="array" ref="B113">MMULT(
    MMULT(
        INDEX($X$5:$AM$77, MATCH(B$100,_xlfn.ANCHORARRAY( $W$5), 0), 0),
        $F$5:$U$20
    ),
    TRANSPOSE(
        INDEX($X$5:$AM$77, MATCH($A113,_xlfn.ANCHORARRAY( $W$5), 0), 0)
    )
)
/
(
    INDEX($AN$5:$AN$77, MATCH(B$100,_xlfn.ANCHORARRAY( $W$5), 0))
    *
    INDEX($AN$5:$AN$77, MATCH($A113,_xlfn.ANCHORARRAY( $W$5), 0))
)</f>
        <v>0.78888747889260402</v>
      </c>
      <c r="C113" s="17" cm="1">
        <f t="array" ref="C113">MMULT(
    MMULT(
        INDEX($X$5:$AM$77, MATCH(C$100,_xlfn.ANCHORARRAY( $W$5), 0), 0),
        $F$5:$U$20
    ),
    TRANSPOSE(
        INDEX($X$5:$AM$77, MATCH($A113,_xlfn.ANCHORARRAY( $W$5), 0), 0)
    )
)
/
(
    INDEX($AN$5:$AN$77, MATCH(C$100,_xlfn.ANCHORARRAY( $W$5), 0))
    *
    INDEX($AN$5:$AN$77, MATCH($A113,_xlfn.ANCHORARRAY( $W$5), 0))
)</f>
        <v>0.54872636399295938</v>
      </c>
      <c r="D113" s="17" cm="1">
        <f t="array" ref="D113">MMULT(
    MMULT(
        INDEX($X$5:$AM$77, MATCH(D$100,_xlfn.ANCHORARRAY( $W$5), 0), 0),
        $F$5:$U$20
    ),
    TRANSPOSE(
        INDEX($X$5:$AM$77, MATCH($A113,_xlfn.ANCHORARRAY( $W$5), 0), 0)
    )
)
/
(
    INDEX($AN$5:$AN$77, MATCH(D$100,_xlfn.ANCHORARRAY( $W$5), 0))
    *
    INDEX($AN$5:$AN$77, MATCH($A113,_xlfn.ANCHORARRAY( $W$5), 0))
)</f>
        <v>0.88771270761543508</v>
      </c>
      <c r="E113" s="17" cm="1">
        <f t="array" ref="E113">MMULT(
    MMULT(
        INDEX($X$5:$AM$77, MATCH(E$100,_xlfn.ANCHORARRAY( $W$5), 0), 0),
        $F$5:$U$20
    ),
    TRANSPOSE(
        INDEX($X$5:$AM$77, MATCH($A113,_xlfn.ANCHORARRAY( $W$5), 0), 0)
    )
)
/
(
    INDEX($AN$5:$AN$77, MATCH(E$100,_xlfn.ANCHORARRAY( $W$5), 0))
    *
    INDEX($AN$5:$AN$77, MATCH($A113,_xlfn.ANCHORARRAY( $W$5), 0))
)</f>
        <v>0.81465702613982249</v>
      </c>
      <c r="F113" s="17" cm="1">
        <f t="array" ref="F113">MMULT(
    MMULT(
        INDEX($X$5:$AM$77, MATCH(F$100,_xlfn.ANCHORARRAY( $W$5), 0), 0),
        $F$5:$U$20
    ),
    TRANSPOSE(
        INDEX($X$5:$AM$77, MATCH($A113,_xlfn.ANCHORARRAY( $W$5), 0), 0)
    )
)
/
(
    INDEX($AN$5:$AN$77, MATCH(F$100,_xlfn.ANCHORARRAY( $W$5), 0))
    *
    INDEX($AN$5:$AN$77, MATCH($A113,_xlfn.ANCHORARRAY( $W$5), 0))
)</f>
        <v>0.94737968616615664</v>
      </c>
      <c r="G113" s="17" cm="1">
        <f t="array" ref="G113">MMULT(
    MMULT(
        INDEX($X$5:$AM$77, MATCH(G$100,_xlfn.ANCHORARRAY( $W$5), 0), 0),
        $F$5:$U$20
    ),
    TRANSPOSE(
        INDEX($X$5:$AM$77, MATCH($A113,_xlfn.ANCHORARRAY( $W$5), 0), 0)
    )
)
/
(
    INDEX($AN$5:$AN$77, MATCH(G$100,_xlfn.ANCHORARRAY( $W$5), 0))
    *
    INDEX($AN$5:$AN$77, MATCH($A113,_xlfn.ANCHORARRAY( $W$5), 0))
)</f>
        <v>0.51932179291937497</v>
      </c>
      <c r="H113" s="17" cm="1">
        <f t="array" ref="H113">MMULT(
    MMULT(
        INDEX($X$5:$AM$77, MATCH(H$100,_xlfn.ANCHORARRAY( $W$5), 0), 0),
        $F$5:$U$20
    ),
    TRANSPOSE(
        INDEX($X$5:$AM$77, MATCH($A113,_xlfn.ANCHORARRAY( $W$5), 0), 0)
    )
)
/
(
    INDEX($AN$5:$AN$77, MATCH(H$100,_xlfn.ANCHORARRAY( $W$5), 0))
    *
    INDEX($AN$5:$AN$77, MATCH($A113,_xlfn.ANCHORARRAY( $W$5), 0))
)</f>
        <v>0.52339201835688587</v>
      </c>
      <c r="I113" s="17" cm="1">
        <f t="array" ref="I113">MMULT(
    MMULT(
        INDEX($X$5:$AM$77, MATCH(I$100,_xlfn.ANCHORARRAY( $W$5), 0), 0),
        $F$5:$U$20
    ),
    TRANSPOSE(
        INDEX($X$5:$AM$77, MATCH($A113,_xlfn.ANCHORARRAY( $W$5), 0), 0)
    )
)
/
(
    INDEX($AN$5:$AN$77, MATCH(I$100,_xlfn.ANCHORARRAY( $W$5), 0))
    *
    INDEX($AN$5:$AN$77, MATCH($A113,_xlfn.ANCHORARRAY( $W$5), 0))
)</f>
        <v>0.63730251559319617</v>
      </c>
      <c r="J113" s="17" cm="1">
        <f t="array" ref="J113">MMULT(
    MMULT(
        INDEX($X$5:$AM$77, MATCH(J$100,_xlfn.ANCHORARRAY( $W$5), 0), 0),
        $F$5:$U$20
    ),
    TRANSPOSE(
        INDEX($X$5:$AM$77, MATCH($A113,_xlfn.ANCHORARRAY( $W$5), 0), 0)
    )
)
/
(
    INDEX($AN$5:$AN$77, MATCH(J$100,_xlfn.ANCHORARRAY( $W$5), 0))
    *
    INDEX($AN$5:$AN$77, MATCH($A113,_xlfn.ANCHORARRAY( $W$5), 0))
)</f>
        <v>0.8001165393247005</v>
      </c>
      <c r="K113" s="17" cm="1">
        <f t="array" ref="K113">MMULT(
    MMULT(
        INDEX($X$5:$AM$77, MATCH(K$100,_xlfn.ANCHORARRAY( $W$5), 0), 0),
        $F$5:$U$20
    ),
    TRANSPOSE(
        INDEX($X$5:$AM$77, MATCH($A113,_xlfn.ANCHORARRAY( $W$5), 0), 0)
    )
)
/
(
    INDEX($AN$5:$AN$77, MATCH(K$100,_xlfn.ANCHORARRAY( $W$5), 0))
    *
    INDEX($AN$5:$AN$77, MATCH($A113,_xlfn.ANCHORARRAY( $W$5), 0))
)</f>
        <v>0.75318753881664313</v>
      </c>
      <c r="L113" s="17" cm="1">
        <f t="array" ref="L113">MMULT(
    MMULT(
        INDEX($X$5:$AM$77, MATCH(L$100,_xlfn.ANCHORARRAY( $W$5), 0), 0),
        $F$5:$U$20
    ),
    TRANSPOSE(
        INDEX($X$5:$AM$77, MATCH($A113,_xlfn.ANCHORARRAY( $W$5), 0), 0)
    )
)
/
(
    INDEX($AN$5:$AN$77, MATCH(L$100,_xlfn.ANCHORARRAY( $W$5), 0))
    *
    INDEX($AN$5:$AN$77, MATCH($A113,_xlfn.ANCHORARRAY( $W$5), 0))
)</f>
        <v>0.45908482178150872</v>
      </c>
      <c r="M113" s="17" cm="1">
        <f t="array" ref="M113">MMULT(
    MMULT(
        INDEX($X$5:$AM$77, MATCH(M$100,_xlfn.ANCHORARRAY( $W$5), 0), 0),
        $F$5:$U$20
    ),
    TRANSPOSE(
        INDEX($X$5:$AM$77, MATCH($A113,_xlfn.ANCHORARRAY( $W$5), 0), 0)
    )
)
/
(
    INDEX($AN$5:$AN$77, MATCH(M$100,_xlfn.ANCHORARRAY( $W$5), 0))
    *
    INDEX($AN$5:$AN$77, MATCH($A113,_xlfn.ANCHORARRAY( $W$5), 0))
)</f>
        <v>0.65603874217964386</v>
      </c>
      <c r="N113" s="17" cm="1">
        <f t="array" ref="N113">MMULT(
    MMULT(
        INDEX($X$5:$AM$77, MATCH(N$100,_xlfn.ANCHORARRAY( $W$5), 0), 0),
        $F$5:$U$20
    ),
    TRANSPOSE(
        INDEX($X$5:$AM$77, MATCH($A113,_xlfn.ANCHORARRAY( $W$5), 0), 0)
    )
)
/
(
    INDEX($AN$5:$AN$77, MATCH(N$100,_xlfn.ANCHORARRAY( $W$5), 0))
    *
    INDEX($AN$5:$AN$77, MATCH($A113,_xlfn.ANCHORARRAY( $W$5), 0))
)</f>
        <v>1</v>
      </c>
      <c r="O113" s="17" cm="1">
        <f t="array" ref="O113">MMULT(
    MMULT(
        INDEX($X$5:$AM$77, MATCH(O$100,_xlfn.ANCHORARRAY( $W$5), 0), 0),
        $F$5:$U$20
    ),
    TRANSPOSE(
        INDEX($X$5:$AM$77, MATCH($A113,_xlfn.ANCHORARRAY( $W$5), 0), 0)
    )
)
/
(
    INDEX($AN$5:$AN$77, MATCH(O$100,_xlfn.ANCHORARRAY( $W$5), 0))
    *
    INDEX($AN$5:$AN$77, MATCH($A113,_xlfn.ANCHORARRAY( $W$5), 0))
)</f>
        <v>0.96390101670785</v>
      </c>
      <c r="P113" s="17" cm="1">
        <f t="array" ref="P113">MMULT(
    MMULT(
        INDEX($X$5:$AM$77, MATCH(P$100,_xlfn.ANCHORARRAY( $W$5), 0), 0),
        $F$5:$U$20
    ),
    TRANSPOSE(
        INDEX($X$5:$AM$77, MATCH($A113,_xlfn.ANCHORARRAY( $W$5), 0), 0)
    )
)
/
(
    INDEX($AN$5:$AN$77, MATCH(P$100,_xlfn.ANCHORARRAY( $W$5), 0))
    *
    INDEX($AN$5:$AN$77, MATCH($A113,_xlfn.ANCHORARRAY( $W$5), 0))
)</f>
        <v>0.94910104671067463</v>
      </c>
      <c r="Q113" s="17" cm="1">
        <f t="array" ref="Q113">MMULT(
    MMULT(
        INDEX($X$5:$AM$77, MATCH(Q$100,_xlfn.ANCHORARRAY( $W$5), 0), 0),
        $F$5:$U$20
    ),
    TRANSPOSE(
        INDEX($X$5:$AM$77, MATCH($A113,_xlfn.ANCHORARRAY( $W$5), 0), 0)
    )
)
/
(
    INDEX($AN$5:$AN$77, MATCH(Q$100,_xlfn.ANCHORARRAY( $W$5), 0))
    *
    INDEX($AN$5:$AN$77, MATCH($A113,_xlfn.ANCHORARRAY( $W$5), 0))
)</f>
        <v>0.53033443844342931</v>
      </c>
      <c r="R113" s="17" cm="1">
        <f t="array" ref="R113">MMULT(
    MMULT(
        INDEX($X$5:$AM$77, MATCH(R$100,_xlfn.ANCHORARRAY( $W$5), 0), 0),
        $F$5:$U$20
    ),
    TRANSPOSE(
        INDEX($X$5:$AM$77, MATCH($A113,_xlfn.ANCHORARRAY( $W$5), 0), 0)
    )
)
/
(
    INDEX($AN$5:$AN$77, MATCH(R$100,_xlfn.ANCHORARRAY( $W$5), 0))
    *
    INDEX($AN$5:$AN$77, MATCH($A113,_xlfn.ANCHORARRAY( $W$5), 0))
)</f>
        <v>0.80790124395657725</v>
      </c>
      <c r="S113" s="17" cm="1">
        <f t="array" ref="S113">MMULT(
    MMULT(
        INDEX($X$5:$AM$77, MATCH(S$100,_xlfn.ANCHORARRAY( $W$5), 0), 0),
        $F$5:$U$20
    ),
    TRANSPOSE(
        INDEX($X$5:$AM$77, MATCH($A113,_xlfn.ANCHORARRAY( $W$5), 0), 0)
    )
)
/
(
    INDEX($AN$5:$AN$77, MATCH(S$100,_xlfn.ANCHORARRAY( $W$5), 0))
    *
    INDEX($AN$5:$AN$77, MATCH($A113,_xlfn.ANCHORARRAY( $W$5), 0))
)</f>
        <v>0.65866993841623245</v>
      </c>
      <c r="T113" s="17" cm="1">
        <f t="array" ref="T113">MMULT(
    MMULT(
        INDEX($X$5:$AM$77, MATCH(T$100,_xlfn.ANCHORARRAY( $W$5), 0), 0),
        $F$5:$U$20
    ),
    TRANSPOSE(
        INDEX($X$5:$AM$77, MATCH($A113,_xlfn.ANCHORARRAY( $W$5), 0), 0)
    )
)
/
(
    INDEX($AN$5:$AN$77, MATCH(T$100,_xlfn.ANCHORARRAY( $W$5), 0))
    *
    INDEX($AN$5:$AN$77, MATCH($A113,_xlfn.ANCHORARRAY( $W$5), 0))
)</f>
        <v>0.39353403848621349</v>
      </c>
      <c r="U113" s="17" cm="1">
        <f t="array" ref="U113">MMULT(
    MMULT(
        INDEX($X$5:$AM$77, MATCH(U$100,_xlfn.ANCHORARRAY( $W$5), 0), 0),
        $F$5:$U$20
    ),
    TRANSPOSE(
        INDEX($X$5:$AM$77, MATCH($A113,_xlfn.ANCHORARRAY( $W$5), 0), 0)
    )
)
/
(
    INDEX($AN$5:$AN$77, MATCH(U$100,_xlfn.ANCHORARRAY( $W$5), 0))
    *
    INDEX($AN$5:$AN$77, MATCH($A113,_xlfn.ANCHORARRAY( $W$5), 0))
)</f>
        <v>0.899841288575425</v>
      </c>
      <c r="V113" s="17" cm="1">
        <f t="array" ref="V113">MMULT(
    MMULT(
        INDEX($X$5:$AM$77, MATCH(V$100,_xlfn.ANCHORARRAY( $W$5), 0), 0),
        $F$5:$U$20
    ),
    TRANSPOSE(
        INDEX($X$5:$AM$77, MATCH($A113,_xlfn.ANCHORARRAY( $W$5), 0), 0)
    )
)
/
(
    INDEX($AN$5:$AN$77, MATCH(V$100,_xlfn.ANCHORARRAY( $W$5), 0))
    *
    INDEX($AN$5:$AN$77, MATCH($A113,_xlfn.ANCHORARRAY( $W$5), 0))
)</f>
        <v>0.42132746862584103</v>
      </c>
      <c r="W113" s="17" cm="1">
        <f t="array" ref="W113">MMULT(
    MMULT(
        INDEX($X$5:$AM$77, MATCH(W$100,_xlfn.ANCHORARRAY( $W$5), 0), 0),
        $F$5:$U$20
    ),
    TRANSPOSE(
        INDEX($X$5:$AM$77, MATCH($A113,_xlfn.ANCHORARRAY( $W$5), 0), 0)
    )
)
/
(
    INDEX($AN$5:$AN$77, MATCH(W$100,_xlfn.ANCHORARRAY( $W$5), 0))
    *
    INDEX($AN$5:$AN$77, MATCH($A113,_xlfn.ANCHORARRAY( $W$5), 0))
)</f>
        <v>0.69471388104144627</v>
      </c>
      <c r="X113" s="17" cm="1">
        <f t="array" ref="X113">MMULT(
    MMULT(
        INDEX($X$5:$AM$77, MATCH(X$100,_xlfn.ANCHORARRAY( $W$5), 0), 0),
        $F$5:$U$20
    ),
    TRANSPOSE(
        INDEX($X$5:$AM$77, MATCH($A113,_xlfn.ANCHORARRAY( $W$5), 0), 0)
    )
)
/
(
    INDEX($AN$5:$AN$77, MATCH(X$100,_xlfn.ANCHORARRAY( $W$5), 0))
    *
    INDEX($AN$5:$AN$77, MATCH($A113,_xlfn.ANCHORARRAY( $W$5), 0))
)</f>
        <v>0.96202177310312253</v>
      </c>
      <c r="Y113" s="17" cm="1">
        <f t="array" ref="Y113">MMULT(
    MMULT(
        INDEX($X$5:$AM$77, MATCH(Y$100,_xlfn.ANCHORARRAY( $W$5), 0), 0),
        $F$5:$U$20
    ),
    TRANSPOSE(
        INDEX($X$5:$AM$77, MATCH($A113,_xlfn.ANCHORARRAY( $W$5), 0), 0)
    )
)
/
(
    INDEX($AN$5:$AN$77, MATCH(Y$100,_xlfn.ANCHORARRAY( $W$5), 0))
    *
    INDEX($AN$5:$AN$77, MATCH($A113,_xlfn.ANCHORARRAY( $W$5), 0))
)</f>
        <v>0.526271343275861</v>
      </c>
      <c r="Z113" s="17" cm="1">
        <f t="array" ref="Z113">MMULT(
    MMULT(
        INDEX($X$5:$AM$77, MATCH(Z$100,_xlfn.ANCHORARRAY( $W$5), 0), 0),
        $F$5:$U$20
    ),
    TRANSPOSE(
        INDEX($X$5:$AM$77, MATCH($A113,_xlfn.ANCHORARRAY( $W$5), 0), 0)
    )
)
/
(
    INDEX($AN$5:$AN$77, MATCH(Z$100,_xlfn.ANCHORARRAY( $W$5), 0))
    *
    INDEX($AN$5:$AN$77, MATCH($A113,_xlfn.ANCHORARRAY( $W$5), 0))
)</f>
        <v>0.9332438607696909</v>
      </c>
      <c r="AA113" s="17" cm="1">
        <f t="array" ref="AA113">MMULT(
    MMULT(
        INDEX($X$5:$AM$77, MATCH(AA$100,_xlfn.ANCHORARRAY( $W$5), 0), 0),
        $F$5:$U$20
    ),
    TRANSPOSE(
        INDEX($X$5:$AM$77, MATCH($A113,_xlfn.ANCHORARRAY( $W$5), 0), 0)
    )
)
/
(
    INDEX($AN$5:$AN$77, MATCH(AA$100,_xlfn.ANCHORARRAY( $W$5), 0))
    *
    INDEX($AN$5:$AN$77, MATCH($A113,_xlfn.ANCHORARRAY( $W$5), 0))
)</f>
        <v>0.98418057553654781</v>
      </c>
      <c r="AB113" s="17" cm="1">
        <f t="array" ref="AB113">MMULT(
    MMULT(
        INDEX($X$5:$AM$77, MATCH(AB$100,_xlfn.ANCHORARRAY( $W$5), 0), 0),
        $F$5:$U$20
    ),
    TRANSPOSE(
        INDEX($X$5:$AM$77, MATCH($A113,_xlfn.ANCHORARRAY( $W$5), 0), 0)
    )
)
/
(
    INDEX($AN$5:$AN$77, MATCH(AB$100,_xlfn.ANCHORARRAY( $W$5), 0))
    *
    INDEX($AN$5:$AN$77, MATCH($A113,_xlfn.ANCHORARRAY( $W$5), 0))
)</f>
        <v>0.87196977623568406</v>
      </c>
      <c r="AC113" s="17" cm="1">
        <f t="array" ref="AC113">MMULT(
    MMULT(
        INDEX($X$5:$AM$77, MATCH(AC$100,_xlfn.ANCHORARRAY( $W$5), 0), 0),
        $F$5:$U$20
    ),
    TRANSPOSE(
        INDEX($X$5:$AM$77, MATCH($A113,_xlfn.ANCHORARRAY( $W$5), 0), 0)
    )
)
/
(
    INDEX($AN$5:$AN$77, MATCH(AC$100,_xlfn.ANCHORARRAY( $W$5), 0))
    *
    INDEX($AN$5:$AN$77, MATCH($A113,_xlfn.ANCHORARRAY( $W$5), 0))
)</f>
        <v>0.72096460552528874</v>
      </c>
      <c r="AD113" s="17" cm="1">
        <f t="array" ref="AD113">MMULT(
    MMULT(
        INDEX($X$5:$AM$77, MATCH(AD$100,_xlfn.ANCHORARRAY( $W$5), 0), 0),
        $F$5:$U$20
    ),
    TRANSPOSE(
        INDEX($X$5:$AM$77, MATCH($A113,_xlfn.ANCHORARRAY( $W$5), 0), 0)
    )
)
/
(
    INDEX($AN$5:$AN$77, MATCH(AD$100,_xlfn.ANCHORARRAY( $W$5), 0))
    *
    INDEX($AN$5:$AN$77, MATCH($A113,_xlfn.ANCHORARRAY( $W$5), 0))
)</f>
        <v>0.90618703815486101</v>
      </c>
      <c r="AE113" s="17" cm="1">
        <f t="array" ref="AE113">MMULT(
    MMULT(
        INDEX($X$5:$AM$77, MATCH(AE$100,_xlfn.ANCHORARRAY( $W$5), 0), 0),
        $F$5:$U$20
    ),
    TRANSPOSE(
        INDEX($X$5:$AM$77, MATCH($A113,_xlfn.ANCHORARRAY( $W$5), 0), 0)
    )
)
/
(
    INDEX($AN$5:$AN$77, MATCH(AE$100,_xlfn.ANCHORARRAY( $W$5), 0))
    *
    INDEX($AN$5:$AN$77, MATCH($A113,_xlfn.ANCHORARRAY( $W$5), 0))
)</f>
        <v>0.68724870422335527</v>
      </c>
      <c r="AF113" s="17" cm="1">
        <f t="array" ref="AF113">MMULT(
    MMULT(
        INDEX($X$5:$AM$77, MATCH(AF$100,_xlfn.ANCHORARRAY( $W$5), 0), 0),
        $F$5:$U$20
    ),
    TRANSPOSE(
        INDEX($X$5:$AM$77, MATCH($A113,_xlfn.ANCHORARRAY( $W$5), 0), 0)
    )
)
/
(
    INDEX($AN$5:$AN$77, MATCH(AF$100,_xlfn.ANCHORARRAY( $W$5), 0))
    *
    INDEX($AN$5:$AN$77, MATCH($A113,_xlfn.ANCHORARRAY( $W$5), 0))
)</f>
        <v>0.64101114375111101</v>
      </c>
      <c r="AG113" s="17" cm="1">
        <f t="array" ref="AG113">MMULT(
    MMULT(
        INDEX($X$5:$AM$77, MATCH(AG$100,_xlfn.ANCHORARRAY( $W$5), 0), 0),
        $F$5:$U$20
    ),
    TRANSPOSE(
        INDEX($X$5:$AM$77, MATCH($A113,_xlfn.ANCHORARRAY( $W$5), 0), 0)
    )
)
/
(
    INDEX($AN$5:$AN$77, MATCH(AG$100,_xlfn.ANCHORARRAY( $W$5), 0))
    *
    INDEX($AN$5:$AN$77, MATCH($A113,_xlfn.ANCHORARRAY( $W$5), 0))
)</f>
        <v>0.6340508644882088</v>
      </c>
      <c r="AH113" s="17" cm="1">
        <f t="array" ref="AH113">MMULT(
    MMULT(
        INDEX($X$5:$AM$77, MATCH(AH$100,_xlfn.ANCHORARRAY( $W$5), 0), 0),
        $F$5:$U$20
    ),
    TRANSPOSE(
        INDEX($X$5:$AM$77, MATCH($A113,_xlfn.ANCHORARRAY( $W$5), 0), 0)
    )
)
/
(
    INDEX($AN$5:$AN$77, MATCH(AH$100,_xlfn.ANCHORARRAY( $W$5), 0))
    *
    INDEX($AN$5:$AN$77, MATCH($A113,_xlfn.ANCHORARRAY( $W$5), 0))
)</f>
        <v>0.4485373376875863</v>
      </c>
      <c r="AI113" s="17" cm="1">
        <f t="array" ref="AI113">MMULT(
    MMULT(
        INDEX($X$5:$AM$77, MATCH(AI$100,_xlfn.ANCHORARRAY( $W$5), 0), 0),
        $F$5:$U$20
    ),
    TRANSPOSE(
        INDEX($X$5:$AM$77, MATCH($A113,_xlfn.ANCHORARRAY( $W$5), 0), 0)
    )
)
/
(
    INDEX($AN$5:$AN$77, MATCH(AI$100,_xlfn.ANCHORARRAY( $W$5), 0))
    *
    INDEX($AN$5:$AN$77, MATCH($A113,_xlfn.ANCHORARRAY( $W$5), 0))
)</f>
        <v>0.67232542968402753</v>
      </c>
      <c r="AJ113" s="17" cm="1">
        <f t="array" ref="AJ113">MMULT(
    MMULT(
        INDEX($X$5:$AM$77, MATCH(AJ$100,_xlfn.ANCHORARRAY( $W$5), 0), 0),
        $F$5:$U$20
    ),
    TRANSPOSE(
        INDEX($X$5:$AM$77, MATCH($A113,_xlfn.ANCHORARRAY( $W$5), 0), 0)
    )
)
/
(
    INDEX($AN$5:$AN$77, MATCH(AJ$100,_xlfn.ANCHORARRAY( $W$5), 0))
    *
    INDEX($AN$5:$AN$77, MATCH($A113,_xlfn.ANCHORARRAY( $W$5), 0))
)</f>
        <v>0.96119242582773001</v>
      </c>
      <c r="AK113" s="17" cm="1">
        <f t="array" ref="AK113">MMULT(
    MMULT(
        INDEX($X$5:$AM$77, MATCH(AK$100,_xlfn.ANCHORARRAY( $W$5), 0), 0),
        $F$5:$U$20
    ),
    TRANSPOSE(
        INDEX($X$5:$AM$77, MATCH($A113,_xlfn.ANCHORARRAY( $W$5), 0), 0)
    )
)
/
(
    INDEX($AN$5:$AN$77, MATCH(AK$100,_xlfn.ANCHORARRAY( $W$5), 0))
    *
    INDEX($AN$5:$AN$77, MATCH($A113,_xlfn.ANCHORARRAY( $W$5), 0))
)</f>
        <v>0.7132263948640829</v>
      </c>
      <c r="AL113" s="17" cm="1">
        <f t="array" ref="AL113">MMULT(
    MMULT(
        INDEX($X$5:$AM$77, MATCH(AL$100,_xlfn.ANCHORARRAY( $W$5), 0), 0),
        $F$5:$U$20
    ),
    TRANSPOSE(
        INDEX($X$5:$AM$77, MATCH($A113,_xlfn.ANCHORARRAY( $W$5), 0), 0)
    )
)
/
(
    INDEX($AN$5:$AN$77, MATCH(AL$100,_xlfn.ANCHORARRAY( $W$5), 0))
    *
    INDEX($AN$5:$AN$77, MATCH($A113,_xlfn.ANCHORARRAY( $W$5), 0))
)</f>
        <v>0.97770311429742662</v>
      </c>
      <c r="AM113" s="17" cm="1">
        <f t="array" ref="AM113">MMULT(
    MMULT(
        INDEX($X$5:$AM$77, MATCH(AM$100,_xlfn.ANCHORARRAY( $W$5), 0), 0),
        $F$5:$U$20
    ),
    TRANSPOSE(
        INDEX($X$5:$AM$77, MATCH($A113,_xlfn.ANCHORARRAY( $W$5), 0), 0)
    )
)
/
(
    INDEX($AN$5:$AN$77, MATCH(AM$100,_xlfn.ANCHORARRAY( $W$5), 0))
    *
    INDEX($AN$5:$AN$77, MATCH($A113,_xlfn.ANCHORARRAY( $W$5), 0))
)</f>
        <v>0.60043520711612408</v>
      </c>
      <c r="AN113" s="17" cm="1">
        <f t="array" ref="AN113">MMULT(
    MMULT(
        INDEX($X$5:$AM$77, MATCH(AN$100,_xlfn.ANCHORARRAY( $W$5), 0), 0),
        $F$5:$U$20
    ),
    TRANSPOSE(
        INDEX($X$5:$AM$77, MATCH($A113,_xlfn.ANCHORARRAY( $W$5), 0), 0)
    )
)
/
(
    INDEX($AN$5:$AN$77, MATCH(AN$100,_xlfn.ANCHORARRAY( $W$5), 0))
    *
    INDEX($AN$5:$AN$77, MATCH($A113,_xlfn.ANCHORARRAY( $W$5), 0))
)</f>
        <v>0.50144041984374566</v>
      </c>
      <c r="AO113" s="17" cm="1">
        <f t="array" ref="AO113">MMULT(
    MMULT(
        INDEX($X$5:$AM$77, MATCH(AO$100,_xlfn.ANCHORARRAY( $W$5), 0), 0),
        $F$5:$U$20
    ),
    TRANSPOSE(
        INDEX($X$5:$AM$77, MATCH($A113,_xlfn.ANCHORARRAY( $W$5), 0), 0)
    )
)
/
(
    INDEX($AN$5:$AN$77, MATCH(AO$100,_xlfn.ANCHORARRAY( $W$5), 0))
    *
    INDEX($AN$5:$AN$77, MATCH($A113,_xlfn.ANCHORARRAY( $W$5), 0))
)</f>
        <v>0.54722691870848184</v>
      </c>
      <c r="AP113" s="17" cm="1">
        <f t="array" ref="AP113">MMULT(
    MMULT(
        INDEX($X$5:$AM$77, MATCH(AP$100,_xlfn.ANCHORARRAY( $W$5), 0), 0),
        $F$5:$U$20
    ),
    TRANSPOSE(
        INDEX($X$5:$AM$77, MATCH($A113,_xlfn.ANCHORARRAY( $W$5), 0), 0)
    )
)
/
(
    INDEX($AN$5:$AN$77, MATCH(AP$100,_xlfn.ANCHORARRAY( $W$5), 0))
    *
    INDEX($AN$5:$AN$77, MATCH($A113,_xlfn.ANCHORARRAY( $W$5), 0))
)</f>
        <v>0.58373437113516369</v>
      </c>
      <c r="AQ113" s="17" cm="1">
        <f t="array" ref="AQ113">MMULT(
    MMULT(
        INDEX($X$5:$AM$77, MATCH(AQ$100,_xlfn.ANCHORARRAY( $W$5), 0), 0),
        $F$5:$U$20
    ),
    TRANSPOSE(
        INDEX($X$5:$AM$77, MATCH($A113,_xlfn.ANCHORARRAY( $W$5), 0), 0)
    )
)
/
(
    INDEX($AN$5:$AN$77, MATCH(AQ$100,_xlfn.ANCHORARRAY( $W$5), 0))
    *
    INDEX($AN$5:$AN$77, MATCH($A113,_xlfn.ANCHORARRAY( $W$5), 0))
)</f>
        <v>0.59966629327460086</v>
      </c>
      <c r="AR113" s="17" cm="1">
        <f t="array" ref="AR113">MMULT(
    MMULT(
        INDEX($X$5:$AM$77, MATCH(AR$100,_xlfn.ANCHORARRAY( $W$5), 0), 0),
        $F$5:$U$20
    ),
    TRANSPOSE(
        INDEX($X$5:$AM$77, MATCH($A113,_xlfn.ANCHORARRAY( $W$5), 0), 0)
    )
)
/
(
    INDEX($AN$5:$AN$77, MATCH(AR$100,_xlfn.ANCHORARRAY( $W$5), 0))
    *
    INDEX($AN$5:$AN$77, MATCH($A113,_xlfn.ANCHORARRAY( $W$5), 0))
)</f>
        <v>0.94135871598671972</v>
      </c>
      <c r="AS113" s="17" cm="1">
        <f t="array" ref="AS113">MMULT(
    MMULT(
        INDEX($X$5:$AM$77, MATCH(AS$100,_xlfn.ANCHORARRAY( $W$5), 0), 0),
        $F$5:$U$20
    ),
    TRANSPOSE(
        INDEX($X$5:$AM$77, MATCH($A113,_xlfn.ANCHORARRAY( $W$5), 0), 0)
    )
)
/
(
    INDEX($AN$5:$AN$77, MATCH(AS$100,_xlfn.ANCHORARRAY( $W$5), 0))
    *
    INDEX($AN$5:$AN$77, MATCH($A113,_xlfn.ANCHORARRAY( $W$5), 0))
)</f>
        <v>0.86090087642038571</v>
      </c>
      <c r="AT113" s="17" cm="1">
        <f t="array" ref="AT113">MMULT(
    MMULT(
        INDEX($X$5:$AM$77, MATCH(AT$100,_xlfn.ANCHORARRAY( $W$5), 0), 0),
        $F$5:$U$20
    ),
    TRANSPOSE(
        INDEX($X$5:$AM$77, MATCH($A113,_xlfn.ANCHORARRAY( $W$5), 0), 0)
    )
)
/
(
    INDEX($AN$5:$AN$77, MATCH(AT$100,_xlfn.ANCHORARRAY( $W$5), 0))
    *
    INDEX($AN$5:$AN$77, MATCH($A113,_xlfn.ANCHORARRAY( $W$5), 0))
)</f>
        <v>0.55978389000965845</v>
      </c>
      <c r="AU113" s="17" cm="1">
        <f t="array" ref="AU113">MMULT(
    MMULT(
        INDEX($X$5:$AM$77, MATCH(AU$100,_xlfn.ANCHORARRAY( $W$5), 0), 0),
        $F$5:$U$20
    ),
    TRANSPOSE(
        INDEX($X$5:$AM$77, MATCH($A113,_xlfn.ANCHORARRAY( $W$5), 0), 0)
    )
)
/
(
    INDEX($AN$5:$AN$77, MATCH(AU$100,_xlfn.ANCHORARRAY( $W$5), 0))
    *
    INDEX($AN$5:$AN$77, MATCH($A113,_xlfn.ANCHORARRAY( $W$5), 0))
)</f>
        <v>0.9281964624669764</v>
      </c>
      <c r="AV113" s="17" cm="1">
        <f t="array" ref="AV113">MMULT(
    MMULT(
        INDEX($X$5:$AM$77, MATCH(AV$100,_xlfn.ANCHORARRAY( $W$5), 0), 0),
        $F$5:$U$20
    ),
    TRANSPOSE(
        INDEX($X$5:$AM$77, MATCH($A113,_xlfn.ANCHORARRAY( $W$5), 0), 0)
    )
)
/
(
    INDEX($AN$5:$AN$77, MATCH(AV$100,_xlfn.ANCHORARRAY( $W$5), 0))
    *
    INDEX($AN$5:$AN$77, MATCH($A113,_xlfn.ANCHORARRAY( $W$5), 0))
)</f>
        <v>0.95094177868280383</v>
      </c>
      <c r="AW113" s="17" cm="1">
        <f t="array" ref="AW113">MMULT(
    MMULT(
        INDEX($X$5:$AM$77, MATCH(AW$100,_xlfn.ANCHORARRAY( $W$5), 0), 0),
        $F$5:$U$20
    ),
    TRANSPOSE(
        INDEX($X$5:$AM$77, MATCH($A113,_xlfn.ANCHORARRAY( $W$5), 0), 0)
    )
)
/
(
    INDEX($AN$5:$AN$77, MATCH(AW$100,_xlfn.ANCHORARRAY( $W$5), 0))
    *
    INDEX($AN$5:$AN$77, MATCH($A113,_xlfn.ANCHORARRAY( $W$5), 0))
)</f>
        <v>0.61302490611855764</v>
      </c>
      <c r="AX113" s="17" cm="1">
        <f t="array" ref="AX113">MMULT(
    MMULT(
        INDEX($X$5:$AM$77, MATCH(AX$100,_xlfn.ANCHORARRAY( $W$5), 0), 0),
        $F$5:$U$20
    ),
    TRANSPOSE(
        INDEX($X$5:$AM$77, MATCH($A113,_xlfn.ANCHORARRAY( $W$5), 0), 0)
    )
)
/
(
    INDEX($AN$5:$AN$77, MATCH(AX$100,_xlfn.ANCHORARRAY( $W$5), 0))
    *
    INDEX($AN$5:$AN$77, MATCH($A113,_xlfn.ANCHORARRAY( $W$5), 0))
)</f>
        <v>0.42581700754551388</v>
      </c>
      <c r="AY113" s="17" cm="1">
        <f t="array" ref="AY113">MMULT(
    MMULT(
        INDEX($X$5:$AM$77, MATCH(AY$100,_xlfn.ANCHORARRAY( $W$5), 0), 0),
        $F$5:$U$20
    ),
    TRANSPOSE(
        INDEX($X$5:$AM$77, MATCH($A113,_xlfn.ANCHORARRAY( $W$5), 0), 0)
    )
)
/
(
    INDEX($AN$5:$AN$77, MATCH(AY$100,_xlfn.ANCHORARRAY( $W$5), 0))
    *
    INDEX($AN$5:$AN$77, MATCH($A113,_xlfn.ANCHORARRAY( $W$5), 0))
)</f>
        <v>0.45874923290514819</v>
      </c>
      <c r="AZ113" s="17" cm="1">
        <f t="array" ref="AZ113">MMULT(
    MMULT(
        INDEX($X$5:$AM$77, MATCH(AZ$100,_xlfn.ANCHORARRAY( $W$5), 0), 0),
        $F$5:$U$20
    ),
    TRANSPOSE(
        INDEX($X$5:$AM$77, MATCH($A113,_xlfn.ANCHORARRAY( $W$5), 0), 0)
    )
)
/
(
    INDEX($AN$5:$AN$77, MATCH(AZ$100,_xlfn.ANCHORARRAY( $W$5), 0))
    *
    INDEX($AN$5:$AN$77, MATCH($A113,_xlfn.ANCHORARRAY( $W$5), 0))
)</f>
        <v>0.93442933070094725</v>
      </c>
      <c r="BA113" s="17" cm="1">
        <f t="array" ref="BA113">MMULT(
    MMULT(
        INDEX($X$5:$AM$77, MATCH(BA$100,_xlfn.ANCHORARRAY( $W$5), 0), 0),
        $F$5:$U$20
    ),
    TRANSPOSE(
        INDEX($X$5:$AM$77, MATCH($A113,_xlfn.ANCHORARRAY( $W$5), 0), 0)
    )
)
/
(
    INDEX($AN$5:$AN$77, MATCH(BA$100,_xlfn.ANCHORARRAY( $W$5), 0))
    *
    INDEX($AN$5:$AN$77, MATCH($A113,_xlfn.ANCHORARRAY( $W$5), 0))
)</f>
        <v>0.95412475152949516</v>
      </c>
      <c r="BB113" s="17" cm="1">
        <f t="array" ref="BB113">MMULT(
    MMULT(
        INDEX($X$5:$AM$77, MATCH(BB$100,_xlfn.ANCHORARRAY( $W$5), 0), 0),
        $F$5:$U$20
    ),
    TRANSPOSE(
        INDEX($X$5:$AM$77, MATCH($A113,_xlfn.ANCHORARRAY( $W$5), 0), 0)
    )
)
/
(
    INDEX($AN$5:$AN$77, MATCH(BB$100,_xlfn.ANCHORARRAY( $W$5), 0))
    *
    INDEX($AN$5:$AN$77, MATCH($A113,_xlfn.ANCHORARRAY( $W$5), 0))
)</f>
        <v>0.73800666491781219</v>
      </c>
      <c r="BC113" s="17" cm="1">
        <f t="array" ref="BC113">MMULT(
    MMULT(
        INDEX($X$5:$AM$77, MATCH(BC$100,_xlfn.ANCHORARRAY( $W$5), 0), 0),
        $F$5:$U$20
    ),
    TRANSPOSE(
        INDEX($X$5:$AM$77, MATCH($A113,_xlfn.ANCHORARRAY( $W$5), 0), 0)
    )
)
/
(
    INDEX($AN$5:$AN$77, MATCH(BC$100,_xlfn.ANCHORARRAY( $W$5), 0))
    *
    INDEX($AN$5:$AN$77, MATCH($A113,_xlfn.ANCHORARRAY( $W$5), 0))
)</f>
        <v>0.62126099008626179</v>
      </c>
      <c r="BD113" s="17" cm="1">
        <f t="array" ref="BD113">MMULT(
    MMULT(
        INDEX($X$5:$AM$77, MATCH(BD$100,_xlfn.ANCHORARRAY( $W$5), 0), 0),
        $F$5:$U$20
    ),
    TRANSPOSE(
        INDEX($X$5:$AM$77, MATCH($A113,_xlfn.ANCHORARRAY( $W$5), 0), 0)
    )
)
/
(
    INDEX($AN$5:$AN$77, MATCH(BD$100,_xlfn.ANCHORARRAY( $W$5), 0))
    *
    INDEX($AN$5:$AN$77, MATCH($A113,_xlfn.ANCHORARRAY( $W$5), 0))
)</f>
        <v>0.53815159029366821</v>
      </c>
      <c r="BE113" s="17" cm="1">
        <f t="array" ref="BE113">MMULT(
    MMULT(
        INDEX($X$5:$AM$77, MATCH(BE$100,_xlfn.ANCHORARRAY( $W$5), 0), 0),
        $F$5:$U$20
    ),
    TRANSPOSE(
        INDEX($X$5:$AM$77, MATCH($A113,_xlfn.ANCHORARRAY( $W$5), 0), 0)
    )
)
/
(
    INDEX($AN$5:$AN$77, MATCH(BE$100,_xlfn.ANCHORARRAY( $W$5), 0))
    *
    INDEX($AN$5:$AN$77, MATCH($A113,_xlfn.ANCHORARRAY( $W$5), 0))
)</f>
        <v>0.60379497783441871</v>
      </c>
      <c r="BF113" s="17" cm="1">
        <f t="array" ref="BF113">MMULT(
    MMULT(
        INDEX($X$5:$AM$77, MATCH(BF$100,_xlfn.ANCHORARRAY( $W$5), 0), 0),
        $F$5:$U$20
    ),
    TRANSPOSE(
        INDEX($X$5:$AM$77, MATCH($A113,_xlfn.ANCHORARRAY( $W$5), 0), 0)
    )
)
/
(
    INDEX($AN$5:$AN$77, MATCH(BF$100,_xlfn.ANCHORARRAY( $W$5), 0))
    *
    INDEX($AN$5:$AN$77, MATCH($A113,_xlfn.ANCHORARRAY( $W$5), 0))
)</f>
        <v>0.8318591496574147</v>
      </c>
      <c r="BG113" s="17" cm="1">
        <f t="array" ref="BG113">MMULT(
    MMULT(
        INDEX($X$5:$AM$77, MATCH(BG$100,_xlfn.ANCHORARRAY( $W$5), 0), 0),
        $F$5:$U$20
    ),
    TRANSPOSE(
        INDEX($X$5:$AM$77, MATCH($A113,_xlfn.ANCHORARRAY( $W$5), 0), 0)
    )
)
/
(
    INDEX($AN$5:$AN$77, MATCH(BG$100,_xlfn.ANCHORARRAY( $W$5), 0))
    *
    INDEX($AN$5:$AN$77, MATCH($A113,_xlfn.ANCHORARRAY( $W$5), 0))
)</f>
        <v>0.94517649462027975</v>
      </c>
      <c r="BH113" s="17" cm="1">
        <f t="array" ref="BH113">MMULT(
    MMULT(
        INDEX($X$5:$AM$77, MATCH(BH$100,_xlfn.ANCHORARRAY( $W$5), 0), 0),
        $F$5:$U$20
    ),
    TRANSPOSE(
        INDEX($X$5:$AM$77, MATCH($A113,_xlfn.ANCHORARRAY( $W$5), 0), 0)
    )
)
/
(
    INDEX($AN$5:$AN$77, MATCH(BH$100,_xlfn.ANCHORARRAY( $W$5), 0))
    *
    INDEX($AN$5:$AN$77, MATCH($A113,_xlfn.ANCHORARRAY( $W$5), 0))
)</f>
        <v>0.5795566504109203</v>
      </c>
      <c r="BI113" s="17" cm="1">
        <f t="array" ref="BI113">MMULT(
    MMULT(
        INDEX($X$5:$AM$77, MATCH(BI$100,_xlfn.ANCHORARRAY( $W$5), 0), 0),
        $F$5:$U$20
    ),
    TRANSPOSE(
        INDEX($X$5:$AM$77, MATCH($A113,_xlfn.ANCHORARRAY( $W$5), 0), 0)
    )
)
/
(
    INDEX($AN$5:$AN$77, MATCH(BI$100,_xlfn.ANCHORARRAY( $W$5), 0))
    *
    INDEX($AN$5:$AN$77, MATCH($A113,_xlfn.ANCHORARRAY( $W$5), 0))
)</f>
        <v>0.48296885874805456</v>
      </c>
      <c r="BJ113" s="17" cm="1">
        <f t="array" ref="BJ113">MMULT(
    MMULT(
        INDEX($X$5:$AM$77, MATCH(BJ$100,_xlfn.ANCHORARRAY( $W$5), 0), 0),
        $F$5:$U$20
    ),
    TRANSPOSE(
        INDEX($X$5:$AM$77, MATCH($A113,_xlfn.ANCHORARRAY( $W$5), 0), 0)
    )
)
/
(
    INDEX($AN$5:$AN$77, MATCH(BJ$100,_xlfn.ANCHORARRAY( $W$5), 0))
    *
    INDEX($AN$5:$AN$77, MATCH($A113,_xlfn.ANCHORARRAY( $W$5), 0))
)</f>
        <v>0.70142634331067022</v>
      </c>
      <c r="BK113" s="17" cm="1">
        <f t="array" ref="BK113">MMULT(
    MMULT(
        INDEX($X$5:$AM$77, MATCH(BK$100,_xlfn.ANCHORARRAY( $W$5), 0), 0),
        $F$5:$U$20
    ),
    TRANSPOSE(
        INDEX($X$5:$AM$77, MATCH($A113,_xlfn.ANCHORARRAY( $W$5), 0), 0)
    )
)
/
(
    INDEX($AN$5:$AN$77, MATCH(BK$100,_xlfn.ANCHORARRAY( $W$5), 0))
    *
    INDEX($AN$5:$AN$77, MATCH($A113,_xlfn.ANCHORARRAY( $W$5), 0))
)</f>
        <v>0.54626309390449079</v>
      </c>
      <c r="BL113" s="17" cm="1">
        <f t="array" ref="BL113">MMULT(
    MMULT(
        INDEX($X$5:$AM$77, MATCH(BL$100,_xlfn.ANCHORARRAY( $W$5), 0), 0),
        $F$5:$U$20
    ),
    TRANSPOSE(
        INDEX($X$5:$AM$77, MATCH($A113,_xlfn.ANCHORARRAY( $W$5), 0), 0)
    )
)
/
(
    INDEX($AN$5:$AN$77, MATCH(BL$100,_xlfn.ANCHORARRAY( $W$5), 0))
    *
    INDEX($AN$5:$AN$77, MATCH($A113,_xlfn.ANCHORARRAY( $W$5), 0))
)</f>
        <v>0.91013726797029171</v>
      </c>
      <c r="BM113" s="17" cm="1">
        <f t="array" ref="BM113">MMULT(
    MMULT(
        INDEX($X$5:$AM$77, MATCH(BM$100,_xlfn.ANCHORARRAY( $W$5), 0), 0),
        $F$5:$U$20
    ),
    TRANSPOSE(
        INDEX($X$5:$AM$77, MATCH($A113,_xlfn.ANCHORARRAY( $W$5), 0), 0)
    )
)
/
(
    INDEX($AN$5:$AN$77, MATCH(BM$100,_xlfn.ANCHORARRAY( $W$5), 0))
    *
    INDEX($AN$5:$AN$77, MATCH($A113,_xlfn.ANCHORARRAY( $W$5), 0))
)</f>
        <v>0.77603615880744881</v>
      </c>
      <c r="BN113" s="17" cm="1">
        <f t="array" ref="BN113">MMULT(
    MMULT(
        INDEX($X$5:$AM$77, MATCH(BN$100,_xlfn.ANCHORARRAY( $W$5), 0), 0),
        $F$5:$U$20
    ),
    TRANSPOSE(
        INDEX($X$5:$AM$77, MATCH($A113,_xlfn.ANCHORARRAY( $W$5), 0), 0)
    )
)
/
(
    INDEX($AN$5:$AN$77, MATCH(BN$100,_xlfn.ANCHORARRAY( $W$5), 0))
    *
    INDEX($AN$5:$AN$77, MATCH($A113,_xlfn.ANCHORARRAY( $W$5), 0))
)</f>
        <v>0.54473235250078855</v>
      </c>
      <c r="BO113" s="17" cm="1">
        <f t="array" ref="BO113">MMULT(
    MMULT(
        INDEX($X$5:$AM$77, MATCH(BO$100,_xlfn.ANCHORARRAY( $W$5), 0), 0),
        $F$5:$U$20
    ),
    TRANSPOSE(
        INDEX($X$5:$AM$77, MATCH($A113,_xlfn.ANCHORARRAY( $W$5), 0), 0)
    )
)
/
(
    INDEX($AN$5:$AN$77, MATCH(BO$100,_xlfn.ANCHORARRAY( $W$5), 0))
    *
    INDEX($AN$5:$AN$77, MATCH($A113,_xlfn.ANCHORARRAY( $W$5), 0))
)</f>
        <v>0.74959465262561031</v>
      </c>
      <c r="BP113" s="17" cm="1">
        <f t="array" ref="BP113">MMULT(
    MMULT(
        INDEX($X$5:$AM$77, MATCH(BP$100,_xlfn.ANCHORARRAY( $W$5), 0), 0),
        $F$5:$U$20
    ),
    TRANSPOSE(
        INDEX($X$5:$AM$77, MATCH($A113,_xlfn.ANCHORARRAY( $W$5), 0), 0)
    )
)
/
(
    INDEX($AN$5:$AN$77, MATCH(BP$100,_xlfn.ANCHORARRAY( $W$5), 0))
    *
    INDEX($AN$5:$AN$77, MATCH($A113,_xlfn.ANCHORARRAY( $W$5), 0))
)</f>
        <v>0.7777729423124129</v>
      </c>
      <c r="BQ113" s="17" cm="1">
        <f t="array" ref="BQ113">MMULT(
    MMULT(
        INDEX($X$5:$AM$77, MATCH(BQ$100,_xlfn.ANCHORARRAY( $W$5), 0), 0),
        $F$5:$U$20
    ),
    TRANSPOSE(
        INDEX($X$5:$AM$77, MATCH($A113,_xlfn.ANCHORARRAY( $W$5), 0), 0)
    )
)
/
(
    INDEX($AN$5:$AN$77, MATCH(BQ$100,_xlfn.ANCHORARRAY( $W$5), 0))
    *
    INDEX($AN$5:$AN$77, MATCH($A113,_xlfn.ANCHORARRAY( $W$5), 0))
)</f>
        <v>0.68264125887102056</v>
      </c>
      <c r="BR113" s="17" cm="1">
        <f t="array" ref="BR113">MMULT(
    MMULT(
        INDEX($X$5:$AM$77, MATCH(BR$100,_xlfn.ANCHORARRAY( $W$5), 0), 0),
        $F$5:$U$20
    ),
    TRANSPOSE(
        INDEX($X$5:$AM$77, MATCH($A113,_xlfn.ANCHORARRAY( $W$5), 0), 0)
    )
)
/
(
    INDEX($AN$5:$AN$77, MATCH(BR$100,_xlfn.ANCHORARRAY( $W$5), 0))
    *
    INDEX($AN$5:$AN$77, MATCH($A113,_xlfn.ANCHORARRAY( $W$5), 0))
)</f>
        <v>0.73704666433824095</v>
      </c>
      <c r="BS113" s="17" cm="1">
        <f t="array" ref="BS113">MMULT(
    MMULT(
        INDEX($X$5:$AM$77, MATCH(BS$100,_xlfn.ANCHORARRAY( $W$5), 0), 0),
        $F$5:$U$20
    ),
    TRANSPOSE(
        INDEX($X$5:$AM$77, MATCH($A113,_xlfn.ANCHORARRAY( $W$5), 0), 0)
    )
)
/
(
    INDEX($AN$5:$AN$77, MATCH(BS$100,_xlfn.ANCHORARRAY( $W$5), 0))
    *
    INDEX($AN$5:$AN$77, MATCH($A113,_xlfn.ANCHORARRAY( $W$5), 0))
)</f>
        <v>0.92547841999464087</v>
      </c>
      <c r="BT113" s="17" cm="1">
        <f t="array" ref="BT113">MMULT(
    MMULT(
        INDEX($X$5:$AM$77, MATCH(BT$100,_xlfn.ANCHORARRAY( $W$5), 0), 0),
        $F$5:$U$20
    ),
    TRANSPOSE(
        INDEX($X$5:$AM$77, MATCH($A113,_xlfn.ANCHORARRAY( $W$5), 0), 0)
    )
)
/
(
    INDEX($AN$5:$AN$77, MATCH(BT$100,_xlfn.ANCHORARRAY( $W$5), 0))
    *
    INDEX($AN$5:$AN$77, MATCH($A113,_xlfn.ANCHORARRAY( $W$5), 0))
)</f>
        <v>0.79818405304483209</v>
      </c>
      <c r="BU113" s="17" cm="1">
        <f t="array" ref="BU113">MMULT(
    MMULT(
        INDEX($X$5:$AM$77, MATCH(BU$100,_xlfn.ANCHORARRAY( $W$5), 0), 0),
        $F$5:$U$20
    ),
    TRANSPOSE(
        INDEX($X$5:$AM$77, MATCH($A113,_xlfn.ANCHORARRAY( $W$5), 0), 0)
    )
)
/
(
    INDEX($AN$5:$AN$77, MATCH(BU$100,_xlfn.ANCHORARRAY( $W$5), 0))
    *
    INDEX($AN$5:$AN$77, MATCH($A113,_xlfn.ANCHORARRAY( $W$5), 0))
)</f>
        <v>0.60752281801790786</v>
      </c>
      <c r="BV113" s="17" cm="1">
        <f t="array" ref="BV113">MMULT(
    MMULT(
        INDEX($X$5:$AM$77, MATCH(BV$100,_xlfn.ANCHORARRAY( $W$5), 0), 0),
        $F$5:$U$20
    ),
    TRANSPOSE(
        INDEX($X$5:$AM$77, MATCH($A113,_xlfn.ANCHORARRAY( $W$5), 0), 0)
    )
)
/
(
    INDEX($AN$5:$AN$77, MATCH(BV$100,_xlfn.ANCHORARRAY( $W$5), 0))
    *
    INDEX($AN$5:$AN$77, MATCH($A113,_xlfn.ANCHORARRAY( $W$5), 0))
)</f>
        <v>0.573539682673185</v>
      </c>
    </row>
    <row r="114" spans="1:74" x14ac:dyDescent="0.3">
      <c r="A114" s="7" t="str">
        <v>Lee, Dylan</v>
      </c>
      <c r="B114" s="17" cm="1">
        <f t="array" ref="B114">MMULT(
    MMULT(
        INDEX($X$5:$AM$77, MATCH(B$100,_xlfn.ANCHORARRAY( $W$5), 0), 0),
        $F$5:$U$20
    ),
    TRANSPOSE(
        INDEX($X$5:$AM$77, MATCH($A114,_xlfn.ANCHORARRAY( $W$5), 0), 0)
    )
)
/
(
    INDEX($AN$5:$AN$77, MATCH(B$100,_xlfn.ANCHORARRAY( $W$5), 0))
    *
    INDEX($AN$5:$AN$77, MATCH($A114,_xlfn.ANCHORARRAY( $W$5), 0))
)</f>
        <v>0.72995628257142375</v>
      </c>
      <c r="C114" s="17" cm="1">
        <f t="array" ref="C114">MMULT(
    MMULT(
        INDEX($X$5:$AM$77, MATCH(C$100,_xlfn.ANCHORARRAY( $W$5), 0), 0),
        $F$5:$U$20
    ),
    TRANSPOSE(
        INDEX($X$5:$AM$77, MATCH($A114,_xlfn.ANCHORARRAY( $W$5), 0), 0)
    )
)
/
(
    INDEX($AN$5:$AN$77, MATCH(C$100,_xlfn.ANCHORARRAY( $W$5), 0))
    *
    INDEX($AN$5:$AN$77, MATCH($A114,_xlfn.ANCHORARRAY( $W$5), 0))
)</f>
        <v>0.43684880654375446</v>
      </c>
      <c r="D114" s="17" cm="1">
        <f t="array" ref="D114">MMULT(
    MMULT(
        INDEX($X$5:$AM$77, MATCH(D$100,_xlfn.ANCHORARRAY( $W$5), 0), 0),
        $F$5:$U$20
    ),
    TRANSPOSE(
        INDEX($X$5:$AM$77, MATCH($A114,_xlfn.ANCHORARRAY( $W$5), 0), 0)
    )
)
/
(
    INDEX($AN$5:$AN$77, MATCH(D$100,_xlfn.ANCHORARRAY( $W$5), 0))
    *
    INDEX($AN$5:$AN$77, MATCH($A114,_xlfn.ANCHORARRAY( $W$5), 0))
)</f>
        <v>0.89288951398972527</v>
      </c>
      <c r="E114" s="17" cm="1">
        <f t="array" ref="E114">MMULT(
    MMULT(
        INDEX($X$5:$AM$77, MATCH(E$100,_xlfn.ANCHORARRAY( $W$5), 0), 0),
        $F$5:$U$20
    ),
    TRANSPOSE(
        INDEX($X$5:$AM$77, MATCH($A114,_xlfn.ANCHORARRAY( $W$5), 0), 0)
    )
)
/
(
    INDEX($AN$5:$AN$77, MATCH(E$100,_xlfn.ANCHORARRAY( $W$5), 0))
    *
    INDEX($AN$5:$AN$77, MATCH($A114,_xlfn.ANCHORARRAY( $W$5), 0))
)</f>
        <v>0.85026387144086302</v>
      </c>
      <c r="F114" s="17" cm="1">
        <f t="array" ref="F114">MMULT(
    MMULT(
        INDEX($X$5:$AM$77, MATCH(F$100,_xlfn.ANCHORARRAY( $W$5), 0), 0),
        $F$5:$U$20
    ),
    TRANSPOSE(
        INDEX($X$5:$AM$77, MATCH($A114,_xlfn.ANCHORARRAY( $W$5), 0), 0)
    )
)
/
(
    INDEX($AN$5:$AN$77, MATCH(F$100,_xlfn.ANCHORARRAY( $W$5), 0))
    *
    INDEX($AN$5:$AN$77, MATCH($A114,_xlfn.ANCHORARRAY( $W$5), 0))
)</f>
        <v>0.98197792137759932</v>
      </c>
      <c r="G114" s="17" cm="1">
        <f t="array" ref="G114">MMULT(
    MMULT(
        INDEX($X$5:$AM$77, MATCH(G$100,_xlfn.ANCHORARRAY( $W$5), 0), 0),
        $F$5:$U$20
    ),
    TRANSPOSE(
        INDEX($X$5:$AM$77, MATCH($A114,_xlfn.ANCHORARRAY( $W$5), 0), 0)
    )
)
/
(
    INDEX($AN$5:$AN$77, MATCH(G$100,_xlfn.ANCHORARRAY( $W$5), 0))
    *
    INDEX($AN$5:$AN$77, MATCH($A114,_xlfn.ANCHORARRAY( $W$5), 0))
)</f>
        <v>0.54165913725250658</v>
      </c>
      <c r="H114" s="17" cm="1">
        <f t="array" ref="H114">MMULT(
    MMULT(
        INDEX($X$5:$AM$77, MATCH(H$100,_xlfn.ANCHORARRAY( $W$5), 0), 0),
        $F$5:$U$20
    ),
    TRANSPOSE(
        INDEX($X$5:$AM$77, MATCH($A114,_xlfn.ANCHORARRAY( $W$5), 0), 0)
    )
)
/
(
    INDEX($AN$5:$AN$77, MATCH(H$100,_xlfn.ANCHORARRAY( $W$5), 0))
    *
    INDEX($AN$5:$AN$77, MATCH($A114,_xlfn.ANCHORARRAY( $W$5), 0))
)</f>
        <v>0.55006793210942384</v>
      </c>
      <c r="I114" s="17" cm="1">
        <f t="array" ref="I114">MMULT(
    MMULT(
        INDEX($X$5:$AM$77, MATCH(I$100,_xlfn.ANCHORARRAY( $W$5), 0), 0),
        $F$5:$U$20
    ),
    TRANSPOSE(
        INDEX($X$5:$AM$77, MATCH($A114,_xlfn.ANCHORARRAY( $W$5), 0), 0)
    )
)
/
(
    INDEX($AN$5:$AN$77, MATCH(I$100,_xlfn.ANCHORARRAY( $W$5), 0))
    *
    INDEX($AN$5:$AN$77, MATCH($A114,_xlfn.ANCHORARRAY( $W$5), 0))
)</f>
        <v>0.59736981897247743</v>
      </c>
      <c r="J114" s="17" cm="1">
        <f t="array" ref="J114">MMULT(
    MMULT(
        INDEX($X$5:$AM$77, MATCH(J$100,_xlfn.ANCHORARRAY( $W$5), 0), 0),
        $F$5:$U$20
    ),
    TRANSPOSE(
        INDEX($X$5:$AM$77, MATCH($A114,_xlfn.ANCHORARRAY( $W$5), 0), 0)
    )
)
/
(
    INDEX($AN$5:$AN$77, MATCH(J$100,_xlfn.ANCHORARRAY( $W$5), 0))
    *
    INDEX($AN$5:$AN$77, MATCH($A114,_xlfn.ANCHORARRAY( $W$5), 0))
)</f>
        <v>0.77823639130893574</v>
      </c>
      <c r="K114" s="17" cm="1">
        <f t="array" ref="K114">MMULT(
    MMULT(
        INDEX($X$5:$AM$77, MATCH(K$100,_xlfn.ANCHORARRAY( $W$5), 0), 0),
        $F$5:$U$20
    ),
    TRANSPOSE(
        INDEX($X$5:$AM$77, MATCH($A114,_xlfn.ANCHORARRAY( $W$5), 0), 0)
    )
)
/
(
    INDEX($AN$5:$AN$77, MATCH(K$100,_xlfn.ANCHORARRAY( $W$5), 0))
    *
    INDEX($AN$5:$AN$77, MATCH($A114,_xlfn.ANCHORARRAY( $W$5), 0))
)</f>
        <v>0.7875224705105599</v>
      </c>
      <c r="L114" s="17" cm="1">
        <f t="array" ref="L114">MMULT(
    MMULT(
        INDEX($X$5:$AM$77, MATCH(L$100,_xlfn.ANCHORARRAY( $W$5), 0), 0),
        $F$5:$U$20
    ),
    TRANSPOSE(
        INDEX($X$5:$AM$77, MATCH($A114,_xlfn.ANCHORARRAY( $W$5), 0), 0)
    )
)
/
(
    INDEX($AN$5:$AN$77, MATCH(L$100,_xlfn.ANCHORARRAY( $W$5), 0))
    *
    INDEX($AN$5:$AN$77, MATCH($A114,_xlfn.ANCHORARRAY( $W$5), 0))
)</f>
        <v>0.47135467379358298</v>
      </c>
      <c r="M114" s="17" cm="1">
        <f t="array" ref="M114">MMULT(
    MMULT(
        INDEX($X$5:$AM$77, MATCH(M$100,_xlfn.ANCHORARRAY( $W$5), 0), 0),
        $F$5:$U$20
    ),
    TRANSPOSE(
        INDEX($X$5:$AM$77, MATCH($A114,_xlfn.ANCHORARRAY( $W$5), 0), 0)
    )
)
/
(
    INDEX($AN$5:$AN$77, MATCH(M$100,_xlfn.ANCHORARRAY( $W$5), 0))
    *
    INDEX($AN$5:$AN$77, MATCH($A114,_xlfn.ANCHORARRAY( $W$5), 0))
)</f>
        <v>0.74227204629889898</v>
      </c>
      <c r="N114" s="17" cm="1">
        <f t="array" ref="N114">MMULT(
    MMULT(
        INDEX($X$5:$AM$77, MATCH(N$100,_xlfn.ANCHORARRAY( $W$5), 0), 0),
        $F$5:$U$20
    ),
    TRANSPOSE(
        INDEX($X$5:$AM$77, MATCH($A114,_xlfn.ANCHORARRAY( $W$5), 0), 0)
    )
)
/
(
    INDEX($AN$5:$AN$77, MATCH(N$100,_xlfn.ANCHORARRAY( $W$5), 0))
    *
    INDEX($AN$5:$AN$77, MATCH($A114,_xlfn.ANCHORARRAY( $W$5), 0))
)</f>
        <v>0.96390101670785011</v>
      </c>
      <c r="O114" s="17" cm="1">
        <f t="array" ref="O114">MMULT(
    MMULT(
        INDEX($X$5:$AM$77, MATCH(O$100,_xlfn.ANCHORARRAY( $W$5), 0), 0),
        $F$5:$U$20
    ),
    TRANSPOSE(
        INDEX($X$5:$AM$77, MATCH($A114,_xlfn.ANCHORARRAY( $W$5), 0), 0)
    )
)
/
(
    INDEX($AN$5:$AN$77, MATCH(O$100,_xlfn.ANCHORARRAY( $W$5), 0))
    *
    INDEX($AN$5:$AN$77, MATCH($A114,_xlfn.ANCHORARRAY( $W$5), 0))
)</f>
        <v>1.0000000000000002</v>
      </c>
      <c r="P114" s="17" cm="1">
        <f t="array" ref="P114">MMULT(
    MMULT(
        INDEX($X$5:$AM$77, MATCH(P$100,_xlfn.ANCHORARRAY( $W$5), 0), 0),
        $F$5:$U$20
    ),
    TRANSPOSE(
        INDEX($X$5:$AM$77, MATCH($A114,_xlfn.ANCHORARRAY( $W$5), 0), 0)
    )
)
/
(
    INDEX($AN$5:$AN$77, MATCH(P$100,_xlfn.ANCHORARRAY( $W$5), 0))
    *
    INDEX($AN$5:$AN$77, MATCH($A114,_xlfn.ANCHORARRAY( $W$5), 0))
)</f>
        <v>0.89371245146919454</v>
      </c>
      <c r="Q114" s="17" cm="1">
        <f t="array" ref="Q114">MMULT(
    MMULT(
        INDEX($X$5:$AM$77, MATCH(Q$100,_xlfn.ANCHORARRAY( $W$5), 0), 0),
        $F$5:$U$20
    ),
    TRANSPOSE(
        INDEX($X$5:$AM$77, MATCH($A114,_xlfn.ANCHORARRAY( $W$5), 0), 0)
    )
)
/
(
    INDEX($AN$5:$AN$77, MATCH(Q$100,_xlfn.ANCHORARRAY( $W$5), 0))
    *
    INDEX($AN$5:$AN$77, MATCH($A114,_xlfn.ANCHORARRAY( $W$5), 0))
)</f>
        <v>0.46882497422563463</v>
      </c>
      <c r="R114" s="17" cm="1">
        <f t="array" ref="R114">MMULT(
    MMULT(
        INDEX($X$5:$AM$77, MATCH(R$100,_xlfn.ANCHORARRAY( $W$5), 0), 0),
        $F$5:$U$20
    ),
    TRANSPOSE(
        INDEX($X$5:$AM$77, MATCH($A114,_xlfn.ANCHORARRAY( $W$5), 0), 0)
    )
)
/
(
    INDEX($AN$5:$AN$77, MATCH(R$100,_xlfn.ANCHORARRAY( $W$5), 0))
    *
    INDEX($AN$5:$AN$77, MATCH($A114,_xlfn.ANCHORARRAY( $W$5), 0))
)</f>
        <v>0.79724186942041997</v>
      </c>
      <c r="S114" s="17" cm="1">
        <f t="array" ref="S114">MMULT(
    MMULT(
        INDEX($X$5:$AM$77, MATCH(S$100,_xlfn.ANCHORARRAY( $W$5), 0), 0),
        $F$5:$U$20
    ),
    TRANSPOSE(
        INDEX($X$5:$AM$77, MATCH($A114,_xlfn.ANCHORARRAY( $W$5), 0), 0)
    )
)
/
(
    INDEX($AN$5:$AN$77, MATCH(S$100,_xlfn.ANCHORARRAY( $W$5), 0))
    *
    INDEX($AN$5:$AN$77, MATCH($A114,_xlfn.ANCHORARRAY( $W$5), 0))
)</f>
        <v>0.61673919185653447</v>
      </c>
      <c r="T114" s="17" cm="1">
        <f t="array" ref="T114">MMULT(
    MMULT(
        INDEX($X$5:$AM$77, MATCH(T$100,_xlfn.ANCHORARRAY( $W$5), 0), 0),
        $F$5:$U$20
    ),
    TRANSPOSE(
        INDEX($X$5:$AM$77, MATCH($A114,_xlfn.ANCHORARRAY( $W$5), 0), 0)
    )
)
/
(
    INDEX($AN$5:$AN$77, MATCH(T$100,_xlfn.ANCHORARRAY( $W$5), 0))
    *
    INDEX($AN$5:$AN$77, MATCH($A114,_xlfn.ANCHORARRAY( $W$5), 0))
)</f>
        <v>0.20088094366029638</v>
      </c>
      <c r="U114" s="17" cm="1">
        <f t="array" ref="U114">MMULT(
    MMULT(
        INDEX($X$5:$AM$77, MATCH(U$100,_xlfn.ANCHORARRAY( $W$5), 0), 0),
        $F$5:$U$20
    ),
    TRANSPOSE(
        INDEX($X$5:$AM$77, MATCH($A114,_xlfn.ANCHORARRAY( $W$5), 0), 0)
    )
)
/
(
    INDEX($AN$5:$AN$77, MATCH(U$100,_xlfn.ANCHORARRAY( $W$5), 0))
    *
    INDEX($AN$5:$AN$77, MATCH($A114,_xlfn.ANCHORARRAY( $W$5), 0))
)</f>
        <v>0.87180910922255106</v>
      </c>
      <c r="V114" s="17" cm="1">
        <f t="array" ref="V114">MMULT(
    MMULT(
        INDEX($X$5:$AM$77, MATCH(V$100,_xlfn.ANCHORARRAY( $W$5), 0), 0),
        $F$5:$U$20
    ),
    TRANSPOSE(
        INDEX($X$5:$AM$77, MATCH($A114,_xlfn.ANCHORARRAY( $W$5), 0), 0)
    )
)
/
(
    INDEX($AN$5:$AN$77, MATCH(V$100,_xlfn.ANCHORARRAY( $W$5), 0))
    *
    INDEX($AN$5:$AN$77, MATCH($A114,_xlfn.ANCHORARRAY( $W$5), 0))
)</f>
        <v>0.32975555149715297</v>
      </c>
      <c r="W114" s="17" cm="1">
        <f t="array" ref="W114">MMULT(
    MMULT(
        INDEX($X$5:$AM$77, MATCH(W$100,_xlfn.ANCHORARRAY( $W$5), 0), 0),
        $F$5:$U$20
    ),
    TRANSPOSE(
        INDEX($X$5:$AM$77, MATCH($A114,_xlfn.ANCHORARRAY( $W$5), 0), 0)
    )
)
/
(
    INDEX($AN$5:$AN$77, MATCH(W$100,_xlfn.ANCHORARRAY( $W$5), 0))
    *
    INDEX($AN$5:$AN$77, MATCH($A114,_xlfn.ANCHORARRAY( $W$5), 0))
)</f>
        <v>0.68766600889180152</v>
      </c>
      <c r="X114" s="17" cm="1">
        <f t="array" ref="X114">MMULT(
    MMULT(
        INDEX($X$5:$AM$77, MATCH(X$100,_xlfn.ANCHORARRAY( $W$5), 0), 0),
        $F$5:$U$20
    ),
    TRANSPOSE(
        INDEX($X$5:$AM$77, MATCH($A114,_xlfn.ANCHORARRAY( $W$5), 0), 0)
    )
)
/
(
    INDEX($AN$5:$AN$77, MATCH(X$100,_xlfn.ANCHORARRAY( $W$5), 0))
    *
    INDEX($AN$5:$AN$77, MATCH($A114,_xlfn.ANCHORARRAY( $W$5), 0))
)</f>
        <v>0.98444184494364706</v>
      </c>
      <c r="Y114" s="17" cm="1">
        <f t="array" ref="Y114">MMULT(
    MMULT(
        INDEX($X$5:$AM$77, MATCH(Y$100,_xlfn.ANCHORARRAY( $W$5), 0), 0),
        $F$5:$U$20
    ),
    TRANSPOSE(
        INDEX($X$5:$AM$77, MATCH($A114,_xlfn.ANCHORARRAY( $W$5), 0), 0)
    )
)
/
(
    INDEX($AN$5:$AN$77, MATCH(Y$100,_xlfn.ANCHORARRAY( $W$5), 0))
    *
    INDEX($AN$5:$AN$77, MATCH($A114,_xlfn.ANCHORARRAY( $W$5), 0))
)</f>
        <v>0.46942595071247684</v>
      </c>
      <c r="Z114" s="17" cm="1">
        <f t="array" ref="Z114">MMULT(
    MMULT(
        INDEX($X$5:$AM$77, MATCH(Z$100,_xlfn.ANCHORARRAY( $W$5), 0), 0),
        $F$5:$U$20
    ),
    TRANSPOSE(
        INDEX($X$5:$AM$77, MATCH($A114,_xlfn.ANCHORARRAY( $W$5), 0), 0)
    )
)
/
(
    INDEX($AN$5:$AN$77, MATCH(Z$100,_xlfn.ANCHORARRAY( $W$5), 0))
    *
    INDEX($AN$5:$AN$77, MATCH($A114,_xlfn.ANCHORARRAY( $W$5), 0))
)</f>
        <v>0.94830576645737297</v>
      </c>
      <c r="AA114" s="17" cm="1">
        <f t="array" ref="AA114">MMULT(
    MMULT(
        INDEX($X$5:$AM$77, MATCH(AA$100,_xlfn.ANCHORARRAY( $W$5), 0), 0),
        $F$5:$U$20
    ),
    TRANSPOSE(
        INDEX($X$5:$AM$77, MATCH($A114,_xlfn.ANCHORARRAY( $W$5), 0), 0)
    )
)
/
(
    INDEX($AN$5:$AN$77, MATCH(AA$100,_xlfn.ANCHORARRAY( $W$5), 0))
    *
    INDEX($AN$5:$AN$77, MATCH($A114,_xlfn.ANCHORARRAY( $W$5), 0))
)</f>
        <v>0.951964714638594</v>
      </c>
      <c r="AB114" s="17" cm="1">
        <f t="array" ref="AB114">MMULT(
    MMULT(
        INDEX($X$5:$AM$77, MATCH(AB$100,_xlfn.ANCHORARRAY( $W$5), 0), 0),
        $F$5:$U$20
    ),
    TRANSPOSE(
        INDEX($X$5:$AM$77, MATCH($A114,_xlfn.ANCHORARRAY( $W$5), 0), 0)
    )
)
/
(
    INDEX($AN$5:$AN$77, MATCH(AB$100,_xlfn.ANCHORARRAY( $W$5), 0))
    *
    INDEX($AN$5:$AN$77, MATCH($A114,_xlfn.ANCHORARRAY( $W$5), 0))
)</f>
        <v>0.86500847496209921</v>
      </c>
      <c r="AC114" s="17" cm="1">
        <f t="array" ref="AC114">MMULT(
    MMULT(
        INDEX($X$5:$AM$77, MATCH(AC$100,_xlfn.ANCHORARRAY( $W$5), 0), 0),
        $F$5:$U$20
    ),
    TRANSPOSE(
        INDEX($X$5:$AM$77, MATCH($A114,_xlfn.ANCHORARRAY( $W$5), 0), 0)
    )
)
/
(
    INDEX($AN$5:$AN$77, MATCH(AC$100,_xlfn.ANCHORARRAY( $W$5), 0))
    *
    INDEX($AN$5:$AN$77, MATCH($A114,_xlfn.ANCHORARRAY( $W$5), 0))
)</f>
        <v>0.65837768190056756</v>
      </c>
      <c r="AD114" s="17" cm="1">
        <f t="array" ref="AD114">MMULT(
    MMULT(
        INDEX($X$5:$AM$77, MATCH(AD$100,_xlfn.ANCHORARRAY( $W$5), 0), 0),
        $F$5:$U$20
    ),
    TRANSPOSE(
        INDEX($X$5:$AM$77, MATCH($A114,_xlfn.ANCHORARRAY( $W$5), 0), 0)
    )
)
/
(
    INDEX($AN$5:$AN$77, MATCH(AD$100,_xlfn.ANCHORARRAY( $W$5), 0))
    *
    INDEX($AN$5:$AN$77, MATCH($A114,_xlfn.ANCHORARRAY( $W$5), 0))
)</f>
        <v>0.90548539672658213</v>
      </c>
      <c r="AE114" s="17" cm="1">
        <f t="array" ref="AE114">MMULT(
    MMULT(
        INDEX($X$5:$AM$77, MATCH(AE$100,_xlfn.ANCHORARRAY( $W$5), 0), 0),
        $F$5:$U$20
    ),
    TRANSPOSE(
        INDEX($X$5:$AM$77, MATCH($A114,_xlfn.ANCHORARRAY( $W$5), 0), 0)
    )
)
/
(
    INDEX($AN$5:$AN$77, MATCH(AE$100,_xlfn.ANCHORARRAY( $W$5), 0))
    *
    INDEX($AN$5:$AN$77, MATCH($A114,_xlfn.ANCHORARRAY( $W$5), 0))
)</f>
        <v>0.68721174677641195</v>
      </c>
      <c r="AF114" s="17" cm="1">
        <f t="array" ref="AF114">MMULT(
    MMULT(
        INDEX($X$5:$AM$77, MATCH(AF$100,_xlfn.ANCHORARRAY( $W$5), 0), 0),
        $F$5:$U$20
    ),
    TRANSPOSE(
        INDEX($X$5:$AM$77, MATCH($A114,_xlfn.ANCHORARRAY( $W$5), 0), 0)
    )
)
/
(
    INDEX($AN$5:$AN$77, MATCH(AF$100,_xlfn.ANCHORARRAY( $W$5), 0))
    *
    INDEX($AN$5:$AN$77, MATCH($A114,_xlfn.ANCHORARRAY( $W$5), 0))
)</f>
        <v>0.57189955912614621</v>
      </c>
      <c r="AG114" s="17" cm="1">
        <f t="array" ref="AG114">MMULT(
    MMULT(
        INDEX($X$5:$AM$77, MATCH(AG$100,_xlfn.ANCHORARRAY( $W$5), 0), 0),
        $F$5:$U$20
    ),
    TRANSPOSE(
        INDEX($X$5:$AM$77, MATCH($A114,_xlfn.ANCHORARRAY( $W$5), 0), 0)
    )
)
/
(
    INDEX($AN$5:$AN$77, MATCH(AG$100,_xlfn.ANCHORARRAY( $W$5), 0))
    *
    INDEX($AN$5:$AN$77, MATCH($A114,_xlfn.ANCHORARRAY( $W$5), 0))
)</f>
        <v>0.63830884777426822</v>
      </c>
      <c r="AH114" s="17" cm="1">
        <f t="array" ref="AH114">MMULT(
    MMULT(
        INDEX($X$5:$AM$77, MATCH(AH$100,_xlfn.ANCHORARRAY( $W$5), 0), 0),
        $F$5:$U$20
    ),
    TRANSPOSE(
        INDEX($X$5:$AM$77, MATCH($A114,_xlfn.ANCHORARRAY( $W$5), 0), 0)
    )
)
/
(
    INDEX($AN$5:$AN$77, MATCH(AH$100,_xlfn.ANCHORARRAY( $W$5), 0))
    *
    INDEX($AN$5:$AN$77, MATCH($A114,_xlfn.ANCHORARRAY( $W$5), 0))
)</f>
        <v>0.52176272488535125</v>
      </c>
      <c r="AI114" s="17" cm="1">
        <f t="array" ref="AI114">MMULT(
    MMULT(
        INDEX($X$5:$AM$77, MATCH(AI$100,_xlfn.ANCHORARRAY( $W$5), 0), 0),
        $F$5:$U$20
    ),
    TRANSPOSE(
        INDEX($X$5:$AM$77, MATCH($A114,_xlfn.ANCHORARRAY( $W$5), 0), 0)
    )
)
/
(
    INDEX($AN$5:$AN$77, MATCH(AI$100,_xlfn.ANCHORARRAY( $W$5), 0))
    *
    INDEX($AN$5:$AN$77, MATCH($A114,_xlfn.ANCHORARRAY( $W$5), 0))
)</f>
        <v>0.68527164932340501</v>
      </c>
      <c r="AJ114" s="17" cm="1">
        <f t="array" ref="AJ114">MMULT(
    MMULT(
        INDEX($X$5:$AM$77, MATCH(AJ$100,_xlfn.ANCHORARRAY( $W$5), 0), 0),
        $F$5:$U$20
    ),
    TRANSPOSE(
        INDEX($X$5:$AM$77, MATCH($A114,_xlfn.ANCHORARRAY( $W$5), 0), 0)
    )
)
/
(
    INDEX($AN$5:$AN$77, MATCH(AJ$100,_xlfn.ANCHORARRAY( $W$5), 0))
    *
    INDEX($AN$5:$AN$77, MATCH($A114,_xlfn.ANCHORARRAY( $W$5), 0))
)</f>
        <v>0.91243142188936877</v>
      </c>
      <c r="AK114" s="17" cm="1">
        <f t="array" ref="AK114">MMULT(
    MMULT(
        INDEX($X$5:$AM$77, MATCH(AK$100,_xlfn.ANCHORARRAY( $W$5), 0), 0),
        $F$5:$U$20
    ),
    TRANSPOSE(
        INDEX($X$5:$AM$77, MATCH($A114,_xlfn.ANCHORARRAY( $W$5), 0), 0)
    )
)
/
(
    INDEX($AN$5:$AN$77, MATCH(AK$100,_xlfn.ANCHORARRAY( $W$5), 0))
    *
    INDEX($AN$5:$AN$77, MATCH($A114,_xlfn.ANCHORARRAY( $W$5), 0))
)</f>
        <v>0.73573088408733867</v>
      </c>
      <c r="AL114" s="17" cm="1">
        <f t="array" ref="AL114">MMULT(
    MMULT(
        INDEX($X$5:$AM$77, MATCH(AL$100,_xlfn.ANCHORARRAY( $W$5), 0), 0),
        $F$5:$U$20
    ),
    TRANSPOSE(
        INDEX($X$5:$AM$77, MATCH($A114,_xlfn.ANCHORARRAY( $W$5), 0), 0)
    )
)
/
(
    INDEX($AN$5:$AN$77, MATCH(AL$100,_xlfn.ANCHORARRAY( $W$5), 0))
    *
    INDEX($AN$5:$AN$77, MATCH($A114,_xlfn.ANCHORARRAY( $W$5), 0))
)</f>
        <v>0.98183611926870751</v>
      </c>
      <c r="AM114" s="17" cm="1">
        <f t="array" ref="AM114">MMULT(
    MMULT(
        INDEX($X$5:$AM$77, MATCH(AM$100,_xlfn.ANCHORARRAY( $W$5), 0), 0),
        $F$5:$U$20
    ),
    TRANSPOSE(
        INDEX($X$5:$AM$77, MATCH($A114,_xlfn.ANCHORARRAY( $W$5), 0), 0)
    )
)
/
(
    INDEX($AN$5:$AN$77, MATCH(AM$100,_xlfn.ANCHORARRAY( $W$5), 0))
    *
    INDEX($AN$5:$AN$77, MATCH($A114,_xlfn.ANCHORARRAY( $W$5), 0))
)</f>
        <v>0.61179566694249576</v>
      </c>
      <c r="AN114" s="17" cm="1">
        <f t="array" ref="AN114">MMULT(
    MMULT(
        INDEX($X$5:$AM$77, MATCH(AN$100,_xlfn.ANCHORARRAY( $W$5), 0), 0),
        $F$5:$U$20
    ),
    TRANSPOSE(
        INDEX($X$5:$AM$77, MATCH($A114,_xlfn.ANCHORARRAY( $W$5), 0), 0)
    )
)
/
(
    INDEX($AN$5:$AN$77, MATCH(AN$100,_xlfn.ANCHORARRAY( $W$5), 0))
    *
    INDEX($AN$5:$AN$77, MATCH($A114,_xlfn.ANCHORARRAY( $W$5), 0))
)</f>
        <v>0.57084704491652449</v>
      </c>
      <c r="AO114" s="17" cm="1">
        <f t="array" ref="AO114">MMULT(
    MMULT(
        INDEX($X$5:$AM$77, MATCH(AO$100,_xlfn.ANCHORARRAY( $W$5), 0), 0),
        $F$5:$U$20
    ),
    TRANSPOSE(
        INDEX($X$5:$AM$77, MATCH($A114,_xlfn.ANCHORARRAY( $W$5), 0), 0)
    )
)
/
(
    INDEX($AN$5:$AN$77, MATCH(AO$100,_xlfn.ANCHORARRAY( $W$5), 0))
    *
    INDEX($AN$5:$AN$77, MATCH($A114,_xlfn.ANCHORARRAY( $W$5), 0))
)</f>
        <v>0.54082504753423022</v>
      </c>
      <c r="AP114" s="17" cm="1">
        <f t="array" ref="AP114">MMULT(
    MMULT(
        INDEX($X$5:$AM$77, MATCH(AP$100,_xlfn.ANCHORARRAY( $W$5), 0), 0),
        $F$5:$U$20
    ),
    TRANSPOSE(
        INDEX($X$5:$AM$77, MATCH($A114,_xlfn.ANCHORARRAY( $W$5), 0), 0)
    )
)
/
(
    INDEX($AN$5:$AN$77, MATCH(AP$100,_xlfn.ANCHORARRAY( $W$5), 0))
    *
    INDEX($AN$5:$AN$77, MATCH($A114,_xlfn.ANCHORARRAY( $W$5), 0))
)</f>
        <v>0.61087429395188875</v>
      </c>
      <c r="AQ114" s="17" cm="1">
        <f t="array" ref="AQ114">MMULT(
    MMULT(
        INDEX($X$5:$AM$77, MATCH(AQ$100,_xlfn.ANCHORARRAY( $W$5), 0), 0),
        $F$5:$U$20
    ),
    TRANSPOSE(
        INDEX($X$5:$AM$77, MATCH($A114,_xlfn.ANCHORARRAY( $W$5), 0), 0)
    )
)
/
(
    INDEX($AN$5:$AN$77, MATCH(AQ$100,_xlfn.ANCHORARRAY( $W$5), 0))
    *
    INDEX($AN$5:$AN$77, MATCH($A114,_xlfn.ANCHORARRAY( $W$5), 0))
)</f>
        <v>0.4991651074514919</v>
      </c>
      <c r="AR114" s="17" cm="1">
        <f t="array" ref="AR114">MMULT(
    MMULT(
        INDEX($X$5:$AM$77, MATCH(AR$100,_xlfn.ANCHORARRAY( $W$5), 0), 0),
        $F$5:$U$20
    ),
    TRANSPOSE(
        INDEX($X$5:$AM$77, MATCH($A114,_xlfn.ANCHORARRAY( $W$5), 0), 0)
    )
)
/
(
    INDEX($AN$5:$AN$77, MATCH(AR$100,_xlfn.ANCHORARRAY( $W$5), 0))
    *
    INDEX($AN$5:$AN$77, MATCH($A114,_xlfn.ANCHORARRAY( $W$5), 0))
)</f>
        <v>0.88225182430336457</v>
      </c>
      <c r="AS114" s="17" cm="1">
        <f t="array" ref="AS114">MMULT(
    MMULT(
        INDEX($X$5:$AM$77, MATCH(AS$100,_xlfn.ANCHORARRAY( $W$5), 0), 0),
        $F$5:$U$20
    ),
    TRANSPOSE(
        INDEX($X$5:$AM$77, MATCH($A114,_xlfn.ANCHORARRAY( $W$5), 0), 0)
    )
)
/
(
    INDEX($AN$5:$AN$77, MATCH(AS$100,_xlfn.ANCHORARRAY( $W$5), 0))
    *
    INDEX($AN$5:$AN$77, MATCH($A114,_xlfn.ANCHORARRAY( $W$5), 0))
)</f>
        <v>0.92947071303417872</v>
      </c>
      <c r="AT114" s="17" cm="1">
        <f t="array" ref="AT114">MMULT(
    MMULT(
        INDEX($X$5:$AM$77, MATCH(AT$100,_xlfn.ANCHORARRAY( $W$5), 0), 0),
        $F$5:$U$20
    ),
    TRANSPOSE(
        INDEX($X$5:$AM$77, MATCH($A114,_xlfn.ANCHORARRAY( $W$5), 0), 0)
    )
)
/
(
    INDEX($AN$5:$AN$77, MATCH(AT$100,_xlfn.ANCHORARRAY( $W$5), 0))
    *
    INDEX($AN$5:$AN$77, MATCH($A114,_xlfn.ANCHORARRAY( $W$5), 0))
)</f>
        <v>0.58255347182204487</v>
      </c>
      <c r="AU114" s="17" cm="1">
        <f t="array" ref="AU114">MMULT(
    MMULT(
        INDEX($X$5:$AM$77, MATCH(AU$100,_xlfn.ANCHORARRAY( $W$5), 0), 0),
        $F$5:$U$20
    ),
    TRANSPOSE(
        INDEX($X$5:$AM$77, MATCH($A114,_xlfn.ANCHORARRAY( $W$5), 0), 0)
    )
)
/
(
    INDEX($AN$5:$AN$77, MATCH(AU$100,_xlfn.ANCHORARRAY( $W$5), 0))
    *
    INDEX($AN$5:$AN$77, MATCH($A114,_xlfn.ANCHORARRAY( $W$5), 0))
)</f>
        <v>0.97155705992145502</v>
      </c>
      <c r="AV114" s="17" cm="1">
        <f t="array" ref="AV114">MMULT(
    MMULT(
        INDEX($X$5:$AM$77, MATCH(AV$100,_xlfn.ANCHORARRAY( $W$5), 0), 0),
        $F$5:$U$20
    ),
    TRANSPOSE(
        INDEX($X$5:$AM$77, MATCH($A114,_xlfn.ANCHORARRAY( $W$5), 0), 0)
    )
)
/
(
    INDEX($AN$5:$AN$77, MATCH(AV$100,_xlfn.ANCHORARRAY( $W$5), 0))
    *
    INDEX($AN$5:$AN$77, MATCH($A114,_xlfn.ANCHORARRAY( $W$5), 0))
)</f>
        <v>0.95257546219102662</v>
      </c>
      <c r="AW114" s="17" cm="1">
        <f t="array" ref="AW114">MMULT(
    MMULT(
        INDEX($X$5:$AM$77, MATCH(AW$100,_xlfn.ANCHORARRAY( $W$5), 0), 0),
        $F$5:$U$20
    ),
    TRANSPOSE(
        INDEX($X$5:$AM$77, MATCH($A114,_xlfn.ANCHORARRAY( $W$5), 0), 0)
    )
)
/
(
    INDEX($AN$5:$AN$77, MATCH(AW$100,_xlfn.ANCHORARRAY( $W$5), 0))
    *
    INDEX($AN$5:$AN$77, MATCH($A114,_xlfn.ANCHORARRAY( $W$5), 0))
)</f>
        <v>0.70451708900754073</v>
      </c>
      <c r="AX114" s="17" cm="1">
        <f t="array" ref="AX114">MMULT(
    MMULT(
        INDEX($X$5:$AM$77, MATCH(AX$100,_xlfn.ANCHORARRAY( $W$5), 0), 0),
        $F$5:$U$20
    ),
    TRANSPOSE(
        INDEX($X$5:$AM$77, MATCH($A114,_xlfn.ANCHORARRAY( $W$5), 0), 0)
    )
)
/
(
    INDEX($AN$5:$AN$77, MATCH(AX$100,_xlfn.ANCHORARRAY( $W$5), 0))
    *
    INDEX($AN$5:$AN$77, MATCH($A114,_xlfn.ANCHORARRAY( $W$5), 0))
)</f>
        <v>0.34559657067691257</v>
      </c>
      <c r="AY114" s="17" cm="1">
        <f t="array" ref="AY114">MMULT(
    MMULT(
        INDEX($X$5:$AM$77, MATCH(AY$100,_xlfn.ANCHORARRAY( $W$5), 0), 0),
        $F$5:$U$20
    ),
    TRANSPOSE(
        INDEX($X$5:$AM$77, MATCH($A114,_xlfn.ANCHORARRAY( $W$5), 0), 0)
    )
)
/
(
    INDEX($AN$5:$AN$77, MATCH(AY$100,_xlfn.ANCHORARRAY( $W$5), 0))
    *
    INDEX($AN$5:$AN$77, MATCH($A114,_xlfn.ANCHORARRAY( $W$5), 0))
)</f>
        <v>0.5469654974538124</v>
      </c>
      <c r="AZ114" s="17" cm="1">
        <f t="array" ref="AZ114">MMULT(
    MMULT(
        INDEX($X$5:$AM$77, MATCH(AZ$100,_xlfn.ANCHORARRAY( $W$5), 0), 0),
        $F$5:$U$20
    ),
    TRANSPOSE(
        INDEX($X$5:$AM$77, MATCH($A114,_xlfn.ANCHORARRAY( $W$5), 0), 0)
    )
)
/
(
    INDEX($AN$5:$AN$77, MATCH(AZ$100,_xlfn.ANCHORARRAY( $W$5), 0))
    *
    INDEX($AN$5:$AN$77, MATCH($A114,_xlfn.ANCHORARRAY( $W$5), 0))
)</f>
        <v>0.93494671405422325</v>
      </c>
      <c r="BA114" s="17" cm="1">
        <f t="array" ref="BA114">MMULT(
    MMULT(
        INDEX($X$5:$AM$77, MATCH(BA$100,_xlfn.ANCHORARRAY( $W$5), 0), 0),
        $F$5:$U$20
    ),
    TRANSPOSE(
        INDEX($X$5:$AM$77, MATCH($A114,_xlfn.ANCHORARRAY( $W$5), 0), 0)
    )
)
/
(
    INDEX($AN$5:$AN$77, MATCH(BA$100,_xlfn.ANCHORARRAY( $W$5), 0))
    *
    INDEX($AN$5:$AN$77, MATCH($A114,_xlfn.ANCHORARRAY( $W$5), 0))
)</f>
        <v>0.92051220870490313</v>
      </c>
      <c r="BB114" s="17" cm="1">
        <f t="array" ref="BB114">MMULT(
    MMULT(
        INDEX($X$5:$AM$77, MATCH(BB$100,_xlfn.ANCHORARRAY( $W$5), 0), 0),
        $F$5:$U$20
    ),
    TRANSPOSE(
        INDEX($X$5:$AM$77, MATCH($A114,_xlfn.ANCHORARRAY( $W$5), 0), 0)
    )
)
/
(
    INDEX($AN$5:$AN$77, MATCH(BB$100,_xlfn.ANCHORARRAY( $W$5), 0))
    *
    INDEX($AN$5:$AN$77, MATCH($A114,_xlfn.ANCHORARRAY( $W$5), 0))
)</f>
        <v>0.73784314565425346</v>
      </c>
      <c r="BC114" s="17" cm="1">
        <f t="array" ref="BC114">MMULT(
    MMULT(
        INDEX($X$5:$AM$77, MATCH(BC$100,_xlfn.ANCHORARRAY( $W$5), 0), 0),
        $F$5:$U$20
    ),
    TRANSPOSE(
        INDEX($X$5:$AM$77, MATCH($A114,_xlfn.ANCHORARRAY( $W$5), 0), 0)
    )
)
/
(
    INDEX($AN$5:$AN$77, MATCH(BC$100,_xlfn.ANCHORARRAY( $W$5), 0))
    *
    INDEX($AN$5:$AN$77, MATCH($A114,_xlfn.ANCHORARRAY( $W$5), 0))
)</f>
        <v>0.68531020486588701</v>
      </c>
      <c r="BD114" s="17" cm="1">
        <f t="array" ref="BD114">MMULT(
    MMULT(
        INDEX($X$5:$AM$77, MATCH(BD$100,_xlfn.ANCHORARRAY( $W$5), 0), 0),
        $F$5:$U$20
    ),
    TRANSPOSE(
        INDEX($X$5:$AM$77, MATCH($A114,_xlfn.ANCHORARRAY( $W$5), 0), 0)
    )
)
/
(
    INDEX($AN$5:$AN$77, MATCH(BD$100,_xlfn.ANCHORARRAY( $W$5), 0))
    *
    INDEX($AN$5:$AN$77, MATCH($A114,_xlfn.ANCHORARRAY( $W$5), 0))
)</f>
        <v>0.38617198200126912</v>
      </c>
      <c r="BE114" s="17" cm="1">
        <f t="array" ref="BE114">MMULT(
    MMULT(
        INDEX($X$5:$AM$77, MATCH(BE$100,_xlfn.ANCHORARRAY( $W$5), 0), 0),
        $F$5:$U$20
    ),
    TRANSPOSE(
        INDEX($X$5:$AM$77, MATCH($A114,_xlfn.ANCHORARRAY( $W$5), 0), 0)
    )
)
/
(
    INDEX($AN$5:$AN$77, MATCH(BE$100,_xlfn.ANCHORARRAY( $W$5), 0))
    *
    INDEX($AN$5:$AN$77, MATCH($A114,_xlfn.ANCHORARRAY( $W$5), 0))
)</f>
        <v>0.64057983573725907</v>
      </c>
      <c r="BF114" s="17" cm="1">
        <f t="array" ref="BF114">MMULT(
    MMULT(
        INDEX($X$5:$AM$77, MATCH(BF$100,_xlfn.ANCHORARRAY( $W$5), 0), 0),
        $F$5:$U$20
    ),
    TRANSPOSE(
        INDEX($X$5:$AM$77, MATCH($A114,_xlfn.ANCHORARRAY( $W$5), 0), 0)
    )
)
/
(
    INDEX($AN$5:$AN$77, MATCH(BF$100,_xlfn.ANCHORARRAY( $W$5), 0))
    *
    INDEX($AN$5:$AN$77, MATCH($A114,_xlfn.ANCHORARRAY( $W$5), 0))
)</f>
        <v>0.7421120561269553</v>
      </c>
      <c r="BG114" s="17" cm="1">
        <f t="array" ref="BG114">MMULT(
    MMULT(
        INDEX($X$5:$AM$77, MATCH(BG$100,_xlfn.ANCHORARRAY( $W$5), 0), 0),
        $F$5:$U$20
    ),
    TRANSPOSE(
        INDEX($X$5:$AM$77, MATCH($A114,_xlfn.ANCHORARRAY( $W$5), 0), 0)
    )
)
/
(
    INDEX($AN$5:$AN$77, MATCH(BG$100,_xlfn.ANCHORARRAY( $W$5), 0))
    *
    INDEX($AN$5:$AN$77, MATCH($A114,_xlfn.ANCHORARRAY( $W$5), 0))
)</f>
        <v>0.90433054129159163</v>
      </c>
      <c r="BH114" s="17" cm="1">
        <f t="array" ref="BH114">MMULT(
    MMULT(
        INDEX($X$5:$AM$77, MATCH(BH$100,_xlfn.ANCHORARRAY( $W$5), 0), 0),
        $F$5:$U$20
    ),
    TRANSPOSE(
        INDEX($X$5:$AM$77, MATCH($A114,_xlfn.ANCHORARRAY( $W$5), 0), 0)
    )
)
/
(
    INDEX($AN$5:$AN$77, MATCH(BH$100,_xlfn.ANCHORARRAY( $W$5), 0))
    *
    INDEX($AN$5:$AN$77, MATCH($A114,_xlfn.ANCHORARRAY( $W$5), 0))
)</f>
        <v>0.52660317480072916</v>
      </c>
      <c r="BI114" s="17" cm="1">
        <f t="array" ref="BI114">MMULT(
    MMULT(
        INDEX($X$5:$AM$77, MATCH(BI$100,_xlfn.ANCHORARRAY( $W$5), 0), 0),
        $F$5:$U$20
    ),
    TRANSPOSE(
        INDEX($X$5:$AM$77, MATCH($A114,_xlfn.ANCHORARRAY( $W$5), 0), 0)
    )
)
/
(
    INDEX($AN$5:$AN$77, MATCH(BI$100,_xlfn.ANCHORARRAY( $W$5), 0))
    *
    INDEX($AN$5:$AN$77, MATCH($A114,_xlfn.ANCHORARRAY( $W$5), 0))
)</f>
        <v>0.55591364956893152</v>
      </c>
      <c r="BJ114" s="17" cm="1">
        <f t="array" ref="BJ114">MMULT(
    MMULT(
        INDEX($X$5:$AM$77, MATCH(BJ$100,_xlfn.ANCHORARRAY( $W$5), 0), 0),
        $F$5:$U$20
    ),
    TRANSPOSE(
        INDEX($X$5:$AM$77, MATCH($A114,_xlfn.ANCHORARRAY( $W$5), 0), 0)
    )
)
/
(
    INDEX($AN$5:$AN$77, MATCH(BJ$100,_xlfn.ANCHORARRAY( $W$5), 0))
    *
    INDEX($AN$5:$AN$77, MATCH($A114,_xlfn.ANCHORARRAY( $W$5), 0))
)</f>
        <v>0.69524769608541204</v>
      </c>
      <c r="BK114" s="17" cm="1">
        <f t="array" ref="BK114">MMULT(
    MMULT(
        INDEX($X$5:$AM$77, MATCH(BK$100,_xlfn.ANCHORARRAY( $W$5), 0), 0),
        $F$5:$U$20
    ),
    TRANSPOSE(
        INDEX($X$5:$AM$77, MATCH($A114,_xlfn.ANCHORARRAY( $W$5), 0), 0)
    )
)
/
(
    INDEX($AN$5:$AN$77, MATCH(BK$100,_xlfn.ANCHORARRAY( $W$5), 0))
    *
    INDEX($AN$5:$AN$77, MATCH($A114,_xlfn.ANCHORARRAY( $W$5), 0))
)</f>
        <v>0.40630425983878021</v>
      </c>
      <c r="BL114" s="17" cm="1">
        <f t="array" ref="BL114">MMULT(
    MMULT(
        INDEX($X$5:$AM$77, MATCH(BL$100,_xlfn.ANCHORARRAY( $W$5), 0), 0),
        $F$5:$U$20
    ),
    TRANSPOSE(
        INDEX($X$5:$AM$77, MATCH($A114,_xlfn.ANCHORARRAY( $W$5), 0), 0)
    )
)
/
(
    INDEX($AN$5:$AN$77, MATCH(BL$100,_xlfn.ANCHORARRAY( $W$5), 0))
    *
    INDEX($AN$5:$AN$77, MATCH($A114,_xlfn.ANCHORARRAY( $W$5), 0))
)</f>
        <v>0.88789752463721661</v>
      </c>
      <c r="BM114" s="17" cm="1">
        <f t="array" ref="BM114">MMULT(
    MMULT(
        INDEX($X$5:$AM$77, MATCH(BM$100,_xlfn.ANCHORARRAY( $W$5), 0), 0),
        $F$5:$U$20
    ),
    TRANSPOSE(
        INDEX($X$5:$AM$77, MATCH($A114,_xlfn.ANCHORARRAY( $W$5), 0), 0)
    )
)
/
(
    INDEX($AN$5:$AN$77, MATCH(BM$100,_xlfn.ANCHORARRAY( $W$5), 0))
    *
    INDEX($AN$5:$AN$77, MATCH($A114,_xlfn.ANCHORARRAY( $W$5), 0))
)</f>
        <v>0.77817568636919121</v>
      </c>
      <c r="BN114" s="17" cm="1">
        <f t="array" ref="BN114">MMULT(
    MMULT(
        INDEX($X$5:$AM$77, MATCH(BN$100,_xlfn.ANCHORARRAY( $W$5), 0), 0),
        $F$5:$U$20
    ),
    TRANSPOSE(
        INDEX($X$5:$AM$77, MATCH($A114,_xlfn.ANCHORARRAY( $W$5), 0), 0)
    )
)
/
(
    INDEX($AN$5:$AN$77, MATCH(BN$100,_xlfn.ANCHORARRAY( $W$5), 0))
    *
    INDEX($AN$5:$AN$77, MATCH($A114,_xlfn.ANCHORARRAY( $W$5), 0))
)</f>
        <v>0.5703059673336679</v>
      </c>
      <c r="BO114" s="17" cm="1">
        <f t="array" ref="BO114">MMULT(
    MMULT(
        INDEX($X$5:$AM$77, MATCH(BO$100,_xlfn.ANCHORARRAY( $W$5), 0), 0),
        $F$5:$U$20
    ),
    TRANSPOSE(
        INDEX($X$5:$AM$77, MATCH($A114,_xlfn.ANCHORARRAY( $W$5), 0), 0)
    )
)
/
(
    INDEX($AN$5:$AN$77, MATCH(BO$100,_xlfn.ANCHORARRAY( $W$5), 0))
    *
    INDEX($AN$5:$AN$77, MATCH($A114,_xlfn.ANCHORARRAY( $W$5), 0))
)</f>
        <v>0.83124206366550524</v>
      </c>
      <c r="BP114" s="17" cm="1">
        <f t="array" ref="BP114">MMULT(
    MMULT(
        INDEX($X$5:$AM$77, MATCH(BP$100,_xlfn.ANCHORARRAY( $W$5), 0), 0),
        $F$5:$U$20
    ),
    TRANSPOSE(
        INDEX($X$5:$AM$77, MATCH($A114,_xlfn.ANCHORARRAY( $W$5), 0), 0)
    )
)
/
(
    INDEX($AN$5:$AN$77, MATCH(BP$100,_xlfn.ANCHORARRAY( $W$5), 0))
    *
    INDEX($AN$5:$AN$77, MATCH($A114,_xlfn.ANCHORARRAY( $W$5), 0))
)</f>
        <v>0.74250314777664317</v>
      </c>
      <c r="BQ114" s="17" cm="1">
        <f t="array" ref="BQ114">MMULT(
    MMULT(
        INDEX($X$5:$AM$77, MATCH(BQ$100,_xlfn.ANCHORARRAY( $W$5), 0), 0),
        $F$5:$U$20
    ),
    TRANSPOSE(
        INDEX($X$5:$AM$77, MATCH($A114,_xlfn.ANCHORARRAY( $W$5), 0), 0)
    )
)
/
(
    INDEX($AN$5:$AN$77, MATCH(BQ$100,_xlfn.ANCHORARRAY( $W$5), 0))
    *
    INDEX($AN$5:$AN$77, MATCH($A114,_xlfn.ANCHORARRAY( $W$5), 0))
)</f>
        <v>0.63806479503554081</v>
      </c>
      <c r="BR114" s="17" cm="1">
        <f t="array" ref="BR114">MMULT(
    MMULT(
        INDEX($X$5:$AM$77, MATCH(BR$100,_xlfn.ANCHORARRAY( $W$5), 0), 0),
        $F$5:$U$20
    ),
    TRANSPOSE(
        INDEX($X$5:$AM$77, MATCH($A114,_xlfn.ANCHORARRAY( $W$5), 0), 0)
    )
)
/
(
    INDEX($AN$5:$AN$77, MATCH(BR$100,_xlfn.ANCHORARRAY( $W$5), 0))
    *
    INDEX($AN$5:$AN$77, MATCH($A114,_xlfn.ANCHORARRAY( $W$5), 0))
)</f>
        <v>0.77398773273966193</v>
      </c>
      <c r="BS114" s="17" cm="1">
        <f t="array" ref="BS114">MMULT(
    MMULT(
        INDEX($X$5:$AM$77, MATCH(BS$100,_xlfn.ANCHORARRAY( $W$5), 0), 0),
        $F$5:$U$20
    ),
    TRANSPOSE(
        INDEX($X$5:$AM$77, MATCH($A114,_xlfn.ANCHORARRAY( $W$5), 0), 0)
    )
)
/
(
    INDEX($AN$5:$AN$77, MATCH(BS$100,_xlfn.ANCHORARRAY( $W$5), 0))
    *
    INDEX($AN$5:$AN$77, MATCH($A114,_xlfn.ANCHORARRAY( $W$5), 0))
)</f>
        <v>0.96579287435266348</v>
      </c>
      <c r="BT114" s="17" cm="1">
        <f t="array" ref="BT114">MMULT(
    MMULT(
        INDEX($X$5:$AM$77, MATCH(BT$100,_xlfn.ANCHORARRAY( $W$5), 0), 0),
        $F$5:$U$20
    ),
    TRANSPOSE(
        INDEX($X$5:$AM$77, MATCH($A114,_xlfn.ANCHORARRAY( $W$5), 0), 0)
    )
)
/
(
    INDEX($AN$5:$AN$77, MATCH(BT$100,_xlfn.ANCHORARRAY( $W$5), 0))
    *
    INDEX($AN$5:$AN$77, MATCH($A114,_xlfn.ANCHORARRAY( $W$5), 0))
)</f>
        <v>0.79671875816302529</v>
      </c>
      <c r="BU114" s="17" cm="1">
        <f t="array" ref="BU114">MMULT(
    MMULT(
        INDEX($X$5:$AM$77, MATCH(BU$100,_xlfn.ANCHORARRAY( $W$5), 0), 0),
        $F$5:$U$20
    ),
    TRANSPOSE(
        INDEX($X$5:$AM$77, MATCH($A114,_xlfn.ANCHORARRAY( $W$5), 0), 0)
    )
)
/
(
    INDEX($AN$5:$AN$77, MATCH(BU$100,_xlfn.ANCHORARRAY( $W$5), 0))
    *
    INDEX($AN$5:$AN$77, MATCH($A114,_xlfn.ANCHORARRAY( $W$5), 0))
)</f>
        <v>0.54718014288590411</v>
      </c>
      <c r="BV114" s="17" cm="1">
        <f t="array" ref="BV114">MMULT(
    MMULT(
        INDEX($X$5:$AM$77, MATCH(BV$100,_xlfn.ANCHORARRAY( $W$5), 0), 0),
        $F$5:$U$20
    ),
    TRANSPOSE(
        INDEX($X$5:$AM$77, MATCH($A114,_xlfn.ANCHORARRAY( $W$5), 0), 0)
    )
)
/
(
    INDEX($AN$5:$AN$77, MATCH(BV$100,_xlfn.ANCHORARRAY( $W$5), 0))
    *
    INDEX($AN$5:$AN$77, MATCH($A114,_xlfn.ANCHORARRAY( $W$5), 0))
)</f>
        <v>0.67369292516713208</v>
      </c>
    </row>
    <row r="115" spans="1:74" x14ac:dyDescent="0.3">
      <c r="A115" s="7" t="str">
        <v>Holmes, Grant</v>
      </c>
      <c r="B115" s="17" cm="1">
        <f t="array" ref="B115">MMULT(
    MMULT(
        INDEX($X$5:$AM$77, MATCH(B$100,_xlfn.ANCHORARRAY( $W$5), 0), 0),
        $F$5:$U$20
    ),
    TRANSPOSE(
        INDEX($X$5:$AM$77, MATCH($A115,_xlfn.ANCHORARRAY( $W$5), 0), 0)
    )
)
/
(
    INDEX($AN$5:$AN$77, MATCH(B$100,_xlfn.ANCHORARRAY( $W$5), 0))
    *
    INDEX($AN$5:$AN$77, MATCH($A115,_xlfn.ANCHORARRAY( $W$5), 0))
)</f>
        <v>0.92104240921860103</v>
      </c>
      <c r="C115" s="17" cm="1">
        <f t="array" ref="C115">MMULT(
    MMULT(
        INDEX($X$5:$AM$77, MATCH(C$100,_xlfn.ANCHORARRAY( $W$5), 0), 0),
        $F$5:$U$20
    ),
    TRANSPOSE(
        INDEX($X$5:$AM$77, MATCH($A115,_xlfn.ANCHORARRAY( $W$5), 0), 0)
    )
)
/
(
    INDEX($AN$5:$AN$77, MATCH(C$100,_xlfn.ANCHORARRAY( $W$5), 0))
    *
    INDEX($AN$5:$AN$77, MATCH($A115,_xlfn.ANCHORARRAY( $W$5), 0))
)</f>
        <v>0.75301017896315003</v>
      </c>
      <c r="D115" s="17" cm="1">
        <f t="array" ref="D115">MMULT(
    MMULT(
        INDEX($X$5:$AM$77, MATCH(D$100,_xlfn.ANCHORARRAY( $W$5), 0), 0),
        $F$5:$U$20
    ),
    TRANSPOSE(
        INDEX($X$5:$AM$77, MATCH($A115,_xlfn.ANCHORARRAY( $W$5), 0), 0)
    )
)
/
(
    INDEX($AN$5:$AN$77, MATCH(D$100,_xlfn.ANCHORARRAY( $W$5), 0))
    *
    INDEX($AN$5:$AN$77, MATCH($A115,_xlfn.ANCHORARRAY( $W$5), 0))
)</f>
        <v>0.93849824981875707</v>
      </c>
      <c r="E115" s="17" cm="1">
        <f t="array" ref="E115">MMULT(
    MMULT(
        INDEX($X$5:$AM$77, MATCH(E$100,_xlfn.ANCHORARRAY( $W$5), 0), 0),
        $F$5:$U$20
    ),
    TRANSPOSE(
        INDEX($X$5:$AM$77, MATCH($A115,_xlfn.ANCHORARRAY( $W$5), 0), 0)
    )
)
/
(
    INDEX($AN$5:$AN$77, MATCH(E$100,_xlfn.ANCHORARRAY( $W$5), 0))
    *
    INDEX($AN$5:$AN$77, MATCH($A115,_xlfn.ANCHORARRAY( $W$5), 0))
)</f>
        <v>0.84686072627171294</v>
      </c>
      <c r="F115" s="17" cm="1">
        <f t="array" ref="F115">MMULT(
    MMULT(
        INDEX($X$5:$AM$77, MATCH(F$100,_xlfn.ANCHORARRAY( $W$5), 0), 0),
        $F$5:$U$20
    ),
    TRANSPOSE(
        INDEX($X$5:$AM$77, MATCH($A115,_xlfn.ANCHORARRAY( $W$5), 0), 0)
    )
)
/
(
    INDEX($AN$5:$AN$77, MATCH(F$100,_xlfn.ANCHORARRAY( $W$5), 0))
    *
    INDEX($AN$5:$AN$77, MATCH($A115,_xlfn.ANCHORARRAY( $W$5), 0))
)</f>
        <v>0.92788987898202446</v>
      </c>
      <c r="G115" s="17" cm="1">
        <f t="array" ref="G115">MMULT(
    MMULT(
        INDEX($X$5:$AM$77, MATCH(G$100,_xlfn.ANCHORARRAY( $W$5), 0), 0),
        $F$5:$U$20
    ),
    TRANSPOSE(
        INDEX($X$5:$AM$77, MATCH($A115,_xlfn.ANCHORARRAY( $W$5), 0), 0)
    )
)
/
(
    INDEX($AN$5:$AN$77, MATCH(G$100,_xlfn.ANCHORARRAY( $W$5), 0))
    *
    INDEX($AN$5:$AN$77, MATCH($A115,_xlfn.ANCHORARRAY( $W$5), 0))
)</f>
        <v>0.68747150049546402</v>
      </c>
      <c r="H115" s="17" cm="1">
        <f t="array" ref="H115">MMULT(
    MMULT(
        INDEX($X$5:$AM$77, MATCH(H$100,_xlfn.ANCHORARRAY( $W$5), 0), 0),
        $F$5:$U$20
    ),
    TRANSPOSE(
        INDEX($X$5:$AM$77, MATCH($A115,_xlfn.ANCHORARRAY( $W$5), 0), 0)
    )
)
/
(
    INDEX($AN$5:$AN$77, MATCH(H$100,_xlfn.ANCHORARRAY( $W$5), 0))
    *
    INDEX($AN$5:$AN$77, MATCH($A115,_xlfn.ANCHORARRAY( $W$5), 0))
)</f>
        <v>0.7320463604105838</v>
      </c>
      <c r="I115" s="17" cm="1">
        <f t="array" ref="I115">MMULT(
    MMULT(
        INDEX($X$5:$AM$77, MATCH(I$100,_xlfn.ANCHORARRAY( $W$5), 0), 0),
        $F$5:$U$20
    ),
    TRANSPOSE(
        INDEX($X$5:$AM$77, MATCH($A115,_xlfn.ANCHORARRAY( $W$5), 0), 0)
    )
)
/
(
    INDEX($AN$5:$AN$77, MATCH(I$100,_xlfn.ANCHORARRAY( $W$5), 0))
    *
    INDEX($AN$5:$AN$77, MATCH($A115,_xlfn.ANCHORARRAY( $W$5), 0))
)</f>
        <v>0.77149318602799544</v>
      </c>
      <c r="J115" s="17" cm="1">
        <f t="array" ref="J115">MMULT(
    MMULT(
        INDEX($X$5:$AM$77, MATCH(J$100,_xlfn.ANCHORARRAY( $W$5), 0), 0),
        $F$5:$U$20
    ),
    TRANSPOSE(
        INDEX($X$5:$AM$77, MATCH($A115,_xlfn.ANCHORARRAY( $W$5), 0), 0)
    )
)
/
(
    INDEX($AN$5:$AN$77, MATCH(J$100,_xlfn.ANCHORARRAY( $W$5), 0))
    *
    INDEX($AN$5:$AN$77, MATCH($A115,_xlfn.ANCHORARRAY( $W$5), 0))
)</f>
        <v>0.92900515843954123</v>
      </c>
      <c r="K115" s="17" cm="1">
        <f t="array" ref="K115">MMULT(
    MMULT(
        INDEX($X$5:$AM$77, MATCH(K$100,_xlfn.ANCHORARRAY( $W$5), 0), 0),
        $F$5:$U$20
    ),
    TRANSPOSE(
        INDEX($X$5:$AM$77, MATCH($A115,_xlfn.ANCHORARRAY( $W$5), 0), 0)
    )
)
/
(
    INDEX($AN$5:$AN$77, MATCH(K$100,_xlfn.ANCHORARRAY( $W$5), 0))
    *
    INDEX($AN$5:$AN$77, MATCH($A115,_xlfn.ANCHORARRAY( $W$5), 0))
)</f>
        <v>0.83425175168114074</v>
      </c>
      <c r="L115" s="17" cm="1">
        <f t="array" ref="L115">MMULT(
    MMULT(
        INDEX($X$5:$AM$77, MATCH(L$100,_xlfn.ANCHORARRAY( $W$5), 0), 0),
        $F$5:$U$20
    ),
    TRANSPOSE(
        INDEX($X$5:$AM$77, MATCH($A115,_xlfn.ANCHORARRAY( $W$5), 0), 0)
    )
)
/
(
    INDEX($AN$5:$AN$77, MATCH(L$100,_xlfn.ANCHORARRAY( $W$5), 0))
    *
    INDEX($AN$5:$AN$77, MATCH($A115,_xlfn.ANCHORARRAY( $W$5), 0))
)</f>
        <v>0.67536074314733407</v>
      </c>
      <c r="M115" s="17" cm="1">
        <f t="array" ref="M115">MMULT(
    MMULT(
        INDEX($X$5:$AM$77, MATCH(M$100,_xlfn.ANCHORARRAY( $W$5), 0), 0),
        $F$5:$U$20
    ),
    TRANSPOSE(
        INDEX($X$5:$AM$77, MATCH($A115,_xlfn.ANCHORARRAY( $W$5), 0), 0)
    )
)
/
(
    INDEX($AN$5:$AN$77, MATCH(M$100,_xlfn.ANCHORARRAY( $W$5), 0))
    *
    INDEX($AN$5:$AN$77, MATCH($A115,_xlfn.ANCHORARRAY( $W$5), 0))
)</f>
        <v>0.75800082799025725</v>
      </c>
      <c r="N115" s="17" cm="1">
        <f t="array" ref="N115">MMULT(
    MMULT(
        INDEX($X$5:$AM$77, MATCH(N$100,_xlfn.ANCHORARRAY( $W$5), 0), 0),
        $F$5:$U$20
    ),
    TRANSPOSE(
        INDEX($X$5:$AM$77, MATCH($A115,_xlfn.ANCHORARRAY( $W$5), 0), 0)
    )
)
/
(
    INDEX($AN$5:$AN$77, MATCH(N$100,_xlfn.ANCHORARRAY( $W$5), 0))
    *
    INDEX($AN$5:$AN$77, MATCH($A115,_xlfn.ANCHORARRAY( $W$5), 0))
)</f>
        <v>0.94910104671067463</v>
      </c>
      <c r="O115" s="17" cm="1">
        <f t="array" ref="O115">MMULT(
    MMULT(
        INDEX($X$5:$AM$77, MATCH(O$100,_xlfn.ANCHORARRAY( $W$5), 0), 0),
        $F$5:$U$20
    ),
    TRANSPOSE(
        INDEX($X$5:$AM$77, MATCH($A115,_xlfn.ANCHORARRAY( $W$5), 0), 0)
    )
)
/
(
    INDEX($AN$5:$AN$77, MATCH(O$100,_xlfn.ANCHORARRAY( $W$5), 0))
    *
    INDEX($AN$5:$AN$77, MATCH($A115,_xlfn.ANCHORARRAY( $W$5), 0))
)</f>
        <v>0.89371245146919465</v>
      </c>
      <c r="P115" s="17" cm="1">
        <f t="array" ref="P115">MMULT(
    MMULT(
        INDEX($X$5:$AM$77, MATCH(P$100,_xlfn.ANCHORARRAY( $W$5), 0), 0),
        $F$5:$U$20
    ),
    TRANSPOSE(
        INDEX($X$5:$AM$77, MATCH($A115,_xlfn.ANCHORARRAY( $W$5), 0), 0)
    )
)
/
(
    INDEX($AN$5:$AN$77, MATCH(P$100,_xlfn.ANCHORARRAY( $W$5), 0))
    *
    INDEX($AN$5:$AN$77, MATCH($A115,_xlfn.ANCHORARRAY( $W$5), 0))
)</f>
        <v>0.99999999999999989</v>
      </c>
      <c r="Q115" s="17" cm="1">
        <f t="array" ref="Q115">MMULT(
    MMULT(
        INDEX($X$5:$AM$77, MATCH(Q$100,_xlfn.ANCHORARRAY( $W$5), 0), 0),
        $F$5:$U$20
    ),
    TRANSPOSE(
        INDEX($X$5:$AM$77, MATCH($A115,_xlfn.ANCHORARRAY( $W$5), 0), 0)
    )
)
/
(
    INDEX($AN$5:$AN$77, MATCH(Q$100,_xlfn.ANCHORARRAY( $W$5), 0))
    *
    INDEX($AN$5:$AN$77, MATCH($A115,_xlfn.ANCHORARRAY( $W$5), 0))
)</f>
        <v>0.768632354408469</v>
      </c>
      <c r="R115" s="17" cm="1">
        <f t="array" ref="R115">MMULT(
    MMULT(
        INDEX($X$5:$AM$77, MATCH(R$100,_xlfn.ANCHORARRAY( $W$5), 0), 0),
        $F$5:$U$20
    ),
    TRANSPOSE(
        INDEX($X$5:$AM$77, MATCH($A115,_xlfn.ANCHORARRAY( $W$5), 0), 0)
    )
)
/
(
    INDEX($AN$5:$AN$77, MATCH(R$100,_xlfn.ANCHORARRAY( $W$5), 0))
    *
    INDEX($AN$5:$AN$77, MATCH($A115,_xlfn.ANCHORARRAY( $W$5), 0))
)</f>
        <v>0.9016618176062341</v>
      </c>
      <c r="S115" s="17" cm="1">
        <f t="array" ref="S115">MMULT(
    MMULT(
        INDEX($X$5:$AM$77, MATCH(S$100,_xlfn.ANCHORARRAY( $W$5), 0), 0),
        $F$5:$U$20
    ),
    TRANSPOSE(
        INDEX($X$5:$AM$77, MATCH($A115,_xlfn.ANCHORARRAY( $W$5), 0), 0)
    )
)
/
(
    INDEX($AN$5:$AN$77, MATCH(S$100,_xlfn.ANCHORARRAY( $W$5), 0))
    *
    INDEX($AN$5:$AN$77, MATCH($A115,_xlfn.ANCHORARRAY( $W$5), 0))
)</f>
        <v>0.83915549666572731</v>
      </c>
      <c r="T115" s="17" cm="1">
        <f t="array" ref="T115">MMULT(
    MMULT(
        INDEX($X$5:$AM$77, MATCH(T$100,_xlfn.ANCHORARRAY( $W$5), 0), 0),
        $F$5:$U$20
    ),
    TRANSPOSE(
        INDEX($X$5:$AM$77, MATCH($A115,_xlfn.ANCHORARRAY( $W$5), 0), 0)
    )
)
/
(
    INDEX($AN$5:$AN$77, MATCH(T$100,_xlfn.ANCHORARRAY( $W$5), 0))
    *
    INDEX($AN$5:$AN$77, MATCH($A115,_xlfn.ANCHORARRAY( $W$5), 0))
)</f>
        <v>0.53962967083078395</v>
      </c>
      <c r="U115" s="17" cm="1">
        <f t="array" ref="U115">MMULT(
    MMULT(
        INDEX($X$5:$AM$77, MATCH(U$100,_xlfn.ANCHORARRAY( $W$5), 0), 0),
        $F$5:$U$20
    ),
    TRANSPOSE(
        INDEX($X$5:$AM$77, MATCH($A115,_xlfn.ANCHORARRAY( $W$5), 0), 0)
    )
)
/
(
    INDEX($AN$5:$AN$77, MATCH(U$100,_xlfn.ANCHORARRAY( $W$5), 0))
    *
    INDEX($AN$5:$AN$77, MATCH($A115,_xlfn.ANCHORARRAY( $W$5), 0))
)</f>
        <v>0.96492549022452134</v>
      </c>
      <c r="V115" s="17" cm="1">
        <f t="array" ref="V115">MMULT(
    MMULT(
        INDEX($X$5:$AM$77, MATCH(V$100,_xlfn.ANCHORARRAY( $W$5), 0), 0),
        $F$5:$U$20
    ),
    TRANSPOSE(
        INDEX($X$5:$AM$77, MATCH($A115,_xlfn.ANCHORARRAY( $W$5), 0), 0)
    )
)
/
(
    INDEX($AN$5:$AN$77, MATCH(V$100,_xlfn.ANCHORARRAY( $W$5), 0))
    *
    INDEX($AN$5:$AN$77, MATCH($A115,_xlfn.ANCHORARRAY( $W$5), 0))
)</f>
        <v>0.60513427151416566</v>
      </c>
      <c r="W115" s="17" cm="1">
        <f t="array" ref="W115">MMULT(
    MMULT(
        INDEX($X$5:$AM$77, MATCH(W$100,_xlfn.ANCHORARRAY( $W$5), 0), 0),
        $F$5:$U$20
    ),
    TRANSPOSE(
        INDEX($X$5:$AM$77, MATCH($A115,_xlfn.ANCHORARRAY( $W$5), 0), 0)
    )
)
/
(
    INDEX($AN$5:$AN$77, MATCH(W$100,_xlfn.ANCHORARRAY( $W$5), 0))
    *
    INDEX($AN$5:$AN$77, MATCH($A115,_xlfn.ANCHORARRAY( $W$5), 0))
)</f>
        <v>0.75538415966209616</v>
      </c>
      <c r="X115" s="17" cm="1">
        <f t="array" ref="X115">MMULT(
    MMULT(
        INDEX($X$5:$AM$77, MATCH(X$100,_xlfn.ANCHORARRAY( $W$5), 0), 0),
        $F$5:$U$20
    ),
    TRANSPOSE(
        INDEX($X$5:$AM$77, MATCH($A115,_xlfn.ANCHORARRAY( $W$5), 0), 0)
    )
)
/
(
    INDEX($AN$5:$AN$77, MATCH(X$100,_xlfn.ANCHORARRAY( $W$5), 0))
    *
    INDEX($AN$5:$AN$77, MATCH($A115,_xlfn.ANCHORARRAY( $W$5), 0))
)</f>
        <v>0.93342108357573206</v>
      </c>
      <c r="Y115" s="17" cm="1">
        <f t="array" ref="Y115">MMULT(
    MMULT(
        INDEX($X$5:$AM$77, MATCH(Y$100,_xlfn.ANCHORARRAY( $W$5), 0), 0),
        $F$5:$U$20
    ),
    TRANSPOSE(
        INDEX($X$5:$AM$77, MATCH($A115,_xlfn.ANCHORARRAY( $W$5), 0), 0)
    )
)
/
(
    INDEX($AN$5:$AN$77, MATCH(Y$100,_xlfn.ANCHORARRAY( $W$5), 0))
    *
    INDEX($AN$5:$AN$77, MATCH($A115,_xlfn.ANCHORARRAY( $W$5), 0))
)</f>
        <v>0.70559311251832257</v>
      </c>
      <c r="Z115" s="17" cm="1">
        <f t="array" ref="Z115">MMULT(
    MMULT(
        INDEX($X$5:$AM$77, MATCH(Z$100,_xlfn.ANCHORARRAY( $W$5), 0), 0),
        $F$5:$U$20
    ),
    TRANSPOSE(
        INDEX($X$5:$AM$77, MATCH($A115,_xlfn.ANCHORARRAY( $W$5), 0), 0)
    )
)
/
(
    INDEX($AN$5:$AN$77, MATCH(Z$100,_xlfn.ANCHORARRAY( $W$5), 0))
    *
    INDEX($AN$5:$AN$77, MATCH($A115,_xlfn.ANCHORARRAY( $W$5), 0))
)</f>
        <v>0.9413234297936508</v>
      </c>
      <c r="AA115" s="17" cm="1">
        <f t="array" ref="AA115">MMULT(
    MMULT(
        INDEX($X$5:$AM$77, MATCH(AA$100,_xlfn.ANCHORARRAY( $W$5), 0), 0),
        $F$5:$U$20
    ),
    TRANSPOSE(
        INDEX($X$5:$AM$77, MATCH($A115,_xlfn.ANCHORARRAY( $W$5), 0), 0)
    )
)
/
(
    INDEX($AN$5:$AN$77, MATCH(AA$100,_xlfn.ANCHORARRAY( $W$5), 0))
    *
    INDEX($AN$5:$AN$77, MATCH($A115,_xlfn.ANCHORARRAY( $W$5), 0))
)</f>
        <v>0.975121996977661</v>
      </c>
      <c r="AB115" s="17" cm="1">
        <f t="array" ref="AB115">MMULT(
    MMULT(
        INDEX($X$5:$AM$77, MATCH(AB$100,_xlfn.ANCHORARRAY( $W$5), 0), 0),
        $F$5:$U$20
    ),
    TRANSPOSE(
        INDEX($X$5:$AM$77, MATCH($A115,_xlfn.ANCHORARRAY( $W$5), 0), 0)
    )
)
/
(
    INDEX($AN$5:$AN$77, MATCH(AB$100,_xlfn.ANCHORARRAY( $W$5), 0))
    *
    INDEX($AN$5:$AN$77, MATCH($A115,_xlfn.ANCHORARRAY( $W$5), 0))
)</f>
        <v>0.93558875696649613</v>
      </c>
      <c r="AC115" s="17" cm="1">
        <f t="array" ref="AC115">MMULT(
    MMULT(
        INDEX($X$5:$AM$77, MATCH(AC$100,_xlfn.ANCHORARRAY( $W$5), 0), 0),
        $F$5:$U$20
    ),
    TRANSPOSE(
        INDEX($X$5:$AM$77, MATCH($A115,_xlfn.ANCHORARRAY( $W$5), 0), 0)
    )
)
/
(
    INDEX($AN$5:$AN$77, MATCH(AC$100,_xlfn.ANCHORARRAY( $W$5), 0))
    *
    INDEX($AN$5:$AN$77, MATCH($A115,_xlfn.ANCHORARRAY( $W$5), 0))
)</f>
        <v>0.81866712110628326</v>
      </c>
      <c r="AD115" s="17" cm="1">
        <f t="array" ref="AD115">MMULT(
    MMULT(
        INDEX($X$5:$AM$77, MATCH(AD$100,_xlfn.ANCHORARRAY( $W$5), 0), 0),
        $F$5:$U$20
    ),
    TRANSPOSE(
        INDEX($X$5:$AM$77, MATCH($A115,_xlfn.ANCHORARRAY( $W$5), 0), 0)
    )
)
/
(
    INDEX($AN$5:$AN$77, MATCH(AD$100,_xlfn.ANCHORARRAY( $W$5), 0))
    *
    INDEX($AN$5:$AN$77, MATCH($A115,_xlfn.ANCHORARRAY( $W$5), 0))
)</f>
        <v>0.93677813448320124</v>
      </c>
      <c r="AE115" s="17" cm="1">
        <f t="array" ref="AE115">MMULT(
    MMULT(
        INDEX($X$5:$AM$77, MATCH(AE$100,_xlfn.ANCHORARRAY( $W$5), 0), 0),
        $F$5:$U$20
    ),
    TRANSPOSE(
        INDEX($X$5:$AM$77, MATCH($A115,_xlfn.ANCHORARRAY( $W$5), 0), 0)
    )
)
/
(
    INDEX($AN$5:$AN$77, MATCH(AE$100,_xlfn.ANCHORARRAY( $W$5), 0))
    *
    INDEX($AN$5:$AN$77, MATCH($A115,_xlfn.ANCHORARRAY( $W$5), 0))
)</f>
        <v>0.81921475146872036</v>
      </c>
      <c r="AF115" s="17" cm="1">
        <f t="array" ref="AF115">MMULT(
    MMULT(
        INDEX($X$5:$AM$77, MATCH(AF$100,_xlfn.ANCHORARRAY( $W$5), 0), 0),
        $F$5:$U$20
    ),
    TRANSPOSE(
        INDEX($X$5:$AM$77, MATCH($A115,_xlfn.ANCHORARRAY( $W$5), 0), 0)
    )
)
/
(
    INDEX($AN$5:$AN$77, MATCH(AF$100,_xlfn.ANCHORARRAY( $W$5), 0))
    *
    INDEX($AN$5:$AN$77, MATCH($A115,_xlfn.ANCHORARRAY( $W$5), 0))
)</f>
        <v>0.8250698744078937</v>
      </c>
      <c r="AG115" s="17" cm="1">
        <f t="array" ref="AG115">MMULT(
    MMULT(
        INDEX($X$5:$AM$77, MATCH(AG$100,_xlfn.ANCHORARRAY( $W$5), 0), 0),
        $F$5:$U$20
    ),
    TRANSPOSE(
        INDEX($X$5:$AM$77, MATCH($A115,_xlfn.ANCHORARRAY( $W$5), 0), 0)
    )
)
/
(
    INDEX($AN$5:$AN$77, MATCH(AG$100,_xlfn.ANCHORARRAY( $W$5), 0))
    *
    INDEX($AN$5:$AN$77, MATCH($A115,_xlfn.ANCHORARRAY( $W$5), 0))
)</f>
        <v>0.80875424058454026</v>
      </c>
      <c r="AH115" s="17" cm="1">
        <f t="array" ref="AH115">MMULT(
    MMULT(
        INDEX($X$5:$AM$77, MATCH(AH$100,_xlfn.ANCHORARRAY( $W$5), 0), 0),
        $F$5:$U$20
    ),
    TRANSPOSE(
        INDEX($X$5:$AM$77, MATCH($A115,_xlfn.ANCHORARRAY( $W$5), 0), 0)
    )
)
/
(
    INDEX($AN$5:$AN$77, MATCH(AH$100,_xlfn.ANCHORARRAY( $W$5), 0))
    *
    INDEX($AN$5:$AN$77, MATCH($A115,_xlfn.ANCHORARRAY( $W$5), 0))
)</f>
        <v>0.58090591283716098</v>
      </c>
      <c r="AI115" s="17" cm="1">
        <f t="array" ref="AI115">MMULT(
    MMULT(
        INDEX($X$5:$AM$77, MATCH(AI$100,_xlfn.ANCHORARRAY( $W$5), 0), 0),
        $F$5:$U$20
    ),
    TRANSPOSE(
        INDEX($X$5:$AM$77, MATCH($A115,_xlfn.ANCHORARRAY( $W$5), 0), 0)
    )
)
/
(
    INDEX($AN$5:$AN$77, MATCH(AI$100,_xlfn.ANCHORARRAY( $W$5), 0))
    *
    INDEX($AN$5:$AN$77, MATCH($A115,_xlfn.ANCHORARRAY( $W$5), 0))
)</f>
        <v>0.82414260398611894</v>
      </c>
      <c r="AJ115" s="17" cm="1">
        <f t="array" ref="AJ115">MMULT(
    MMULT(
        INDEX($X$5:$AM$77, MATCH(AJ$100,_xlfn.ANCHORARRAY( $W$5), 0), 0),
        $F$5:$U$20
    ),
    TRANSPOSE(
        INDEX($X$5:$AM$77, MATCH($A115,_xlfn.ANCHORARRAY( $W$5), 0), 0)
    )
)
/
(
    INDEX($AN$5:$AN$77, MATCH(AJ$100,_xlfn.ANCHORARRAY( $W$5), 0))
    *
    INDEX($AN$5:$AN$77, MATCH($A115,_xlfn.ANCHORARRAY( $W$5), 0))
)</f>
        <v>0.98533236375071431</v>
      </c>
      <c r="AK115" s="17" cm="1">
        <f t="array" ref="AK115">MMULT(
    MMULT(
        INDEX($X$5:$AM$77, MATCH(AK$100,_xlfn.ANCHORARRAY( $W$5), 0), 0),
        $F$5:$U$20
    ),
    TRANSPOSE(
        INDEX($X$5:$AM$77, MATCH($A115,_xlfn.ANCHORARRAY( $W$5), 0), 0)
    )
)
/
(
    INDEX($AN$5:$AN$77, MATCH(AK$100,_xlfn.ANCHORARRAY( $W$5), 0))
    *
    INDEX($AN$5:$AN$77, MATCH($A115,_xlfn.ANCHORARRAY( $W$5), 0))
)</f>
        <v>0.85659387957288058</v>
      </c>
      <c r="AL115" s="17" cm="1">
        <f t="array" ref="AL115">MMULT(
    MMULT(
        INDEX($X$5:$AM$77, MATCH(AL$100,_xlfn.ANCHORARRAY( $W$5), 0), 0),
        $F$5:$U$20
    ),
    TRANSPOSE(
        INDEX($X$5:$AM$77, MATCH($A115,_xlfn.ANCHORARRAY( $W$5), 0), 0)
    )
)
/
(
    INDEX($AN$5:$AN$77, MATCH(AL$100,_xlfn.ANCHORARRAY( $W$5), 0))
    *
    INDEX($AN$5:$AN$77, MATCH($A115,_xlfn.ANCHORARRAY( $W$5), 0))
)</f>
        <v>0.92145029781131804</v>
      </c>
      <c r="AM115" s="17" cm="1">
        <f t="array" ref="AM115">MMULT(
    MMULT(
        INDEX($X$5:$AM$77, MATCH(AM$100,_xlfn.ANCHORARRAY( $W$5), 0), 0),
        $F$5:$U$20
    ),
    TRANSPOSE(
        INDEX($X$5:$AM$77, MATCH($A115,_xlfn.ANCHORARRAY( $W$5), 0), 0)
    )
)
/
(
    INDEX($AN$5:$AN$77, MATCH(AM$100,_xlfn.ANCHORARRAY( $W$5), 0))
    *
    INDEX($AN$5:$AN$77, MATCH($A115,_xlfn.ANCHORARRAY( $W$5), 0))
)</f>
        <v>0.74327452652279391</v>
      </c>
      <c r="AN115" s="17" cm="1">
        <f t="array" ref="AN115">MMULT(
    MMULT(
        INDEX($X$5:$AM$77, MATCH(AN$100,_xlfn.ANCHORARRAY( $W$5), 0), 0),
        $F$5:$U$20
    ),
    TRANSPOSE(
        INDEX($X$5:$AM$77, MATCH($A115,_xlfn.ANCHORARRAY( $W$5), 0), 0)
    )
)
/
(
    INDEX($AN$5:$AN$77, MATCH(AN$100,_xlfn.ANCHORARRAY( $W$5), 0))
    *
    INDEX($AN$5:$AN$77, MATCH($A115,_xlfn.ANCHORARRAY( $W$5), 0))
)</f>
        <v>0.65947139644323483</v>
      </c>
      <c r="AO115" s="17" cm="1">
        <f t="array" ref="AO115">MMULT(
    MMULT(
        INDEX($X$5:$AM$77, MATCH(AO$100,_xlfn.ANCHORARRAY( $W$5), 0), 0),
        $F$5:$U$20
    ),
    TRANSPOSE(
        INDEX($X$5:$AM$77, MATCH($A115,_xlfn.ANCHORARRAY( $W$5), 0), 0)
    )
)
/
(
    INDEX($AN$5:$AN$77, MATCH(AO$100,_xlfn.ANCHORARRAY( $W$5), 0))
    *
    INDEX($AN$5:$AN$77, MATCH($A115,_xlfn.ANCHORARRAY( $W$5), 0))
)</f>
        <v>0.733065043873668</v>
      </c>
      <c r="AP115" s="17" cm="1">
        <f t="array" ref="AP115">MMULT(
    MMULT(
        INDEX($X$5:$AM$77, MATCH(AP$100,_xlfn.ANCHORARRAY( $W$5), 0), 0),
        $F$5:$U$20
    ),
    TRANSPOSE(
        INDEX($X$5:$AM$77, MATCH($A115,_xlfn.ANCHORARRAY( $W$5), 0), 0)
    )
)
/
(
    INDEX($AN$5:$AN$77, MATCH(AP$100,_xlfn.ANCHORARRAY( $W$5), 0))
    *
    INDEX($AN$5:$AN$77, MATCH($A115,_xlfn.ANCHORARRAY( $W$5), 0))
)</f>
        <v>0.713423149765674</v>
      </c>
      <c r="AQ115" s="17" cm="1">
        <f t="array" ref="AQ115">MMULT(
    MMULT(
        INDEX($X$5:$AM$77, MATCH(AQ$100,_xlfn.ANCHORARRAY( $W$5), 0), 0),
        $F$5:$U$20
    ),
    TRANSPOSE(
        INDEX($X$5:$AM$77, MATCH($A115,_xlfn.ANCHORARRAY( $W$5), 0), 0)
    )
)
/
(
    INDEX($AN$5:$AN$77, MATCH(AQ$100,_xlfn.ANCHORARRAY( $W$5), 0))
    *
    INDEX($AN$5:$AN$77, MATCH($A115,_xlfn.ANCHORARRAY( $W$5), 0))
)</f>
        <v>0.7895580027391732</v>
      </c>
      <c r="AR115" s="17" cm="1">
        <f t="array" ref="AR115">MMULT(
    MMULT(
        INDEX($X$5:$AM$77, MATCH(AR$100,_xlfn.ANCHORARRAY( $W$5), 0), 0),
        $F$5:$U$20
    ),
    TRANSPOSE(
        INDEX($X$5:$AM$77, MATCH($A115,_xlfn.ANCHORARRAY( $W$5), 0), 0)
    )
)
/
(
    INDEX($AN$5:$AN$77, MATCH(AR$100,_xlfn.ANCHORARRAY( $W$5), 0))
    *
    INDEX($AN$5:$AN$77, MATCH($A115,_xlfn.ANCHORARRAY( $W$5), 0))
)</f>
        <v>0.98480683575770256</v>
      </c>
      <c r="AS115" s="17" cm="1">
        <f t="array" ref="AS115">MMULT(
    MMULT(
        INDEX($X$5:$AM$77, MATCH(AS$100,_xlfn.ANCHORARRAY( $W$5), 0), 0),
        $F$5:$U$20
    ),
    TRANSPOSE(
        INDEX($X$5:$AM$77, MATCH($A115,_xlfn.ANCHORARRAY( $W$5), 0), 0)
    )
)
/
(
    INDEX($AN$5:$AN$77, MATCH(AS$100,_xlfn.ANCHORARRAY( $W$5), 0))
    *
    INDEX($AN$5:$AN$77, MATCH($A115,_xlfn.ANCHORARRAY( $W$5), 0))
)</f>
        <v>0.87718933091602336</v>
      </c>
      <c r="AT115" s="17" cm="1">
        <f t="array" ref="AT115">MMULT(
    MMULT(
        INDEX($X$5:$AM$77, MATCH(AT$100,_xlfn.ANCHORARRAY( $W$5), 0), 0),
        $F$5:$U$20
    ),
    TRANSPOSE(
        INDEX($X$5:$AM$77, MATCH($A115,_xlfn.ANCHORARRAY( $W$5), 0), 0)
    )
)
/
(
    INDEX($AN$5:$AN$77, MATCH(AT$100,_xlfn.ANCHORARRAY( $W$5), 0))
    *
    INDEX($AN$5:$AN$77, MATCH($A115,_xlfn.ANCHORARRAY( $W$5), 0))
)</f>
        <v>0.74842709061874224</v>
      </c>
      <c r="AU115" s="17" cm="1">
        <f t="array" ref="AU115">MMULT(
    MMULT(
        INDEX($X$5:$AM$77, MATCH(AU$100,_xlfn.ANCHORARRAY( $W$5), 0), 0),
        $F$5:$U$20
    ),
    TRANSPOSE(
        INDEX($X$5:$AM$77, MATCH($A115,_xlfn.ANCHORARRAY( $W$5), 0), 0)
    )
)
/
(
    INDEX($AN$5:$AN$77, MATCH(AU$100,_xlfn.ANCHORARRAY( $W$5), 0))
    *
    INDEX($AN$5:$AN$77, MATCH($A115,_xlfn.ANCHORARRAY( $W$5), 0))
)</f>
        <v>0.91987059167246832</v>
      </c>
      <c r="AV115" s="17" cm="1">
        <f t="array" ref="AV115">MMULT(
    MMULT(
        INDEX($X$5:$AM$77, MATCH(AV$100,_xlfn.ANCHORARRAY( $W$5), 0), 0),
        $F$5:$U$20
    ),
    TRANSPOSE(
        INDEX($X$5:$AM$77, MATCH($A115,_xlfn.ANCHORARRAY( $W$5), 0), 0)
    )
)
/
(
    INDEX($AN$5:$AN$77, MATCH(AV$100,_xlfn.ANCHORARRAY( $W$5), 0))
    *
    INDEX($AN$5:$AN$77, MATCH($A115,_xlfn.ANCHORARRAY( $W$5), 0))
)</f>
        <v>0.94375418612019679</v>
      </c>
      <c r="AW115" s="17" cm="1">
        <f t="array" ref="AW115">MMULT(
    MMULT(
        INDEX($X$5:$AM$77, MATCH(AW$100,_xlfn.ANCHORARRAY( $W$5), 0), 0),
        $F$5:$U$20
    ),
    TRANSPOSE(
        INDEX($X$5:$AM$77, MATCH($A115,_xlfn.ANCHORARRAY( $W$5), 0), 0)
    )
)
/
(
    INDEX($AN$5:$AN$77, MATCH(AW$100,_xlfn.ANCHORARRAY( $W$5), 0))
    *
    INDEX($AN$5:$AN$77, MATCH($A115,_xlfn.ANCHORARRAY( $W$5), 0))
)</f>
        <v>0.69449791882172207</v>
      </c>
      <c r="AX115" s="17" cm="1">
        <f t="array" ref="AX115">MMULT(
    MMULT(
        INDEX($X$5:$AM$77, MATCH(AX$100,_xlfn.ANCHORARRAY( $W$5), 0), 0),
        $F$5:$U$20
    ),
    TRANSPOSE(
        INDEX($X$5:$AM$77, MATCH($A115,_xlfn.ANCHORARRAY( $W$5), 0), 0)
    )
)
/
(
    INDEX($AN$5:$AN$77, MATCH(AX$100,_xlfn.ANCHORARRAY( $W$5), 0))
    *
    INDEX($AN$5:$AN$77, MATCH($A115,_xlfn.ANCHORARRAY( $W$5), 0))
)</f>
        <v>0.64921505175701733</v>
      </c>
      <c r="AY115" s="17" cm="1">
        <f t="array" ref="AY115">MMULT(
    MMULT(
        INDEX($X$5:$AM$77, MATCH(AY$100,_xlfn.ANCHORARRAY( $W$5), 0), 0),
        $F$5:$U$20
    ),
    TRANSPOSE(
        INDEX($X$5:$AM$77, MATCH($A115,_xlfn.ANCHORARRAY( $W$5), 0), 0)
    )
)
/
(
    INDEX($AN$5:$AN$77, MATCH(AY$100,_xlfn.ANCHORARRAY( $W$5), 0))
    *
    INDEX($AN$5:$AN$77, MATCH($A115,_xlfn.ANCHORARRAY( $W$5), 0))
)</f>
        <v>0.55661442758318957</v>
      </c>
      <c r="AZ115" s="17" cm="1">
        <f t="array" ref="AZ115">MMULT(
    MMULT(
        INDEX($X$5:$AM$77, MATCH(AZ$100,_xlfn.ANCHORARRAY( $W$5), 0), 0),
        $F$5:$U$20
    ),
    TRANSPOSE(
        INDEX($X$5:$AM$77, MATCH($A115,_xlfn.ANCHORARRAY( $W$5), 0), 0)
    )
)
/
(
    INDEX($AN$5:$AN$77, MATCH(AZ$100,_xlfn.ANCHORARRAY( $W$5), 0))
    *
    INDEX($AN$5:$AN$77, MATCH($A115,_xlfn.ANCHORARRAY( $W$5), 0))
)</f>
        <v>0.94410594091137845</v>
      </c>
      <c r="BA115" s="17" cm="1">
        <f t="array" ref="BA115">MMULT(
    MMULT(
        INDEX($X$5:$AM$77, MATCH(BA$100,_xlfn.ANCHORARRAY( $W$5), 0), 0),
        $F$5:$U$20
    ),
    TRANSPOSE(
        INDEX($X$5:$AM$77, MATCH($A115,_xlfn.ANCHORARRAY( $W$5), 0), 0)
    )
)
/
(
    INDEX($AN$5:$AN$77, MATCH(BA$100,_xlfn.ANCHORARRAY( $W$5), 0))
    *
    INDEX($AN$5:$AN$77, MATCH($A115,_xlfn.ANCHORARRAY( $W$5), 0))
)</f>
        <v>0.97970853687693149</v>
      </c>
      <c r="BB115" s="17" cm="1">
        <f t="array" ref="BB115">MMULT(
    MMULT(
        INDEX($X$5:$AM$77, MATCH(BB$100,_xlfn.ANCHORARRAY( $W$5), 0), 0),
        $F$5:$U$20
    ),
    TRANSPOSE(
        INDEX($X$5:$AM$77, MATCH($A115,_xlfn.ANCHORARRAY( $W$5), 0), 0)
    )
)
/
(
    INDEX($AN$5:$AN$77, MATCH(BB$100,_xlfn.ANCHORARRAY( $W$5), 0))
    *
    INDEX($AN$5:$AN$77, MATCH($A115,_xlfn.ANCHORARRAY( $W$5), 0))
)</f>
        <v>0.78182086508089454</v>
      </c>
      <c r="BC115" s="17" cm="1">
        <f t="array" ref="BC115">MMULT(
    MMULT(
        INDEX($X$5:$AM$77, MATCH(BC$100,_xlfn.ANCHORARRAY( $W$5), 0), 0),
        $F$5:$U$20
    ),
    TRANSPOSE(
        INDEX($X$5:$AM$77, MATCH($A115,_xlfn.ANCHORARRAY( $W$5), 0), 0)
    )
)
/
(
    INDEX($AN$5:$AN$77, MATCH(BC$100,_xlfn.ANCHORARRAY( $W$5), 0))
    *
    INDEX($AN$5:$AN$77, MATCH($A115,_xlfn.ANCHORARRAY( $W$5), 0))
)</f>
        <v>0.77866973331124711</v>
      </c>
      <c r="BD115" s="17" cm="1">
        <f t="array" ref="BD115">MMULT(
    MMULT(
        INDEX($X$5:$AM$77, MATCH(BD$100,_xlfn.ANCHORARRAY( $W$5), 0), 0),
        $F$5:$U$20
    ),
    TRANSPOSE(
        INDEX($X$5:$AM$77, MATCH($A115,_xlfn.ANCHORARRAY( $W$5), 0), 0)
    )
)
/
(
    INDEX($AN$5:$AN$77, MATCH(BD$100,_xlfn.ANCHORARRAY( $W$5), 0))
    *
    INDEX($AN$5:$AN$77, MATCH($A115,_xlfn.ANCHORARRAY( $W$5), 0))
)</f>
        <v>0.72277725438973905</v>
      </c>
      <c r="BE115" s="17" cm="1">
        <f t="array" ref="BE115">MMULT(
    MMULT(
        INDEX($X$5:$AM$77, MATCH(BE$100,_xlfn.ANCHORARRAY( $W$5), 0), 0),
        $F$5:$U$20
    ),
    TRANSPOSE(
        INDEX($X$5:$AM$77, MATCH($A115,_xlfn.ANCHORARRAY( $W$5), 0), 0)
    )
)
/
(
    INDEX($AN$5:$AN$77, MATCH(BE$100,_xlfn.ANCHORARRAY( $W$5), 0))
    *
    INDEX($AN$5:$AN$77, MATCH($A115,_xlfn.ANCHORARRAY( $W$5), 0))
)</f>
        <v>0.73949442789817488</v>
      </c>
      <c r="BF115" s="17" cm="1">
        <f t="array" ref="BF115">MMULT(
    MMULT(
        INDEX($X$5:$AM$77, MATCH(BF$100,_xlfn.ANCHORARRAY( $W$5), 0), 0),
        $F$5:$U$20
    ),
    TRANSPOSE(
        INDEX($X$5:$AM$77, MATCH($A115,_xlfn.ANCHORARRAY( $W$5), 0), 0)
    )
)
/
(
    INDEX($AN$5:$AN$77, MATCH(BF$100,_xlfn.ANCHORARRAY( $W$5), 0))
    *
    INDEX($AN$5:$AN$77, MATCH($A115,_xlfn.ANCHORARRAY( $W$5), 0))
)</f>
        <v>0.94269668197078271</v>
      </c>
      <c r="BG115" s="17" cm="1">
        <f t="array" ref="BG115">MMULT(
    MMULT(
        INDEX($X$5:$AM$77, MATCH(BG$100,_xlfn.ANCHORARRAY( $W$5), 0), 0),
        $F$5:$U$20
    ),
    TRANSPOSE(
        INDEX($X$5:$AM$77, MATCH($A115,_xlfn.ANCHORARRAY( $W$5), 0), 0)
    )
)
/
(
    INDEX($AN$5:$AN$77, MATCH(BG$100,_xlfn.ANCHORARRAY( $W$5), 0))
    *
    INDEX($AN$5:$AN$77, MATCH($A115,_xlfn.ANCHORARRAY( $W$5), 0))
)</f>
        <v>0.97780897004119804</v>
      </c>
      <c r="BH115" s="17" cm="1">
        <f t="array" ref="BH115">MMULT(
    MMULT(
        INDEX($X$5:$AM$77, MATCH(BH$100,_xlfn.ANCHORARRAY( $W$5), 0), 0),
        $F$5:$U$20
    ),
    TRANSPOSE(
        INDEX($X$5:$AM$77, MATCH($A115,_xlfn.ANCHORARRAY( $W$5), 0), 0)
    )
)
/
(
    INDEX($AN$5:$AN$77, MATCH(BH$100,_xlfn.ANCHORARRAY( $W$5), 0))
    *
    INDEX($AN$5:$AN$77, MATCH($A115,_xlfn.ANCHORARRAY( $W$5), 0))
)</f>
        <v>0.76753470322765172</v>
      </c>
      <c r="BI115" s="17" cm="1">
        <f t="array" ref="BI115">MMULT(
    MMULT(
        INDEX($X$5:$AM$77, MATCH(BI$100,_xlfn.ANCHORARRAY( $W$5), 0), 0),
        $F$5:$U$20
    ),
    TRANSPOSE(
        INDEX($X$5:$AM$77, MATCH($A115,_xlfn.ANCHORARRAY( $W$5), 0), 0)
    )
)
/
(
    INDEX($AN$5:$AN$77, MATCH(BI$100,_xlfn.ANCHORARRAY( $W$5), 0))
    *
    INDEX($AN$5:$AN$77, MATCH($A115,_xlfn.ANCHORARRAY( $W$5), 0))
)</f>
        <v>0.5741336839930159</v>
      </c>
      <c r="BJ115" s="17" cm="1">
        <f t="array" ref="BJ115">MMULT(
    MMULT(
        INDEX($X$5:$AM$77, MATCH(BJ$100,_xlfn.ANCHORARRAY( $W$5), 0), 0),
        $F$5:$U$20
    ),
    TRANSPOSE(
        INDEX($X$5:$AM$77, MATCH($A115,_xlfn.ANCHORARRAY( $W$5), 0), 0)
    )
)
/
(
    INDEX($AN$5:$AN$77, MATCH(BJ$100,_xlfn.ANCHORARRAY( $W$5), 0))
    *
    INDEX($AN$5:$AN$77, MATCH($A115,_xlfn.ANCHORARRAY( $W$5), 0))
)</f>
        <v>0.82823443578620426</v>
      </c>
      <c r="BK115" s="17" cm="1">
        <f t="array" ref="BK115">MMULT(
    MMULT(
        INDEX($X$5:$AM$77, MATCH(BK$100,_xlfn.ANCHORARRAY( $W$5), 0), 0),
        $F$5:$U$20
    ),
    TRANSPOSE(
        INDEX($X$5:$AM$77, MATCH($A115,_xlfn.ANCHORARRAY( $W$5), 0), 0)
    )
)
/
(
    INDEX($AN$5:$AN$77, MATCH(BK$100,_xlfn.ANCHORARRAY( $W$5), 0))
    *
    INDEX($AN$5:$AN$77, MATCH($A115,_xlfn.ANCHORARRAY( $W$5), 0))
)</f>
        <v>0.73450366529171884</v>
      </c>
      <c r="BL115" s="17" cm="1">
        <f t="array" ref="BL115">MMULT(
    MMULT(
        INDEX($X$5:$AM$77, MATCH(BL$100,_xlfn.ANCHORARRAY( $W$5), 0), 0),
        $F$5:$U$20
    ),
    TRANSPOSE(
        INDEX($X$5:$AM$77, MATCH($A115,_xlfn.ANCHORARRAY( $W$5), 0), 0)
    )
)
/
(
    INDEX($AN$5:$AN$77, MATCH(BL$100,_xlfn.ANCHORARRAY( $W$5), 0))
    *
    INDEX($AN$5:$AN$77, MATCH($A115,_xlfn.ANCHORARRAY( $W$5), 0))
)</f>
        <v>0.75538397856479356</v>
      </c>
      <c r="BM115" s="17" cm="1">
        <f t="array" ref="BM115">MMULT(
    MMULT(
        INDEX($X$5:$AM$77, MATCH(BM$100,_xlfn.ANCHORARRAY( $W$5), 0), 0),
        $F$5:$U$20
    ),
    TRANSPOSE(
        INDEX($X$5:$AM$77, MATCH($A115,_xlfn.ANCHORARRAY( $W$5), 0), 0)
    )
)
/
(
    INDEX($AN$5:$AN$77, MATCH(BM$100,_xlfn.ANCHORARRAY( $W$5), 0))
    *
    INDEX($AN$5:$AN$77, MATCH($A115,_xlfn.ANCHORARRAY( $W$5), 0))
)</f>
        <v>0.75720703245147791</v>
      </c>
      <c r="BN115" s="17" cm="1">
        <f t="array" ref="BN115">MMULT(
    MMULT(
        INDEX($X$5:$AM$77, MATCH(BN$100,_xlfn.ANCHORARRAY( $W$5), 0), 0),
        $F$5:$U$20
    ),
    TRANSPOSE(
        INDEX($X$5:$AM$77, MATCH($A115,_xlfn.ANCHORARRAY( $W$5), 0), 0)
    )
)
/
(
    INDEX($AN$5:$AN$77, MATCH(BN$100,_xlfn.ANCHORARRAY( $W$5), 0))
    *
    INDEX($AN$5:$AN$77, MATCH($A115,_xlfn.ANCHORARRAY( $W$5), 0))
)</f>
        <v>0.71806478880062086</v>
      </c>
      <c r="BO115" s="17" cm="1">
        <f t="array" ref="BO115">MMULT(
    MMULT(
        INDEX($X$5:$AM$77, MATCH(BO$100,_xlfn.ANCHORARRAY( $W$5), 0), 0),
        $F$5:$U$20
    ),
    TRANSPOSE(
        INDEX($X$5:$AM$77, MATCH($A115,_xlfn.ANCHORARRAY( $W$5), 0), 0)
    )
)
/
(
    INDEX($AN$5:$AN$77, MATCH(BO$100,_xlfn.ANCHORARRAY( $W$5), 0))
    *
    INDEX($AN$5:$AN$77, MATCH($A115,_xlfn.ANCHORARRAY( $W$5), 0))
)</f>
        <v>0.81748178679086003</v>
      </c>
      <c r="BP115" s="17" cm="1">
        <f t="array" ref="BP115">MMULT(
    MMULT(
        INDEX($X$5:$AM$77, MATCH(BP$100,_xlfn.ANCHORARRAY( $W$5), 0), 0),
        $F$5:$U$20
    ),
    TRANSPOSE(
        INDEX($X$5:$AM$77, MATCH($A115,_xlfn.ANCHORARRAY( $W$5), 0), 0)
    )
)
/
(
    INDEX($AN$5:$AN$77, MATCH(BP$100,_xlfn.ANCHORARRAY( $W$5), 0))
    *
    INDEX($AN$5:$AN$77, MATCH($A115,_xlfn.ANCHORARRAY( $W$5), 0))
)</f>
        <v>0.88131082823343865</v>
      </c>
      <c r="BQ115" s="17" cm="1">
        <f t="array" ref="BQ115">MMULT(
    MMULT(
        INDEX($X$5:$AM$77, MATCH(BQ$100,_xlfn.ANCHORARRAY( $W$5), 0), 0),
        $F$5:$U$20
    ),
    TRANSPOSE(
        INDEX($X$5:$AM$77, MATCH($A115,_xlfn.ANCHORARRAY( $W$5), 0), 0)
    )
)
/
(
    INDEX($AN$5:$AN$77, MATCH(BQ$100,_xlfn.ANCHORARRAY( $W$5), 0))
    *
    INDEX($AN$5:$AN$77, MATCH($A115,_xlfn.ANCHORARRAY( $W$5), 0))
)</f>
        <v>0.80084132562190968</v>
      </c>
      <c r="BR115" s="17" cm="1">
        <f t="array" ref="BR115">MMULT(
    MMULT(
        INDEX($X$5:$AM$77, MATCH(BR$100,_xlfn.ANCHORARRAY( $W$5), 0), 0),
        $F$5:$U$20
    ),
    TRANSPOSE(
        INDEX($X$5:$AM$77, MATCH($A115,_xlfn.ANCHORARRAY( $W$5), 0), 0)
    )
)
/
(
    INDEX($AN$5:$AN$77, MATCH(BR$100,_xlfn.ANCHORARRAY( $W$5), 0))
    *
    INDEX($AN$5:$AN$77, MATCH($A115,_xlfn.ANCHORARRAY( $W$5), 0))
)</f>
        <v>0.82199668263281855</v>
      </c>
      <c r="BS115" s="17" cm="1">
        <f t="array" ref="BS115">MMULT(
    MMULT(
        INDEX($X$5:$AM$77, MATCH(BS$100,_xlfn.ANCHORARRAY( $W$5), 0), 0),
        $F$5:$U$20
    ),
    TRANSPOSE(
        INDEX($X$5:$AM$77, MATCH($A115,_xlfn.ANCHORARRAY( $W$5), 0), 0)
    )
)
/
(
    INDEX($AN$5:$AN$77, MATCH(BS$100,_xlfn.ANCHORARRAY( $W$5), 0))
    *
    INDEX($AN$5:$AN$77, MATCH($A115,_xlfn.ANCHORARRAY( $W$5), 0))
)</f>
        <v>0.89372198628751542</v>
      </c>
      <c r="BT115" s="17" cm="1">
        <f t="array" ref="BT115">MMULT(
    MMULT(
        INDEX($X$5:$AM$77, MATCH(BT$100,_xlfn.ANCHORARRAY( $W$5), 0), 0),
        $F$5:$U$20
    ),
    TRANSPOSE(
        INDEX($X$5:$AM$77, MATCH($A115,_xlfn.ANCHORARRAY( $W$5), 0), 0)
    )
)
/
(
    INDEX($AN$5:$AN$77, MATCH(BT$100,_xlfn.ANCHORARRAY( $W$5), 0))
    *
    INDEX($AN$5:$AN$77, MATCH($A115,_xlfn.ANCHORARRAY( $W$5), 0))
)</f>
        <v>0.9110142255652488</v>
      </c>
      <c r="BU115" s="17" cm="1">
        <f t="array" ref="BU115">MMULT(
    MMULT(
        INDEX($X$5:$AM$77, MATCH(BU$100,_xlfn.ANCHORARRAY( $W$5), 0), 0),
        $F$5:$U$20
    ),
    TRANSPOSE(
        INDEX($X$5:$AM$77, MATCH($A115,_xlfn.ANCHORARRAY( $W$5), 0), 0)
    )
)
/
(
    INDEX($AN$5:$AN$77, MATCH(BU$100,_xlfn.ANCHORARRAY( $W$5), 0))
    *
    INDEX($AN$5:$AN$77, MATCH($A115,_xlfn.ANCHORARRAY( $W$5), 0))
)</f>
        <v>0.78992238897219802</v>
      </c>
      <c r="BV115" s="17" cm="1">
        <f t="array" ref="BV115">MMULT(
    MMULT(
        INDEX($X$5:$AM$77, MATCH(BV$100,_xlfn.ANCHORARRAY( $W$5), 0), 0),
        $F$5:$U$20
    ),
    TRANSPOSE(
        INDEX($X$5:$AM$77, MATCH($A115,_xlfn.ANCHORARRAY( $W$5), 0), 0)
    )
)
/
(
    INDEX($AN$5:$AN$77, MATCH(BV$100,_xlfn.ANCHORARRAY( $W$5), 0))
    *
    INDEX($AN$5:$AN$77, MATCH($A115,_xlfn.ANCHORARRAY( $W$5), 0))
)</f>
        <v>0.67735798956134852</v>
      </c>
    </row>
    <row r="116" spans="1:74" x14ac:dyDescent="0.3">
      <c r="A116" s="7" t="str">
        <v>Tomlin, Josh</v>
      </c>
      <c r="B116" s="17" cm="1">
        <f t="array" ref="B116">MMULT(
    MMULT(
        INDEX($X$5:$AM$77, MATCH(B$100,_xlfn.ANCHORARRAY( $W$5), 0), 0),
        $F$5:$U$20
    ),
    TRANSPOSE(
        INDEX($X$5:$AM$77, MATCH($A116,_xlfn.ANCHORARRAY( $W$5), 0), 0)
    )
)
/
(
    INDEX($AN$5:$AN$77, MATCH(B$100,_xlfn.ANCHORARRAY( $W$5), 0))
    *
    INDEX($AN$5:$AN$77, MATCH($A116,_xlfn.ANCHORARRAY( $W$5), 0))
)</f>
        <v>0.86581178444772922</v>
      </c>
      <c r="C116" s="17" cm="1">
        <f t="array" ref="C116">MMULT(
    MMULT(
        INDEX($X$5:$AM$77, MATCH(C$100,_xlfn.ANCHORARRAY( $W$5), 0), 0),
        $F$5:$U$20
    ),
    TRANSPOSE(
        INDEX($X$5:$AM$77, MATCH($A116,_xlfn.ANCHORARRAY( $W$5), 0), 0)
    )
)
/
(
    INDEX($AN$5:$AN$77, MATCH(C$100,_xlfn.ANCHORARRAY( $W$5), 0))
    *
    INDEX($AN$5:$AN$77, MATCH($A116,_xlfn.ANCHORARRAY( $W$5), 0))
)</f>
        <v>0.88538841721605654</v>
      </c>
      <c r="D116" s="17" cm="1">
        <f t="array" ref="D116">MMULT(
    MMULT(
        INDEX($X$5:$AM$77, MATCH(D$100,_xlfn.ANCHORARRAY( $W$5), 0), 0),
        $F$5:$U$20
    ),
    TRANSPOSE(
        INDEX($X$5:$AM$77, MATCH($A116,_xlfn.ANCHORARRAY( $W$5), 0), 0)
    )
)
/
(
    INDEX($AN$5:$AN$77, MATCH(D$100,_xlfn.ANCHORARRAY( $W$5), 0))
    *
    INDEX($AN$5:$AN$77, MATCH($A116,_xlfn.ANCHORARRAY( $W$5), 0))
)</f>
        <v>0.72630990263299366</v>
      </c>
      <c r="E116" s="17" cm="1">
        <f t="array" ref="E116">MMULT(
    MMULT(
        INDEX($X$5:$AM$77, MATCH(E$100,_xlfn.ANCHORARRAY( $W$5), 0), 0),
        $F$5:$U$20
    ),
    TRANSPOSE(
        INDEX($X$5:$AM$77, MATCH($A116,_xlfn.ANCHORARRAY( $W$5), 0), 0)
    )
)
/
(
    INDEX($AN$5:$AN$77, MATCH(E$100,_xlfn.ANCHORARRAY( $W$5), 0))
    *
    INDEX($AN$5:$AN$77, MATCH($A116,_xlfn.ANCHORARRAY( $W$5), 0))
)</f>
        <v>0.65995047369177939</v>
      </c>
      <c r="F116" s="17" cm="1">
        <f t="array" ref="F116">MMULT(
    MMULT(
        INDEX($X$5:$AM$77, MATCH(F$100,_xlfn.ANCHORARRAY( $W$5), 0), 0),
        $F$5:$U$20
    ),
    TRANSPOSE(
        INDEX($X$5:$AM$77, MATCH($A116,_xlfn.ANCHORARRAY( $W$5), 0), 0)
    )
)
/
(
    INDEX($AN$5:$AN$77, MATCH(F$100,_xlfn.ANCHORARRAY( $W$5), 0))
    *
    INDEX($AN$5:$AN$77, MATCH($A116,_xlfn.ANCHORARRAY( $W$5), 0))
)</f>
        <v>0.59244062047977708</v>
      </c>
      <c r="G116" s="17" cm="1">
        <f t="array" ref="G116">MMULT(
    MMULT(
        INDEX($X$5:$AM$77, MATCH(G$100,_xlfn.ANCHORARRAY( $W$5), 0), 0),
        $F$5:$U$20
    ),
    TRANSPOSE(
        INDEX($X$5:$AM$77, MATCH($A116,_xlfn.ANCHORARRAY( $W$5), 0), 0)
    )
)
/
(
    INDEX($AN$5:$AN$77, MATCH(G$100,_xlfn.ANCHORARRAY( $W$5), 0))
    *
    INDEX($AN$5:$AN$77, MATCH($A116,_xlfn.ANCHORARRAY( $W$5), 0))
)</f>
        <v>0.78078718573974493</v>
      </c>
      <c r="H116" s="17" cm="1">
        <f t="array" ref="H116">MMULT(
    MMULT(
        INDEX($X$5:$AM$77, MATCH(H$100,_xlfn.ANCHORARRAY( $W$5), 0), 0),
        $F$5:$U$20
    ),
    TRANSPOSE(
        INDEX($X$5:$AM$77, MATCH($A116,_xlfn.ANCHORARRAY( $W$5), 0), 0)
    )
)
/
(
    INDEX($AN$5:$AN$77, MATCH(H$100,_xlfn.ANCHORARRAY( $W$5), 0))
    *
    INDEX($AN$5:$AN$77, MATCH($A116,_xlfn.ANCHORARRAY( $W$5), 0))
)</f>
        <v>0.92417305938200778</v>
      </c>
      <c r="I116" s="17" cm="1">
        <f t="array" ref="I116">MMULT(
    MMULT(
        INDEX($X$5:$AM$77, MATCH(I$100,_xlfn.ANCHORARRAY( $W$5), 0), 0),
        $F$5:$U$20
    ),
    TRANSPOSE(
        INDEX($X$5:$AM$77, MATCH($A116,_xlfn.ANCHORARRAY( $W$5), 0), 0)
    )
)
/
(
    INDEX($AN$5:$AN$77, MATCH(I$100,_xlfn.ANCHORARRAY( $W$5), 0))
    *
    INDEX($AN$5:$AN$77, MATCH($A116,_xlfn.ANCHORARRAY( $W$5), 0))
)</f>
        <v>0.78063060412131191</v>
      </c>
      <c r="J116" s="17" cm="1">
        <f t="array" ref="J116">MMULT(
    MMULT(
        INDEX($X$5:$AM$77, MATCH(J$100,_xlfn.ANCHORARRAY( $W$5), 0), 0),
        $F$5:$U$20
    ),
    TRANSPOSE(
        INDEX($X$5:$AM$77, MATCH($A116,_xlfn.ANCHORARRAY( $W$5), 0), 0)
    )
)
/
(
    INDEX($AN$5:$AN$77, MATCH(J$100,_xlfn.ANCHORARRAY( $W$5), 0))
    *
    INDEX($AN$5:$AN$77, MATCH($A116,_xlfn.ANCHORARRAY( $W$5), 0))
)</f>
        <v>0.88425994264017016</v>
      </c>
      <c r="K116" s="17" cm="1">
        <f t="array" ref="K116">MMULT(
    MMULT(
        INDEX($X$5:$AM$77, MATCH(K$100,_xlfn.ANCHORARRAY( $W$5), 0), 0),
        $F$5:$U$20
    ),
    TRANSPOSE(
        INDEX($X$5:$AM$77, MATCH($A116,_xlfn.ANCHORARRAY( $W$5), 0), 0)
    )
)
/
(
    INDEX($AN$5:$AN$77, MATCH(K$100,_xlfn.ANCHORARRAY( $W$5), 0))
    *
    INDEX($AN$5:$AN$77, MATCH($A116,_xlfn.ANCHORARRAY( $W$5), 0))
)</f>
        <v>0.7441601645572844</v>
      </c>
      <c r="L116" s="17" cm="1">
        <f t="array" ref="L116">MMULT(
    MMULT(
        INDEX($X$5:$AM$77, MATCH(L$100,_xlfn.ANCHORARRAY( $W$5), 0), 0),
        $F$5:$U$20
    ),
    TRANSPOSE(
        INDEX($X$5:$AM$77, MATCH($A116,_xlfn.ANCHORARRAY( $W$5), 0), 0)
    )
)
/
(
    INDEX($AN$5:$AN$77, MATCH(L$100,_xlfn.ANCHORARRAY( $W$5), 0))
    *
    INDEX($AN$5:$AN$77, MATCH($A116,_xlfn.ANCHORARRAY( $W$5), 0))
)</f>
        <v>0.92421418014652101</v>
      </c>
      <c r="M116" s="17" cm="1">
        <f t="array" ref="M116">MMULT(
    MMULT(
        INDEX($X$5:$AM$77, MATCH(M$100,_xlfn.ANCHORARRAY( $W$5), 0), 0),
        $F$5:$U$20
    ),
    TRANSPOSE(
        INDEX($X$5:$AM$77, MATCH($A116,_xlfn.ANCHORARRAY( $W$5), 0), 0)
    )
)
/
(
    INDEX($AN$5:$AN$77, MATCH(M$100,_xlfn.ANCHORARRAY( $W$5), 0))
    *
    INDEX($AN$5:$AN$77, MATCH($A116,_xlfn.ANCHORARRAY( $W$5), 0))
)</f>
        <v>0.72684772515398122</v>
      </c>
      <c r="N116" s="17" cm="1">
        <f t="array" ref="N116">MMULT(
    MMULT(
        INDEX($X$5:$AM$77, MATCH(N$100,_xlfn.ANCHORARRAY( $W$5), 0), 0),
        $F$5:$U$20
    ),
    TRANSPOSE(
        INDEX($X$5:$AM$77, MATCH($A116,_xlfn.ANCHORARRAY( $W$5), 0), 0)
    )
)
/
(
    INDEX($AN$5:$AN$77, MATCH(N$100,_xlfn.ANCHORARRAY( $W$5), 0))
    *
    INDEX($AN$5:$AN$77, MATCH($A116,_xlfn.ANCHORARRAY( $W$5), 0))
)</f>
        <v>0.53033443844342942</v>
      </c>
      <c r="O116" s="17" cm="1">
        <f t="array" ref="O116">MMULT(
    MMULT(
        INDEX($X$5:$AM$77, MATCH(O$100,_xlfn.ANCHORARRAY( $W$5), 0), 0),
        $F$5:$U$20
    ),
    TRANSPOSE(
        INDEX($X$5:$AM$77, MATCH($A116,_xlfn.ANCHORARRAY( $W$5), 0), 0)
    )
)
/
(
    INDEX($AN$5:$AN$77, MATCH(O$100,_xlfn.ANCHORARRAY( $W$5), 0))
    *
    INDEX($AN$5:$AN$77, MATCH($A116,_xlfn.ANCHORARRAY( $W$5), 0))
)</f>
        <v>0.46882497422563468</v>
      </c>
      <c r="P116" s="17" cm="1">
        <f t="array" ref="P116">MMULT(
    MMULT(
        INDEX($X$5:$AM$77, MATCH(P$100,_xlfn.ANCHORARRAY( $W$5), 0), 0),
        $F$5:$U$20
    ),
    TRANSPOSE(
        INDEX($X$5:$AM$77, MATCH($A116,_xlfn.ANCHORARRAY( $W$5), 0), 0)
    )
)
/
(
    INDEX($AN$5:$AN$77, MATCH(P$100,_xlfn.ANCHORARRAY( $W$5), 0))
    *
    INDEX($AN$5:$AN$77, MATCH($A116,_xlfn.ANCHORARRAY( $W$5), 0))
)</f>
        <v>0.76863235440846911</v>
      </c>
      <c r="Q116" s="17" cm="1">
        <f t="array" ref="Q116">MMULT(
    MMULT(
        INDEX($X$5:$AM$77, MATCH(Q$100,_xlfn.ANCHORARRAY( $W$5), 0), 0),
        $F$5:$U$20
    ),
    TRANSPOSE(
        INDEX($X$5:$AM$77, MATCH($A116,_xlfn.ANCHORARRAY( $W$5), 0), 0)
    )
)
/
(
    INDEX($AN$5:$AN$77, MATCH(Q$100,_xlfn.ANCHORARRAY( $W$5), 0))
    *
    INDEX($AN$5:$AN$77, MATCH($A116,_xlfn.ANCHORARRAY( $W$5), 0))
)</f>
        <v>1.0000000000000002</v>
      </c>
      <c r="R116" s="17" cm="1">
        <f t="array" ref="R116">MMULT(
    MMULT(
        INDEX($X$5:$AM$77, MATCH(R$100,_xlfn.ANCHORARRAY( $W$5), 0), 0),
        $F$5:$U$20
    ),
    TRANSPOSE(
        INDEX($X$5:$AM$77, MATCH($A116,_xlfn.ANCHORARRAY( $W$5), 0), 0)
    )
)
/
(
    INDEX($AN$5:$AN$77, MATCH(R$100,_xlfn.ANCHORARRAY( $W$5), 0))
    *
    INDEX($AN$5:$AN$77, MATCH($A116,_xlfn.ANCHORARRAY( $W$5), 0))
)</f>
        <v>0.78381776159133099</v>
      </c>
      <c r="S116" s="17" cm="1">
        <f t="array" ref="S116">MMULT(
    MMULT(
        INDEX($X$5:$AM$77, MATCH(S$100,_xlfn.ANCHORARRAY( $W$5), 0), 0),
        $F$5:$U$20
    ),
    TRANSPOSE(
        INDEX($X$5:$AM$77, MATCH($A116,_xlfn.ANCHORARRAY( $W$5), 0), 0)
    )
)
/
(
    INDEX($AN$5:$AN$77, MATCH(S$100,_xlfn.ANCHORARRAY( $W$5), 0))
    *
    INDEX($AN$5:$AN$77, MATCH($A116,_xlfn.ANCHORARRAY( $W$5), 0))
)</f>
        <v>0.90628278022163322</v>
      </c>
      <c r="T116" s="17" cm="1">
        <f t="array" ref="T116">MMULT(
    MMULT(
        INDEX($X$5:$AM$77, MATCH(T$100,_xlfn.ANCHORARRAY( $W$5), 0), 0),
        $F$5:$U$20
    ),
    TRANSPOSE(
        INDEX($X$5:$AM$77, MATCH($A116,_xlfn.ANCHORARRAY( $W$5), 0), 0)
    )
)
/
(
    INDEX($AN$5:$AN$77, MATCH(T$100,_xlfn.ANCHORARRAY( $W$5), 0))
    *
    INDEX($AN$5:$AN$77, MATCH($A116,_xlfn.ANCHORARRAY( $W$5), 0))
)</f>
        <v>0.60348718259860867</v>
      </c>
      <c r="U116" s="17" cm="1">
        <f t="array" ref="U116">MMULT(
    MMULT(
        INDEX($X$5:$AM$77, MATCH(U$100,_xlfn.ANCHORARRAY( $W$5), 0), 0),
        $F$5:$U$20
    ),
    TRANSPOSE(
        INDEX($X$5:$AM$77, MATCH($A116,_xlfn.ANCHORARRAY( $W$5), 0), 0)
    )
)
/
(
    INDEX($AN$5:$AN$77, MATCH(U$100,_xlfn.ANCHORARRAY( $W$5), 0))
    *
    INDEX($AN$5:$AN$77, MATCH($A116,_xlfn.ANCHORARRAY( $W$5), 0))
)</f>
        <v>0.76464331818807407</v>
      </c>
      <c r="V116" s="17" cm="1">
        <f t="array" ref="V116">MMULT(
    MMULT(
        INDEX($X$5:$AM$77, MATCH(V$100,_xlfn.ANCHORARRAY( $W$5), 0), 0),
        $F$5:$U$20
    ),
    TRANSPOSE(
        INDEX($X$5:$AM$77, MATCH($A116,_xlfn.ANCHORARRAY( $W$5), 0), 0)
    )
)
/
(
    INDEX($AN$5:$AN$77, MATCH(V$100,_xlfn.ANCHORARRAY( $W$5), 0))
    *
    INDEX($AN$5:$AN$77, MATCH($A116,_xlfn.ANCHORARRAY( $W$5), 0))
)</f>
        <v>0.77577229173701034</v>
      </c>
      <c r="W116" s="17" cm="1">
        <f t="array" ref="W116">MMULT(
    MMULT(
        INDEX($X$5:$AM$77, MATCH(W$100,_xlfn.ANCHORARRAY( $W$5), 0), 0),
        $F$5:$U$20
    ),
    TRANSPOSE(
        INDEX($X$5:$AM$77, MATCH($A116,_xlfn.ANCHORARRAY( $W$5), 0), 0)
    )
)
/
(
    INDEX($AN$5:$AN$77, MATCH(W$100,_xlfn.ANCHORARRAY( $W$5), 0))
    *
    INDEX($AN$5:$AN$77, MATCH($A116,_xlfn.ANCHORARRAY( $W$5), 0))
)</f>
        <v>0.66249566459111342</v>
      </c>
      <c r="X116" s="17" cm="1">
        <f t="array" ref="X116">MMULT(
    MMULT(
        INDEX($X$5:$AM$77, MATCH(X$100,_xlfn.ANCHORARRAY( $W$5), 0), 0),
        $F$5:$U$20
    ),
    TRANSPOSE(
        INDEX($X$5:$AM$77, MATCH($A116,_xlfn.ANCHORARRAY( $W$5), 0), 0)
    )
)
/
(
    INDEX($AN$5:$AN$77, MATCH(X$100,_xlfn.ANCHORARRAY( $W$5), 0))
    *
    INDEX($AN$5:$AN$77, MATCH($A116,_xlfn.ANCHORARRAY( $W$5), 0))
)</f>
        <v>0.57452060472581901</v>
      </c>
      <c r="Y116" s="17" cm="1">
        <f t="array" ref="Y116">MMULT(
    MMULT(
        INDEX($X$5:$AM$77, MATCH(Y$100,_xlfn.ANCHORARRAY( $W$5), 0), 0),
        $F$5:$U$20
    ),
    TRANSPOSE(
        INDEX($X$5:$AM$77, MATCH($A116,_xlfn.ANCHORARRAY( $W$5), 0), 0)
    )
)
/
(
    INDEX($AN$5:$AN$77, MATCH(Y$100,_xlfn.ANCHORARRAY( $W$5), 0))
    *
    INDEX($AN$5:$AN$77, MATCH($A116,_xlfn.ANCHORARRAY( $W$5), 0))
)</f>
        <v>0.82144956293822713</v>
      </c>
      <c r="Z116" s="17" cm="1">
        <f t="array" ref="Z116">MMULT(
    MMULT(
        INDEX($X$5:$AM$77, MATCH(Z$100,_xlfn.ANCHORARRAY( $W$5), 0), 0),
        $F$5:$U$20
    ),
    TRANSPOSE(
        INDEX($X$5:$AM$77, MATCH($A116,_xlfn.ANCHORARRAY( $W$5), 0), 0)
    )
)
/
(
    INDEX($AN$5:$AN$77, MATCH(Z$100,_xlfn.ANCHORARRAY( $W$5), 0))
    *
    INDEX($AN$5:$AN$77, MATCH($A116,_xlfn.ANCHORARRAY( $W$5), 0))
)</f>
        <v>0.64822249306750923</v>
      </c>
      <c r="AA116" s="17" cm="1">
        <f t="array" ref="AA116">MMULT(
    MMULT(
        INDEX($X$5:$AM$77, MATCH(AA$100,_xlfn.ANCHORARRAY( $W$5), 0), 0),
        $F$5:$U$20
    ),
    TRANSPOSE(
        INDEX($X$5:$AM$77, MATCH($A116,_xlfn.ANCHORARRAY( $W$5), 0), 0)
    )
)
/
(
    INDEX($AN$5:$AN$77, MATCH(AA$100,_xlfn.ANCHORARRAY( $W$5), 0))
    *
    INDEX($AN$5:$AN$77, MATCH($A116,_xlfn.ANCHORARRAY( $W$5), 0))
)</f>
        <v>0.62883506066467731</v>
      </c>
      <c r="AB116" s="17" cm="1">
        <f t="array" ref="AB116">MMULT(
    MMULT(
        INDEX($X$5:$AM$77, MATCH(AB$100,_xlfn.ANCHORARRAY( $W$5), 0), 0),
        $F$5:$U$20
    ),
    TRANSPOSE(
        INDEX($X$5:$AM$77, MATCH($A116,_xlfn.ANCHORARRAY( $W$5), 0), 0)
    )
)
/
(
    INDEX($AN$5:$AN$77, MATCH(AB$100,_xlfn.ANCHORARRAY( $W$5), 0))
    *
    INDEX($AN$5:$AN$77, MATCH($A116,_xlfn.ANCHORARRAY( $W$5), 0))
)</f>
        <v>0.76278089369416691</v>
      </c>
      <c r="AC116" s="17" cm="1">
        <f t="array" ref="AC116">MMULT(
    MMULT(
        INDEX($X$5:$AM$77, MATCH(AC$100,_xlfn.ANCHORARRAY( $W$5), 0), 0),
        $F$5:$U$20
    ),
    TRANSPOSE(
        INDEX($X$5:$AM$77, MATCH($A116,_xlfn.ANCHORARRAY( $W$5), 0), 0)
    )
)
/
(
    INDEX($AN$5:$AN$77, MATCH(AC$100,_xlfn.ANCHORARRAY( $W$5), 0))
    *
    INDEX($AN$5:$AN$77, MATCH($A116,_xlfn.ANCHORARRAY( $W$5), 0))
)</f>
        <v>0.75033563387706093</v>
      </c>
      <c r="AD116" s="17" cm="1">
        <f t="array" ref="AD116">MMULT(
    MMULT(
        INDEX($X$5:$AM$77, MATCH(AD$100,_xlfn.ANCHORARRAY( $W$5), 0), 0),
        $F$5:$U$20
    ),
    TRANSPOSE(
        INDEX($X$5:$AM$77, MATCH($A116,_xlfn.ANCHORARRAY( $W$5), 0), 0)
    )
)
/
(
    INDEX($AN$5:$AN$77, MATCH(AD$100,_xlfn.ANCHORARRAY( $W$5), 0))
    *
    INDEX($AN$5:$AN$77, MATCH($A116,_xlfn.ANCHORARRAY( $W$5), 0))
)</f>
        <v>0.68635228766505019</v>
      </c>
      <c r="AE116" s="17" cm="1">
        <f t="array" ref="AE116">MMULT(
    MMULT(
        INDEX($X$5:$AM$77, MATCH(AE$100,_xlfn.ANCHORARRAY( $W$5), 0), 0),
        $F$5:$U$20
    ),
    TRANSPOSE(
        INDEX($X$5:$AM$77, MATCH($A116,_xlfn.ANCHORARRAY( $W$5), 0), 0)
    )
)
/
(
    INDEX($AN$5:$AN$77, MATCH(AE$100,_xlfn.ANCHORARRAY( $W$5), 0))
    *
    INDEX($AN$5:$AN$77, MATCH($A116,_xlfn.ANCHORARRAY( $W$5), 0))
)</f>
        <v>0.79781323436605978</v>
      </c>
      <c r="AF116" s="17" cm="1">
        <f t="array" ref="AF116">MMULT(
    MMULT(
        INDEX($X$5:$AM$77, MATCH(AF$100,_xlfn.ANCHORARRAY( $W$5), 0), 0),
        $F$5:$U$20
    ),
    TRANSPOSE(
        INDEX($X$5:$AM$77, MATCH($A116,_xlfn.ANCHORARRAY( $W$5), 0), 0)
    )
)
/
(
    INDEX($AN$5:$AN$77, MATCH(AF$100,_xlfn.ANCHORARRAY( $W$5), 0))
    *
    INDEX($AN$5:$AN$77, MATCH($A116,_xlfn.ANCHORARRAY( $W$5), 0))
)</f>
        <v>0.90759413894742302</v>
      </c>
      <c r="AG116" s="17" cm="1">
        <f t="array" ref="AG116">MMULT(
    MMULT(
        INDEX($X$5:$AM$77, MATCH(AG$100,_xlfn.ANCHORARRAY( $W$5), 0), 0),
        $F$5:$U$20
    ),
    TRANSPOSE(
        INDEX($X$5:$AM$77, MATCH($A116,_xlfn.ANCHORARRAY( $W$5), 0), 0)
    )
)
/
(
    INDEX($AN$5:$AN$77, MATCH(AG$100,_xlfn.ANCHORARRAY( $W$5), 0))
    *
    INDEX($AN$5:$AN$77, MATCH($A116,_xlfn.ANCHORARRAY( $W$5), 0))
)</f>
        <v>0.89830740069162252</v>
      </c>
      <c r="AH116" s="17" cm="1">
        <f t="array" ref="AH116">MMULT(
    MMULT(
        INDEX($X$5:$AM$77, MATCH(AH$100,_xlfn.ANCHORARRAY( $W$5), 0), 0),
        $F$5:$U$20
    ),
    TRANSPOSE(
        INDEX($X$5:$AM$77, MATCH($A116,_xlfn.ANCHORARRAY( $W$5), 0), 0)
    )
)
/
(
    INDEX($AN$5:$AN$77, MATCH(AH$100,_xlfn.ANCHORARRAY( $W$5), 0))
    *
    INDEX($AN$5:$AN$77, MATCH($A116,_xlfn.ANCHORARRAY( $W$5), 0))
)</f>
        <v>0.6527667474255624</v>
      </c>
      <c r="AI116" s="17" cm="1">
        <f t="array" ref="AI116">MMULT(
    MMULT(
        INDEX($X$5:$AM$77, MATCH(AI$100,_xlfn.ANCHORARRAY( $W$5), 0), 0),
        $F$5:$U$20
    ),
    TRANSPOSE(
        INDEX($X$5:$AM$77, MATCH($A116,_xlfn.ANCHORARRAY( $W$5), 0), 0)
    )
)
/
(
    INDEX($AN$5:$AN$77, MATCH(AI$100,_xlfn.ANCHORARRAY( $W$5), 0))
    *
    INDEX($AN$5:$AN$77, MATCH($A116,_xlfn.ANCHORARRAY( $W$5), 0))
)</f>
        <v>0.85300062990856762</v>
      </c>
      <c r="AJ116" s="17" cm="1">
        <f t="array" ref="AJ116">MMULT(
    MMULT(
        INDEX($X$5:$AM$77, MATCH(AJ$100,_xlfn.ANCHORARRAY( $W$5), 0), 0),
        $F$5:$U$20
    ),
    TRANSPOSE(
        INDEX($X$5:$AM$77, MATCH($A116,_xlfn.ANCHORARRAY( $W$5), 0), 0)
    )
)
/
(
    INDEX($AN$5:$AN$77, MATCH(AJ$100,_xlfn.ANCHORARRAY( $W$5), 0))
    *
    INDEX($AN$5:$AN$77, MATCH($A116,_xlfn.ANCHORARRAY( $W$5), 0))
)</f>
        <v>0.69462752229165581</v>
      </c>
      <c r="AK116" s="17" cm="1">
        <f t="array" ref="AK116">MMULT(
    MMULT(
        INDEX($X$5:$AM$77, MATCH(AK$100,_xlfn.ANCHORARRAY( $W$5), 0), 0),
        $F$5:$U$20
    ),
    TRANSPOSE(
        INDEX($X$5:$AM$77, MATCH($A116,_xlfn.ANCHORARRAY( $W$5), 0), 0)
    )
)
/
(
    INDEX($AN$5:$AN$77, MATCH(AK$100,_xlfn.ANCHORARRAY( $W$5), 0))
    *
    INDEX($AN$5:$AN$77, MATCH($A116,_xlfn.ANCHORARRAY( $W$5), 0))
)</f>
        <v>0.88765901536096403</v>
      </c>
      <c r="AL116" s="17" cm="1">
        <f t="array" ref="AL116">MMULT(
    MMULT(
        INDEX($X$5:$AM$77, MATCH(AL$100,_xlfn.ANCHORARRAY( $W$5), 0), 0),
        $F$5:$U$20
    ),
    TRANSPOSE(
        INDEX($X$5:$AM$77, MATCH($A116,_xlfn.ANCHORARRAY( $W$5), 0), 0)
    )
)
/
(
    INDEX($AN$5:$AN$77, MATCH(AL$100,_xlfn.ANCHORARRAY( $W$5), 0))
    *
    INDEX($AN$5:$AN$77, MATCH($A116,_xlfn.ANCHORARRAY( $W$5), 0))
)</f>
        <v>0.51031690343347125</v>
      </c>
      <c r="AM116" s="17" cm="1">
        <f t="array" ref="AM116">MMULT(
    MMULT(
        INDEX($X$5:$AM$77, MATCH(AM$100,_xlfn.ANCHORARRAY( $W$5), 0), 0),
        $F$5:$U$20
    ),
    TRANSPOSE(
        INDEX($X$5:$AM$77, MATCH($A116,_xlfn.ANCHORARRAY( $W$5), 0), 0)
    )
)
/
(
    INDEX($AN$5:$AN$77, MATCH(AM$100,_xlfn.ANCHORARRAY( $W$5), 0))
    *
    INDEX($AN$5:$AN$77, MATCH($A116,_xlfn.ANCHORARRAY( $W$5), 0))
)</f>
        <v>0.82226302489718561</v>
      </c>
      <c r="AN116" s="17" cm="1">
        <f t="array" ref="AN116">MMULT(
    MMULT(
        INDEX($X$5:$AM$77, MATCH(AN$100,_xlfn.ANCHORARRAY( $W$5), 0), 0),
        $F$5:$U$20
    ),
    TRANSPOSE(
        INDEX($X$5:$AM$77, MATCH($A116,_xlfn.ANCHORARRAY( $W$5), 0), 0)
    )
)
/
(
    INDEX($AN$5:$AN$77, MATCH(AN$100,_xlfn.ANCHORARRAY( $W$5), 0))
    *
    INDEX($AN$5:$AN$77, MATCH($A116,_xlfn.ANCHORARRAY( $W$5), 0))
)</f>
        <v>0.75290166719654084</v>
      </c>
      <c r="AO116" s="17" cm="1">
        <f t="array" ref="AO116">MMULT(
    MMULT(
        INDEX($X$5:$AM$77, MATCH(AO$100,_xlfn.ANCHORARRAY( $W$5), 0), 0),
        $F$5:$U$20
    ),
    TRANSPOSE(
        INDEX($X$5:$AM$77, MATCH($A116,_xlfn.ANCHORARRAY( $W$5), 0), 0)
    )
)
/
(
    INDEX($AN$5:$AN$77, MATCH(AO$100,_xlfn.ANCHORARRAY( $W$5), 0))
    *
    INDEX($AN$5:$AN$77, MATCH($A116,_xlfn.ANCHORARRAY( $W$5), 0))
)</f>
        <v>0.90515022705267156</v>
      </c>
      <c r="AP116" s="17" cm="1">
        <f t="array" ref="AP116">MMULT(
    MMULT(
        INDEX($X$5:$AM$77, MATCH(AP$100,_xlfn.ANCHORARRAY( $W$5), 0), 0),
        $F$5:$U$20
    ),
    TRANSPOSE(
        INDEX($X$5:$AM$77, MATCH($A116,_xlfn.ANCHORARRAY( $W$5), 0), 0)
    )
)
/
(
    INDEX($AN$5:$AN$77, MATCH(AP$100,_xlfn.ANCHORARRAY( $W$5), 0))
    *
    INDEX($AN$5:$AN$77, MATCH($A116,_xlfn.ANCHORARRAY( $W$5), 0))
)</f>
        <v>0.76018959996382141</v>
      </c>
      <c r="AQ116" s="17" cm="1">
        <f t="array" ref="AQ116">MMULT(
    MMULT(
        INDEX($X$5:$AM$77, MATCH(AQ$100,_xlfn.ANCHORARRAY( $W$5), 0), 0),
        $F$5:$U$20
    ),
    TRANSPOSE(
        INDEX($X$5:$AM$77, MATCH($A116,_xlfn.ANCHORARRAY( $W$5), 0), 0)
    )
)
/
(
    INDEX($AN$5:$AN$77, MATCH(AQ$100,_xlfn.ANCHORARRAY( $W$5), 0))
    *
    INDEX($AN$5:$AN$77, MATCH($A116,_xlfn.ANCHORARRAY( $W$5), 0))
)</f>
        <v>0.87329467597855426</v>
      </c>
      <c r="AR116" s="17" cm="1">
        <f t="array" ref="AR116">MMULT(
    MMULT(
        INDEX($X$5:$AM$77, MATCH(AR$100,_xlfn.ANCHORARRAY( $W$5), 0), 0),
        $F$5:$U$20
    ),
    TRANSPOSE(
        INDEX($X$5:$AM$77, MATCH($A116,_xlfn.ANCHORARRAY( $W$5), 0), 0)
    )
)
/
(
    INDEX($AN$5:$AN$77, MATCH(AR$100,_xlfn.ANCHORARRAY( $W$5), 0))
    *
    INDEX($AN$5:$AN$77, MATCH($A116,_xlfn.ANCHORARRAY( $W$5), 0))
)</f>
        <v>0.7299098490599476</v>
      </c>
      <c r="AS116" s="17" cm="1">
        <f t="array" ref="AS116">MMULT(
    MMULT(
        INDEX($X$5:$AM$77, MATCH(AS$100,_xlfn.ANCHORARRAY( $W$5), 0), 0),
        $F$5:$U$20
    ),
    TRANSPOSE(
        INDEX($X$5:$AM$77, MATCH($A116,_xlfn.ANCHORARRAY( $W$5), 0), 0)
    )
)
/
(
    INDEX($AN$5:$AN$77, MATCH(AS$100,_xlfn.ANCHORARRAY( $W$5), 0))
    *
    INDEX($AN$5:$AN$77, MATCH($A116,_xlfn.ANCHORARRAY( $W$5), 0))
)</f>
        <v>0.62805703141115321</v>
      </c>
      <c r="AT116" s="17" cm="1">
        <f t="array" ref="AT116">MMULT(
    MMULT(
        INDEX($X$5:$AM$77, MATCH(AT$100,_xlfn.ANCHORARRAY( $W$5), 0), 0),
        $F$5:$U$20
    ),
    TRANSPOSE(
        INDEX($X$5:$AM$77, MATCH($A116,_xlfn.ANCHORARRAY( $W$5), 0), 0)
    )
)
/
(
    INDEX($AN$5:$AN$77, MATCH(AT$100,_xlfn.ANCHORARRAY( $W$5), 0))
    *
    INDEX($AN$5:$AN$77, MATCH($A116,_xlfn.ANCHORARRAY( $W$5), 0))
)</f>
        <v>0.89669449735835538</v>
      </c>
      <c r="AU116" s="17" cm="1">
        <f t="array" ref="AU116">MMULT(
    MMULT(
        INDEX($X$5:$AM$77, MATCH(AU$100,_xlfn.ANCHORARRAY( $W$5), 0), 0),
        $F$5:$U$20
    ),
    TRANSPOSE(
        INDEX($X$5:$AM$77, MATCH($A116,_xlfn.ANCHORARRAY( $W$5), 0), 0)
    )
)
/
(
    INDEX($AN$5:$AN$77, MATCH(AU$100,_xlfn.ANCHORARRAY( $W$5), 0))
    *
    INDEX($AN$5:$AN$77, MATCH($A116,_xlfn.ANCHORARRAY( $W$5), 0))
)</f>
        <v>0.60600772233738776</v>
      </c>
      <c r="AV116" s="17" cm="1">
        <f t="array" ref="AV116">MMULT(
    MMULT(
        INDEX($X$5:$AM$77, MATCH(AV$100,_xlfn.ANCHORARRAY( $W$5), 0), 0),
        $F$5:$U$20
    ),
    TRANSPOSE(
        INDEX($X$5:$AM$77, MATCH($A116,_xlfn.ANCHORARRAY( $W$5), 0), 0)
    )
)
/
(
    INDEX($AN$5:$AN$77, MATCH(AV$100,_xlfn.ANCHORARRAY( $W$5), 0))
    *
    INDEX($AN$5:$AN$77, MATCH($A116,_xlfn.ANCHORARRAY( $W$5), 0))
)</f>
        <v>0.62415405263758705</v>
      </c>
      <c r="AW116" s="17" cm="1">
        <f t="array" ref="AW116">MMULT(
    MMULT(
        INDEX($X$5:$AM$77, MATCH(AW$100,_xlfn.ANCHORARRAY( $W$5), 0), 0),
        $F$5:$U$20
    ),
    TRANSPOSE(
        INDEX($X$5:$AM$77, MATCH($A116,_xlfn.ANCHORARRAY( $W$5), 0), 0)
    )
)
/
(
    INDEX($AN$5:$AN$77, MATCH(AW$100,_xlfn.ANCHORARRAY( $W$5), 0))
    *
    INDEX($AN$5:$AN$77, MATCH($A116,_xlfn.ANCHORARRAY( $W$5), 0))
)</f>
        <v>0.65084741986148265</v>
      </c>
      <c r="AX116" s="17" cm="1">
        <f t="array" ref="AX116">MMULT(
    MMULT(
        INDEX($X$5:$AM$77, MATCH(AX$100,_xlfn.ANCHORARRAY( $W$5), 0), 0),
        $F$5:$U$20
    ),
    TRANSPOSE(
        INDEX($X$5:$AM$77, MATCH($A116,_xlfn.ANCHORARRAY( $W$5), 0), 0)
    )
)
/
(
    INDEX($AN$5:$AN$77, MATCH(AX$100,_xlfn.ANCHORARRAY( $W$5), 0))
    *
    INDEX($AN$5:$AN$77, MATCH($A116,_xlfn.ANCHORARRAY( $W$5), 0))
)</f>
        <v>0.89570475994448528</v>
      </c>
      <c r="AY116" s="17" cm="1">
        <f t="array" ref="AY116">MMULT(
    MMULT(
        INDEX($X$5:$AM$77, MATCH(AY$100,_xlfn.ANCHORARRAY( $W$5), 0), 0),
        $F$5:$U$20
    ),
    TRANSPOSE(
        INDEX($X$5:$AM$77, MATCH($A116,_xlfn.ANCHORARRAY( $W$5), 0), 0)
    )
)
/
(
    INDEX($AN$5:$AN$77, MATCH(AY$100,_xlfn.ANCHORARRAY( $W$5), 0))
    *
    INDEX($AN$5:$AN$77, MATCH($A116,_xlfn.ANCHORARRAY( $W$5), 0))
)</f>
        <v>0.57376167832755343</v>
      </c>
      <c r="AZ116" s="17" cm="1">
        <f t="array" ref="AZ116">MMULT(
    MMULT(
        INDEX($X$5:$AM$77, MATCH(AZ$100,_xlfn.ANCHORARRAY( $W$5), 0), 0),
        $F$5:$U$20
    ),
    TRANSPOSE(
        INDEX($X$5:$AM$77, MATCH($A116,_xlfn.ANCHORARRAY( $W$5), 0), 0)
    )
)
/
(
    INDEX($AN$5:$AN$77, MATCH(AZ$100,_xlfn.ANCHORARRAY( $W$5), 0))
    *
    INDEX($AN$5:$AN$77, MATCH($A116,_xlfn.ANCHORARRAY( $W$5), 0))
)</f>
        <v>0.65207704209004114</v>
      </c>
      <c r="BA116" s="17" cm="1">
        <f t="array" ref="BA116">MMULT(
    MMULT(
        INDEX($X$5:$AM$77, MATCH(BA$100,_xlfn.ANCHORARRAY( $W$5), 0), 0),
        $F$5:$U$20
    ),
    TRANSPOSE(
        INDEX($X$5:$AM$77, MATCH($A116,_xlfn.ANCHORARRAY( $W$5), 0), 0)
    )
)
/
(
    INDEX($AN$5:$AN$77, MATCH(BA$100,_xlfn.ANCHORARRAY( $W$5), 0))
    *
    INDEX($AN$5:$AN$77, MATCH($A116,_xlfn.ANCHORARRAY( $W$5), 0))
)</f>
        <v>0.6981105174796487</v>
      </c>
      <c r="BB116" s="17" cm="1">
        <f t="array" ref="BB116">MMULT(
    MMULT(
        INDEX($X$5:$AM$77, MATCH(BB$100,_xlfn.ANCHORARRAY( $W$5), 0), 0),
        $F$5:$U$20
    ),
    TRANSPOSE(
        INDEX($X$5:$AM$77, MATCH($A116,_xlfn.ANCHORARRAY( $W$5), 0), 0)
    )
)
/
(
    INDEX($AN$5:$AN$77, MATCH(BB$100,_xlfn.ANCHORARRAY( $W$5), 0))
    *
    INDEX($AN$5:$AN$77, MATCH($A116,_xlfn.ANCHORARRAY( $W$5), 0))
)</f>
        <v>0.64245313461309217</v>
      </c>
      <c r="BC116" s="17" cm="1">
        <f t="array" ref="BC116">MMULT(
    MMULT(
        INDEX($X$5:$AM$77, MATCH(BC$100,_xlfn.ANCHORARRAY( $W$5), 0), 0),
        $F$5:$U$20
    ),
    TRANSPOSE(
        INDEX($X$5:$AM$77, MATCH($A116,_xlfn.ANCHORARRAY( $W$5), 0), 0)
    )
)
/
(
    INDEX($AN$5:$AN$77, MATCH(BC$100,_xlfn.ANCHORARRAY( $W$5), 0))
    *
    INDEX($AN$5:$AN$77, MATCH($A116,_xlfn.ANCHORARRAY( $W$5), 0))
)</f>
        <v>0.85484543702242577</v>
      </c>
      <c r="BD116" s="17" cm="1">
        <f t="array" ref="BD116">MMULT(
    MMULT(
        INDEX($X$5:$AM$77, MATCH(BD$100,_xlfn.ANCHORARRAY( $W$5), 0), 0),
        $F$5:$U$20
    ),
    TRANSPOSE(
        INDEX($X$5:$AM$77, MATCH($A116,_xlfn.ANCHORARRAY( $W$5), 0), 0)
    )
)
/
(
    INDEX($AN$5:$AN$77, MATCH(BD$100,_xlfn.ANCHORARRAY( $W$5), 0))
    *
    INDEX($AN$5:$AN$77, MATCH($A116,_xlfn.ANCHORARRAY( $W$5), 0))
)</f>
        <v>0.8109631865150827</v>
      </c>
      <c r="BE116" s="17" cm="1">
        <f t="array" ref="BE116">MMULT(
    MMULT(
        INDEX($X$5:$AM$77, MATCH(BE$100,_xlfn.ANCHORARRAY( $W$5), 0), 0),
        $F$5:$U$20
    ),
    TRANSPOSE(
        INDEX($X$5:$AM$77, MATCH($A116,_xlfn.ANCHORARRAY( $W$5), 0), 0)
    )
)
/
(
    INDEX($AN$5:$AN$77, MATCH(BE$100,_xlfn.ANCHORARRAY( $W$5), 0))
    *
    INDEX($AN$5:$AN$77, MATCH($A116,_xlfn.ANCHORARRAY( $W$5), 0))
)</f>
        <v>0.80946771335516055</v>
      </c>
      <c r="BF116" s="17" cm="1">
        <f t="array" ref="BF116">MMULT(
    MMULT(
        INDEX($X$5:$AM$77, MATCH(BF$100,_xlfn.ANCHORARRAY( $W$5), 0), 0),
        $F$5:$U$20
    ),
    TRANSPOSE(
        INDEX($X$5:$AM$77, MATCH($A116,_xlfn.ANCHORARRAY( $W$5), 0), 0)
    )
)
/
(
    INDEX($AN$5:$AN$77, MATCH(BF$100,_xlfn.ANCHORARRAY( $W$5), 0))
    *
    INDEX($AN$5:$AN$77, MATCH($A116,_xlfn.ANCHORARRAY( $W$5), 0))
)</f>
        <v>0.82723630447410279</v>
      </c>
      <c r="BG116" s="17" cm="1">
        <f t="array" ref="BG116">MMULT(
    MMULT(
        INDEX($X$5:$AM$77, MATCH(BG$100,_xlfn.ANCHORARRAY( $W$5), 0), 0),
        $F$5:$U$20
    ),
    TRANSPOSE(
        INDEX($X$5:$AM$77, MATCH($A116,_xlfn.ANCHORARRAY( $W$5), 0), 0)
    )
)
/
(
    INDEX($AN$5:$AN$77, MATCH(BG$100,_xlfn.ANCHORARRAY( $W$5), 0))
    *
    INDEX($AN$5:$AN$77, MATCH($A116,_xlfn.ANCHORARRAY( $W$5), 0))
)</f>
        <v>0.71109087483515865</v>
      </c>
      <c r="BH116" s="17" cm="1">
        <f t="array" ref="BH116">MMULT(
    MMULT(
        INDEX($X$5:$AM$77, MATCH(BH$100,_xlfn.ANCHORARRAY( $W$5), 0), 0),
        $F$5:$U$20
    ),
    TRANSPOSE(
        INDEX($X$5:$AM$77, MATCH($A116,_xlfn.ANCHORARRAY( $W$5), 0), 0)
    )
)
/
(
    INDEX($AN$5:$AN$77, MATCH(BH$100,_xlfn.ANCHORARRAY( $W$5), 0))
    *
    INDEX($AN$5:$AN$77, MATCH($A116,_xlfn.ANCHORARRAY( $W$5), 0))
)</f>
        <v>0.86060700031522896</v>
      </c>
      <c r="BI116" s="17" cm="1">
        <f t="array" ref="BI116">MMULT(
    MMULT(
        INDEX($X$5:$AM$77, MATCH(BI$100,_xlfn.ANCHORARRAY( $W$5), 0), 0),
        $F$5:$U$20
    ),
    TRANSPOSE(
        INDEX($X$5:$AM$77, MATCH($A116,_xlfn.ANCHORARRAY( $W$5), 0), 0)
    )
)
/
(
    INDEX($AN$5:$AN$77, MATCH(BI$100,_xlfn.ANCHORARRAY( $W$5), 0))
    *
    INDEX($AN$5:$AN$77, MATCH($A116,_xlfn.ANCHORARRAY( $W$5), 0))
)</f>
        <v>0.59812469043754579</v>
      </c>
      <c r="BJ116" s="17" cm="1">
        <f t="array" ref="BJ116">MMULT(
    MMULT(
        INDEX($X$5:$AM$77, MATCH(BJ$100,_xlfn.ANCHORARRAY( $W$5), 0), 0),
        $F$5:$U$20
    ),
    TRANSPOSE(
        INDEX($X$5:$AM$77, MATCH($A116,_xlfn.ANCHORARRAY( $W$5), 0), 0)
    )
)
/
(
    INDEX($AN$5:$AN$77, MATCH(BJ$100,_xlfn.ANCHORARRAY( $W$5), 0))
    *
    INDEX($AN$5:$AN$77, MATCH($A116,_xlfn.ANCHORARRAY( $W$5), 0))
)</f>
        <v>0.79758852044396111</v>
      </c>
      <c r="BK116" s="17" cm="1">
        <f t="array" ref="BK116">MMULT(
    MMULT(
        INDEX($X$5:$AM$77, MATCH(BK$100,_xlfn.ANCHORARRAY( $W$5), 0), 0),
        $F$5:$U$20
    ),
    TRANSPOSE(
        INDEX($X$5:$AM$77, MATCH($A116,_xlfn.ANCHORARRAY( $W$5), 0), 0)
    )
)
/
(
    INDEX($AN$5:$AN$77, MATCH(BK$100,_xlfn.ANCHORARRAY( $W$5), 0))
    *
    INDEX($AN$5:$AN$77, MATCH($A116,_xlfn.ANCHORARRAY( $W$5), 0))
)</f>
        <v>0.82647967038740344</v>
      </c>
      <c r="BL116" s="17" cm="1">
        <f t="array" ref="BL116">MMULT(
    MMULT(
        INDEX($X$5:$AM$77, MATCH(BL$100,_xlfn.ANCHORARRAY( $W$5), 0), 0),
        $F$5:$U$20
    ),
    TRANSPOSE(
        INDEX($X$5:$AM$77, MATCH($A116,_xlfn.ANCHORARRAY( $W$5), 0), 0)
    )
)
/
(
    INDEX($AN$5:$AN$77, MATCH(BL$100,_xlfn.ANCHORARRAY( $W$5), 0))
    *
    INDEX($AN$5:$AN$77, MATCH($A116,_xlfn.ANCHORARRAY( $W$5), 0))
)</f>
        <v>0.20342267533316213</v>
      </c>
      <c r="BM116" s="17" cm="1">
        <f t="array" ref="BM116">MMULT(
    MMULT(
        INDEX($X$5:$AM$77, MATCH(BM$100,_xlfn.ANCHORARRAY( $W$5), 0), 0),
        $F$5:$U$20
    ),
    TRANSPOSE(
        INDEX($X$5:$AM$77, MATCH($A116,_xlfn.ANCHORARRAY( $W$5), 0), 0)
    )
)
/
(
    INDEX($AN$5:$AN$77, MATCH(BM$100,_xlfn.ANCHORARRAY( $W$5), 0))
    *
    INDEX($AN$5:$AN$77, MATCH($A116,_xlfn.ANCHORARRAY( $W$5), 0))
)</f>
        <v>0.47823350769637957</v>
      </c>
      <c r="BN116" s="17" cm="1">
        <f t="array" ref="BN116">MMULT(
    MMULT(
        INDEX($X$5:$AM$77, MATCH(BN$100,_xlfn.ANCHORARRAY( $W$5), 0), 0),
        $F$5:$U$20
    ),
    TRANSPOSE(
        INDEX($X$5:$AM$77, MATCH($A116,_xlfn.ANCHORARRAY( $W$5), 0), 0)
    )
)
/
(
    INDEX($AN$5:$AN$77, MATCH(BN$100,_xlfn.ANCHORARRAY( $W$5), 0))
    *
    INDEX($AN$5:$AN$77, MATCH($A116,_xlfn.ANCHORARRAY( $W$5), 0))
)</f>
        <v>0.86468183595720383</v>
      </c>
      <c r="BO116" s="17" cm="1">
        <f t="array" ref="BO116">MMULT(
    MMULT(
        INDEX($X$5:$AM$77, MATCH(BO$100,_xlfn.ANCHORARRAY( $W$5), 0), 0),
        $F$5:$U$20
    ),
    TRANSPOSE(
        INDEX($X$5:$AM$77, MATCH($A116,_xlfn.ANCHORARRAY( $W$5), 0), 0)
    )
)
/
(
    INDEX($AN$5:$AN$77, MATCH(BO$100,_xlfn.ANCHORARRAY( $W$5), 0))
    *
    INDEX($AN$5:$AN$77, MATCH($A116,_xlfn.ANCHORARRAY( $W$5), 0))
)</f>
        <v>0.69309610543895683</v>
      </c>
      <c r="BP116" s="17" cm="1">
        <f t="array" ref="BP116">MMULT(
    MMULT(
        INDEX($X$5:$AM$77, MATCH(BP$100,_xlfn.ANCHORARRAY( $W$5), 0), 0),
        $F$5:$U$20
    ),
    TRANSPOSE(
        INDEX($X$5:$AM$77, MATCH($A116,_xlfn.ANCHORARRAY( $W$5), 0), 0)
    )
)
/
(
    INDEX($AN$5:$AN$77, MATCH(BP$100,_xlfn.ANCHORARRAY( $W$5), 0))
    *
    INDEX($AN$5:$AN$77, MATCH($A116,_xlfn.ANCHORARRAY( $W$5), 0))
)</f>
        <v>0.78146475734577303</v>
      </c>
      <c r="BQ116" s="17" cm="1">
        <f t="array" ref="BQ116">MMULT(
    MMULT(
        INDEX($X$5:$AM$77, MATCH(BQ$100,_xlfn.ANCHORARRAY( $W$5), 0), 0),
        $F$5:$U$20
    ),
    TRANSPOSE(
        INDEX($X$5:$AM$77, MATCH($A116,_xlfn.ANCHORARRAY( $W$5), 0), 0)
    )
)
/
(
    INDEX($AN$5:$AN$77, MATCH(BQ$100,_xlfn.ANCHORARRAY( $W$5), 0))
    *
    INDEX($AN$5:$AN$77, MATCH($A116,_xlfn.ANCHORARRAY( $W$5), 0))
)</f>
        <v>0.80221197746765127</v>
      </c>
      <c r="BR116" s="17" cm="1">
        <f t="array" ref="BR116">MMULT(
    MMULT(
        INDEX($X$5:$AM$77, MATCH(BR$100,_xlfn.ANCHORARRAY( $W$5), 0), 0),
        $F$5:$U$20
    ),
    TRANSPOSE(
        INDEX($X$5:$AM$77, MATCH($A116,_xlfn.ANCHORARRAY( $W$5), 0), 0)
    )
)
/
(
    INDEX($AN$5:$AN$77, MATCH(BR$100,_xlfn.ANCHORARRAY( $W$5), 0))
    *
    INDEX($AN$5:$AN$77, MATCH($A116,_xlfn.ANCHORARRAY( $W$5), 0))
)</f>
        <v>0.73076301592328907</v>
      </c>
      <c r="BS116" s="17" cm="1">
        <f t="array" ref="BS116">MMULT(
    MMULT(
        INDEX($X$5:$AM$77, MATCH(BS$100,_xlfn.ANCHORARRAY( $W$5), 0), 0),
        $F$5:$U$20
    ),
    TRANSPOSE(
        INDEX($X$5:$AM$77, MATCH($A116,_xlfn.ANCHORARRAY( $W$5), 0), 0)
    )
)
/
(
    INDEX($AN$5:$AN$77, MATCH(BS$100,_xlfn.ANCHORARRAY( $W$5), 0))
    *
    INDEX($AN$5:$AN$77, MATCH($A116,_xlfn.ANCHORARRAY( $W$5), 0))
)</f>
        <v>0.54312093320133159</v>
      </c>
      <c r="BT116" s="17" cm="1">
        <f t="array" ref="BT116">MMULT(
    MMULT(
        INDEX($X$5:$AM$77, MATCH(BT$100,_xlfn.ANCHORARRAY( $W$5), 0), 0),
        $F$5:$U$20
    ),
    TRANSPOSE(
        INDEX($X$5:$AM$77, MATCH($A116,_xlfn.ANCHORARRAY( $W$5), 0), 0)
    )
)
/
(
    INDEX($AN$5:$AN$77, MATCH(BT$100,_xlfn.ANCHORARRAY( $W$5), 0))
    *
    INDEX($AN$5:$AN$77, MATCH($A116,_xlfn.ANCHORARRAY( $W$5), 0))
)</f>
        <v>0.84676396407921628</v>
      </c>
      <c r="BU116" s="17" cm="1">
        <f t="array" ref="BU116">MMULT(
    MMULT(
        INDEX($X$5:$AM$77, MATCH(BU$100,_xlfn.ANCHORARRAY( $W$5), 0), 0),
        $F$5:$U$20
    ),
    TRANSPOSE(
        INDEX($X$5:$AM$77, MATCH($A116,_xlfn.ANCHORARRAY( $W$5), 0), 0)
    )
)
/
(
    INDEX($AN$5:$AN$77, MATCH(BU$100,_xlfn.ANCHORARRAY( $W$5), 0))
    *
    INDEX($AN$5:$AN$77, MATCH($A116,_xlfn.ANCHORARRAY( $W$5), 0))
)</f>
        <v>0.86350023176369928</v>
      </c>
      <c r="BV116" s="17" cm="1">
        <f t="array" ref="BV116">MMULT(
    MMULT(
        INDEX($X$5:$AM$77, MATCH(BV$100,_xlfn.ANCHORARRAY( $W$5), 0), 0),
        $F$5:$U$20
    ),
    TRANSPOSE(
        INDEX($X$5:$AM$77, MATCH($A116,_xlfn.ANCHORARRAY( $W$5), 0), 0)
    )
)
/
(
    INDEX($AN$5:$AN$77, MATCH(BV$100,_xlfn.ANCHORARRAY( $W$5), 0))
    *
    INDEX($AN$5:$AN$77, MATCH($A116,_xlfn.ANCHORARRAY( $W$5), 0))
)</f>
        <v>0.66555752307178806</v>
      </c>
    </row>
    <row r="117" spans="1:74" x14ac:dyDescent="0.3">
      <c r="A117" s="7" t="str">
        <v>Matzek, Tyler</v>
      </c>
      <c r="B117" s="17" cm="1">
        <f t="array" ref="B117">MMULT(
    MMULT(
        INDEX($X$5:$AM$77, MATCH(B$100,_xlfn.ANCHORARRAY( $W$5), 0), 0),
        $F$5:$U$20
    ),
    TRANSPOSE(
        INDEX($X$5:$AM$77, MATCH($A117,_xlfn.ANCHORARRAY( $W$5), 0), 0)
    )
)
/
(
    INDEX($AN$5:$AN$77, MATCH(B$100,_xlfn.ANCHORARRAY( $W$5), 0))
    *
    INDEX($AN$5:$AN$77, MATCH($A117,_xlfn.ANCHORARRAY( $W$5), 0))
)</f>
        <v>0.90006990185941882</v>
      </c>
      <c r="C117" s="17" cm="1">
        <f t="array" ref="C117">MMULT(
    MMULT(
        INDEX($X$5:$AM$77, MATCH(C$100,_xlfn.ANCHORARRAY( $W$5), 0), 0),
        $F$5:$U$20
    ),
    TRANSPOSE(
        INDEX($X$5:$AM$77, MATCH($A117,_xlfn.ANCHORARRAY( $W$5), 0), 0)
    )
)
/
(
    INDEX($AN$5:$AN$77, MATCH(C$100,_xlfn.ANCHORARRAY( $W$5), 0))
    *
    INDEX($AN$5:$AN$77, MATCH($A117,_xlfn.ANCHORARRAY( $W$5), 0))
)</f>
        <v>0.71511206542433936</v>
      </c>
      <c r="D117" s="17" cm="1">
        <f t="array" ref="D117">MMULT(
    MMULT(
        INDEX($X$5:$AM$77, MATCH(D$100,_xlfn.ANCHORARRAY( $W$5), 0), 0),
        $F$5:$U$20
    ),
    TRANSPOSE(
        INDEX($X$5:$AM$77, MATCH($A117,_xlfn.ANCHORARRAY( $W$5), 0), 0)
    )
)
/
(
    INDEX($AN$5:$AN$77, MATCH(D$100,_xlfn.ANCHORARRAY( $W$5), 0))
    *
    INDEX($AN$5:$AN$77, MATCH($A117,_xlfn.ANCHORARRAY( $W$5), 0))
)</f>
        <v>0.98265558621596716</v>
      </c>
      <c r="E117" s="17" cm="1">
        <f t="array" ref="E117">MMULT(
    MMULT(
        INDEX($X$5:$AM$77, MATCH(E$100,_xlfn.ANCHORARRAY( $W$5), 0), 0),
        $F$5:$U$20
    ),
    TRANSPOSE(
        INDEX($X$5:$AM$77, MATCH($A117,_xlfn.ANCHORARRAY( $W$5), 0), 0)
    )
)
/
(
    INDEX($AN$5:$AN$77, MATCH(E$100,_xlfn.ANCHORARRAY( $W$5), 0))
    *
    INDEX($AN$5:$AN$77, MATCH($A117,_xlfn.ANCHORARRAY( $W$5), 0))
)</f>
        <v>0.81464887888197179</v>
      </c>
      <c r="F117" s="17" cm="1">
        <f t="array" ref="F117">MMULT(
    MMULT(
        INDEX($X$5:$AM$77, MATCH(F$100,_xlfn.ANCHORARRAY( $W$5), 0), 0),
        $F$5:$U$20
    ),
    TRANSPOSE(
        INDEX($X$5:$AM$77, MATCH($A117,_xlfn.ANCHORARRAY( $W$5), 0), 0)
    )
)
/
(
    INDEX($AN$5:$AN$77, MATCH(F$100,_xlfn.ANCHORARRAY( $W$5), 0))
    *
    INDEX($AN$5:$AN$77, MATCH($A117,_xlfn.ANCHORARRAY( $W$5), 0))
)</f>
        <v>0.88589641469334213</v>
      </c>
      <c r="G117" s="17" cm="1">
        <f t="array" ref="G117">MMULT(
    MMULT(
        INDEX($X$5:$AM$77, MATCH(G$100,_xlfn.ANCHORARRAY( $W$5), 0), 0),
        $F$5:$U$20
    ),
    TRANSPOSE(
        INDEX($X$5:$AM$77, MATCH($A117,_xlfn.ANCHORARRAY( $W$5), 0), 0)
    )
)
/
(
    INDEX($AN$5:$AN$77, MATCH(G$100,_xlfn.ANCHORARRAY( $W$5), 0))
    *
    INDEX($AN$5:$AN$77, MATCH($A117,_xlfn.ANCHORARRAY( $W$5), 0))
)</f>
        <v>0.75396254092379178</v>
      </c>
      <c r="H117" s="17" cm="1">
        <f t="array" ref="H117">MMULT(
    MMULT(
        INDEX($X$5:$AM$77, MATCH(H$100,_xlfn.ANCHORARRAY( $W$5), 0), 0),
        $F$5:$U$20
    ),
    TRANSPOSE(
        INDEX($X$5:$AM$77, MATCH($A117,_xlfn.ANCHORARRAY( $W$5), 0), 0)
    )
)
/
(
    INDEX($AN$5:$AN$77, MATCH(H$100,_xlfn.ANCHORARRAY( $W$5), 0))
    *
    INDEX($AN$5:$AN$77, MATCH($A117,_xlfn.ANCHORARRAY( $W$5), 0))
)</f>
        <v>0.86918238252669189</v>
      </c>
      <c r="I117" s="17" cm="1">
        <f t="array" ref="I117">MMULT(
    MMULT(
        INDEX($X$5:$AM$77, MATCH(I$100,_xlfn.ANCHORARRAY( $W$5), 0), 0),
        $F$5:$U$20
    ),
    TRANSPOSE(
        INDEX($X$5:$AM$77, MATCH($A117,_xlfn.ANCHORARRAY( $W$5), 0), 0)
    )
)
/
(
    INDEX($AN$5:$AN$77, MATCH(I$100,_xlfn.ANCHORARRAY( $W$5), 0))
    *
    INDEX($AN$5:$AN$77, MATCH($A117,_xlfn.ANCHORARRAY( $W$5), 0))
)</f>
        <v>0.73822340008199794</v>
      </c>
      <c r="J117" s="17" cm="1">
        <f t="array" ref="J117">MMULT(
    MMULT(
        INDEX($X$5:$AM$77, MATCH(J$100,_xlfn.ANCHORARRAY( $W$5), 0), 0),
        $F$5:$U$20
    ),
    TRANSPOSE(
        INDEX($X$5:$AM$77, MATCH($A117,_xlfn.ANCHORARRAY( $W$5), 0), 0)
    )
)
/
(
    INDEX($AN$5:$AN$77, MATCH(J$100,_xlfn.ANCHORARRAY( $W$5), 0))
    *
    INDEX($AN$5:$AN$77, MATCH($A117,_xlfn.ANCHORARRAY( $W$5), 0))
)</f>
        <v>0.92141603083310208</v>
      </c>
      <c r="K117" s="17" cm="1">
        <f t="array" ref="K117">MMULT(
    MMULT(
        INDEX($X$5:$AM$77, MATCH(K$100,_xlfn.ANCHORARRAY( $W$5), 0), 0),
        $F$5:$U$20
    ),
    TRANSPOSE(
        INDEX($X$5:$AM$77, MATCH($A117,_xlfn.ANCHORARRAY( $W$5), 0), 0)
    )
)
/
(
    INDEX($AN$5:$AN$77, MATCH(K$100,_xlfn.ANCHORARRAY( $W$5), 0))
    *
    INDEX($AN$5:$AN$77, MATCH($A117,_xlfn.ANCHORARRAY( $W$5), 0))
)</f>
        <v>0.86517189163425645</v>
      </c>
      <c r="L117" s="17" cm="1">
        <f t="array" ref="L117">MMULT(
    MMULT(
        INDEX($X$5:$AM$77, MATCH(L$100,_xlfn.ANCHORARRAY( $W$5), 0), 0),
        $F$5:$U$20
    ),
    TRANSPOSE(
        INDEX($X$5:$AM$77, MATCH($A117,_xlfn.ANCHORARRAY( $W$5), 0), 0)
    )
)
/
(
    INDEX($AN$5:$AN$77, MATCH(L$100,_xlfn.ANCHORARRAY( $W$5), 0))
    *
    INDEX($AN$5:$AN$77, MATCH($A117,_xlfn.ANCHORARRAY( $W$5), 0))
)</f>
        <v>0.72428410841858659</v>
      </c>
      <c r="M117" s="17" cm="1">
        <f t="array" ref="M117">MMULT(
    MMULT(
        INDEX($X$5:$AM$77, MATCH(M$100,_xlfn.ANCHORARRAY( $W$5), 0), 0),
        $F$5:$U$20
    ),
    TRANSPOSE(
        INDEX($X$5:$AM$77, MATCH($A117,_xlfn.ANCHORARRAY( $W$5), 0), 0)
    )
)
/
(
    INDEX($AN$5:$AN$77, MATCH(M$100,_xlfn.ANCHORARRAY( $W$5), 0))
    *
    INDEX($AN$5:$AN$77, MATCH($A117,_xlfn.ANCHORARRAY( $W$5), 0))
)</f>
        <v>0.83295156850813801</v>
      </c>
      <c r="N117" s="17" cm="1">
        <f t="array" ref="N117">MMULT(
    MMULT(
        INDEX($X$5:$AM$77, MATCH(N$100,_xlfn.ANCHORARRAY( $W$5), 0), 0),
        $F$5:$U$20
    ),
    TRANSPOSE(
        INDEX($X$5:$AM$77, MATCH($A117,_xlfn.ANCHORARRAY( $W$5), 0), 0)
    )
)
/
(
    INDEX($AN$5:$AN$77, MATCH(N$100,_xlfn.ANCHORARRAY( $W$5), 0))
    *
    INDEX($AN$5:$AN$77, MATCH($A117,_xlfn.ANCHORARRAY( $W$5), 0))
)</f>
        <v>0.80790124395657725</v>
      </c>
      <c r="O117" s="17" cm="1">
        <f t="array" ref="O117">MMULT(
    MMULT(
        INDEX($X$5:$AM$77, MATCH(O$100,_xlfn.ANCHORARRAY( $W$5), 0), 0),
        $F$5:$U$20
    ),
    TRANSPOSE(
        INDEX($X$5:$AM$77, MATCH($A117,_xlfn.ANCHORARRAY( $W$5), 0), 0)
    )
)
/
(
    INDEX($AN$5:$AN$77, MATCH(O$100,_xlfn.ANCHORARRAY( $W$5), 0))
    *
    INDEX($AN$5:$AN$77, MATCH($A117,_xlfn.ANCHORARRAY( $W$5), 0))
)</f>
        <v>0.79724186942041997</v>
      </c>
      <c r="P117" s="17" cm="1">
        <f t="array" ref="P117">MMULT(
    MMULT(
        INDEX($X$5:$AM$77, MATCH(P$100,_xlfn.ANCHORARRAY( $W$5), 0), 0),
        $F$5:$U$20
    ),
    TRANSPOSE(
        INDEX($X$5:$AM$77, MATCH($A117,_xlfn.ANCHORARRAY( $W$5), 0), 0)
    )
)
/
(
    INDEX($AN$5:$AN$77, MATCH(P$100,_xlfn.ANCHORARRAY( $W$5), 0))
    *
    INDEX($AN$5:$AN$77, MATCH($A117,_xlfn.ANCHORARRAY( $W$5), 0))
)</f>
        <v>0.9016618176062341</v>
      </c>
      <c r="Q117" s="17" cm="1">
        <f t="array" ref="Q117">MMULT(
    MMULT(
        INDEX($X$5:$AM$77, MATCH(Q$100,_xlfn.ANCHORARRAY( $W$5), 0), 0),
        $F$5:$U$20
    ),
    TRANSPOSE(
        INDEX($X$5:$AM$77, MATCH($A117,_xlfn.ANCHORARRAY( $W$5), 0), 0)
    )
)
/
(
    INDEX($AN$5:$AN$77, MATCH(Q$100,_xlfn.ANCHORARRAY( $W$5), 0))
    *
    INDEX($AN$5:$AN$77, MATCH($A117,_xlfn.ANCHORARRAY( $W$5), 0))
)</f>
        <v>0.78381776159133076</v>
      </c>
      <c r="R117" s="17" cm="1">
        <f t="array" ref="R117">MMULT(
    MMULT(
        INDEX($X$5:$AM$77, MATCH(R$100,_xlfn.ANCHORARRAY( $W$5), 0), 0),
        $F$5:$U$20
    ),
    TRANSPOSE(
        INDEX($X$5:$AM$77, MATCH($A117,_xlfn.ANCHORARRAY( $W$5), 0), 0)
    )
)
/
(
    INDEX($AN$5:$AN$77, MATCH(R$100,_xlfn.ANCHORARRAY( $W$5), 0))
    *
    INDEX($AN$5:$AN$77, MATCH($A117,_xlfn.ANCHORARRAY( $W$5), 0))
)</f>
        <v>1</v>
      </c>
      <c r="S117" s="17" cm="1">
        <f t="array" ref="S117">MMULT(
    MMULT(
        INDEX($X$5:$AM$77, MATCH(S$100,_xlfn.ANCHORARRAY( $W$5), 0), 0),
        $F$5:$U$20
    ),
    TRANSPOSE(
        INDEX($X$5:$AM$77, MATCH($A117,_xlfn.ANCHORARRAY( $W$5), 0), 0)
    )
)
/
(
    INDEX($AN$5:$AN$77, MATCH(S$100,_xlfn.ANCHORARRAY( $W$5), 0))
    *
    INDEX($AN$5:$AN$77, MATCH($A117,_xlfn.ANCHORARRAY( $W$5), 0))
)</f>
        <v>0.93669439338193616</v>
      </c>
      <c r="T117" s="17" cm="1">
        <f t="array" ref="T117">MMULT(
    MMULT(
        INDEX($X$5:$AM$77, MATCH(T$100,_xlfn.ANCHORARRAY( $W$5), 0), 0),
        $F$5:$U$20
    ),
    TRANSPOSE(
        INDEX($X$5:$AM$77, MATCH($A117,_xlfn.ANCHORARRAY( $W$5), 0), 0)
    )
)
/
(
    INDEX($AN$5:$AN$77, MATCH(T$100,_xlfn.ANCHORARRAY( $W$5), 0))
    *
    INDEX($AN$5:$AN$77, MATCH($A117,_xlfn.ANCHORARRAY( $W$5), 0))
)</f>
        <v>0.35991148639470771</v>
      </c>
      <c r="U117" s="17" cm="1">
        <f t="array" ref="U117">MMULT(
    MMULT(
        INDEX($X$5:$AM$77, MATCH(U$100,_xlfn.ANCHORARRAY( $W$5), 0), 0),
        $F$5:$U$20
    ),
    TRANSPOSE(
        INDEX($X$5:$AM$77, MATCH($A117,_xlfn.ANCHORARRAY( $W$5), 0), 0)
    )
)
/
(
    INDEX($AN$5:$AN$77, MATCH(U$100,_xlfn.ANCHORARRAY( $W$5), 0))
    *
    INDEX($AN$5:$AN$77, MATCH($A117,_xlfn.ANCHORARRAY( $W$5), 0))
)</f>
        <v>0.97480348432104857</v>
      </c>
      <c r="V117" s="17" cm="1">
        <f t="array" ref="V117">MMULT(
    MMULT(
        INDEX($X$5:$AM$77, MATCH(V$100,_xlfn.ANCHORARRAY( $W$5), 0), 0),
        $F$5:$U$20
    ),
    TRANSPOSE(
        INDEX($X$5:$AM$77, MATCH($A117,_xlfn.ANCHORARRAY( $W$5), 0), 0)
    )
)
/
(
    INDEX($AN$5:$AN$77, MATCH(V$100,_xlfn.ANCHORARRAY( $W$5), 0))
    *
    INDEX($AN$5:$AN$77, MATCH($A117,_xlfn.ANCHORARRAY( $W$5), 0))
)</f>
        <v>0.57309078316980877</v>
      </c>
      <c r="W117" s="17" cm="1">
        <f t="array" ref="W117">MMULT(
    MMULT(
        INDEX($X$5:$AM$77, MATCH(W$100,_xlfn.ANCHORARRAY( $W$5), 0), 0),
        $F$5:$U$20
    ),
    TRANSPOSE(
        INDEX($X$5:$AM$77, MATCH($A117,_xlfn.ANCHORARRAY( $W$5), 0), 0)
    )
)
/
(
    INDEX($AN$5:$AN$77, MATCH(W$100,_xlfn.ANCHORARRAY( $W$5), 0))
    *
    INDEX($AN$5:$AN$77, MATCH($A117,_xlfn.ANCHORARRAY( $W$5), 0))
)</f>
        <v>0.65707365162210152</v>
      </c>
      <c r="X117" s="17" cm="1">
        <f t="array" ref="X117">MMULT(
    MMULT(
        INDEX($X$5:$AM$77, MATCH(X$100,_xlfn.ANCHORARRAY( $W$5), 0), 0),
        $F$5:$U$20
    ),
    TRANSPOSE(
        INDEX($X$5:$AM$77, MATCH($A117,_xlfn.ANCHORARRAY( $W$5), 0), 0)
    )
)
/
(
    INDEX($AN$5:$AN$77, MATCH(X$100,_xlfn.ANCHORARRAY( $W$5), 0))
    *
    INDEX($AN$5:$AN$77, MATCH($A117,_xlfn.ANCHORARRAY( $W$5), 0))
)</f>
        <v>0.88940833471073233</v>
      </c>
      <c r="Y117" s="17" cm="1">
        <f t="array" ref="Y117">MMULT(
    MMULT(
        INDEX($X$5:$AM$77, MATCH(Y$100,_xlfn.ANCHORARRAY( $W$5), 0), 0),
        $F$5:$U$20
    ),
    TRANSPOSE(
        INDEX($X$5:$AM$77, MATCH($A117,_xlfn.ANCHORARRAY( $W$5), 0), 0)
    )
)
/
(
    INDEX($AN$5:$AN$77, MATCH(Y$100,_xlfn.ANCHORARRAY( $W$5), 0))
    *
    INDEX($AN$5:$AN$77, MATCH($A117,_xlfn.ANCHORARRAY( $W$5), 0))
)</f>
        <v>0.68637878596599555</v>
      </c>
      <c r="Z117" s="17" cm="1">
        <f t="array" ref="Z117">MMULT(
    MMULT(
        INDEX($X$5:$AM$77, MATCH(Z$100,_xlfn.ANCHORARRAY( $W$5), 0), 0),
        $F$5:$U$20
    ),
    TRANSPOSE(
        INDEX($X$5:$AM$77, MATCH($A117,_xlfn.ANCHORARRAY( $W$5), 0), 0)
    )
)
/
(
    INDEX($AN$5:$AN$77, MATCH(Z$100,_xlfn.ANCHORARRAY( $W$5), 0))
    *
    INDEX($AN$5:$AN$77, MATCH($A117,_xlfn.ANCHORARRAY( $W$5), 0))
)</f>
        <v>0.94709402284184252</v>
      </c>
      <c r="AA117" s="17" cm="1">
        <f t="array" ref="AA117">MMULT(
    MMULT(
        INDEX($X$5:$AM$77, MATCH(AA$100,_xlfn.ANCHORARRAY( $W$5), 0), 0),
        $F$5:$U$20
    ),
    TRANSPOSE(
        INDEX($X$5:$AM$77, MATCH($A117,_xlfn.ANCHORARRAY( $W$5), 0), 0)
    )
)
/
(
    INDEX($AN$5:$AN$77, MATCH(AA$100,_xlfn.ANCHORARRAY( $W$5), 0))
    *
    INDEX($AN$5:$AN$77, MATCH($A117,_xlfn.ANCHORARRAY( $W$5), 0))
)</f>
        <v>0.899194595971194</v>
      </c>
      <c r="AB117" s="17" cm="1">
        <f t="array" ref="AB117">MMULT(
    MMULT(
        INDEX($X$5:$AM$77, MATCH(AB$100,_xlfn.ANCHORARRAY( $W$5), 0), 0),
        $F$5:$U$20
    ),
    TRANSPOSE(
        INDEX($X$5:$AM$77, MATCH($A117,_xlfn.ANCHORARRAY( $W$5), 0), 0)
    )
)
/
(
    INDEX($AN$5:$AN$77, MATCH(AB$100,_xlfn.ANCHORARRAY( $W$5), 0))
    *
    INDEX($AN$5:$AN$77, MATCH($A117,_xlfn.ANCHORARRAY( $W$5), 0))
)</f>
        <v>0.89813727416372413</v>
      </c>
      <c r="AC117" s="17" cm="1">
        <f t="array" ref="AC117">MMULT(
    MMULT(
        INDEX($X$5:$AM$77, MATCH(AC$100,_xlfn.ANCHORARRAY( $W$5), 0), 0),
        $F$5:$U$20
    ),
    TRANSPOSE(
        INDEX($X$5:$AM$77, MATCH($A117,_xlfn.ANCHORARRAY( $W$5), 0), 0)
    )
)
/
(
    INDEX($AN$5:$AN$77, MATCH(AC$100,_xlfn.ANCHORARRAY( $W$5), 0))
    *
    INDEX($AN$5:$AN$77, MATCH($A117,_xlfn.ANCHORARRAY( $W$5), 0))
)</f>
        <v>0.75369796388907939</v>
      </c>
      <c r="AD117" s="17" cm="1">
        <f t="array" ref="AD117">MMULT(
    MMULT(
        INDEX($X$5:$AM$77, MATCH(AD$100,_xlfn.ANCHORARRAY( $W$5), 0), 0),
        $F$5:$U$20
    ),
    TRANSPOSE(
        INDEX($X$5:$AM$77, MATCH($A117,_xlfn.ANCHORARRAY( $W$5), 0), 0)
    )
)
/
(
    INDEX($AN$5:$AN$77, MATCH(AD$100,_xlfn.ANCHORARRAY( $W$5), 0))
    *
    INDEX($AN$5:$AN$77, MATCH($A117,_xlfn.ANCHORARRAY( $W$5), 0))
)</f>
        <v>0.9744121947936828</v>
      </c>
      <c r="AE117" s="17" cm="1">
        <f t="array" ref="AE117">MMULT(
    MMULT(
        INDEX($X$5:$AM$77, MATCH(AE$100,_xlfn.ANCHORARRAY( $W$5), 0), 0),
        $F$5:$U$20
    ),
    TRANSPOSE(
        INDEX($X$5:$AM$77, MATCH($A117,_xlfn.ANCHORARRAY( $W$5), 0), 0)
    )
)
/
(
    INDEX($AN$5:$AN$77, MATCH(AE$100,_xlfn.ANCHORARRAY( $W$5), 0))
    *
    INDEX($AN$5:$AN$77, MATCH($A117,_xlfn.ANCHORARRAY( $W$5), 0))
)</f>
        <v>0.87696674046460366</v>
      </c>
      <c r="AF117" s="17" cm="1">
        <f t="array" ref="AF117">MMULT(
    MMULT(
        INDEX($X$5:$AM$77, MATCH(AF$100,_xlfn.ANCHORARRAY( $W$5), 0), 0),
        $F$5:$U$20
    ),
    TRANSPOSE(
        INDEX($X$5:$AM$77, MATCH($A117,_xlfn.ANCHORARRAY( $W$5), 0), 0)
    )
)
/
(
    INDEX($AN$5:$AN$77, MATCH(AF$100,_xlfn.ANCHORARRAY( $W$5), 0))
    *
    INDEX($AN$5:$AN$77, MATCH($A117,_xlfn.ANCHORARRAY( $W$5), 0))
)</f>
        <v>0.83302286141787296</v>
      </c>
      <c r="AG117" s="17" cm="1">
        <f t="array" ref="AG117">MMULT(
    MMULT(
        INDEX($X$5:$AM$77, MATCH(AG$100,_xlfn.ANCHORARRAY( $W$5), 0), 0),
        $F$5:$U$20
    ),
    TRANSPOSE(
        INDEX($X$5:$AM$77, MATCH($A117,_xlfn.ANCHORARRAY( $W$5), 0), 0)
    )
)
/
(
    INDEX($AN$5:$AN$77, MATCH(AG$100,_xlfn.ANCHORARRAY( $W$5), 0))
    *
    INDEX($AN$5:$AN$77, MATCH($A117,_xlfn.ANCHORARRAY( $W$5), 0))
)</f>
        <v>0.92232580317230983</v>
      </c>
      <c r="AH117" s="17" cm="1">
        <f t="array" ref="AH117">MMULT(
    MMULT(
        INDEX($X$5:$AM$77, MATCH(AH$100,_xlfn.ANCHORARRAY( $W$5), 0), 0),
        $F$5:$U$20
    ),
    TRANSPOSE(
        INDEX($X$5:$AM$77, MATCH($A117,_xlfn.ANCHORARRAY( $W$5), 0), 0)
    )
)
/
(
    INDEX($AN$5:$AN$77, MATCH(AH$100,_xlfn.ANCHORARRAY( $W$5), 0))
    *
    INDEX($AN$5:$AN$77, MATCH($A117,_xlfn.ANCHORARRAY( $W$5), 0))
)</f>
        <v>0.72593495698990329</v>
      </c>
      <c r="AI117" s="17" cm="1">
        <f t="array" ref="AI117">MMULT(
    MMULT(
        INDEX($X$5:$AM$77, MATCH(AI$100,_xlfn.ANCHORARRAY( $W$5), 0), 0),
        $F$5:$U$20
    ),
    TRANSPOSE(
        INDEX($X$5:$AM$77, MATCH($A117,_xlfn.ANCHORARRAY( $W$5), 0), 0)
    )
)
/
(
    INDEX($AN$5:$AN$77, MATCH(AI$100,_xlfn.ANCHORARRAY( $W$5), 0))
    *
    INDEX($AN$5:$AN$77, MATCH($A117,_xlfn.ANCHORARRAY( $W$5), 0))
)</f>
        <v>0.93554261506645076</v>
      </c>
      <c r="AJ117" s="17" cm="1">
        <f t="array" ref="AJ117">MMULT(
    MMULT(
        INDEX($X$5:$AM$77, MATCH(AJ$100,_xlfn.ANCHORARRAY( $W$5), 0), 0),
        $F$5:$U$20
    ),
    TRANSPOSE(
        INDEX($X$5:$AM$77, MATCH($A117,_xlfn.ANCHORARRAY( $W$5), 0), 0)
    )
)
/
(
    INDEX($AN$5:$AN$77, MATCH(AJ$100,_xlfn.ANCHORARRAY( $W$5), 0))
    *
    INDEX($AN$5:$AN$77, MATCH($A117,_xlfn.ANCHORARRAY( $W$5), 0))
)</f>
        <v>0.89195345497149081</v>
      </c>
      <c r="AK117" s="17" cm="1">
        <f t="array" ref="AK117">MMULT(
    MMULT(
        INDEX($X$5:$AM$77, MATCH(AK$100,_xlfn.ANCHORARRAY( $W$5), 0), 0),
        $F$5:$U$20
    ),
    TRANSPOSE(
        INDEX($X$5:$AM$77, MATCH($A117,_xlfn.ANCHORARRAY( $W$5), 0), 0)
    )
)
/
(
    INDEX($AN$5:$AN$77, MATCH(AK$100,_xlfn.ANCHORARRAY( $W$5), 0))
    *
    INDEX($AN$5:$AN$77, MATCH($A117,_xlfn.ANCHORARRAY( $W$5), 0))
)</f>
        <v>0.90557870979603983</v>
      </c>
      <c r="AL117" s="17" cm="1">
        <f t="array" ref="AL117">MMULT(
    MMULT(
        INDEX($X$5:$AM$77, MATCH(AL$100,_xlfn.ANCHORARRAY( $W$5), 0), 0),
        $F$5:$U$20
    ),
    TRANSPOSE(
        INDEX($X$5:$AM$77, MATCH($A117,_xlfn.ANCHORARRAY( $W$5), 0), 0)
    )
)
/
(
    INDEX($AN$5:$AN$77, MATCH(AL$100,_xlfn.ANCHORARRAY( $W$5), 0))
    *
    INDEX($AN$5:$AN$77, MATCH($A117,_xlfn.ANCHORARRAY( $W$5), 0))
)</f>
        <v>0.84965169569591092</v>
      </c>
      <c r="AM117" s="17" cm="1">
        <f t="array" ref="AM117">MMULT(
    MMULT(
        INDEX($X$5:$AM$77, MATCH(AM$100,_xlfn.ANCHORARRAY( $W$5), 0), 0),
        $F$5:$U$20
    ),
    TRANSPOSE(
        INDEX($X$5:$AM$77, MATCH($A117,_xlfn.ANCHORARRAY( $W$5), 0), 0)
    )
)
/
(
    INDEX($AN$5:$AN$77, MATCH(AM$100,_xlfn.ANCHORARRAY( $W$5), 0))
    *
    INDEX($AN$5:$AN$77, MATCH($A117,_xlfn.ANCHORARRAY( $W$5), 0))
)</f>
        <v>0.76347620475026778</v>
      </c>
      <c r="AN117" s="17" cm="1">
        <f t="array" ref="AN117">MMULT(
    MMULT(
        INDEX($X$5:$AM$77, MATCH(AN$100,_xlfn.ANCHORARRAY( $W$5), 0), 0),
        $F$5:$U$20
    ),
    TRANSPOSE(
        INDEX($X$5:$AM$77, MATCH($A117,_xlfn.ANCHORARRAY( $W$5), 0), 0)
    )
)
/
(
    INDEX($AN$5:$AN$77, MATCH(AN$100,_xlfn.ANCHORARRAY( $W$5), 0))
    *
    INDEX($AN$5:$AN$77, MATCH($A117,_xlfn.ANCHORARRAY( $W$5), 0))
)</f>
        <v>0.80687227851250476</v>
      </c>
      <c r="AO117" s="17" cm="1">
        <f t="array" ref="AO117">MMULT(
    MMULT(
        INDEX($X$5:$AM$77, MATCH(AO$100,_xlfn.ANCHORARRAY( $W$5), 0), 0),
        $F$5:$U$20
    ),
    TRANSPOSE(
        INDEX($X$5:$AM$77, MATCH($A117,_xlfn.ANCHORARRAY( $W$5), 0), 0)
    )
)
/
(
    INDEX($AN$5:$AN$77, MATCH(AO$100,_xlfn.ANCHORARRAY( $W$5), 0))
    *
    INDEX($AN$5:$AN$77, MATCH($A117,_xlfn.ANCHORARRAY( $W$5), 0))
)</f>
        <v>0.75662053902216453</v>
      </c>
      <c r="AP117" s="17" cm="1">
        <f t="array" ref="AP117">MMULT(
    MMULT(
        INDEX($X$5:$AM$77, MATCH(AP$100,_xlfn.ANCHORARRAY( $W$5), 0), 0),
        $F$5:$U$20
    ),
    TRANSPOSE(
        INDEX($X$5:$AM$77, MATCH($A117,_xlfn.ANCHORARRAY( $W$5), 0), 0)
    )
)
/
(
    INDEX($AN$5:$AN$77, MATCH(AP$100,_xlfn.ANCHORARRAY( $W$5), 0))
    *
    INDEX($AN$5:$AN$77, MATCH($A117,_xlfn.ANCHORARRAY( $W$5), 0))
)</f>
        <v>0.66063860576308908</v>
      </c>
      <c r="AQ117" s="17" cm="1">
        <f t="array" ref="AQ117">MMULT(
    MMULT(
        INDEX($X$5:$AM$77, MATCH(AQ$100,_xlfn.ANCHORARRAY( $W$5), 0), 0),
        $F$5:$U$20
    ),
    TRANSPOSE(
        INDEX($X$5:$AM$77, MATCH($A117,_xlfn.ANCHORARRAY( $W$5), 0), 0)
    )
)
/
(
    INDEX($AN$5:$AN$77, MATCH(AQ$100,_xlfn.ANCHORARRAY( $W$5), 0))
    *
    INDEX($AN$5:$AN$77, MATCH($A117,_xlfn.ANCHORARRAY( $W$5), 0))
)</f>
        <v>0.85150255040420564</v>
      </c>
      <c r="AR117" s="17" cm="1">
        <f t="array" ref="AR117">MMULT(
    MMULT(
        INDEX($X$5:$AM$77, MATCH(AR$100,_xlfn.ANCHORARRAY( $W$5), 0), 0),
        $F$5:$U$20
    ),
    TRANSPOSE(
        INDEX($X$5:$AM$77, MATCH($A117,_xlfn.ANCHORARRAY( $W$5), 0), 0)
    )
)
/
(
    INDEX($AN$5:$AN$77, MATCH(AR$100,_xlfn.ANCHORARRAY( $W$5), 0))
    *
    INDEX($AN$5:$AN$77, MATCH($A117,_xlfn.ANCHORARRAY( $W$5), 0))
)</f>
        <v>0.90186024970226442</v>
      </c>
      <c r="AS117" s="17" cm="1">
        <f t="array" ref="AS117">MMULT(
    MMULT(
        INDEX($X$5:$AM$77, MATCH(AS$100,_xlfn.ANCHORARRAY( $W$5), 0), 0),
        $F$5:$U$20
    ),
    TRANSPOSE(
        INDEX($X$5:$AM$77, MATCH($A117,_xlfn.ANCHORARRAY( $W$5), 0), 0)
    )
)
/
(
    INDEX($AN$5:$AN$77, MATCH(AS$100,_xlfn.ANCHORARRAY( $W$5), 0))
    *
    INDEX($AN$5:$AN$77, MATCH($A117,_xlfn.ANCHORARRAY( $W$5), 0))
)</f>
        <v>0.87921098560979527</v>
      </c>
      <c r="AT117" s="17" cm="1">
        <f t="array" ref="AT117">MMULT(
    MMULT(
        INDEX($X$5:$AM$77, MATCH(AT$100,_xlfn.ANCHORARRAY( $W$5), 0), 0),
        $F$5:$U$20
    ),
    TRANSPOSE(
        INDEX($X$5:$AM$77, MATCH($A117,_xlfn.ANCHORARRAY( $W$5), 0), 0)
    )
)
/
(
    INDEX($AN$5:$AN$77, MATCH(AT$100,_xlfn.ANCHORARRAY( $W$5), 0))
    *
    INDEX($AN$5:$AN$77, MATCH($A117,_xlfn.ANCHORARRAY( $W$5), 0))
)</f>
        <v>0.85198771330302325</v>
      </c>
      <c r="AU117" s="17" cm="1">
        <f t="array" ref="AU117">MMULT(
    MMULT(
        INDEX($X$5:$AM$77, MATCH(AU$100,_xlfn.ANCHORARRAY( $W$5), 0), 0),
        $F$5:$U$20
    ),
    TRANSPOSE(
        INDEX($X$5:$AM$77, MATCH($A117,_xlfn.ANCHORARRAY( $W$5), 0), 0)
    )
)
/
(
    INDEX($AN$5:$AN$77, MATCH(AU$100,_xlfn.ANCHORARRAY( $W$5), 0))
    *
    INDEX($AN$5:$AN$77, MATCH($A117,_xlfn.ANCHORARRAY( $W$5), 0))
)</f>
        <v>0.89816933981297054</v>
      </c>
      <c r="AV117" s="17" cm="1">
        <f t="array" ref="AV117">MMULT(
    MMULT(
        INDEX($X$5:$AM$77, MATCH(AV$100,_xlfn.ANCHORARRAY( $W$5), 0), 0),
        $F$5:$U$20
    ),
    TRANSPOSE(
        INDEX($X$5:$AM$77, MATCH($A117,_xlfn.ANCHORARRAY( $W$5), 0), 0)
    )
)
/
(
    INDEX($AN$5:$AN$77, MATCH(AV$100,_xlfn.ANCHORARRAY( $W$5), 0))
    *
    INDEX($AN$5:$AN$77, MATCH($A117,_xlfn.ANCHORARRAY( $W$5), 0))
)</f>
        <v>0.92120396380557723</v>
      </c>
      <c r="AW117" s="17" cm="1">
        <f t="array" ref="AW117">MMULT(
    MMULT(
        INDEX($X$5:$AM$77, MATCH(AW$100,_xlfn.ANCHORARRAY( $W$5), 0), 0),
        $F$5:$U$20
    ),
    TRANSPOSE(
        INDEX($X$5:$AM$77, MATCH($A117,_xlfn.ANCHORARRAY( $W$5), 0), 0)
    )
)
/
(
    INDEX($AN$5:$AN$77, MATCH(AW$100,_xlfn.ANCHORARRAY( $W$5), 0))
    *
    INDEX($AN$5:$AN$77, MATCH($A117,_xlfn.ANCHORARRAY( $W$5), 0))
)</f>
        <v>0.7302844679444197</v>
      </c>
      <c r="AX117" s="17" cm="1">
        <f t="array" ref="AX117">MMULT(
    MMULT(
        INDEX($X$5:$AM$77, MATCH(AX$100,_xlfn.ANCHORARRAY( $W$5), 0), 0),
        $F$5:$U$20
    ),
    TRANSPOSE(
        INDEX($X$5:$AM$77, MATCH($A117,_xlfn.ANCHORARRAY( $W$5), 0), 0)
    )
)
/
(
    INDEX($AN$5:$AN$77, MATCH(AX$100,_xlfn.ANCHORARRAY( $W$5), 0))
    *
    INDEX($AN$5:$AN$77, MATCH($A117,_xlfn.ANCHORARRAY( $W$5), 0))
)</f>
        <v>0.59604538649611594</v>
      </c>
      <c r="AY117" s="17" cm="1">
        <f t="array" ref="AY117">MMULT(
    MMULT(
        INDEX($X$5:$AM$77, MATCH(AY$100,_xlfn.ANCHORARRAY( $W$5), 0), 0),
        $F$5:$U$20
    ),
    TRANSPOSE(
        INDEX($X$5:$AM$77, MATCH($A117,_xlfn.ANCHORARRAY( $W$5), 0), 0)
    )
)
/
(
    INDEX($AN$5:$AN$77, MATCH(AY$100,_xlfn.ANCHORARRAY( $W$5), 0))
    *
    INDEX($AN$5:$AN$77, MATCH($A117,_xlfn.ANCHORARRAY( $W$5), 0))
)</f>
        <v>0.65138531934392807</v>
      </c>
      <c r="AZ117" s="17" cm="1">
        <f t="array" ref="AZ117">MMULT(
    MMULT(
        INDEX($X$5:$AM$77, MATCH(AZ$100,_xlfn.ANCHORARRAY( $W$5), 0), 0),
        $F$5:$U$20
    ),
    TRANSPOSE(
        INDEX($X$5:$AM$77, MATCH($A117,_xlfn.ANCHORARRAY( $W$5), 0), 0)
    )
)
/
(
    INDEX($AN$5:$AN$77, MATCH(AZ$100,_xlfn.ANCHORARRAY( $W$5), 0))
    *
    INDEX($AN$5:$AN$77, MATCH($A117,_xlfn.ANCHORARRAY( $W$5), 0))
)</f>
        <v>0.95246811013200638</v>
      </c>
      <c r="BA117" s="17" cm="1">
        <f t="array" ref="BA117">MMULT(
    MMULT(
        INDEX($X$5:$AM$77, MATCH(BA$100,_xlfn.ANCHORARRAY( $W$5), 0), 0),
        $F$5:$U$20
    ),
    TRANSPOSE(
        INDEX($X$5:$AM$77, MATCH($A117,_xlfn.ANCHORARRAY( $W$5), 0), 0)
    )
)
/
(
    INDEX($AN$5:$AN$77, MATCH(BA$100,_xlfn.ANCHORARRAY( $W$5), 0))
    *
    INDEX($AN$5:$AN$77, MATCH($A117,_xlfn.ANCHORARRAY( $W$5), 0))
)</f>
        <v>0.94440633002361329</v>
      </c>
      <c r="BB117" s="17" cm="1">
        <f t="array" ref="BB117">MMULT(
    MMULT(
        INDEX($X$5:$AM$77, MATCH(BB$100,_xlfn.ANCHORARRAY( $W$5), 0), 0),
        $F$5:$U$20
    ),
    TRANSPOSE(
        INDEX($X$5:$AM$77, MATCH($A117,_xlfn.ANCHORARRAY( $W$5), 0), 0)
    )
)
/
(
    INDEX($AN$5:$AN$77, MATCH(BB$100,_xlfn.ANCHORARRAY( $W$5), 0))
    *
    INDEX($AN$5:$AN$77, MATCH($A117,_xlfn.ANCHORARRAY( $W$5), 0))
)</f>
        <v>0.75288194161549282</v>
      </c>
      <c r="BC117" s="17" cm="1">
        <f t="array" ref="BC117">MMULT(
    MMULT(
        INDEX($X$5:$AM$77, MATCH(BC$100,_xlfn.ANCHORARRAY( $W$5), 0), 0),
        $F$5:$U$20
    ),
    TRANSPOSE(
        INDEX($X$5:$AM$77, MATCH($A117,_xlfn.ANCHORARRAY( $W$5), 0), 0)
    )
)
/
(
    INDEX($AN$5:$AN$77, MATCH(BC$100,_xlfn.ANCHORARRAY( $W$5), 0))
    *
    INDEX($AN$5:$AN$77, MATCH($A117,_xlfn.ANCHORARRAY( $W$5), 0))
)</f>
        <v>0.85029686579950903</v>
      </c>
      <c r="BD117" s="17" cm="1">
        <f t="array" ref="BD117">MMULT(
    MMULT(
        INDEX($X$5:$AM$77, MATCH(BD$100,_xlfn.ANCHORARRAY( $W$5), 0), 0),
        $F$5:$U$20
    ),
    TRANSPOSE(
        INDEX($X$5:$AM$77, MATCH($A117,_xlfn.ANCHORARRAY( $W$5), 0), 0)
    )
)
/
(
    INDEX($AN$5:$AN$77, MATCH(BD$100,_xlfn.ANCHORARRAY( $W$5), 0))
    *
    INDEX($AN$5:$AN$77, MATCH($A117,_xlfn.ANCHORARRAY( $W$5), 0))
)</f>
        <v>0.67200555588437128</v>
      </c>
      <c r="BE117" s="17" cm="1">
        <f t="array" ref="BE117">MMULT(
    MMULT(
        INDEX($X$5:$AM$77, MATCH(BE$100,_xlfn.ANCHORARRAY( $W$5), 0), 0),
        $F$5:$U$20
    ),
    TRANSPOSE(
        INDEX($X$5:$AM$77, MATCH($A117,_xlfn.ANCHORARRAY( $W$5), 0), 0)
    )
)
/
(
    INDEX($AN$5:$AN$77, MATCH(BE$100,_xlfn.ANCHORARRAY( $W$5), 0))
    *
    INDEX($AN$5:$AN$77, MATCH($A117,_xlfn.ANCHORARRAY( $W$5), 0))
)</f>
        <v>0.73825933810108446</v>
      </c>
      <c r="BF117" s="17" cm="1">
        <f t="array" ref="BF117">MMULT(
    MMULT(
        INDEX($X$5:$AM$77, MATCH(BF$100,_xlfn.ANCHORARRAY( $W$5), 0), 0),
        $F$5:$U$20
    ),
    TRANSPOSE(
        INDEX($X$5:$AM$77, MATCH($A117,_xlfn.ANCHORARRAY( $W$5), 0), 0)
    )
)
/
(
    INDEX($AN$5:$AN$77, MATCH(BF$100,_xlfn.ANCHORARRAY( $W$5), 0))
    *
    INDEX($AN$5:$AN$77, MATCH($A117,_xlfn.ANCHORARRAY( $W$5), 0))
)</f>
        <v>0.91571539056520379</v>
      </c>
      <c r="BG117" s="17" cm="1">
        <f t="array" ref="BG117">MMULT(
    MMULT(
        INDEX($X$5:$AM$77, MATCH(BG$100,_xlfn.ANCHORARRAY( $W$5), 0), 0),
        $F$5:$U$20
    ),
    TRANSPOSE(
        INDEX($X$5:$AM$77, MATCH($A117,_xlfn.ANCHORARRAY( $W$5), 0), 0)
    )
)
/
(
    INDEX($AN$5:$AN$77, MATCH(BG$100,_xlfn.ANCHORARRAY( $W$5), 0))
    *
    INDEX($AN$5:$AN$77, MATCH($A117,_xlfn.ANCHORARRAY( $W$5), 0))
)</f>
        <v>0.87528410534919465</v>
      </c>
      <c r="BH117" s="17" cm="1">
        <f t="array" ref="BH117">MMULT(
    MMULT(
        INDEX($X$5:$AM$77, MATCH(BH$100,_xlfn.ANCHORARRAY( $W$5), 0), 0),
        $F$5:$U$20
    ),
    TRANSPOSE(
        INDEX($X$5:$AM$77, MATCH($A117,_xlfn.ANCHORARRAY( $W$5), 0), 0)
    )
)
/
(
    INDEX($AN$5:$AN$77, MATCH(BH$100,_xlfn.ANCHORARRAY( $W$5), 0))
    *
    INDEX($AN$5:$AN$77, MATCH($A117,_xlfn.ANCHORARRAY( $W$5), 0))
)</f>
        <v>0.82223028172517254</v>
      </c>
      <c r="BI117" s="17" cm="1">
        <f t="array" ref="BI117">MMULT(
    MMULT(
        INDEX($X$5:$AM$77, MATCH(BI$100,_xlfn.ANCHORARRAY( $W$5), 0), 0),
        $F$5:$U$20
    ),
    TRANSPOSE(
        INDEX($X$5:$AM$77, MATCH($A117,_xlfn.ANCHORARRAY( $W$5), 0), 0)
    )
)
/
(
    INDEX($AN$5:$AN$77, MATCH(BI$100,_xlfn.ANCHORARRAY( $W$5), 0))
    *
    INDEX($AN$5:$AN$77, MATCH($A117,_xlfn.ANCHORARRAY( $W$5), 0))
)</f>
        <v>0.59850481119798626</v>
      </c>
      <c r="BJ117" s="17" cm="1">
        <f t="array" ref="BJ117">MMULT(
    MMULT(
        INDEX($X$5:$AM$77, MATCH(BJ$100,_xlfn.ANCHORARRAY( $W$5), 0), 0),
        $F$5:$U$20
    ),
    TRANSPOSE(
        INDEX($X$5:$AM$77, MATCH($A117,_xlfn.ANCHORARRAY( $W$5), 0), 0)
    )
)
/
(
    INDEX($AN$5:$AN$77, MATCH(BJ$100,_xlfn.ANCHORARRAY( $W$5), 0))
    *
    INDEX($AN$5:$AN$77, MATCH($A117,_xlfn.ANCHORARRAY( $W$5), 0))
)</f>
        <v>0.98640317004472666</v>
      </c>
      <c r="BK117" s="17" cm="1">
        <f t="array" ref="BK117">MMULT(
    MMULT(
        INDEX($X$5:$AM$77, MATCH(BK$100,_xlfn.ANCHORARRAY( $W$5), 0), 0),
        $F$5:$U$20
    ),
    TRANSPOSE(
        INDEX($X$5:$AM$77, MATCH($A117,_xlfn.ANCHORARRAY( $W$5), 0), 0)
    )
)
/
(
    INDEX($AN$5:$AN$77, MATCH(BK$100,_xlfn.ANCHORARRAY( $W$5), 0))
    *
    INDEX($AN$5:$AN$77, MATCH($A117,_xlfn.ANCHORARRAY( $W$5), 0))
)</f>
        <v>0.69145339278312445</v>
      </c>
      <c r="BL117" s="17" cm="1">
        <f t="array" ref="BL117">MMULT(
    MMULT(
        INDEX($X$5:$AM$77, MATCH(BL$100,_xlfn.ANCHORARRAY( $W$5), 0), 0),
        $F$5:$U$20
    ),
    TRANSPOSE(
        INDEX($X$5:$AM$77, MATCH($A117,_xlfn.ANCHORARRAY( $W$5), 0), 0)
    )
)
/
(
    INDEX($AN$5:$AN$77, MATCH(BL$100,_xlfn.ANCHORARRAY( $W$5), 0))
    *
    INDEX($AN$5:$AN$77, MATCH($A117,_xlfn.ANCHORARRAY( $W$5), 0))
)</f>
        <v>0.50117392068859357</v>
      </c>
      <c r="BM117" s="17" cm="1">
        <f t="array" ref="BM117">MMULT(
    MMULT(
        INDEX($X$5:$AM$77, MATCH(BM$100,_xlfn.ANCHORARRAY( $W$5), 0), 0),
        $F$5:$U$20
    ),
    TRANSPOSE(
        INDEX($X$5:$AM$77, MATCH($A117,_xlfn.ANCHORARRAY( $W$5), 0), 0)
    )
)
/
(
    INDEX($AN$5:$AN$77, MATCH(BM$100,_xlfn.ANCHORARRAY( $W$5), 0))
    *
    INDEX($AN$5:$AN$77, MATCH($A117,_xlfn.ANCHORARRAY( $W$5), 0))
)</f>
        <v>0.7169264119897597</v>
      </c>
      <c r="BN117" s="17" cm="1">
        <f t="array" ref="BN117">MMULT(
    MMULT(
        INDEX($X$5:$AM$77, MATCH(BN$100,_xlfn.ANCHORARRAY( $W$5), 0), 0),
        $F$5:$U$20
    ),
    TRANSPOSE(
        INDEX($X$5:$AM$77, MATCH($A117,_xlfn.ANCHORARRAY( $W$5), 0), 0)
    )
)
/
(
    INDEX($AN$5:$AN$77, MATCH(BN$100,_xlfn.ANCHORARRAY( $W$5), 0))
    *
    INDEX($AN$5:$AN$77, MATCH($A117,_xlfn.ANCHORARRAY( $W$5), 0))
)</f>
        <v>0.77527924363202161</v>
      </c>
      <c r="BO117" s="17" cm="1">
        <f t="array" ref="BO117">MMULT(
    MMULT(
        INDEX($X$5:$AM$77, MATCH(BO$100,_xlfn.ANCHORARRAY( $W$5), 0), 0),
        $F$5:$U$20
    ),
    TRANSPOSE(
        INDEX($X$5:$AM$77, MATCH($A117,_xlfn.ANCHORARRAY( $W$5), 0), 0)
    )
)
/
(
    INDEX($AN$5:$AN$77, MATCH(BO$100,_xlfn.ANCHORARRAY( $W$5), 0))
    *
    INDEX($AN$5:$AN$77, MATCH($A117,_xlfn.ANCHORARRAY( $W$5), 0))
)</f>
        <v>0.86701039030974036</v>
      </c>
      <c r="BP117" s="17" cm="1">
        <f t="array" ref="BP117">MMULT(
    MMULT(
        INDEX($X$5:$AM$77, MATCH(BP$100,_xlfn.ANCHORARRAY( $W$5), 0), 0),
        $F$5:$U$20
    ),
    TRANSPOSE(
        INDEX($X$5:$AM$77, MATCH($A117,_xlfn.ANCHORARRAY( $W$5), 0), 0)
    )
)
/
(
    INDEX($AN$5:$AN$77, MATCH(BP$100,_xlfn.ANCHORARRAY( $W$5), 0))
    *
    INDEX($AN$5:$AN$77, MATCH($A117,_xlfn.ANCHORARRAY( $W$5), 0))
)</f>
        <v>0.94011197597463003</v>
      </c>
      <c r="BQ117" s="17" cm="1">
        <f t="array" ref="BQ117">MMULT(
    MMULT(
        INDEX($X$5:$AM$77, MATCH(BQ$100,_xlfn.ANCHORARRAY( $W$5), 0), 0),
        $F$5:$U$20
    ),
    TRANSPOSE(
        INDEX($X$5:$AM$77, MATCH($A117,_xlfn.ANCHORARRAY( $W$5), 0), 0)
    )
)
/
(
    INDEX($AN$5:$AN$77, MATCH(BQ$100,_xlfn.ANCHORARRAY( $W$5), 0))
    *
    INDEX($AN$5:$AN$77, MATCH($A117,_xlfn.ANCHORARRAY( $W$5), 0))
)</f>
        <v>0.6860205810707396</v>
      </c>
      <c r="BR117" s="17" cm="1">
        <f t="array" ref="BR117">MMULT(
    MMULT(
        INDEX($X$5:$AM$77, MATCH(BR$100,_xlfn.ANCHORARRAY( $W$5), 0), 0),
        $F$5:$U$20
    ),
    TRANSPOSE(
        INDEX($X$5:$AM$77, MATCH($A117,_xlfn.ANCHORARRAY( $W$5), 0), 0)
    )
)
/
(
    INDEX($AN$5:$AN$77, MATCH(BR$100,_xlfn.ANCHORARRAY( $W$5), 0))
    *
    INDEX($AN$5:$AN$77, MATCH($A117,_xlfn.ANCHORARRAY( $W$5), 0))
)</f>
        <v>0.77285031316795816</v>
      </c>
      <c r="BS117" s="17" cm="1">
        <f t="array" ref="BS117">MMULT(
    MMULT(
        INDEX($X$5:$AM$77, MATCH(BS$100,_xlfn.ANCHORARRAY( $W$5), 0), 0),
        $F$5:$U$20
    ),
    TRANSPOSE(
        INDEX($X$5:$AM$77, MATCH($A117,_xlfn.ANCHORARRAY( $W$5), 0), 0)
    )
)
/
(
    INDEX($AN$5:$AN$77, MATCH(BS$100,_xlfn.ANCHORARRAY( $W$5), 0))
    *
    INDEX($AN$5:$AN$77, MATCH($A117,_xlfn.ANCHORARRAY( $W$5), 0))
)</f>
        <v>0.84380179026467017</v>
      </c>
      <c r="BT117" s="17" cm="1">
        <f t="array" ref="BT117">MMULT(
    MMULT(
        INDEX($X$5:$AM$77, MATCH(BT$100,_xlfn.ANCHORARRAY( $W$5), 0), 0),
        $F$5:$U$20
    ),
    TRANSPOSE(
        INDEX($X$5:$AM$77, MATCH($A117,_xlfn.ANCHORARRAY( $W$5), 0), 0)
    )
)
/
(
    INDEX($AN$5:$AN$77, MATCH(BT$100,_xlfn.ANCHORARRAY( $W$5), 0))
    *
    INDEX($AN$5:$AN$77, MATCH($A117,_xlfn.ANCHORARRAY( $W$5), 0))
)</f>
        <v>0.97603679356157291</v>
      </c>
      <c r="BU117" s="17" cm="1">
        <f t="array" ref="BU117">MMULT(
    MMULT(
        INDEX($X$5:$AM$77, MATCH(BU$100,_xlfn.ANCHORARRAY( $W$5), 0), 0),
        $F$5:$U$20
    ),
    TRANSPOSE(
        INDEX($X$5:$AM$77, MATCH($A117,_xlfn.ANCHORARRAY( $W$5), 0), 0)
    )
)
/
(
    INDEX($AN$5:$AN$77, MATCH(BU$100,_xlfn.ANCHORARRAY( $W$5), 0))
    *
    INDEX($AN$5:$AN$77, MATCH($A117,_xlfn.ANCHORARRAY( $W$5), 0))
)</f>
        <v>0.83713560442444646</v>
      </c>
      <c r="BV117" s="17" cm="1">
        <f t="array" ref="BV117">MMULT(
    MMULT(
        INDEX($X$5:$AM$77, MATCH(BV$100,_xlfn.ANCHORARRAY( $W$5), 0), 0),
        $F$5:$U$20
    ),
    TRANSPOSE(
        INDEX($X$5:$AM$77, MATCH($A117,_xlfn.ANCHORARRAY( $W$5), 0), 0)
    )
)
/
(
    INDEX($AN$5:$AN$77, MATCH(BV$100,_xlfn.ANCHORARRAY( $W$5), 0))
    *
    INDEX($AN$5:$AN$77, MATCH($A117,_xlfn.ANCHORARRAY( $W$5), 0))
)</f>
        <v>0.75991706208940668</v>
      </c>
    </row>
    <row r="118" spans="1:74" x14ac:dyDescent="0.3">
      <c r="A118" s="7" t="str">
        <v>Newcomb, Sean</v>
      </c>
      <c r="B118" s="17" cm="1">
        <f t="array" ref="B118">MMULT(
    MMULT(
        INDEX($X$5:$AM$77, MATCH(B$100,_xlfn.ANCHORARRAY( $W$5), 0), 0),
        $F$5:$U$20
    ),
    TRANSPOSE(
        INDEX($X$5:$AM$77, MATCH($A118,_xlfn.ANCHORARRAY( $W$5), 0), 0)
    )
)
/
(
    INDEX($AN$5:$AN$77, MATCH(B$100,_xlfn.ANCHORARRAY( $W$5), 0))
    *
    INDEX($AN$5:$AN$77, MATCH($A118,_xlfn.ANCHORARRAY( $W$5), 0))
)</f>
        <v>0.94845162967639784</v>
      </c>
      <c r="C118" s="17" cm="1">
        <f t="array" ref="C118">MMULT(
    MMULT(
        INDEX($X$5:$AM$77, MATCH(C$100,_xlfn.ANCHORARRAY( $W$5), 0), 0),
        $F$5:$U$20
    ),
    TRANSPOSE(
        INDEX($X$5:$AM$77, MATCH($A118,_xlfn.ANCHORARRAY( $W$5), 0), 0)
    )
)
/
(
    INDEX($AN$5:$AN$77, MATCH(C$100,_xlfn.ANCHORARRAY( $W$5), 0))
    *
    INDEX($AN$5:$AN$77, MATCH($A118,_xlfn.ANCHORARRAY( $W$5), 0))
)</f>
        <v>0.88888216015917254</v>
      </c>
      <c r="D118" s="17" cm="1">
        <f t="array" ref="D118">MMULT(
    MMULT(
        INDEX($X$5:$AM$77, MATCH(D$100,_xlfn.ANCHORARRAY( $W$5), 0), 0),
        $F$5:$U$20
    ),
    TRANSPOSE(
        INDEX($X$5:$AM$77, MATCH($A118,_xlfn.ANCHORARRAY( $W$5), 0), 0)
    )
)
/
(
    INDEX($AN$5:$AN$77, MATCH(D$100,_xlfn.ANCHORARRAY( $W$5), 0))
    *
    INDEX($AN$5:$AN$77, MATCH($A118,_xlfn.ANCHORARRAY( $W$5), 0))
)</f>
        <v>0.88908714042409809</v>
      </c>
      <c r="E118" s="17" cm="1">
        <f t="array" ref="E118">MMULT(
    MMULT(
        INDEX($X$5:$AM$77, MATCH(E$100,_xlfn.ANCHORARRAY( $W$5), 0), 0),
        $F$5:$U$20
    ),
    TRANSPOSE(
        INDEX($X$5:$AM$77, MATCH($A118,_xlfn.ANCHORARRAY( $W$5), 0), 0)
    )
)
/
(
    INDEX($AN$5:$AN$77, MATCH(E$100,_xlfn.ANCHORARRAY( $W$5), 0))
    *
    INDEX($AN$5:$AN$77, MATCH($A118,_xlfn.ANCHORARRAY( $W$5), 0))
)</f>
        <v>0.71759863631552512</v>
      </c>
      <c r="F118" s="17" cm="1">
        <f t="array" ref="F118">MMULT(
    MMULT(
        INDEX($X$5:$AM$77, MATCH(F$100,_xlfn.ANCHORARRAY( $W$5), 0), 0),
        $F$5:$U$20
    ),
    TRANSPOSE(
        INDEX($X$5:$AM$77, MATCH($A118,_xlfn.ANCHORARRAY( $W$5), 0), 0)
    )
)
/
(
    INDEX($AN$5:$AN$77, MATCH(F$100,_xlfn.ANCHORARRAY( $W$5), 0))
    *
    INDEX($AN$5:$AN$77, MATCH($A118,_xlfn.ANCHORARRAY( $W$5), 0))
)</f>
        <v>0.73911063663554455</v>
      </c>
      <c r="G118" s="17" cm="1">
        <f t="array" ref="G118">MMULT(
    MMULT(
        INDEX($X$5:$AM$77, MATCH(G$100,_xlfn.ANCHORARRAY( $W$5), 0), 0),
        $F$5:$U$20
    ),
    TRANSPOSE(
        INDEX($X$5:$AM$77, MATCH($A118,_xlfn.ANCHORARRAY( $W$5), 0), 0)
    )
)
/
(
    INDEX($AN$5:$AN$77, MATCH(G$100,_xlfn.ANCHORARRAY( $W$5), 0))
    *
    INDEX($AN$5:$AN$77, MATCH($A118,_xlfn.ANCHORARRAY( $W$5), 0))
)</f>
        <v>0.88259512780761962</v>
      </c>
      <c r="H118" s="17" cm="1">
        <f t="array" ref="H118">MMULT(
    MMULT(
        INDEX($X$5:$AM$77, MATCH(H$100,_xlfn.ANCHORARRAY( $W$5), 0), 0),
        $F$5:$U$20
    ),
    TRANSPOSE(
        INDEX($X$5:$AM$77, MATCH($A118,_xlfn.ANCHORARRAY( $W$5), 0), 0)
    )
)
/
(
    INDEX($AN$5:$AN$77, MATCH(H$100,_xlfn.ANCHORARRAY( $W$5), 0))
    *
    INDEX($AN$5:$AN$77, MATCH($A118,_xlfn.ANCHORARRAY( $W$5), 0))
)</f>
        <v>0.92396191498189528</v>
      </c>
      <c r="I118" s="17" cm="1">
        <f t="array" ref="I118">MMULT(
    MMULT(
        INDEX($X$5:$AM$77, MATCH(I$100,_xlfn.ANCHORARRAY( $W$5), 0), 0),
        $F$5:$U$20
    ),
    TRANSPOSE(
        INDEX($X$5:$AM$77, MATCH($A118,_xlfn.ANCHORARRAY( $W$5), 0), 0)
    )
)
/
(
    INDEX($AN$5:$AN$77, MATCH(I$100,_xlfn.ANCHORARRAY( $W$5), 0))
    *
    INDEX($AN$5:$AN$77, MATCH($A118,_xlfn.ANCHORARRAY( $W$5), 0))
)</f>
        <v>0.81385352871411043</v>
      </c>
      <c r="J118" s="17" cm="1">
        <f t="array" ref="J118">MMULT(
    MMULT(
        INDEX($X$5:$AM$77, MATCH(J$100,_xlfn.ANCHORARRAY( $W$5), 0), 0),
        $F$5:$U$20
    ),
    TRANSPOSE(
        INDEX($X$5:$AM$77, MATCH($A118,_xlfn.ANCHORARRAY( $W$5), 0), 0)
    )
)
/
(
    INDEX($AN$5:$AN$77, MATCH(J$100,_xlfn.ANCHORARRAY( $W$5), 0))
    *
    INDEX($AN$5:$AN$77, MATCH($A118,_xlfn.ANCHORARRAY( $W$5), 0))
)</f>
        <v>0.92899299520683087</v>
      </c>
      <c r="K118" s="17" cm="1">
        <f t="array" ref="K118">MMULT(
    MMULT(
        INDEX($X$5:$AM$77, MATCH(K$100,_xlfn.ANCHORARRAY( $W$5), 0), 0),
        $F$5:$U$20
    ),
    TRANSPOSE(
        INDEX($X$5:$AM$77, MATCH($A118,_xlfn.ANCHORARRAY( $W$5), 0), 0)
    )
)
/
(
    INDEX($AN$5:$AN$77, MATCH(K$100,_xlfn.ANCHORARRAY( $W$5), 0))
    *
    INDEX($AN$5:$AN$77, MATCH($A118,_xlfn.ANCHORARRAY( $W$5), 0))
)</f>
        <v>0.80887089285158154</v>
      </c>
      <c r="L118" s="17" cm="1">
        <f t="array" ref="L118">MMULT(
    MMULT(
        INDEX($X$5:$AM$77, MATCH(L$100,_xlfn.ANCHORARRAY( $W$5), 0), 0),
        $F$5:$U$20
    ),
    TRANSPOSE(
        INDEX($X$5:$AM$77, MATCH($A118,_xlfn.ANCHORARRAY( $W$5), 0), 0)
    )
)
/
(
    INDEX($AN$5:$AN$77, MATCH(L$100,_xlfn.ANCHORARRAY( $W$5), 0))
    *
    INDEX($AN$5:$AN$77, MATCH($A118,_xlfn.ANCHORARRAY( $W$5), 0))
)</f>
        <v>0.79587537163832511</v>
      </c>
      <c r="M118" s="17" cm="1">
        <f t="array" ref="M118">MMULT(
    MMULT(
        INDEX($X$5:$AM$77, MATCH(M$100,_xlfn.ANCHORARRAY( $W$5), 0), 0),
        $F$5:$U$20
    ),
    TRANSPOSE(
        INDEX($X$5:$AM$77, MATCH($A118,_xlfn.ANCHORARRAY( $W$5), 0), 0)
    )
)
/
(
    INDEX($AN$5:$AN$77, MATCH(M$100,_xlfn.ANCHORARRAY( $W$5), 0))
    *
    INDEX($AN$5:$AN$77, MATCH($A118,_xlfn.ANCHORARRAY( $W$5), 0))
)</f>
        <v>0.83255883041865564</v>
      </c>
      <c r="N118" s="17" cm="1">
        <f t="array" ref="N118">MMULT(
    MMULT(
        INDEX($X$5:$AM$77, MATCH(N$100,_xlfn.ANCHORARRAY( $W$5), 0), 0),
        $F$5:$U$20
    ),
    TRANSPOSE(
        INDEX($X$5:$AM$77, MATCH($A118,_xlfn.ANCHORARRAY( $W$5), 0), 0)
    )
)
/
(
    INDEX($AN$5:$AN$77, MATCH(N$100,_xlfn.ANCHORARRAY( $W$5), 0))
    *
    INDEX($AN$5:$AN$77, MATCH($A118,_xlfn.ANCHORARRAY( $W$5), 0))
)</f>
        <v>0.65866993841623234</v>
      </c>
      <c r="O118" s="17" cm="1">
        <f t="array" ref="O118">MMULT(
    MMULT(
        INDEX($X$5:$AM$77, MATCH(O$100,_xlfn.ANCHORARRAY( $W$5), 0), 0),
        $F$5:$U$20
    ),
    TRANSPOSE(
        INDEX($X$5:$AM$77, MATCH($A118,_xlfn.ANCHORARRAY( $W$5), 0), 0)
    )
)
/
(
    INDEX($AN$5:$AN$77, MATCH(O$100,_xlfn.ANCHORARRAY( $W$5), 0))
    *
    INDEX($AN$5:$AN$77, MATCH($A118,_xlfn.ANCHORARRAY( $W$5), 0))
)</f>
        <v>0.61673919185653447</v>
      </c>
      <c r="P118" s="17" cm="1">
        <f t="array" ref="P118">MMULT(
    MMULT(
        INDEX($X$5:$AM$77, MATCH(P$100,_xlfn.ANCHORARRAY( $W$5), 0), 0),
        $F$5:$U$20
    ),
    TRANSPOSE(
        INDEX($X$5:$AM$77, MATCH($A118,_xlfn.ANCHORARRAY( $W$5), 0), 0)
    )
)
/
(
    INDEX($AN$5:$AN$77, MATCH(P$100,_xlfn.ANCHORARRAY( $W$5), 0))
    *
    INDEX($AN$5:$AN$77, MATCH($A118,_xlfn.ANCHORARRAY( $W$5), 0))
)</f>
        <v>0.83915549666572697</v>
      </c>
      <c r="Q118" s="17" cm="1">
        <f t="array" ref="Q118">MMULT(
    MMULT(
        INDEX($X$5:$AM$77, MATCH(Q$100,_xlfn.ANCHORARRAY( $W$5), 0), 0),
        $F$5:$U$20
    ),
    TRANSPOSE(
        INDEX($X$5:$AM$77, MATCH($A118,_xlfn.ANCHORARRAY( $W$5), 0), 0)
    )
)
/
(
    INDEX($AN$5:$AN$77, MATCH(Q$100,_xlfn.ANCHORARRAY( $W$5), 0))
    *
    INDEX($AN$5:$AN$77, MATCH($A118,_xlfn.ANCHORARRAY( $W$5), 0))
)</f>
        <v>0.90628278022163322</v>
      </c>
      <c r="R118" s="17" cm="1">
        <f t="array" ref="R118">MMULT(
    MMULT(
        INDEX($X$5:$AM$77, MATCH(R$100,_xlfn.ANCHORARRAY( $W$5), 0), 0),
        $F$5:$U$20
    ),
    TRANSPOSE(
        INDEX($X$5:$AM$77, MATCH($A118,_xlfn.ANCHORARRAY( $W$5), 0), 0)
    )
)
/
(
    INDEX($AN$5:$AN$77, MATCH(R$100,_xlfn.ANCHORARRAY( $W$5), 0))
    *
    INDEX($AN$5:$AN$77, MATCH($A118,_xlfn.ANCHORARRAY( $W$5), 0))
)</f>
        <v>0.93669439338193616</v>
      </c>
      <c r="S118" s="17" cm="1">
        <f t="array" ref="S118">MMULT(
    MMULT(
        INDEX($X$5:$AM$77, MATCH(S$100,_xlfn.ANCHORARRAY( $W$5), 0), 0),
        $F$5:$U$20
    ),
    TRANSPOSE(
        INDEX($X$5:$AM$77, MATCH($A118,_xlfn.ANCHORARRAY( $W$5), 0), 0)
    )
)
/
(
    INDEX($AN$5:$AN$77, MATCH(S$100,_xlfn.ANCHORARRAY( $W$5), 0))
    *
    INDEX($AN$5:$AN$77, MATCH($A118,_xlfn.ANCHORARRAY( $W$5), 0))
)</f>
        <v>1</v>
      </c>
      <c r="T118" s="17" cm="1">
        <f t="array" ref="T118">MMULT(
    MMULT(
        INDEX($X$5:$AM$77, MATCH(T$100,_xlfn.ANCHORARRAY( $W$5), 0), 0),
        $F$5:$U$20
    ),
    TRANSPOSE(
        INDEX($X$5:$AM$77, MATCH($A118,_xlfn.ANCHORARRAY( $W$5), 0), 0)
    )
)
/
(
    INDEX($AN$5:$AN$77, MATCH(T$100,_xlfn.ANCHORARRAY( $W$5), 0))
    *
    INDEX($AN$5:$AN$77, MATCH($A118,_xlfn.ANCHORARRAY( $W$5), 0))
)</f>
        <v>0.57146572843306553</v>
      </c>
      <c r="U118" s="17" cm="1">
        <f t="array" ref="U118">MMULT(
    MMULT(
        INDEX($X$5:$AM$77, MATCH(U$100,_xlfn.ANCHORARRAY( $W$5), 0), 0),
        $F$5:$U$20
    ),
    TRANSPOSE(
        INDEX($X$5:$AM$77, MATCH($A118,_xlfn.ANCHORARRAY( $W$5), 0), 0)
    )
)
/
(
    INDEX($AN$5:$AN$77, MATCH(U$100,_xlfn.ANCHORARRAY( $W$5), 0))
    *
    INDEX($AN$5:$AN$77, MATCH($A118,_xlfn.ANCHORARRAY( $W$5), 0))
)</f>
        <v>0.91411575659663591</v>
      </c>
      <c r="V118" s="17" cm="1">
        <f t="array" ref="V118">MMULT(
    MMULT(
        INDEX($X$5:$AM$77, MATCH(V$100,_xlfn.ANCHORARRAY( $W$5), 0), 0),
        $F$5:$U$20
    ),
    TRANSPOSE(
        INDEX($X$5:$AM$77, MATCH($A118,_xlfn.ANCHORARRAY( $W$5), 0), 0)
    )
)
/
(
    INDEX($AN$5:$AN$77, MATCH(V$100,_xlfn.ANCHORARRAY( $W$5), 0))
    *
    INDEX($AN$5:$AN$77, MATCH($A118,_xlfn.ANCHORARRAY( $W$5), 0))
)</f>
        <v>0.69521676337351723</v>
      </c>
      <c r="W118" s="17" cm="1">
        <f t="array" ref="W118">MMULT(
    MMULT(
        INDEX($X$5:$AM$77, MATCH(W$100,_xlfn.ANCHORARRAY( $W$5), 0), 0),
        $F$5:$U$20
    ),
    TRANSPOSE(
        INDEX($X$5:$AM$77, MATCH($A118,_xlfn.ANCHORARRAY( $W$5), 0), 0)
    )
)
/
(
    INDEX($AN$5:$AN$77, MATCH(W$100,_xlfn.ANCHORARRAY( $W$5), 0))
    *
    INDEX($AN$5:$AN$77, MATCH($A118,_xlfn.ANCHORARRAY( $W$5), 0))
)</f>
        <v>0.581350960788523</v>
      </c>
      <c r="X118" s="17" cm="1">
        <f t="array" ref="X118">MMULT(
    MMULT(
        INDEX($X$5:$AM$77, MATCH(X$100,_xlfn.ANCHORARRAY( $W$5), 0), 0),
        $F$5:$U$20
    ),
    TRANSPOSE(
        INDEX($X$5:$AM$77, MATCH($A118,_xlfn.ANCHORARRAY( $W$5), 0), 0)
    )
)
/
(
    INDEX($AN$5:$AN$77, MATCH(X$100,_xlfn.ANCHORARRAY( $W$5), 0))
    *
    INDEX($AN$5:$AN$77, MATCH($A118,_xlfn.ANCHORARRAY( $W$5), 0))
)</f>
        <v>0.7293216482569187</v>
      </c>
      <c r="Y118" s="17" cm="1">
        <f t="array" ref="Y118">MMULT(
    MMULT(
        INDEX($X$5:$AM$77, MATCH(Y$100,_xlfn.ANCHORARRAY( $W$5), 0), 0),
        $F$5:$U$20
    ),
    TRANSPOSE(
        INDEX($X$5:$AM$77, MATCH($A118,_xlfn.ANCHORARRAY( $W$5), 0), 0)
    )
)
/
(
    INDEX($AN$5:$AN$77, MATCH(Y$100,_xlfn.ANCHORARRAY( $W$5), 0))
    *
    INDEX($AN$5:$AN$77, MATCH($A118,_xlfn.ANCHORARRAY( $W$5), 0))
)</f>
        <v>0.82790339339464425</v>
      </c>
      <c r="Z118" s="17" cm="1">
        <f t="array" ref="Z118">MMULT(
    MMULT(
        INDEX($X$5:$AM$77, MATCH(Z$100,_xlfn.ANCHORARRAY( $W$5), 0), 0),
        $F$5:$U$20
    ),
    TRANSPOSE(
        INDEX($X$5:$AM$77, MATCH($A118,_xlfn.ANCHORARRAY( $W$5), 0), 0)
    )
)
/
(
    INDEX($AN$5:$AN$77, MATCH(Z$100,_xlfn.ANCHORARRAY( $W$5), 0))
    *
    INDEX($AN$5:$AN$77, MATCH($A118,_xlfn.ANCHORARRAY( $W$5), 0))
)</f>
        <v>0.81192837133200346</v>
      </c>
      <c r="AA118" s="17" cm="1">
        <f t="array" ref="AA118">MMULT(
    MMULT(
        INDEX($X$5:$AM$77, MATCH(AA$100,_xlfn.ANCHORARRAY( $W$5), 0), 0),
        $F$5:$U$20
    ),
    TRANSPOSE(
        INDEX($X$5:$AM$77, MATCH($A118,_xlfn.ANCHORARRAY( $W$5), 0), 0)
    )
)
/
(
    INDEX($AN$5:$AN$77, MATCH(AA$100,_xlfn.ANCHORARRAY( $W$5), 0))
    *
    INDEX($AN$5:$AN$77, MATCH($A118,_xlfn.ANCHORARRAY( $W$5), 0))
)</f>
        <v>0.77220773892629058</v>
      </c>
      <c r="AB118" s="17" cm="1">
        <f t="array" ref="AB118">MMULT(
    MMULT(
        INDEX($X$5:$AM$77, MATCH(AB$100,_xlfn.ANCHORARRAY( $W$5), 0), 0),
        $F$5:$U$20
    ),
    TRANSPOSE(
        INDEX($X$5:$AM$77, MATCH($A118,_xlfn.ANCHORARRAY( $W$5), 0), 0)
    )
)
/
(
    INDEX($AN$5:$AN$77, MATCH(AB$100,_xlfn.ANCHORARRAY( $W$5), 0))
    *
    INDEX($AN$5:$AN$77, MATCH($A118,_xlfn.ANCHORARRAY( $W$5), 0))
)</f>
        <v>0.84511618383297338</v>
      </c>
      <c r="AC118" s="17" cm="1">
        <f t="array" ref="AC118">MMULT(
    MMULT(
        INDEX($X$5:$AM$77, MATCH(AC$100,_xlfn.ANCHORARRAY( $W$5), 0), 0),
        $F$5:$U$20
    ),
    TRANSPOSE(
        INDEX($X$5:$AM$77, MATCH($A118,_xlfn.ANCHORARRAY( $W$5), 0), 0)
    )
)
/
(
    INDEX($AN$5:$AN$77, MATCH(AC$100,_xlfn.ANCHORARRAY( $W$5), 0))
    *
    INDEX($AN$5:$AN$77, MATCH($A118,_xlfn.ANCHORARRAY( $W$5), 0))
)</f>
        <v>0.75637971870343323</v>
      </c>
      <c r="AD118" s="17" cm="1">
        <f t="array" ref="AD118">MMULT(
    MMULT(
        INDEX($X$5:$AM$77, MATCH(AD$100,_xlfn.ANCHORARRAY( $W$5), 0), 0),
        $F$5:$U$20
    ),
    TRANSPOSE(
        INDEX($X$5:$AM$77, MATCH($A118,_xlfn.ANCHORARRAY( $W$5), 0), 0)
    )
)
/
(
    INDEX($AN$5:$AN$77, MATCH(AD$100,_xlfn.ANCHORARRAY( $W$5), 0))
    *
    INDEX($AN$5:$AN$77, MATCH($A118,_xlfn.ANCHORARRAY( $W$5), 0))
)</f>
        <v>0.85063560539556282</v>
      </c>
      <c r="AE118" s="17" cm="1">
        <f t="array" ref="AE118">MMULT(
    MMULT(
        INDEX($X$5:$AM$77, MATCH(AE$100,_xlfn.ANCHORARRAY( $W$5), 0), 0),
        $F$5:$U$20
    ),
    TRANSPOSE(
        INDEX($X$5:$AM$77, MATCH($A118,_xlfn.ANCHORARRAY( $W$5), 0), 0)
    )
)
/
(
    INDEX($AN$5:$AN$77, MATCH(AE$100,_xlfn.ANCHORARRAY( $W$5), 0))
    *
    INDEX($AN$5:$AN$77, MATCH($A118,_xlfn.ANCHORARRAY( $W$5), 0))
)</f>
        <v>0.92494423334106701</v>
      </c>
      <c r="AF118" s="17" cm="1">
        <f t="array" ref="AF118">MMULT(
    MMULT(
        INDEX($X$5:$AM$77, MATCH(AF$100,_xlfn.ANCHORARRAY( $W$5), 0), 0),
        $F$5:$U$20
    ),
    TRANSPOSE(
        INDEX($X$5:$AM$77, MATCH($A118,_xlfn.ANCHORARRAY( $W$5), 0), 0)
    )
)
/
(
    INDEX($AN$5:$AN$77, MATCH(AF$100,_xlfn.ANCHORARRAY( $W$5), 0))
    *
    INDEX($AN$5:$AN$77, MATCH($A118,_xlfn.ANCHORARRAY( $W$5), 0))
)</f>
        <v>0.94160056598363218</v>
      </c>
      <c r="AG118" s="17" cm="1">
        <f t="array" ref="AG118">MMULT(
    MMULT(
        INDEX($X$5:$AM$77, MATCH(AG$100,_xlfn.ANCHORARRAY( $W$5), 0), 0),
        $F$5:$U$20
    ),
    TRANSPOSE(
        INDEX($X$5:$AM$77, MATCH($A118,_xlfn.ANCHORARRAY( $W$5), 0), 0)
    )
)
/
(
    INDEX($AN$5:$AN$77, MATCH(AG$100,_xlfn.ANCHORARRAY( $W$5), 0))
    *
    INDEX($AN$5:$AN$77, MATCH($A118,_xlfn.ANCHORARRAY( $W$5), 0))
)</f>
        <v>0.94899781858882726</v>
      </c>
      <c r="AH118" s="17" cm="1">
        <f t="array" ref="AH118">MMULT(
    MMULT(
        INDEX($X$5:$AM$77, MATCH(AH$100,_xlfn.ANCHORARRAY( $W$5), 0), 0),
        $F$5:$U$20
    ),
    TRANSPOSE(
        INDEX($X$5:$AM$77, MATCH($A118,_xlfn.ANCHORARRAY( $W$5), 0), 0)
    )
)
/
(
    INDEX($AN$5:$AN$77, MATCH(AH$100,_xlfn.ANCHORARRAY( $W$5), 0))
    *
    INDEX($AN$5:$AN$77, MATCH($A118,_xlfn.ANCHORARRAY( $W$5), 0))
)</f>
        <v>0.77445426816120566</v>
      </c>
      <c r="AI118" s="17" cm="1">
        <f t="array" ref="AI118">MMULT(
    MMULT(
        INDEX($X$5:$AM$77, MATCH(AI$100,_xlfn.ANCHORARRAY( $W$5), 0), 0),
        $F$5:$U$20
    ),
    TRANSPOSE(
        INDEX($X$5:$AM$77, MATCH($A118,_xlfn.ANCHORARRAY( $W$5), 0), 0)
    )
)
/
(
    INDEX($AN$5:$AN$77, MATCH(AI$100,_xlfn.ANCHORARRAY( $W$5), 0))
    *
    INDEX($AN$5:$AN$77, MATCH($A118,_xlfn.ANCHORARRAY( $W$5), 0))
)</f>
        <v>0.9645381356142767</v>
      </c>
      <c r="AJ118" s="17" cm="1">
        <f t="array" ref="AJ118">MMULT(
    MMULT(
        INDEX($X$5:$AM$77, MATCH(AJ$100,_xlfn.ANCHORARRAY( $W$5), 0), 0),
        $F$5:$U$20
    ),
    TRANSPOSE(
        INDEX($X$5:$AM$77, MATCH($A118,_xlfn.ANCHORARRAY( $W$5), 0), 0)
    )
)
/
(
    INDEX($AN$5:$AN$77, MATCH(AJ$100,_xlfn.ANCHORARRAY( $W$5), 0))
    *
    INDEX($AN$5:$AN$77, MATCH($A118,_xlfn.ANCHORARRAY( $W$5), 0))
)</f>
        <v>0.82493906812100681</v>
      </c>
      <c r="AK118" s="17" cm="1">
        <f t="array" ref="AK118">MMULT(
    MMULT(
        INDEX($X$5:$AM$77, MATCH(AK$100,_xlfn.ANCHORARRAY( $W$5), 0), 0),
        $F$5:$U$20
    ),
    TRANSPOSE(
        INDEX($X$5:$AM$77, MATCH($A118,_xlfn.ANCHORARRAY( $W$5), 0), 0)
    )
)
/
(
    INDEX($AN$5:$AN$77, MATCH(AK$100,_xlfn.ANCHORARRAY( $W$5), 0))
    *
    INDEX($AN$5:$AN$77, MATCH($A118,_xlfn.ANCHORARRAY( $W$5), 0))
)</f>
        <v>0.88551168793023194</v>
      </c>
      <c r="AL118" s="17" cm="1">
        <f t="array" ref="AL118">MMULT(
    MMULT(
        INDEX($X$5:$AM$77, MATCH(AL$100,_xlfn.ANCHORARRAY( $W$5), 0), 0),
        $F$5:$U$20
    ),
    TRANSPOSE(
        INDEX($X$5:$AM$77, MATCH($A118,_xlfn.ANCHORARRAY( $W$5), 0), 0)
    )
)
/
(
    INDEX($AN$5:$AN$77, MATCH(AL$100,_xlfn.ANCHORARRAY( $W$5), 0))
    *
    INDEX($AN$5:$AN$77, MATCH($A118,_xlfn.ANCHORARRAY( $W$5), 0))
)</f>
        <v>0.66092097834971208</v>
      </c>
      <c r="AM118" s="17" cm="1">
        <f t="array" ref="AM118">MMULT(
    MMULT(
        INDEX($X$5:$AM$77, MATCH(AM$100,_xlfn.ANCHORARRAY( $W$5), 0), 0),
        $F$5:$U$20
    ),
    TRANSPOSE(
        INDEX($X$5:$AM$77, MATCH($A118,_xlfn.ANCHORARRAY( $W$5), 0), 0)
    )
)
/
(
    INDEX($AN$5:$AN$77, MATCH(AM$100,_xlfn.ANCHORARRAY( $W$5), 0))
    *
    INDEX($AN$5:$AN$77, MATCH($A118,_xlfn.ANCHORARRAY( $W$5), 0))
)</f>
        <v>0.75301135439719058</v>
      </c>
      <c r="AN118" s="17" cm="1">
        <f t="array" ref="AN118">MMULT(
    MMULT(
        INDEX($X$5:$AM$77, MATCH(AN$100,_xlfn.ANCHORARRAY( $W$5), 0), 0),
        $F$5:$U$20
    ),
    TRANSPOSE(
        INDEX($X$5:$AM$77, MATCH($A118,_xlfn.ANCHORARRAY( $W$5), 0), 0)
    )
)
/
(
    INDEX($AN$5:$AN$77, MATCH(AN$100,_xlfn.ANCHORARRAY( $W$5), 0))
    *
    INDEX($AN$5:$AN$77, MATCH($A118,_xlfn.ANCHORARRAY( $W$5), 0))
)</f>
        <v>0.88239927340088664</v>
      </c>
      <c r="AO118" s="17" cm="1">
        <f t="array" ref="AO118">MMULT(
    MMULT(
        INDEX($X$5:$AM$77, MATCH(AO$100,_xlfn.ANCHORARRAY( $W$5), 0), 0),
        $F$5:$U$20
    ),
    TRANSPOSE(
        INDEX($X$5:$AM$77, MATCH($A118,_xlfn.ANCHORARRAY( $W$5), 0), 0)
    )
)
/
(
    INDEX($AN$5:$AN$77, MATCH(AO$100,_xlfn.ANCHORARRAY( $W$5), 0))
    *
    INDEX($AN$5:$AN$77, MATCH($A118,_xlfn.ANCHORARRAY( $W$5), 0))
)</f>
        <v>0.76966623853432592</v>
      </c>
      <c r="AP118" s="17" cm="1">
        <f t="array" ref="AP118">MMULT(
    MMULT(
        INDEX($X$5:$AM$77, MATCH(AP$100,_xlfn.ANCHORARRAY( $W$5), 0), 0),
        $F$5:$U$20
    ),
    TRANSPOSE(
        INDEX($X$5:$AM$77, MATCH($A118,_xlfn.ANCHORARRAY( $W$5), 0), 0)
    )
)
/
(
    INDEX($AN$5:$AN$77, MATCH(AP$100,_xlfn.ANCHORARRAY( $W$5), 0))
    *
    INDEX($AN$5:$AN$77, MATCH($A118,_xlfn.ANCHORARRAY( $W$5), 0))
)</f>
        <v>0.71945821624272599</v>
      </c>
      <c r="AQ118" s="17" cm="1">
        <f t="array" ref="AQ118">MMULT(
    MMULT(
        INDEX($X$5:$AM$77, MATCH(AQ$100,_xlfn.ANCHORARRAY( $W$5), 0), 0),
        $F$5:$U$20
    ),
    TRANSPOSE(
        INDEX($X$5:$AM$77, MATCH($A118,_xlfn.ANCHORARRAY( $W$5), 0), 0)
    )
)
/
(
    INDEX($AN$5:$AN$77, MATCH(AQ$100,_xlfn.ANCHORARRAY( $W$5), 0))
    *
    INDEX($AN$5:$AN$77, MATCH($A118,_xlfn.ANCHORARRAY( $W$5), 0))
)</f>
        <v>0.96517696186006419</v>
      </c>
      <c r="AR118" s="17" cm="1">
        <f t="array" ref="AR118">MMULT(
    MMULT(
        INDEX($X$5:$AM$77, MATCH(AR$100,_xlfn.ANCHORARRAY( $W$5), 0), 0),
        $F$5:$U$20
    ),
    TRANSPOSE(
        INDEX($X$5:$AM$77, MATCH($A118,_xlfn.ANCHORARRAY( $W$5), 0), 0)
    )
)
/
(
    INDEX($AN$5:$AN$77, MATCH(AR$100,_xlfn.ANCHORARRAY( $W$5), 0))
    *
    INDEX($AN$5:$AN$77, MATCH($A118,_xlfn.ANCHORARRAY( $W$5), 0))
)</f>
        <v>0.85552954840603479</v>
      </c>
      <c r="AS118" s="17" cm="1">
        <f t="array" ref="AS118">MMULT(
    MMULT(
        INDEX($X$5:$AM$77, MATCH(AS$100,_xlfn.ANCHORARRAY( $W$5), 0), 0),
        $F$5:$U$20
    ),
    TRANSPOSE(
        INDEX($X$5:$AM$77, MATCH($A118,_xlfn.ANCHORARRAY( $W$5), 0), 0)
    )
)
/
(
    INDEX($AN$5:$AN$77, MATCH(AS$100,_xlfn.ANCHORARRAY( $W$5), 0))
    *
    INDEX($AN$5:$AN$77, MATCH($A118,_xlfn.ANCHORARRAY( $W$5), 0))
)</f>
        <v>0.78573700289877235</v>
      </c>
      <c r="AT118" s="17" cm="1">
        <f t="array" ref="AT118">MMULT(
    MMULT(
        INDEX($X$5:$AM$77, MATCH(AT$100,_xlfn.ANCHORARRAY( $W$5), 0), 0),
        $F$5:$U$20
    ),
    TRANSPOSE(
        INDEX($X$5:$AM$77, MATCH($A118,_xlfn.ANCHORARRAY( $W$5), 0), 0)
    )
)
/
(
    INDEX($AN$5:$AN$77, MATCH(AT$100,_xlfn.ANCHORARRAY( $W$5), 0))
    *
    INDEX($AN$5:$AN$77, MATCH($A118,_xlfn.ANCHORARRAY( $W$5), 0))
)</f>
        <v>0.89991670178317795</v>
      </c>
      <c r="AU118" s="17" cm="1">
        <f t="array" ref="AU118">MMULT(
    MMULT(
        INDEX($X$5:$AM$77, MATCH(AU$100,_xlfn.ANCHORARRAY( $W$5), 0), 0),
        $F$5:$U$20
    ),
    TRANSPOSE(
        INDEX($X$5:$AM$77, MATCH($A118,_xlfn.ANCHORARRAY( $W$5), 0), 0)
    )
)
/
(
    INDEX($AN$5:$AN$77, MATCH(AU$100,_xlfn.ANCHORARRAY( $W$5), 0))
    *
    INDEX($AN$5:$AN$77, MATCH($A118,_xlfn.ANCHORARRAY( $W$5), 0))
)</f>
        <v>0.76648473685790375</v>
      </c>
      <c r="AV118" s="17" cm="1">
        <f t="array" ref="AV118">MMULT(
    MMULT(
        INDEX($X$5:$AM$77, MATCH(AV$100,_xlfn.ANCHORARRAY( $W$5), 0), 0),
        $F$5:$U$20
    ),
    TRANSPOSE(
        INDEX($X$5:$AM$77, MATCH($A118,_xlfn.ANCHORARRAY( $W$5), 0), 0)
    )
)
/
(
    INDEX($AN$5:$AN$77, MATCH(AV$100,_xlfn.ANCHORARRAY( $W$5), 0))
    *
    INDEX($AN$5:$AN$77, MATCH($A118,_xlfn.ANCHORARRAY( $W$5), 0))
)</f>
        <v>0.76597314443310816</v>
      </c>
      <c r="AW118" s="17" cm="1">
        <f t="array" ref="AW118">MMULT(
    MMULT(
        INDEX($X$5:$AM$77, MATCH(AW$100,_xlfn.ANCHORARRAY( $W$5), 0), 0),
        $F$5:$U$20
    ),
    TRANSPOSE(
        INDEX($X$5:$AM$77, MATCH($A118,_xlfn.ANCHORARRAY( $W$5), 0), 0)
    )
)
/
(
    INDEX($AN$5:$AN$77, MATCH(AW$100,_xlfn.ANCHORARRAY( $W$5), 0))
    *
    INDEX($AN$5:$AN$77, MATCH($A118,_xlfn.ANCHORARRAY( $W$5), 0))
)</f>
        <v>0.72504522242900959</v>
      </c>
      <c r="AX118" s="17" cm="1">
        <f t="array" ref="AX118">MMULT(
    MMULT(
        INDEX($X$5:$AM$77, MATCH(AX$100,_xlfn.ANCHORARRAY( $W$5), 0), 0),
        $F$5:$U$20
    ),
    TRANSPOSE(
        INDEX($X$5:$AM$77, MATCH($A118,_xlfn.ANCHORARRAY( $W$5), 0), 0)
    )
)
/
(
    INDEX($AN$5:$AN$77, MATCH(AX$100,_xlfn.ANCHORARRAY( $W$5), 0))
    *
    INDEX($AN$5:$AN$77, MATCH($A118,_xlfn.ANCHORARRAY( $W$5), 0))
)</f>
        <v>0.72979883022227987</v>
      </c>
      <c r="AY118" s="17" cm="1">
        <f t="array" ref="AY118">MMULT(
    MMULT(
        INDEX($X$5:$AM$77, MATCH(AY$100,_xlfn.ANCHORARRAY( $W$5), 0), 0),
        $F$5:$U$20
    ),
    TRANSPOSE(
        INDEX($X$5:$AM$77, MATCH($A118,_xlfn.ANCHORARRAY( $W$5), 0), 0)
    )
)
/
(
    INDEX($AN$5:$AN$77, MATCH(AY$100,_xlfn.ANCHORARRAY( $W$5), 0))
    *
    INDEX($AN$5:$AN$77, MATCH($A118,_xlfn.ANCHORARRAY( $W$5), 0))
)</f>
        <v>0.68276248518794813</v>
      </c>
      <c r="AZ118" s="17" cm="1">
        <f t="array" ref="AZ118">MMULT(
    MMULT(
        INDEX($X$5:$AM$77, MATCH(AZ$100,_xlfn.ANCHORARRAY( $W$5), 0), 0),
        $F$5:$U$20
    ),
    TRANSPOSE(
        INDEX($X$5:$AM$77, MATCH($A118,_xlfn.ANCHORARRAY( $W$5), 0), 0)
    )
)
/
(
    INDEX($AN$5:$AN$77, MATCH(AZ$100,_xlfn.ANCHORARRAY( $W$5), 0))
    *
    INDEX($AN$5:$AN$77, MATCH($A118,_xlfn.ANCHORARRAY( $W$5), 0))
)</f>
        <v>0.81109338653906127</v>
      </c>
      <c r="BA118" s="17" cm="1">
        <f t="array" ref="BA118">MMULT(
    MMULT(
        INDEX($X$5:$AM$77, MATCH(BA$100,_xlfn.ANCHORARRAY( $W$5), 0), 0),
        $F$5:$U$20
    ),
    TRANSPOSE(
        INDEX($X$5:$AM$77, MATCH($A118,_xlfn.ANCHORARRAY( $W$5), 0), 0)
    )
)
/
(
    INDEX($AN$5:$AN$77, MATCH(BA$100,_xlfn.ANCHORARRAY( $W$5), 0))
    *
    INDEX($AN$5:$AN$77, MATCH($A118,_xlfn.ANCHORARRAY( $W$5), 0))
)</f>
        <v>0.8455653668228218</v>
      </c>
      <c r="BB118" s="17" cm="1">
        <f t="array" ref="BB118">MMULT(
    MMULT(
        INDEX($X$5:$AM$77, MATCH(BB$100,_xlfn.ANCHORARRAY( $W$5), 0), 0),
        $F$5:$U$20
    ),
    TRANSPOSE(
        INDEX($X$5:$AM$77, MATCH($A118,_xlfn.ANCHORARRAY( $W$5), 0), 0)
    )
)
/
(
    INDEX($AN$5:$AN$77, MATCH(BB$100,_xlfn.ANCHORARRAY( $W$5), 0))
    *
    INDEX($AN$5:$AN$77, MATCH($A118,_xlfn.ANCHORARRAY( $W$5), 0))
)</f>
        <v>0.65682908903488813</v>
      </c>
      <c r="BC118" s="17" cm="1">
        <f t="array" ref="BC118">MMULT(
    MMULT(
        INDEX($X$5:$AM$77, MATCH(BC$100,_xlfn.ANCHORARRAY( $W$5), 0), 0),
        $F$5:$U$20
    ),
    TRANSPOSE(
        INDEX($X$5:$AM$77, MATCH($A118,_xlfn.ANCHORARRAY( $W$5), 0), 0)
    )
)
/
(
    INDEX($AN$5:$AN$77, MATCH(BC$100,_xlfn.ANCHORARRAY( $W$5), 0))
    *
    INDEX($AN$5:$AN$77, MATCH($A118,_xlfn.ANCHORARRAY( $W$5), 0))
)</f>
        <v>0.88757364821332074</v>
      </c>
      <c r="BD118" s="17" cm="1">
        <f t="array" ref="BD118">MMULT(
    MMULT(
        INDEX($X$5:$AM$77, MATCH(BD$100,_xlfn.ANCHORARRAY( $W$5), 0), 0),
        $F$5:$U$20
    ),
    TRANSPOSE(
        INDEX($X$5:$AM$77, MATCH($A118,_xlfn.ANCHORARRAY( $W$5), 0), 0)
    )
)
/
(
    INDEX($AN$5:$AN$77, MATCH(BD$100,_xlfn.ANCHORARRAY( $W$5), 0))
    *
    INDEX($AN$5:$AN$77, MATCH($A118,_xlfn.ANCHORARRAY( $W$5), 0))
)</f>
        <v>0.84214082909695687</v>
      </c>
      <c r="BE118" s="17" cm="1">
        <f t="array" ref="BE118">MMULT(
    MMULT(
        INDEX($X$5:$AM$77, MATCH(BE$100,_xlfn.ANCHORARRAY( $W$5), 0), 0),
        $F$5:$U$20
    ),
    TRANSPOSE(
        INDEX($X$5:$AM$77, MATCH($A118,_xlfn.ANCHORARRAY( $W$5), 0), 0)
    )
)
/
(
    INDEX($AN$5:$AN$77, MATCH(BE$100,_xlfn.ANCHORARRAY( $W$5), 0))
    *
    INDEX($AN$5:$AN$77, MATCH($A118,_xlfn.ANCHORARRAY( $W$5), 0))
)</f>
        <v>0.73418989426412107</v>
      </c>
      <c r="BF118" s="17" cm="1">
        <f t="array" ref="BF118">MMULT(
    MMULT(
        INDEX($X$5:$AM$77, MATCH(BF$100,_xlfn.ANCHORARRAY( $W$5), 0), 0),
        $F$5:$U$20
    ),
    TRANSPOSE(
        INDEX($X$5:$AM$77, MATCH($A118,_xlfn.ANCHORARRAY( $W$5), 0), 0)
    )
)
/
(
    INDEX($AN$5:$AN$77, MATCH(BF$100,_xlfn.ANCHORARRAY( $W$5), 0))
    *
    INDEX($AN$5:$AN$77, MATCH($A118,_xlfn.ANCHORARRAY( $W$5), 0))
)</f>
        <v>0.93693670753064107</v>
      </c>
      <c r="BG118" s="17" cm="1">
        <f t="array" ref="BG118">MMULT(
    MMULT(
        INDEX($X$5:$AM$77, MATCH(BG$100,_xlfn.ANCHORARRAY( $W$5), 0), 0),
        $F$5:$U$20
    ),
    TRANSPOSE(
        INDEX($X$5:$AM$77, MATCH($A118,_xlfn.ANCHORARRAY( $W$5), 0), 0)
    )
)
/
(
    INDEX($AN$5:$AN$77, MATCH(BG$100,_xlfn.ANCHORARRAY( $W$5), 0))
    *
    INDEX($AN$5:$AN$77, MATCH($A118,_xlfn.ANCHORARRAY( $W$5), 0))
)</f>
        <v>0.81989806940895971</v>
      </c>
      <c r="BH118" s="17" cm="1">
        <f t="array" ref="BH118">MMULT(
    MMULT(
        INDEX($X$5:$AM$77, MATCH(BH$100,_xlfn.ANCHORARRAY( $W$5), 0), 0),
        $F$5:$U$20
    ),
    TRANSPOSE(
        INDEX($X$5:$AM$77, MATCH($A118,_xlfn.ANCHORARRAY( $W$5), 0), 0)
    )
)
/
(
    INDEX($AN$5:$AN$77, MATCH(BH$100,_xlfn.ANCHORARRAY( $W$5), 0))
    *
    INDEX($AN$5:$AN$77, MATCH($A118,_xlfn.ANCHORARRAY( $W$5), 0))
)</f>
        <v>0.95636593381031532</v>
      </c>
      <c r="BI118" s="17" cm="1">
        <f t="array" ref="BI118">MMULT(
    MMULT(
        INDEX($X$5:$AM$77, MATCH(BI$100,_xlfn.ANCHORARRAY( $W$5), 0), 0),
        $F$5:$U$20
    ),
    TRANSPOSE(
        INDEX($X$5:$AM$77, MATCH($A118,_xlfn.ANCHORARRAY( $W$5), 0), 0)
    )
)
/
(
    INDEX($AN$5:$AN$77, MATCH(BI$100,_xlfn.ANCHORARRAY( $W$5), 0))
    *
    INDEX($AN$5:$AN$77, MATCH($A118,_xlfn.ANCHORARRAY( $W$5), 0))
)</f>
        <v>0.60857066513847713</v>
      </c>
      <c r="BJ118" s="17" cm="1">
        <f t="array" ref="BJ118">MMULT(
    MMULT(
        INDEX($X$5:$AM$77, MATCH(BJ$100,_xlfn.ANCHORARRAY( $W$5), 0), 0),
        $F$5:$U$20
    ),
    TRANSPOSE(
        INDEX($X$5:$AM$77, MATCH($A118,_xlfn.ANCHORARRAY( $W$5), 0), 0)
    )
)
/
(
    INDEX($AN$5:$AN$77, MATCH(BJ$100,_xlfn.ANCHORARRAY( $W$5), 0))
    *
    INDEX($AN$5:$AN$77, MATCH($A118,_xlfn.ANCHORARRAY( $W$5), 0))
)</f>
        <v>0.95426461135276031</v>
      </c>
      <c r="BK118" s="17" cm="1">
        <f t="array" ref="BK118">MMULT(
    MMULT(
        INDEX($X$5:$AM$77, MATCH(BK$100,_xlfn.ANCHORARRAY( $W$5), 0), 0),
        $F$5:$U$20
    ),
    TRANSPOSE(
        INDEX($X$5:$AM$77, MATCH($A118,_xlfn.ANCHORARRAY( $W$5), 0), 0)
    )
)
/
(
    INDEX($AN$5:$AN$77, MATCH(BK$100,_xlfn.ANCHORARRAY( $W$5), 0))
    *
    INDEX($AN$5:$AN$77, MATCH($A118,_xlfn.ANCHORARRAY( $W$5), 0))
)</f>
        <v>0.86238391412909932</v>
      </c>
      <c r="BL118" s="17" cm="1">
        <f t="array" ref="BL118">MMULT(
    MMULT(
        INDEX($X$5:$AM$77, MATCH(BL$100,_xlfn.ANCHORARRAY( $W$5), 0), 0),
        $F$5:$U$20
    ),
    TRANSPOSE(
        INDEX($X$5:$AM$77, MATCH($A118,_xlfn.ANCHORARRAY( $W$5), 0), 0)
    )
)
/
(
    INDEX($AN$5:$AN$77, MATCH(BL$100,_xlfn.ANCHORARRAY( $W$5), 0))
    *
    INDEX($AN$5:$AN$77, MATCH($A118,_xlfn.ANCHORARRAY( $W$5), 0))
)</f>
        <v>0.2938025984860862</v>
      </c>
      <c r="BM118" s="17" cm="1">
        <f t="array" ref="BM118">MMULT(
    MMULT(
        INDEX($X$5:$AM$77, MATCH(BM$100,_xlfn.ANCHORARRAY( $W$5), 0), 0),
        $F$5:$U$20
    ),
    TRANSPOSE(
        INDEX($X$5:$AM$77, MATCH($A118,_xlfn.ANCHORARRAY( $W$5), 0), 0)
    )
)
/
(
    INDEX($AN$5:$AN$77, MATCH(BM$100,_xlfn.ANCHORARRAY( $W$5), 0))
    *
    INDEX($AN$5:$AN$77, MATCH($A118,_xlfn.ANCHORARRAY( $W$5), 0))
)</f>
        <v>0.58220795733546393</v>
      </c>
      <c r="BN118" s="17" cm="1">
        <f t="array" ref="BN118">MMULT(
    MMULT(
        INDEX($X$5:$AM$77, MATCH(BN$100,_xlfn.ANCHORARRAY( $W$5), 0), 0),
        $F$5:$U$20
    ),
    TRANSPOSE(
        INDEX($X$5:$AM$77, MATCH($A118,_xlfn.ANCHORARRAY( $W$5), 0), 0)
    )
)
/
(
    INDEX($AN$5:$AN$77, MATCH(BN$100,_xlfn.ANCHORARRAY( $W$5), 0))
    *
    INDEX($AN$5:$AN$77, MATCH($A118,_xlfn.ANCHORARRAY( $W$5), 0))
)</f>
        <v>0.80003822065269348</v>
      </c>
      <c r="BO118" s="17" cm="1">
        <f t="array" ref="BO118">MMULT(
    MMULT(
        INDEX($X$5:$AM$77, MATCH(BO$100,_xlfn.ANCHORARRAY( $W$5), 0), 0),
        $F$5:$U$20
    ),
    TRANSPOSE(
        INDEX($X$5:$AM$77, MATCH($A118,_xlfn.ANCHORARRAY( $W$5), 0), 0)
    )
)
/
(
    INDEX($AN$5:$AN$77, MATCH(BO$100,_xlfn.ANCHORARRAY( $W$5), 0))
    *
    INDEX($AN$5:$AN$77, MATCH($A118,_xlfn.ANCHORARRAY( $W$5), 0))
)</f>
        <v>0.83111070533340914</v>
      </c>
      <c r="BP118" s="17" cm="1">
        <f t="array" ref="BP118">MMULT(
    MMULT(
        INDEX($X$5:$AM$77, MATCH(BP$100,_xlfn.ANCHORARRAY( $W$5), 0), 0),
        $F$5:$U$20
    ),
    TRANSPOSE(
        INDEX($X$5:$AM$77, MATCH($A118,_xlfn.ANCHORARRAY( $W$5), 0), 0)
    )
)
/
(
    INDEX($AN$5:$AN$77, MATCH(BP$100,_xlfn.ANCHORARRAY( $W$5), 0))
    *
    INDEX($AN$5:$AN$77, MATCH($A118,_xlfn.ANCHORARRAY( $W$5), 0))
)</f>
        <v>0.92064159180423788</v>
      </c>
      <c r="BQ118" s="17" cm="1">
        <f t="array" ref="BQ118">MMULT(
    MMULT(
        INDEX($X$5:$AM$77, MATCH(BQ$100,_xlfn.ANCHORARRAY( $W$5), 0), 0),
        $F$5:$U$20
    ),
    TRANSPOSE(
        INDEX($X$5:$AM$77, MATCH($A118,_xlfn.ANCHORARRAY( $W$5), 0), 0)
    )
)
/
(
    INDEX($AN$5:$AN$77, MATCH(BQ$100,_xlfn.ANCHORARRAY( $W$5), 0))
    *
    INDEX($AN$5:$AN$77, MATCH($A118,_xlfn.ANCHORARRAY( $W$5), 0))
)</f>
        <v>0.6796675445066569</v>
      </c>
      <c r="BR118" s="17" cm="1">
        <f t="array" ref="BR118">MMULT(
    MMULT(
        INDEX($X$5:$AM$77, MATCH(BR$100,_xlfn.ANCHORARRAY( $W$5), 0), 0),
        $F$5:$U$20
    ),
    TRANSPOSE(
        INDEX($X$5:$AM$77, MATCH($A118,_xlfn.ANCHORARRAY( $W$5), 0), 0)
    )
)
/
(
    INDEX($AN$5:$AN$77, MATCH(BR$100,_xlfn.ANCHORARRAY( $W$5), 0))
    *
    INDEX($AN$5:$AN$77, MATCH($A118,_xlfn.ANCHORARRAY( $W$5), 0))
)</f>
        <v>0.79609595994884297</v>
      </c>
      <c r="BS118" s="17" cm="1">
        <f t="array" ref="BS118">MMULT(
    MMULT(
        INDEX($X$5:$AM$77, MATCH(BS$100,_xlfn.ANCHORARRAY( $W$5), 0), 0),
        $F$5:$U$20
    ),
    TRANSPOSE(
        INDEX($X$5:$AM$77, MATCH($A118,_xlfn.ANCHORARRAY( $W$5), 0), 0)
    )
)
/
(
    INDEX($AN$5:$AN$77, MATCH(BS$100,_xlfn.ANCHORARRAY( $W$5), 0))
    *
    INDEX($AN$5:$AN$77, MATCH($A118,_xlfn.ANCHORARRAY( $W$5), 0))
)</f>
        <v>0.69605587257642398</v>
      </c>
      <c r="BT118" s="17" cm="1">
        <f t="array" ref="BT118">MMULT(
    MMULT(
        INDEX($X$5:$AM$77, MATCH(BT$100,_xlfn.ANCHORARRAY( $W$5), 0), 0),
        $F$5:$U$20
    ),
    TRANSPOSE(
        INDEX($X$5:$AM$77, MATCH($A118,_xlfn.ANCHORARRAY( $W$5), 0), 0)
    )
)
/
(
    INDEX($AN$5:$AN$77, MATCH(BT$100,_xlfn.ANCHORARRAY( $W$5), 0))
    *
    INDEX($AN$5:$AN$77, MATCH($A118,_xlfn.ANCHORARRAY( $W$5), 0))
)</f>
        <v>0.91578286177896995</v>
      </c>
      <c r="BU118" s="17" cm="1">
        <f t="array" ref="BU118">MMULT(
    MMULT(
        INDEX($X$5:$AM$77, MATCH(BU$100,_xlfn.ANCHORARRAY( $W$5), 0), 0),
        $F$5:$U$20
    ),
    TRANSPOSE(
        INDEX($X$5:$AM$77, MATCH($A118,_xlfn.ANCHORARRAY( $W$5), 0), 0)
    )
)
/
(
    INDEX($AN$5:$AN$77, MATCH(BU$100,_xlfn.ANCHORARRAY( $W$5), 0))
    *
    INDEX($AN$5:$AN$77, MATCH($A118,_xlfn.ANCHORARRAY( $W$5), 0))
)</f>
        <v>0.96205774904995889</v>
      </c>
      <c r="BV118" s="17" cm="1">
        <f t="array" ref="BV118">MMULT(
    MMULT(
        INDEX($X$5:$AM$77, MATCH(BV$100,_xlfn.ANCHORARRAY( $W$5), 0), 0),
        $F$5:$U$20
    ),
    TRANSPOSE(
        INDEX($X$5:$AM$77, MATCH($A118,_xlfn.ANCHORARRAY( $W$5), 0), 0)
    )
)
/
(
    INDEX($AN$5:$AN$77, MATCH(BV$100,_xlfn.ANCHORARRAY( $W$5), 0))
    *
    INDEX($AN$5:$AN$77, MATCH($A118,_xlfn.ANCHORARRAY( $W$5), 0))
)</f>
        <v>0.79614890103825908</v>
      </c>
    </row>
    <row r="119" spans="1:74" x14ac:dyDescent="0.3">
      <c r="A119" s="7" t="str">
        <v>Johnson, Pierce</v>
      </c>
      <c r="B119" s="17" cm="1">
        <f t="array" ref="B119">MMULT(
    MMULT(
        INDEX($X$5:$AM$77, MATCH(B$100,_xlfn.ANCHORARRAY( $W$5), 0), 0),
        $F$5:$U$20
    ),
    TRANSPOSE(
        INDEX($X$5:$AM$77, MATCH($A119,_xlfn.ANCHORARRAY( $W$5), 0), 0)
    )
)
/
(
    INDEX($AN$5:$AN$77, MATCH(B$100,_xlfn.ANCHORARRAY( $W$5), 0))
    *
    INDEX($AN$5:$AN$77, MATCH($A119,_xlfn.ANCHORARRAY( $W$5), 0))
)</f>
        <v>0.67742596114372899</v>
      </c>
      <c r="C119" s="17" cm="1">
        <f t="array" ref="C119">MMULT(
    MMULT(
        INDEX($X$5:$AM$77, MATCH(C$100,_xlfn.ANCHORARRAY( $W$5), 0), 0),
        $F$5:$U$20
    ),
    TRANSPOSE(
        INDEX($X$5:$AM$77, MATCH($A119,_xlfn.ANCHORARRAY( $W$5), 0), 0)
    )
)
/
(
    INDEX($AN$5:$AN$77, MATCH(C$100,_xlfn.ANCHORARRAY( $W$5), 0))
    *
    INDEX($AN$5:$AN$77, MATCH($A119,_xlfn.ANCHORARRAY( $W$5), 0))
)</f>
        <v>0.86006124649350002</v>
      </c>
      <c r="D119" s="17" cm="1">
        <f t="array" ref="D119">MMULT(
    MMULT(
        INDEX($X$5:$AM$77, MATCH(D$100,_xlfn.ANCHORARRAY( $W$5), 0), 0),
        $F$5:$U$20
    ),
    TRANSPOSE(
        INDEX($X$5:$AM$77, MATCH($A119,_xlfn.ANCHORARRAY( $W$5), 0), 0)
    )
)
/
(
    INDEX($AN$5:$AN$77, MATCH(D$100,_xlfn.ANCHORARRAY( $W$5), 0))
    *
    INDEX($AN$5:$AN$77, MATCH($A119,_xlfn.ANCHORARRAY( $W$5), 0))
)</f>
        <v>0.34287735404207248</v>
      </c>
      <c r="E119" s="17" cm="1">
        <f t="array" ref="E119">MMULT(
    MMULT(
        INDEX($X$5:$AM$77, MATCH(E$100,_xlfn.ANCHORARRAY( $W$5), 0), 0),
        $F$5:$U$20
    ),
    TRANSPOSE(
        INDEX($X$5:$AM$77, MATCH($A119,_xlfn.ANCHORARRAY( $W$5), 0), 0)
    )
)
/
(
    INDEX($AN$5:$AN$77, MATCH(E$100,_xlfn.ANCHORARRAY( $W$5), 0))
    *
    INDEX($AN$5:$AN$77, MATCH($A119,_xlfn.ANCHORARRAY( $W$5), 0))
)</f>
        <v>0.24243662361128743</v>
      </c>
      <c r="F119" s="17" cm="1">
        <f t="array" ref="F119">MMULT(
    MMULT(
        INDEX($X$5:$AM$77, MATCH(F$100,_xlfn.ANCHORARRAY( $W$5), 0), 0),
        $F$5:$U$20
    ),
    TRANSPOSE(
        INDEX($X$5:$AM$77, MATCH($A119,_xlfn.ANCHORARRAY( $W$5), 0), 0)
    )
)
/
(
    INDEX($AN$5:$AN$77, MATCH(F$100,_xlfn.ANCHORARRAY( $W$5), 0))
    *
    INDEX($AN$5:$AN$77, MATCH($A119,_xlfn.ANCHORARRAY( $W$5), 0))
)</f>
        <v>0.24730393635364306</v>
      </c>
      <c r="G119" s="17" cm="1">
        <f t="array" ref="G119">MMULT(
    MMULT(
        INDEX($X$5:$AM$77, MATCH(G$100,_xlfn.ANCHORARRAY( $W$5), 0), 0),
        $F$5:$U$20
    ),
    TRANSPOSE(
        INDEX($X$5:$AM$77, MATCH($A119,_xlfn.ANCHORARRAY( $W$5), 0), 0)
    )
)
/
(
    INDEX($AN$5:$AN$77, MATCH(G$100,_xlfn.ANCHORARRAY( $W$5), 0))
    *
    INDEX($AN$5:$AN$77, MATCH($A119,_xlfn.ANCHORARRAY( $W$5), 0))
)</f>
        <v>0.57054692777729277</v>
      </c>
      <c r="H119" s="17" cm="1">
        <f t="array" ref="H119">MMULT(
    MMULT(
        INDEX($X$5:$AM$77, MATCH(H$100,_xlfn.ANCHORARRAY( $W$5), 0), 0),
        $F$5:$U$20
    ),
    TRANSPOSE(
        INDEX($X$5:$AM$77, MATCH($A119,_xlfn.ANCHORARRAY( $W$5), 0), 0)
    )
)
/
(
    INDEX($AN$5:$AN$77, MATCH(H$100,_xlfn.ANCHORARRAY( $W$5), 0))
    *
    INDEX($AN$5:$AN$77, MATCH($A119,_xlfn.ANCHORARRAY( $W$5), 0))
)</f>
        <v>0.32834525261839237</v>
      </c>
      <c r="I119" s="17" cm="1">
        <f t="array" ref="I119">MMULT(
    MMULT(
        INDEX($X$5:$AM$77, MATCH(I$100,_xlfn.ANCHORARRAY( $W$5), 0), 0),
        $F$5:$U$20
    ),
    TRANSPOSE(
        INDEX($X$5:$AM$77, MATCH($A119,_xlfn.ANCHORARRAY( $W$5), 0), 0)
    )
)
/
(
    INDEX($AN$5:$AN$77, MATCH(I$100,_xlfn.ANCHORARRAY( $W$5), 0))
    *
    INDEX($AN$5:$AN$77, MATCH($A119,_xlfn.ANCHORARRAY( $W$5), 0))
)</f>
        <v>0.61244202094385991</v>
      </c>
      <c r="J119" s="17" cm="1">
        <f t="array" ref="J119">MMULT(
    MMULT(
        INDEX($X$5:$AM$77, MATCH(J$100,_xlfn.ANCHORARRAY( $W$5), 0), 0),
        $F$5:$U$20
    ),
    TRANSPOSE(
        INDEX($X$5:$AM$77, MATCH($A119,_xlfn.ANCHORARRAY( $W$5), 0), 0)
    )
)
/
(
    INDEX($AN$5:$AN$77, MATCH(J$100,_xlfn.ANCHORARRAY( $W$5), 0))
    *
    INDEX($AN$5:$AN$77, MATCH($A119,_xlfn.ANCHORARRAY( $W$5), 0))
)</f>
        <v>0.52167549352251541</v>
      </c>
      <c r="K119" s="17" cm="1">
        <f t="array" ref="K119">MMULT(
    MMULT(
        INDEX($X$5:$AM$77, MATCH(K$100,_xlfn.ANCHORARRAY( $W$5), 0), 0),
        $F$5:$U$20
    ),
    TRANSPOSE(
        INDEX($X$5:$AM$77, MATCH($A119,_xlfn.ANCHORARRAY( $W$5), 0), 0)
    )
)
/
(
    INDEX($AN$5:$AN$77, MATCH(K$100,_xlfn.ANCHORARRAY( $W$5), 0))
    *
    INDEX($AN$5:$AN$77, MATCH($A119,_xlfn.ANCHORARRAY( $W$5), 0))
)</f>
        <v>0.27816504061568192</v>
      </c>
      <c r="L119" s="17" cm="1">
        <f t="array" ref="L119">MMULT(
    MMULT(
        INDEX($X$5:$AM$77, MATCH(L$100,_xlfn.ANCHORARRAY( $W$5), 0), 0),
        $F$5:$U$20
    ),
    TRANSPOSE(
        INDEX($X$5:$AM$77, MATCH($A119,_xlfn.ANCHORARRAY( $W$5), 0), 0)
    )
)
/
(
    INDEX($AN$5:$AN$77, MATCH(L$100,_xlfn.ANCHORARRAY( $W$5), 0))
    *
    INDEX($AN$5:$AN$77, MATCH($A119,_xlfn.ANCHORARRAY( $W$5), 0))
)</f>
        <v>0.32801174267237149</v>
      </c>
      <c r="M119" s="17" cm="1">
        <f t="array" ref="M119">MMULT(
    MMULT(
        INDEX($X$5:$AM$77, MATCH(M$100,_xlfn.ANCHORARRAY( $W$5), 0), 0),
        $F$5:$U$20
    ),
    TRANSPOSE(
        INDEX($X$5:$AM$77, MATCH($A119,_xlfn.ANCHORARRAY( $W$5), 0), 0)
    )
)
/
(
    INDEX($AN$5:$AN$77, MATCH(M$100,_xlfn.ANCHORARRAY( $W$5), 0))
    *
    INDEX($AN$5:$AN$77, MATCH($A119,_xlfn.ANCHORARRAY( $W$5), 0))
)</f>
        <v>0.27857814696813615</v>
      </c>
      <c r="N119" s="17" cm="1">
        <f t="array" ref="N119">MMULT(
    MMULT(
        INDEX($X$5:$AM$77, MATCH(N$100,_xlfn.ANCHORARRAY( $W$5), 0), 0),
        $F$5:$U$20
    ),
    TRANSPOSE(
        INDEX($X$5:$AM$77, MATCH($A119,_xlfn.ANCHORARRAY( $W$5), 0), 0)
    )
)
/
(
    INDEX($AN$5:$AN$77, MATCH(N$100,_xlfn.ANCHORARRAY( $W$5), 0))
    *
    INDEX($AN$5:$AN$77, MATCH($A119,_xlfn.ANCHORARRAY( $W$5), 0))
)</f>
        <v>0.39353403848621349</v>
      </c>
      <c r="O119" s="17" cm="1">
        <f t="array" ref="O119">MMULT(
    MMULT(
        INDEX($X$5:$AM$77, MATCH(O$100,_xlfn.ANCHORARRAY( $W$5), 0), 0),
        $F$5:$U$20
    ),
    TRANSPOSE(
        INDEX($X$5:$AM$77, MATCH($A119,_xlfn.ANCHORARRAY( $W$5), 0), 0)
    )
)
/
(
    INDEX($AN$5:$AN$77, MATCH(O$100,_xlfn.ANCHORARRAY( $W$5), 0))
    *
    INDEX($AN$5:$AN$77, MATCH($A119,_xlfn.ANCHORARRAY( $W$5), 0))
)</f>
        <v>0.20088094366029638</v>
      </c>
      <c r="P119" s="17" cm="1">
        <f t="array" ref="P119">MMULT(
    MMULT(
        INDEX($X$5:$AM$77, MATCH(P$100,_xlfn.ANCHORARRAY( $W$5), 0), 0),
        $F$5:$U$20
    ),
    TRANSPOSE(
        INDEX($X$5:$AM$77, MATCH($A119,_xlfn.ANCHORARRAY( $W$5), 0), 0)
    )
)
/
(
    INDEX($AN$5:$AN$77, MATCH(P$100,_xlfn.ANCHORARRAY( $W$5), 0))
    *
    INDEX($AN$5:$AN$77, MATCH($A119,_xlfn.ANCHORARRAY( $W$5), 0))
)</f>
        <v>0.53962967083078384</v>
      </c>
      <c r="Q119" s="17" cm="1">
        <f t="array" ref="Q119">MMULT(
    MMULT(
        INDEX($X$5:$AM$77, MATCH(Q$100,_xlfn.ANCHORARRAY( $W$5), 0), 0),
        $F$5:$U$20
    ),
    TRANSPOSE(
        INDEX($X$5:$AM$77, MATCH($A119,_xlfn.ANCHORARRAY( $W$5), 0), 0)
    )
)
/
(
    INDEX($AN$5:$AN$77, MATCH(Q$100,_xlfn.ANCHORARRAY( $W$5), 0))
    *
    INDEX($AN$5:$AN$77, MATCH($A119,_xlfn.ANCHORARRAY( $W$5), 0))
)</f>
        <v>0.60348718259860856</v>
      </c>
      <c r="R119" s="17" cm="1">
        <f t="array" ref="R119">MMULT(
    MMULT(
        INDEX($X$5:$AM$77, MATCH(R$100,_xlfn.ANCHORARRAY( $W$5), 0), 0),
        $F$5:$U$20
    ),
    TRANSPOSE(
        INDEX($X$5:$AM$77, MATCH($A119,_xlfn.ANCHORARRAY( $W$5), 0), 0)
    )
)
/
(
    INDEX($AN$5:$AN$77, MATCH(R$100,_xlfn.ANCHORARRAY( $W$5), 0))
    *
    INDEX($AN$5:$AN$77, MATCH($A119,_xlfn.ANCHORARRAY( $W$5), 0))
)</f>
        <v>0.35991148639470771</v>
      </c>
      <c r="S119" s="17" cm="1">
        <f t="array" ref="S119">MMULT(
    MMULT(
        INDEX($X$5:$AM$77, MATCH(S$100,_xlfn.ANCHORARRAY( $W$5), 0), 0),
        $F$5:$U$20
    ),
    TRANSPOSE(
        INDEX($X$5:$AM$77, MATCH($A119,_xlfn.ANCHORARRAY( $W$5), 0), 0)
    )
)
/
(
    INDEX($AN$5:$AN$77, MATCH(S$100,_xlfn.ANCHORARRAY( $W$5), 0))
    *
    INDEX($AN$5:$AN$77, MATCH($A119,_xlfn.ANCHORARRAY( $W$5), 0))
)</f>
        <v>0.57146572843306553</v>
      </c>
      <c r="T119" s="17" cm="1">
        <f t="array" ref="T119">MMULT(
    MMULT(
        INDEX($X$5:$AM$77, MATCH(T$100,_xlfn.ANCHORARRAY( $W$5), 0), 0),
        $F$5:$U$20
    ),
    TRANSPOSE(
        INDEX($X$5:$AM$77, MATCH($A119,_xlfn.ANCHORARRAY( $W$5), 0), 0)
    )
)
/
(
    INDEX($AN$5:$AN$77, MATCH(T$100,_xlfn.ANCHORARRAY( $W$5), 0))
    *
    INDEX($AN$5:$AN$77, MATCH($A119,_xlfn.ANCHORARRAY( $W$5), 0))
)</f>
        <v>1.0000000000000002</v>
      </c>
      <c r="U119" s="17" cm="1">
        <f t="array" ref="U119">MMULT(
    MMULT(
        INDEX($X$5:$AM$77, MATCH(U$100,_xlfn.ANCHORARRAY( $W$5), 0), 0),
        $F$5:$U$20
    ),
    TRANSPOSE(
        INDEX($X$5:$AM$77, MATCH($A119,_xlfn.ANCHORARRAY( $W$5), 0), 0)
    )
)
/
(
    INDEX($AN$5:$AN$77, MATCH(U$100,_xlfn.ANCHORARRAY( $W$5), 0))
    *
    INDEX($AN$5:$AN$77, MATCH($A119,_xlfn.ANCHORARRAY( $W$5), 0))
)</f>
        <v>0.47358251728730022</v>
      </c>
      <c r="V119" s="17" cm="1">
        <f t="array" ref="V119">MMULT(
    MMULT(
        INDEX($X$5:$AM$77, MATCH(V$100,_xlfn.ANCHORARRAY( $W$5), 0), 0),
        $F$5:$U$20
    ),
    TRANSPOSE(
        INDEX($X$5:$AM$77, MATCH($A119,_xlfn.ANCHORARRAY( $W$5), 0), 0)
    )
)
/
(
    INDEX($AN$5:$AN$77, MATCH(V$100,_xlfn.ANCHORARRAY( $W$5), 0))
    *
    INDEX($AN$5:$AN$77, MATCH($A119,_xlfn.ANCHORARRAY( $W$5), 0))
)</f>
        <v>0.61079493950117736</v>
      </c>
      <c r="W119" s="17" cm="1">
        <f t="array" ref="W119">MMULT(
    MMULT(
        INDEX($X$5:$AM$77, MATCH(W$100,_xlfn.ANCHORARRAY( $W$5), 0), 0),
        $F$5:$U$20
    ),
    TRANSPOSE(
        INDEX($X$5:$AM$77, MATCH($A119,_xlfn.ANCHORARRAY( $W$5), 0), 0)
    )
)
/
(
    INDEX($AN$5:$AN$77, MATCH(W$100,_xlfn.ANCHORARRAY( $W$5), 0))
    *
    INDEX($AN$5:$AN$77, MATCH($A119,_xlfn.ANCHORARRAY( $W$5), 0))
)</f>
        <v>0.23347477428723384</v>
      </c>
      <c r="X119" s="17" cm="1">
        <f t="array" ref="X119">MMULT(
    MMULT(
        INDEX($X$5:$AM$77, MATCH(X$100,_xlfn.ANCHORARRAY( $W$5), 0), 0),
        $F$5:$U$20
    ),
    TRANSPOSE(
        INDEX($X$5:$AM$77, MATCH($A119,_xlfn.ANCHORARRAY( $W$5), 0), 0)
    )
)
/
(
    INDEX($AN$5:$AN$77, MATCH(X$100,_xlfn.ANCHORARRAY( $W$5), 0))
    *
    INDEX($AN$5:$AN$77, MATCH($A119,_xlfn.ANCHORARRAY( $W$5), 0))
)</f>
        <v>0.24573366984714198</v>
      </c>
      <c r="Y119" s="17" cm="1">
        <f t="array" ref="Y119">MMULT(
    MMULT(
        INDEX($X$5:$AM$77, MATCH(Y$100,_xlfn.ANCHORARRAY( $W$5), 0), 0),
        $F$5:$U$20
    ),
    TRANSPOSE(
        INDEX($X$5:$AM$77, MATCH($A119,_xlfn.ANCHORARRAY( $W$5), 0), 0)
    )
)
/
(
    INDEX($AN$5:$AN$77, MATCH(Y$100,_xlfn.ANCHORARRAY( $W$5), 0))
    *
    INDEX($AN$5:$AN$77, MATCH($A119,_xlfn.ANCHORARRAY( $W$5), 0))
)</f>
        <v>0.70119599502441565</v>
      </c>
      <c r="Z119" s="17" cm="1">
        <f t="array" ref="Z119">MMULT(
    MMULT(
        INDEX($X$5:$AM$77, MATCH(Z$100,_xlfn.ANCHORARRAY( $W$5), 0), 0),
        $F$5:$U$20
    ),
    TRANSPOSE(
        INDEX($X$5:$AM$77, MATCH($A119,_xlfn.ANCHORARRAY( $W$5), 0), 0)
    )
)
/
(
    INDEX($AN$5:$AN$77, MATCH(Z$100,_xlfn.ANCHORARRAY( $W$5), 0))
    *
    INDEX($AN$5:$AN$77, MATCH($A119,_xlfn.ANCHORARRAY( $W$5), 0))
)</f>
        <v>0.2787058481636871</v>
      </c>
      <c r="AA119" s="17" cm="1">
        <f t="array" ref="AA119">MMULT(
    MMULT(
        INDEX($X$5:$AM$77, MATCH(AA$100,_xlfn.ANCHORARRAY( $W$5), 0), 0),
        $F$5:$U$20
    ),
    TRANSPOSE(
        INDEX($X$5:$AM$77, MATCH($A119,_xlfn.ANCHORARRAY( $W$5), 0), 0)
    )
)
/
(
    INDEX($AN$5:$AN$77, MATCH(AA$100,_xlfn.ANCHORARRAY( $W$5), 0))
    *
    INDEX($AN$5:$AN$77, MATCH($A119,_xlfn.ANCHORARRAY( $W$5), 0))
)</f>
        <v>0.41015724178679885</v>
      </c>
      <c r="AB119" s="17" cm="1">
        <f t="array" ref="AB119">MMULT(
    MMULT(
        INDEX($X$5:$AM$77, MATCH(AB$100,_xlfn.ANCHORARRAY( $W$5), 0), 0),
        $F$5:$U$20
    ),
    TRANSPOSE(
        INDEX($X$5:$AM$77, MATCH($A119,_xlfn.ANCHORARRAY( $W$5), 0), 0)
    )
)
/
(
    INDEX($AN$5:$AN$77, MATCH(AB$100,_xlfn.ANCHORARRAY( $W$5), 0))
    *
    INDEX($AN$5:$AN$77, MATCH($A119,_xlfn.ANCHORARRAY( $W$5), 0))
)</f>
        <v>0.4396130988101804</v>
      </c>
      <c r="AC119" s="17" cm="1">
        <f t="array" ref="AC119">MMULT(
    MMULT(
        INDEX($X$5:$AM$77, MATCH(AC$100,_xlfn.ANCHORARRAY( $W$5), 0), 0),
        $F$5:$U$20
    ),
    TRANSPOSE(
        INDEX($X$5:$AM$77, MATCH($A119,_xlfn.ANCHORARRAY( $W$5), 0), 0)
    )
)
/
(
    INDEX($AN$5:$AN$77, MATCH(AC$100,_xlfn.ANCHORARRAY( $W$5), 0))
    *
    INDEX($AN$5:$AN$77, MATCH($A119,_xlfn.ANCHORARRAY( $W$5), 0))
)</f>
        <v>0.52776637290040285</v>
      </c>
      <c r="AD119" s="17" cm="1">
        <f t="array" ref="AD119">MMULT(
    MMULT(
        INDEX($X$5:$AM$77, MATCH(AD$100,_xlfn.ANCHORARRAY( $W$5), 0), 0),
        $F$5:$U$20
    ),
    TRANSPOSE(
        INDEX($X$5:$AM$77, MATCH($A119,_xlfn.ANCHORARRAY( $W$5), 0), 0)
    )
)
/
(
    INDEX($AN$5:$AN$77, MATCH(AD$100,_xlfn.ANCHORARRAY( $W$5), 0))
    *
    INDEX($AN$5:$AN$77, MATCH($A119,_xlfn.ANCHORARRAY( $W$5), 0))
)</f>
        <v>0.29695500227432309</v>
      </c>
      <c r="AE119" s="17" cm="1">
        <f t="array" ref="AE119">MMULT(
    MMULT(
        INDEX($X$5:$AM$77, MATCH(AE$100,_xlfn.ANCHORARRAY( $W$5), 0), 0),
        $F$5:$U$20
    ),
    TRANSPOSE(
        INDEX($X$5:$AM$77, MATCH($A119,_xlfn.ANCHORARRAY( $W$5), 0), 0)
    )
)
/
(
    INDEX($AN$5:$AN$77, MATCH(AE$100,_xlfn.ANCHORARRAY( $W$5), 0))
    *
    INDEX($AN$5:$AN$77, MATCH($A119,_xlfn.ANCHORARRAY( $W$5), 0))
)</f>
        <v>0.52991650133478763</v>
      </c>
      <c r="AF119" s="17" cm="1">
        <f t="array" ref="AF119">MMULT(
    MMULT(
        INDEX($X$5:$AM$77, MATCH(AF$100,_xlfn.ANCHORARRAY( $W$5), 0), 0),
        $F$5:$U$20
    ),
    TRANSPOSE(
        INDEX($X$5:$AM$77, MATCH($A119,_xlfn.ANCHORARRAY( $W$5), 0), 0)
    )
)
/
(
    INDEX($AN$5:$AN$77, MATCH(AF$100,_xlfn.ANCHORARRAY( $W$5), 0))
    *
    INDEX($AN$5:$AN$77, MATCH($A119,_xlfn.ANCHORARRAY( $W$5), 0))
)</f>
        <v>0.70912960873133679</v>
      </c>
      <c r="AG119" s="17" cm="1">
        <f t="array" ref="AG119">MMULT(
    MMULT(
        INDEX($X$5:$AM$77, MATCH(AG$100,_xlfn.ANCHORARRAY( $W$5), 0), 0),
        $F$5:$U$20
    ),
    TRANSPOSE(
        INDEX($X$5:$AM$77, MATCH($A119,_xlfn.ANCHORARRAY( $W$5), 0), 0)
    )
)
/
(
    INDEX($AN$5:$AN$77, MATCH(AG$100,_xlfn.ANCHORARRAY( $W$5), 0))
    *
    INDEX($AN$5:$AN$77, MATCH($A119,_xlfn.ANCHORARRAY( $W$5), 0))
)</f>
        <v>0.39118056740097407</v>
      </c>
      <c r="AH119" s="17" cm="1">
        <f t="array" ref="AH119">MMULT(
    MMULT(
        INDEX($X$5:$AM$77, MATCH(AH$100,_xlfn.ANCHORARRAY( $W$5), 0), 0),
        $F$5:$U$20
    ),
    TRANSPOSE(
        INDEX($X$5:$AM$77, MATCH($A119,_xlfn.ANCHORARRAY( $W$5), 0), 0)
    )
)
/
(
    INDEX($AN$5:$AN$77, MATCH(AH$100,_xlfn.ANCHORARRAY( $W$5), 0))
    *
    INDEX($AN$5:$AN$77, MATCH($A119,_xlfn.ANCHORARRAY( $W$5), 0))
)</f>
        <v>0.26408923831953657</v>
      </c>
      <c r="AI119" s="17" cm="1">
        <f t="array" ref="AI119">MMULT(
    MMULT(
        INDEX($X$5:$AM$77, MATCH(AI$100,_xlfn.ANCHORARRAY( $W$5), 0), 0),
        $F$5:$U$20
    ),
    TRANSPOSE(
        INDEX($X$5:$AM$77, MATCH($A119,_xlfn.ANCHORARRAY( $W$5), 0), 0)
    )
)
/
(
    INDEX($AN$5:$AN$77, MATCH(AI$100,_xlfn.ANCHORARRAY( $W$5), 0))
    *
    INDEX($AN$5:$AN$77, MATCH($A119,_xlfn.ANCHORARRAY( $W$5), 0))
)</f>
        <v>0.43629671925682034</v>
      </c>
      <c r="AJ119" s="17" cm="1">
        <f t="array" ref="AJ119">MMULT(
    MMULT(
        INDEX($X$5:$AM$77, MATCH(AJ$100,_xlfn.ANCHORARRAY( $W$5), 0), 0),
        $F$5:$U$20
    ),
    TRANSPOSE(
        INDEX($X$5:$AM$77, MATCH($A119,_xlfn.ANCHORARRAY( $W$5), 0), 0)
    )
)
/
(
    INDEX($AN$5:$AN$77, MATCH(AJ$100,_xlfn.ANCHORARRAY( $W$5), 0))
    *
    INDEX($AN$5:$AN$77, MATCH($A119,_xlfn.ANCHORARRAY( $W$5), 0))
)</f>
        <v>0.55311946086554775</v>
      </c>
      <c r="AK119" s="17" cm="1">
        <f t="array" ref="AK119">MMULT(
    MMULT(
        INDEX($X$5:$AM$77, MATCH(AK$100,_xlfn.ANCHORARRAY( $W$5), 0), 0),
        $F$5:$U$20
    ),
    TRANSPOSE(
        INDEX($X$5:$AM$77, MATCH($A119,_xlfn.ANCHORARRAY( $W$5), 0), 0)
    )
)
/
(
    INDEX($AN$5:$AN$77, MATCH(AK$100,_xlfn.ANCHORARRAY( $W$5), 0))
    *
    INDEX($AN$5:$AN$77, MATCH($A119,_xlfn.ANCHORARRAY( $W$5), 0))
)</f>
        <v>0.31051846292026836</v>
      </c>
      <c r="AL119" s="17" cm="1">
        <f t="array" ref="AL119">MMULT(
    MMULT(
        INDEX($X$5:$AM$77, MATCH(AL$100,_xlfn.ANCHORARRAY( $W$5), 0), 0),
        $F$5:$U$20
    ),
    TRANSPOSE(
        INDEX($X$5:$AM$77, MATCH($A119,_xlfn.ANCHORARRAY( $W$5), 0), 0)
    )
)
/
(
    INDEX($AN$5:$AN$77, MATCH(AL$100,_xlfn.ANCHORARRAY( $W$5), 0))
    *
    INDEX($AN$5:$AN$77, MATCH($A119,_xlfn.ANCHORARRAY( $W$5), 0))
)</f>
        <v>0.22351498027500932</v>
      </c>
      <c r="AM119" s="17" cm="1">
        <f t="array" ref="AM119">MMULT(
    MMULT(
        INDEX($X$5:$AM$77, MATCH(AM$100,_xlfn.ANCHORARRAY( $W$5), 0), 0),
        $F$5:$U$20
    ),
    TRANSPOSE(
        INDEX($X$5:$AM$77, MATCH($A119,_xlfn.ANCHORARRAY( $W$5), 0), 0)
    )
)
/
(
    INDEX($AN$5:$AN$77, MATCH(AM$100,_xlfn.ANCHORARRAY( $W$5), 0))
    *
    INDEX($AN$5:$AN$77, MATCH($A119,_xlfn.ANCHORARRAY( $W$5), 0))
)</f>
        <v>0.26600119819508844</v>
      </c>
      <c r="AN119" s="17" cm="1">
        <f t="array" ref="AN119">MMULT(
    MMULT(
        INDEX($X$5:$AM$77, MATCH(AN$100,_xlfn.ANCHORARRAY( $W$5), 0), 0),
        $F$5:$U$20
    ),
    TRANSPOSE(
        INDEX($X$5:$AM$77, MATCH($A119,_xlfn.ANCHORARRAY( $W$5), 0), 0)
    )
)
/
(
    INDEX($AN$5:$AN$77, MATCH(AN$100,_xlfn.ANCHORARRAY( $W$5), 0))
    *
    INDEX($AN$5:$AN$77, MATCH($A119,_xlfn.ANCHORARRAY( $W$5), 0))
)</f>
        <v>0.36167683709261472</v>
      </c>
      <c r="AO119" s="17" cm="1">
        <f t="array" ref="AO119">MMULT(
    MMULT(
        INDEX($X$5:$AM$77, MATCH(AO$100,_xlfn.ANCHORARRAY( $W$5), 0), 0),
        $F$5:$U$20
    ),
    TRANSPOSE(
        INDEX($X$5:$AM$77, MATCH($A119,_xlfn.ANCHORARRAY( $W$5), 0), 0)
    )
)
/
(
    INDEX($AN$5:$AN$77, MATCH(AO$100,_xlfn.ANCHORARRAY( $W$5), 0))
    *
    INDEX($AN$5:$AN$77, MATCH($A119,_xlfn.ANCHORARRAY( $W$5), 0))
)</f>
        <v>0.27746966655286753</v>
      </c>
      <c r="AP119" s="17" cm="1">
        <f t="array" ref="AP119">MMULT(
    MMULT(
        INDEX($X$5:$AM$77, MATCH(AP$100,_xlfn.ANCHORARRAY( $W$5), 0), 0),
        $F$5:$U$20
    ),
    TRANSPOSE(
        INDEX($X$5:$AM$77, MATCH($A119,_xlfn.ANCHORARRAY( $W$5), 0), 0)
    )
)
/
(
    INDEX($AN$5:$AN$77, MATCH(AP$100,_xlfn.ANCHORARRAY( $W$5), 0))
    *
    INDEX($AN$5:$AN$77, MATCH($A119,_xlfn.ANCHORARRAY( $W$5), 0))
)</f>
        <v>0.43006383757363315</v>
      </c>
      <c r="AQ119" s="17" cm="1">
        <f t="array" ref="AQ119">MMULT(
    MMULT(
        INDEX($X$5:$AM$77, MATCH(AQ$100,_xlfn.ANCHORARRAY( $W$5), 0), 0),
        $F$5:$U$20
    ),
    TRANSPOSE(
        INDEX($X$5:$AM$77, MATCH($A119,_xlfn.ANCHORARRAY( $W$5), 0), 0)
    )
)
/
(
    INDEX($AN$5:$AN$77, MATCH(AQ$100,_xlfn.ANCHORARRAY( $W$5), 0))
    *
    INDEX($AN$5:$AN$77, MATCH($A119,_xlfn.ANCHORARRAY( $W$5), 0))
)</f>
        <v>0.73993120121854239</v>
      </c>
      <c r="AR119" s="17" cm="1">
        <f t="array" ref="AR119">MMULT(
    MMULT(
        INDEX($X$5:$AM$77, MATCH(AR$100,_xlfn.ANCHORARRAY( $W$5), 0), 0),
        $F$5:$U$20
    ),
    TRANSPOSE(
        INDEX($X$5:$AM$77, MATCH($A119,_xlfn.ANCHORARRAY( $W$5), 0), 0)
    )
)
/
(
    INDEX($AN$5:$AN$77, MATCH(AR$100,_xlfn.ANCHORARRAY( $W$5), 0))
    *
    INDEX($AN$5:$AN$77, MATCH($A119,_xlfn.ANCHORARRAY( $W$5), 0))
)</f>
        <v>0.59528738056741959</v>
      </c>
      <c r="AS119" s="17" cm="1">
        <f t="array" ref="AS119">MMULT(
    MMULT(
        INDEX($X$5:$AM$77, MATCH(AS$100,_xlfn.ANCHORARRAY( $W$5), 0), 0),
        $F$5:$U$20
    ),
    TRANSPOSE(
        INDEX($X$5:$AM$77, MATCH($A119,_xlfn.ANCHORARRAY( $W$5), 0), 0)
    )
)
/
(
    INDEX($AN$5:$AN$77, MATCH(AS$100,_xlfn.ANCHORARRAY( $W$5), 0))
    *
    INDEX($AN$5:$AN$77, MATCH($A119,_xlfn.ANCHORARRAY( $W$5), 0))
)</f>
        <v>0.25979050977191159</v>
      </c>
      <c r="AT119" s="17" cm="1">
        <f t="array" ref="AT119">MMULT(
    MMULT(
        INDEX($X$5:$AM$77, MATCH(AT$100,_xlfn.ANCHORARRAY( $W$5), 0), 0),
        $F$5:$U$20
    ),
    TRANSPOSE(
        INDEX($X$5:$AM$77, MATCH($A119,_xlfn.ANCHORARRAY( $W$5), 0), 0)
    )
)
/
(
    INDEX($AN$5:$AN$77, MATCH(AT$100,_xlfn.ANCHORARRAY( $W$5), 0))
    *
    INDEX($AN$5:$AN$77, MATCH($A119,_xlfn.ANCHORARRAY( $W$5), 0))
)</f>
        <v>0.35582829584430514</v>
      </c>
      <c r="AU119" s="17" cm="1">
        <f t="array" ref="AU119">MMULT(
    MMULT(
        INDEX($X$5:$AM$77, MATCH(AU$100,_xlfn.ANCHORARRAY( $W$5), 0), 0),
        $F$5:$U$20
    ),
    TRANSPOSE(
        INDEX($X$5:$AM$77, MATCH($A119,_xlfn.ANCHORARRAY( $W$5), 0), 0)
    )
)
/
(
    INDEX($AN$5:$AN$77, MATCH(AU$100,_xlfn.ANCHORARRAY( $W$5), 0))
    *
    INDEX($AN$5:$AN$77, MATCH($A119,_xlfn.ANCHORARRAY( $W$5), 0))
)</f>
        <v>0.25614397959334528</v>
      </c>
      <c r="AV119" s="17" cm="1">
        <f t="array" ref="AV119">MMULT(
    MMULT(
        INDEX($X$5:$AM$77, MATCH(AV$100,_xlfn.ANCHORARRAY( $W$5), 0), 0),
        $F$5:$U$20
    ),
    TRANSPOSE(
        INDEX($X$5:$AM$77, MATCH($A119,_xlfn.ANCHORARRAY( $W$5), 0), 0)
    )
)
/
(
    INDEX($AN$5:$AN$77, MATCH(AV$100,_xlfn.ANCHORARRAY( $W$5), 0))
    *
    INDEX($AN$5:$AN$77, MATCH($A119,_xlfn.ANCHORARRAY( $W$5), 0))
)</f>
        <v>0.26392869799780477</v>
      </c>
      <c r="AW119" s="17" cm="1">
        <f t="array" ref="AW119">MMULT(
    MMULT(
        INDEX($X$5:$AM$77, MATCH(AW$100,_xlfn.ANCHORARRAY( $W$5), 0), 0),
        $F$5:$U$20
    ),
    TRANSPOSE(
        INDEX($X$5:$AM$77, MATCH($A119,_xlfn.ANCHORARRAY( $W$5), 0), 0)
    )
)
/
(
    INDEX($AN$5:$AN$77, MATCH(AW$100,_xlfn.ANCHORARRAY( $W$5), 0))
    *
    INDEX($AN$5:$AN$77, MATCH($A119,_xlfn.ANCHORARRAY( $W$5), 0))
)</f>
        <v>0.23835484824561273</v>
      </c>
      <c r="AX119" s="17" cm="1">
        <f t="array" ref="AX119">MMULT(
    MMULT(
        INDEX($X$5:$AM$77, MATCH(AX$100,_xlfn.ANCHORARRAY( $W$5), 0), 0),
        $F$5:$U$20
    ),
    TRANSPOSE(
        INDEX($X$5:$AM$77, MATCH($A119,_xlfn.ANCHORARRAY( $W$5), 0), 0)
    )
)
/
(
    INDEX($AN$5:$AN$77, MATCH(AX$100,_xlfn.ANCHORARRAY( $W$5), 0))
    *
    INDEX($AN$5:$AN$77, MATCH($A119,_xlfn.ANCHORARRAY( $W$5), 0))
)</f>
        <v>0.58765692539743764</v>
      </c>
      <c r="AY119" s="17" cm="1">
        <f t="array" ref="AY119">MMULT(
    MMULT(
        INDEX($X$5:$AM$77, MATCH(AY$100,_xlfn.ANCHORARRAY( $W$5), 0), 0),
        $F$5:$U$20
    ),
    TRANSPOSE(
        INDEX($X$5:$AM$77, MATCH($A119,_xlfn.ANCHORARRAY( $W$5), 0), 0)
    )
)
/
(
    INDEX($AN$5:$AN$77, MATCH(AY$100,_xlfn.ANCHORARRAY( $W$5), 0))
    *
    INDEX($AN$5:$AN$77, MATCH($A119,_xlfn.ANCHORARRAY( $W$5), 0))
)</f>
        <v>0.22662130638289854</v>
      </c>
      <c r="AZ119" s="17" cm="1">
        <f t="array" ref="AZ119">MMULT(
    MMULT(
        INDEX($X$5:$AM$77, MATCH(AZ$100,_xlfn.ANCHORARRAY( $W$5), 0), 0),
        $F$5:$U$20
    ),
    TRANSPOSE(
        INDEX($X$5:$AM$77, MATCH($A119,_xlfn.ANCHORARRAY( $W$5), 0), 0)
    )
)
/
(
    INDEX($AN$5:$AN$77, MATCH(AZ$100,_xlfn.ANCHORARRAY( $W$5), 0))
    *
    INDEX($AN$5:$AN$77, MATCH($A119,_xlfn.ANCHORARRAY( $W$5), 0))
)</f>
        <v>0.28132223224078595</v>
      </c>
      <c r="BA119" s="17" cm="1">
        <f t="array" ref="BA119">MMULT(
    MMULT(
        INDEX($X$5:$AM$77, MATCH(BA$100,_xlfn.ANCHORARRAY( $W$5), 0), 0),
        $F$5:$U$20
    ),
    TRANSPOSE(
        INDEX($X$5:$AM$77, MATCH($A119,_xlfn.ANCHORARRAY( $W$5), 0), 0)
    )
)
/
(
    INDEX($AN$5:$AN$77, MATCH(BA$100,_xlfn.ANCHORARRAY( $W$5), 0))
    *
    INDEX($AN$5:$AN$77, MATCH($A119,_xlfn.ANCHORARRAY( $W$5), 0))
)</f>
        <v>0.44348089912053534</v>
      </c>
      <c r="BB119" s="17" cm="1">
        <f t="array" ref="BB119">MMULT(
    MMULT(
        INDEX($X$5:$AM$77, MATCH(BB$100,_xlfn.ANCHORARRAY( $W$5), 0), 0),
        $F$5:$U$20
    ),
    TRANSPOSE(
        INDEX($X$5:$AM$77, MATCH($A119,_xlfn.ANCHORARRAY( $W$5), 0), 0)
    )
)
/
(
    INDEX($AN$5:$AN$77, MATCH(BB$100,_xlfn.ANCHORARRAY( $W$5), 0))
    *
    INDEX($AN$5:$AN$77, MATCH($A119,_xlfn.ANCHORARRAY( $W$5), 0))
)</f>
        <v>0.22884467735312752</v>
      </c>
      <c r="BC119" s="17" cm="1">
        <f t="array" ref="BC119">MMULT(
    MMULT(
        INDEX($X$5:$AM$77, MATCH(BC$100,_xlfn.ANCHORARRAY( $W$5), 0), 0),
        $F$5:$U$20
    ),
    TRANSPOSE(
        INDEX($X$5:$AM$77, MATCH($A119,_xlfn.ANCHORARRAY( $W$5), 0), 0)
    )
)
/
(
    INDEX($AN$5:$AN$77, MATCH(BC$100,_xlfn.ANCHORARRAY( $W$5), 0))
    *
    INDEX($AN$5:$AN$77, MATCH($A119,_xlfn.ANCHORARRAY( $W$5), 0))
)</f>
        <v>0.33687845337338101</v>
      </c>
      <c r="BD119" s="17" cm="1">
        <f t="array" ref="BD119">MMULT(
    MMULT(
        INDEX($X$5:$AM$77, MATCH(BD$100,_xlfn.ANCHORARRAY( $W$5), 0), 0),
        $F$5:$U$20
    ),
    TRANSPOSE(
        INDEX($X$5:$AM$77, MATCH($A119,_xlfn.ANCHORARRAY( $W$5), 0), 0)
    )
)
/
(
    INDEX($AN$5:$AN$77, MATCH(BD$100,_xlfn.ANCHORARRAY( $W$5), 0))
    *
    INDEX($AN$5:$AN$77, MATCH($A119,_xlfn.ANCHORARRAY( $W$5), 0))
)</f>
        <v>0.91553063059988748</v>
      </c>
      <c r="BE119" s="17" cm="1">
        <f t="array" ref="BE119">MMULT(
    MMULT(
        INDEX($X$5:$AM$77, MATCH(BE$100,_xlfn.ANCHORARRAY( $W$5), 0), 0),
        $F$5:$U$20
    ),
    TRANSPOSE(
        INDEX($X$5:$AM$77, MATCH($A119,_xlfn.ANCHORARRAY( $W$5), 0), 0)
    )
)
/
(
    INDEX($AN$5:$AN$77, MATCH(BE$100,_xlfn.ANCHORARRAY( $W$5), 0))
    *
    INDEX($AN$5:$AN$77, MATCH($A119,_xlfn.ANCHORARRAY( $W$5), 0))
)</f>
        <v>0.25380384548227686</v>
      </c>
      <c r="BF119" s="17" cm="1">
        <f t="array" ref="BF119">MMULT(
    MMULT(
        INDEX($X$5:$AM$77, MATCH(BF$100,_xlfn.ANCHORARRAY( $W$5), 0), 0),
        $F$5:$U$20
    ),
    TRANSPOSE(
        INDEX($X$5:$AM$77, MATCH($A119,_xlfn.ANCHORARRAY( $W$5), 0), 0)
    )
)
/
(
    INDEX($AN$5:$AN$77, MATCH(BF$100,_xlfn.ANCHORARRAY( $W$5), 0))
    *
    INDEX($AN$5:$AN$77, MATCH($A119,_xlfn.ANCHORARRAY( $W$5), 0))
)</f>
        <v>0.6946941199417892</v>
      </c>
      <c r="BG119" s="17" cm="1">
        <f t="array" ref="BG119">MMULT(
    MMULT(
        INDEX($X$5:$AM$77, MATCH(BG$100,_xlfn.ANCHORARRAY( $W$5), 0), 0),
        $F$5:$U$20
    ),
    TRANSPOSE(
        INDEX($X$5:$AM$77, MATCH($A119,_xlfn.ANCHORARRAY( $W$5), 0), 0)
    )
)
/
(
    INDEX($AN$5:$AN$77, MATCH(BG$100,_xlfn.ANCHORARRAY( $W$5), 0))
    *
    INDEX($AN$5:$AN$77, MATCH($A119,_xlfn.ANCHORARRAY( $W$5), 0))
)</f>
        <v>0.55353197117619835</v>
      </c>
      <c r="BH119" s="17" cm="1">
        <f t="array" ref="BH119">MMULT(
    MMULT(
        INDEX($X$5:$AM$77, MATCH(BH$100,_xlfn.ANCHORARRAY( $W$5), 0), 0),
        $F$5:$U$20
    ),
    TRANSPOSE(
        INDEX($X$5:$AM$77, MATCH($A119,_xlfn.ANCHORARRAY( $W$5), 0), 0)
    )
)
/
(
    INDEX($AN$5:$AN$77, MATCH(BH$100,_xlfn.ANCHORARRAY( $W$5), 0))
    *
    INDEX($AN$5:$AN$77, MATCH($A119,_xlfn.ANCHORARRAY( $W$5), 0))
)</f>
        <v>0.71672368603814851</v>
      </c>
      <c r="BI119" s="17" cm="1">
        <f t="array" ref="BI119">MMULT(
    MMULT(
        INDEX($X$5:$AM$77, MATCH(BI$100,_xlfn.ANCHORARRAY( $W$5), 0), 0),
        $F$5:$U$20
    ),
    TRANSPOSE(
        INDEX($X$5:$AM$77, MATCH($A119,_xlfn.ANCHORARRAY( $W$5), 0), 0)
    )
)
/
(
    INDEX($AN$5:$AN$77, MATCH(BI$100,_xlfn.ANCHORARRAY( $W$5), 0))
    *
    INDEX($AN$5:$AN$77, MATCH($A119,_xlfn.ANCHORARRAY( $W$5), 0))
)</f>
        <v>0.20184335294608691</v>
      </c>
      <c r="BJ119" s="17" cm="1">
        <f t="array" ref="BJ119">MMULT(
    MMULT(
        INDEX($X$5:$AM$77, MATCH(BJ$100,_xlfn.ANCHORARRAY( $W$5), 0), 0),
        $F$5:$U$20
    ),
    TRANSPOSE(
        INDEX($X$5:$AM$77, MATCH($A119,_xlfn.ANCHORARRAY( $W$5), 0), 0)
    )
)
/
(
    INDEX($AN$5:$AN$77, MATCH(BJ$100,_xlfn.ANCHORARRAY( $W$5), 0))
    *
    INDEX($AN$5:$AN$77, MATCH($A119,_xlfn.ANCHORARRAY( $W$5), 0))
)</f>
        <v>0.34145162456286371</v>
      </c>
      <c r="BK119" s="17" cm="1">
        <f t="array" ref="BK119">MMULT(
    MMULT(
        INDEX($X$5:$AM$77, MATCH(BK$100,_xlfn.ANCHORARRAY( $W$5), 0), 0),
        $F$5:$U$20
    ),
    TRANSPOSE(
        INDEX($X$5:$AM$77, MATCH($A119,_xlfn.ANCHORARRAY( $W$5), 0), 0)
    )
)
/
(
    INDEX($AN$5:$AN$77, MATCH(BK$100,_xlfn.ANCHORARRAY( $W$5), 0))
    *
    INDEX($AN$5:$AN$77, MATCH($A119,_xlfn.ANCHORARRAY( $W$5), 0))
)</f>
        <v>0.90425524781665456</v>
      </c>
      <c r="BL119" s="17" cm="1">
        <f t="array" ref="BL119">MMULT(
    MMULT(
        INDEX($X$5:$AM$77, MATCH(BL$100,_xlfn.ANCHORARRAY( $W$5), 0), 0),
        $F$5:$U$20
    ),
    TRANSPOSE(
        INDEX($X$5:$AM$77, MATCH($A119,_xlfn.ANCHORARRAY( $W$5), 0), 0)
    )
)
/
(
    INDEX($AN$5:$AN$77, MATCH(BL$100,_xlfn.ANCHORARRAY( $W$5), 0))
    *
    INDEX($AN$5:$AN$77, MATCH($A119,_xlfn.ANCHORARRAY( $W$5), 0))
)</f>
        <v>0.22266972702947416</v>
      </c>
      <c r="BM119" s="17" cm="1">
        <f t="array" ref="BM119">MMULT(
    MMULT(
        INDEX($X$5:$AM$77, MATCH(BM$100,_xlfn.ANCHORARRAY( $W$5), 0), 0),
        $F$5:$U$20
    ),
    TRANSPOSE(
        INDEX($X$5:$AM$77, MATCH($A119,_xlfn.ANCHORARRAY( $W$5), 0), 0)
    )
)
/
(
    INDEX($AN$5:$AN$77, MATCH(BM$100,_xlfn.ANCHORARRAY( $W$5), 0))
    *
    INDEX($AN$5:$AN$77, MATCH($A119,_xlfn.ANCHORARRAY( $W$5), 0))
)</f>
        <v>0.19908313110865586</v>
      </c>
      <c r="BN119" s="17" cm="1">
        <f t="array" ref="BN119">MMULT(
    MMULT(
        INDEX($X$5:$AM$77, MATCH(BN$100,_xlfn.ANCHORARRAY( $W$5), 0), 0),
        $F$5:$U$20
    ),
    TRANSPOSE(
        INDEX($X$5:$AM$77, MATCH($A119,_xlfn.ANCHORARRAY( $W$5), 0), 0)
    )
)
/
(
    INDEX($AN$5:$AN$77, MATCH(BN$100,_xlfn.ANCHORARRAY( $W$5), 0))
    *
    INDEX($AN$5:$AN$77, MATCH($A119,_xlfn.ANCHORARRAY( $W$5), 0))
)</f>
        <v>0.28198077569440044</v>
      </c>
      <c r="BO119" s="17" cm="1">
        <f t="array" ref="BO119">MMULT(
    MMULT(
        INDEX($X$5:$AM$77, MATCH(BO$100,_xlfn.ANCHORARRAY( $W$5), 0), 0),
        $F$5:$U$20
    ),
    TRANSPOSE(
        INDEX($X$5:$AM$77, MATCH($A119,_xlfn.ANCHORARRAY( $W$5), 0), 0)
    )
)
/
(
    INDEX($AN$5:$AN$77, MATCH(BO$100,_xlfn.ANCHORARRAY( $W$5), 0))
    *
    INDEX($AN$5:$AN$77, MATCH($A119,_xlfn.ANCHORARRAY( $W$5), 0))
)</f>
        <v>0.28133642654314811</v>
      </c>
      <c r="BP119" s="17" cm="1">
        <f t="array" ref="BP119">MMULT(
    MMULT(
        INDEX($X$5:$AM$77, MATCH(BP$100,_xlfn.ANCHORARRAY( $W$5), 0), 0),
        $F$5:$U$20
    ),
    TRANSPOSE(
        INDEX($X$5:$AM$77, MATCH($A119,_xlfn.ANCHORARRAY( $W$5), 0), 0)
    )
)
/
(
    INDEX($AN$5:$AN$77, MATCH(BP$100,_xlfn.ANCHORARRAY( $W$5), 0))
    *
    INDEX($AN$5:$AN$77, MATCH($A119,_xlfn.ANCHORARRAY( $W$5), 0))
)</f>
        <v>0.48123650370382537</v>
      </c>
      <c r="BQ119" s="17" cm="1">
        <f t="array" ref="BQ119">MMULT(
    MMULT(
        INDEX($X$5:$AM$77, MATCH(BQ$100,_xlfn.ANCHORARRAY( $W$5), 0), 0),
        $F$5:$U$20
    ),
    TRANSPOSE(
        INDEX($X$5:$AM$77, MATCH($A119,_xlfn.ANCHORARRAY( $W$5), 0), 0)
    )
)
/
(
    INDEX($AN$5:$AN$77, MATCH(BQ$100,_xlfn.ANCHORARRAY( $W$5), 0))
    *
    INDEX($AN$5:$AN$77, MATCH($A119,_xlfn.ANCHORARRAY( $W$5), 0))
)</f>
        <v>0.41807613103433428</v>
      </c>
      <c r="BR119" s="17" cm="1">
        <f t="array" ref="BR119">MMULT(
    MMULT(
        INDEX($X$5:$AM$77, MATCH(BR$100,_xlfn.ANCHORARRAY( $W$5), 0), 0),
        $F$5:$U$20
    ),
    TRANSPOSE(
        INDEX($X$5:$AM$77, MATCH($A119,_xlfn.ANCHORARRAY( $W$5), 0), 0)
    )
)
/
(
    INDEX($AN$5:$AN$77, MATCH(BR$100,_xlfn.ANCHORARRAY( $W$5), 0))
    *
    INDEX($AN$5:$AN$77, MATCH($A119,_xlfn.ANCHORARRAY( $W$5), 0))
)</f>
        <v>0.47263751841894469</v>
      </c>
      <c r="BS119" s="17" cm="1">
        <f t="array" ref="BS119">MMULT(
    MMULT(
        INDEX($X$5:$AM$77, MATCH(BS$100,_xlfn.ANCHORARRAY( $W$5), 0), 0),
        $F$5:$U$20
    ),
    TRANSPOSE(
        INDEX($X$5:$AM$77, MATCH($A119,_xlfn.ANCHORARRAY( $W$5), 0), 0)
    )
)
/
(
    INDEX($AN$5:$AN$77, MATCH(BS$100,_xlfn.ANCHORARRAY( $W$5), 0))
    *
    INDEX($AN$5:$AN$77, MATCH($A119,_xlfn.ANCHORARRAY( $W$5), 0))
)</f>
        <v>0.23052526123157874</v>
      </c>
      <c r="BT119" s="17" cm="1">
        <f t="array" ref="BT119">MMULT(
    MMULT(
        INDEX($X$5:$AM$77, MATCH(BT$100,_xlfn.ANCHORARRAY( $W$5), 0), 0),
        $F$5:$U$20
    ),
    TRANSPOSE(
        INDEX($X$5:$AM$77, MATCH($A119,_xlfn.ANCHORARRAY( $W$5), 0), 0)
    )
)
/
(
    INDEX($AN$5:$AN$77, MATCH(BT$100,_xlfn.ANCHORARRAY( $W$5), 0))
    *
    INDEX($AN$5:$AN$77, MATCH($A119,_xlfn.ANCHORARRAY( $W$5), 0))
)</f>
        <v>0.32440571929037243</v>
      </c>
      <c r="BU119" s="17" cm="1">
        <f t="array" ref="BU119">MMULT(
    MMULT(
        INDEX($X$5:$AM$77, MATCH(BU$100,_xlfn.ANCHORARRAY( $W$5), 0), 0),
        $F$5:$U$20
    ),
    TRANSPOSE(
        INDEX($X$5:$AM$77, MATCH($A119,_xlfn.ANCHORARRAY( $W$5), 0), 0)
    )
)
/
(
    INDEX($AN$5:$AN$77, MATCH(BU$100,_xlfn.ANCHORARRAY( $W$5), 0))
    *
    INDEX($AN$5:$AN$77, MATCH($A119,_xlfn.ANCHORARRAY( $W$5), 0))
)</f>
        <v>0.72577723947347117</v>
      </c>
      <c r="BV119" s="17" cm="1">
        <f t="array" ref="BV119">MMULT(
    MMULT(
        INDEX($X$5:$AM$77, MATCH(BV$100,_xlfn.ANCHORARRAY( $W$5), 0), 0),
        $F$5:$U$20
    ),
    TRANSPOSE(
        INDEX($X$5:$AM$77, MATCH($A119,_xlfn.ANCHORARRAY( $W$5), 0), 0)
    )
)
/
(
    INDEX($AN$5:$AN$77, MATCH(BV$100,_xlfn.ANCHORARRAY( $W$5), 0))
    *
    INDEX($AN$5:$AN$77, MATCH($A119,_xlfn.ANCHORARRAY( $W$5), 0))
)</f>
        <v>0.30105989081056622</v>
      </c>
    </row>
    <row r="120" spans="1:74" x14ac:dyDescent="0.3">
      <c r="A120" s="7" t="str">
        <v>López, Reynaldo</v>
      </c>
      <c r="B120" s="17" cm="1">
        <f t="array" ref="B120">MMULT(
    MMULT(
        INDEX($X$5:$AM$77, MATCH(B$100,_xlfn.ANCHORARRAY( $W$5), 0), 0),
        $F$5:$U$20
    ),
    TRANSPOSE(
        INDEX($X$5:$AM$77, MATCH($A120,_xlfn.ANCHORARRAY( $W$5), 0), 0)
    )
)
/
(
    INDEX($AN$5:$AN$77, MATCH(B$100,_xlfn.ANCHORARRAY( $W$5), 0))
    *
    INDEX($AN$5:$AN$77, MATCH($A120,_xlfn.ANCHORARRAY( $W$5), 0))
)</f>
        <v>0.94133531377082735</v>
      </c>
      <c r="C120" s="17" cm="1">
        <f t="array" ref="C120">MMULT(
    MMULT(
        INDEX($X$5:$AM$77, MATCH(C$100,_xlfn.ANCHORARRAY( $W$5), 0), 0),
        $F$5:$U$20
    ),
    TRANSPOSE(
        INDEX($X$5:$AM$77, MATCH($A120,_xlfn.ANCHORARRAY( $W$5), 0), 0)
    )
)
/
(
    INDEX($AN$5:$AN$77, MATCH(C$100,_xlfn.ANCHORARRAY( $W$5), 0))
    *
    INDEX($AN$5:$AN$77, MATCH($A120,_xlfn.ANCHORARRAY( $W$5), 0))
)</f>
        <v>0.75920955141372937</v>
      </c>
      <c r="D120" s="17" cm="1">
        <f t="array" ref="D120">MMULT(
    MMULT(
        INDEX($X$5:$AM$77, MATCH(D$100,_xlfn.ANCHORARRAY( $W$5), 0), 0),
        $F$5:$U$20
    ),
    TRANSPOSE(
        INDEX($X$5:$AM$77, MATCH($A120,_xlfn.ANCHORARRAY( $W$5), 0), 0)
    )
)
/
(
    INDEX($AN$5:$AN$77, MATCH(D$100,_xlfn.ANCHORARRAY( $W$5), 0))
    *
    INDEX($AN$5:$AN$77, MATCH($A120,_xlfn.ANCHORARRAY( $W$5), 0))
)</f>
        <v>0.98941325911060063</v>
      </c>
      <c r="E120" s="17" cm="1">
        <f t="array" ref="E120">MMULT(
    MMULT(
        INDEX($X$5:$AM$77, MATCH(E$100,_xlfn.ANCHORARRAY( $W$5), 0), 0),
        $F$5:$U$20
    ),
    TRANSPOSE(
        INDEX($X$5:$AM$77, MATCH($A120,_xlfn.ANCHORARRAY( $W$5), 0), 0)
    )
)
/
(
    INDEX($AN$5:$AN$77, MATCH(E$100,_xlfn.ANCHORARRAY( $W$5), 0))
    *
    INDEX($AN$5:$AN$77, MATCH($A120,_xlfn.ANCHORARRAY( $W$5), 0))
)</f>
        <v>0.84258144065960905</v>
      </c>
      <c r="F120" s="17" cm="1">
        <f t="array" ref="F120">MMULT(
    MMULT(
        INDEX($X$5:$AM$77, MATCH(F$100,_xlfn.ANCHORARRAY( $W$5), 0), 0),
        $F$5:$U$20
    ),
    TRANSPOSE(
        INDEX($X$5:$AM$77, MATCH($A120,_xlfn.ANCHORARRAY( $W$5), 0), 0)
    )
)
/
(
    INDEX($AN$5:$AN$77, MATCH(F$100,_xlfn.ANCHORARRAY( $W$5), 0))
    *
    INDEX($AN$5:$AN$77, MATCH($A120,_xlfn.ANCHORARRAY( $W$5), 0))
)</f>
        <v>0.93401482602932095</v>
      </c>
      <c r="G120" s="17" cm="1">
        <f t="array" ref="G120">MMULT(
    MMULT(
        INDEX($X$5:$AM$77, MATCH(G$100,_xlfn.ANCHORARRAY( $W$5), 0), 0),
        $F$5:$U$20
    ),
    TRANSPOSE(
        INDEX($X$5:$AM$77, MATCH($A120,_xlfn.ANCHORARRAY( $W$5), 0), 0)
    )
)
/
(
    INDEX($AN$5:$AN$77, MATCH(G$100,_xlfn.ANCHORARRAY( $W$5), 0))
    *
    INDEX($AN$5:$AN$77, MATCH($A120,_xlfn.ANCHORARRAY( $W$5), 0))
)</f>
        <v>0.77289560569705451</v>
      </c>
      <c r="H120" s="17" cm="1">
        <f t="array" ref="H120">MMULT(
    MMULT(
        INDEX($X$5:$AM$77, MATCH(H$100,_xlfn.ANCHORARRAY( $W$5), 0), 0),
        $F$5:$U$20
    ),
    TRANSPOSE(
        INDEX($X$5:$AM$77, MATCH($A120,_xlfn.ANCHORARRAY( $W$5), 0), 0)
    )
)
/
(
    INDEX($AN$5:$AN$77, MATCH(H$100,_xlfn.ANCHORARRAY( $W$5), 0))
    *
    INDEX($AN$5:$AN$77, MATCH($A120,_xlfn.ANCHORARRAY( $W$5), 0))
)</f>
        <v>0.80299909548646187</v>
      </c>
      <c r="I120" s="17" cm="1">
        <f t="array" ref="I120">MMULT(
    MMULT(
        INDEX($X$5:$AM$77, MATCH(I$100,_xlfn.ANCHORARRAY( $W$5), 0), 0),
        $F$5:$U$20
    ),
    TRANSPOSE(
        INDEX($X$5:$AM$77, MATCH($A120,_xlfn.ANCHORARRAY( $W$5), 0), 0)
    )
)
/
(
    INDEX($AN$5:$AN$77, MATCH(I$100,_xlfn.ANCHORARRAY( $W$5), 0))
    *
    INDEX($AN$5:$AN$77, MATCH($A120,_xlfn.ANCHORARRAY( $W$5), 0))
)</f>
        <v>0.7807964755337673</v>
      </c>
      <c r="J120" s="17" cm="1">
        <f t="array" ref="J120">MMULT(
    MMULT(
        INDEX($X$5:$AM$77, MATCH(J$100,_xlfn.ANCHORARRAY( $W$5), 0), 0),
        $F$5:$U$20
    ),
    TRANSPOSE(
        INDEX($X$5:$AM$77, MATCH($A120,_xlfn.ANCHORARRAY( $W$5), 0), 0)
    )
)
/
(
    INDEX($AN$5:$AN$77, MATCH(J$100,_xlfn.ANCHORARRAY( $W$5), 0))
    *
    INDEX($AN$5:$AN$77, MATCH($A120,_xlfn.ANCHORARRAY( $W$5), 0))
)</f>
        <v>0.94084517568003345</v>
      </c>
      <c r="K120" s="17" cm="1">
        <f t="array" ref="K120">MMULT(
    MMULT(
        INDEX($X$5:$AM$77, MATCH(K$100,_xlfn.ANCHORARRAY( $W$5), 0), 0),
        $F$5:$U$20
    ),
    TRANSPOSE(
        INDEX($X$5:$AM$77, MATCH($A120,_xlfn.ANCHORARRAY( $W$5), 0), 0)
    )
)
/
(
    INDEX($AN$5:$AN$77, MATCH(K$100,_xlfn.ANCHORARRAY( $W$5), 0))
    *
    INDEX($AN$5:$AN$77, MATCH($A120,_xlfn.ANCHORARRAY( $W$5), 0))
)</f>
        <v>0.86461493061963457</v>
      </c>
      <c r="L120" s="17" cm="1">
        <f t="array" ref="L120">MMULT(
    MMULT(
        INDEX($X$5:$AM$77, MATCH(L$100,_xlfn.ANCHORARRAY( $W$5), 0), 0),
        $F$5:$U$20
    ),
    TRANSPOSE(
        INDEX($X$5:$AM$77, MATCH($A120,_xlfn.ANCHORARRAY( $W$5), 0), 0)
    )
)
/
(
    INDEX($AN$5:$AN$77, MATCH(L$100,_xlfn.ANCHORARRAY( $W$5), 0))
    *
    INDEX($AN$5:$AN$77, MATCH($A120,_xlfn.ANCHORARRAY( $W$5), 0))
)</f>
        <v>0.67640655975030906</v>
      </c>
      <c r="M120" s="17" cm="1">
        <f t="array" ref="M120">MMULT(
    MMULT(
        INDEX($X$5:$AM$77, MATCH(M$100,_xlfn.ANCHORARRAY( $W$5), 0), 0),
        $F$5:$U$20
    ),
    TRANSPOSE(
        INDEX($X$5:$AM$77, MATCH($A120,_xlfn.ANCHORARRAY( $W$5), 0), 0)
    )
)
/
(
    INDEX($AN$5:$AN$77, MATCH(M$100,_xlfn.ANCHORARRAY( $W$5), 0))
    *
    INDEX($AN$5:$AN$77, MATCH($A120,_xlfn.ANCHORARRAY( $W$5), 0))
)</f>
        <v>0.83385817178090194</v>
      </c>
      <c r="N120" s="17" cm="1">
        <f t="array" ref="N120">MMULT(
    MMULT(
        INDEX($X$5:$AM$77, MATCH(N$100,_xlfn.ANCHORARRAY( $W$5), 0), 0),
        $F$5:$U$20
    ),
    TRANSPOSE(
        INDEX($X$5:$AM$77, MATCH($A120,_xlfn.ANCHORARRAY( $W$5), 0), 0)
    )
)
/
(
    INDEX($AN$5:$AN$77, MATCH(N$100,_xlfn.ANCHORARRAY( $W$5), 0))
    *
    INDEX($AN$5:$AN$77, MATCH($A120,_xlfn.ANCHORARRAY( $W$5), 0))
)</f>
        <v>0.899841288575425</v>
      </c>
      <c r="O120" s="17" cm="1">
        <f t="array" ref="O120">MMULT(
    MMULT(
        INDEX($X$5:$AM$77, MATCH(O$100,_xlfn.ANCHORARRAY( $W$5), 0), 0),
        $F$5:$U$20
    ),
    TRANSPOSE(
        INDEX($X$5:$AM$77, MATCH($A120,_xlfn.ANCHORARRAY( $W$5), 0), 0)
    )
)
/
(
    INDEX($AN$5:$AN$77, MATCH(O$100,_xlfn.ANCHORARRAY( $W$5), 0))
    *
    INDEX($AN$5:$AN$77, MATCH($A120,_xlfn.ANCHORARRAY( $W$5), 0))
)</f>
        <v>0.87180910922255106</v>
      </c>
      <c r="P120" s="17" cm="1">
        <f t="array" ref="P120">MMULT(
    MMULT(
        INDEX($X$5:$AM$77, MATCH(P$100,_xlfn.ANCHORARRAY( $W$5), 0), 0),
        $F$5:$U$20
    ),
    TRANSPOSE(
        INDEX($X$5:$AM$77, MATCH($A120,_xlfn.ANCHORARRAY( $W$5), 0), 0)
    )
)
/
(
    INDEX($AN$5:$AN$77, MATCH(P$100,_xlfn.ANCHORARRAY( $W$5), 0))
    *
    INDEX($AN$5:$AN$77, MATCH($A120,_xlfn.ANCHORARRAY( $W$5), 0))
)</f>
        <v>0.96492549022452123</v>
      </c>
      <c r="Q120" s="17" cm="1">
        <f t="array" ref="Q120">MMULT(
    MMULT(
        INDEX($X$5:$AM$77, MATCH(Q$100,_xlfn.ANCHORARRAY( $W$5), 0), 0),
        $F$5:$U$20
    ),
    TRANSPOSE(
        INDEX($X$5:$AM$77, MATCH($A120,_xlfn.ANCHORARRAY( $W$5), 0), 0)
    )
)
/
(
    INDEX($AN$5:$AN$77, MATCH(Q$100,_xlfn.ANCHORARRAY( $W$5), 0))
    *
    INDEX($AN$5:$AN$77, MATCH($A120,_xlfn.ANCHORARRAY( $W$5), 0))
)</f>
        <v>0.76464331818807407</v>
      </c>
      <c r="R120" s="17" cm="1">
        <f t="array" ref="R120">MMULT(
    MMULT(
        INDEX($X$5:$AM$77, MATCH(R$100,_xlfn.ANCHORARRAY( $W$5), 0), 0),
        $F$5:$U$20
    ),
    TRANSPOSE(
        INDEX($X$5:$AM$77, MATCH($A120,_xlfn.ANCHORARRAY( $W$5), 0), 0)
    )
)
/
(
    INDEX($AN$5:$AN$77, MATCH(R$100,_xlfn.ANCHORARRAY( $W$5), 0))
    *
    INDEX($AN$5:$AN$77, MATCH($A120,_xlfn.ANCHORARRAY( $W$5), 0))
)</f>
        <v>0.97480348432104857</v>
      </c>
      <c r="S120" s="17" cm="1">
        <f t="array" ref="S120">MMULT(
    MMULT(
        INDEX($X$5:$AM$77, MATCH(S$100,_xlfn.ANCHORARRAY( $W$5), 0), 0),
        $F$5:$U$20
    ),
    TRANSPOSE(
        INDEX($X$5:$AM$77, MATCH($A120,_xlfn.ANCHORARRAY( $W$5), 0), 0)
    )
)
/
(
    INDEX($AN$5:$AN$77, MATCH(S$100,_xlfn.ANCHORARRAY( $W$5), 0))
    *
    INDEX($AN$5:$AN$77, MATCH($A120,_xlfn.ANCHORARRAY( $W$5), 0))
)</f>
        <v>0.91411575659663591</v>
      </c>
      <c r="T120" s="17" cm="1">
        <f t="array" ref="T120">MMULT(
    MMULT(
        INDEX($X$5:$AM$77, MATCH(T$100,_xlfn.ANCHORARRAY( $W$5), 0), 0),
        $F$5:$U$20
    ),
    TRANSPOSE(
        INDEX($X$5:$AM$77, MATCH($A120,_xlfn.ANCHORARRAY( $W$5), 0), 0)
    )
)
/
(
    INDEX($AN$5:$AN$77, MATCH(T$100,_xlfn.ANCHORARRAY( $W$5), 0))
    *
    INDEX($AN$5:$AN$77, MATCH($A120,_xlfn.ANCHORARRAY( $W$5), 0))
)</f>
        <v>0.47358251728730028</v>
      </c>
      <c r="U120" s="17" cm="1">
        <f t="array" ref="U120">MMULT(
    MMULT(
        INDEX($X$5:$AM$77, MATCH(U$100,_xlfn.ANCHORARRAY( $W$5), 0), 0),
        $F$5:$U$20
    ),
    TRANSPOSE(
        INDEX($X$5:$AM$77, MATCH($A120,_xlfn.ANCHORARRAY( $W$5), 0), 0)
    )
)
/
(
    INDEX($AN$5:$AN$77, MATCH(U$100,_xlfn.ANCHORARRAY( $W$5), 0))
    *
    INDEX($AN$5:$AN$77, MATCH($A120,_xlfn.ANCHORARRAY( $W$5), 0))
)</f>
        <v>1</v>
      </c>
      <c r="V120" s="17" cm="1">
        <f t="array" ref="V120">MMULT(
    MMULT(
        INDEX($X$5:$AM$77, MATCH(V$100,_xlfn.ANCHORARRAY( $W$5), 0), 0),
        $F$5:$U$20
    ),
    TRANSPOSE(
        INDEX($X$5:$AM$77, MATCH($A120,_xlfn.ANCHORARRAY( $W$5), 0), 0)
    )
)
/
(
    INDEX($AN$5:$AN$77, MATCH(V$100,_xlfn.ANCHORARRAY( $W$5), 0))
    *
    INDEX($AN$5:$AN$77, MATCH($A120,_xlfn.ANCHORARRAY( $W$5), 0))
)</f>
        <v>0.58399028485535731</v>
      </c>
      <c r="W120" s="17" cm="1">
        <f t="array" ref="W120">MMULT(
    MMULT(
        INDEX($X$5:$AM$77, MATCH(W$100,_xlfn.ANCHORARRAY( $W$5), 0), 0),
        $F$5:$U$20
    ),
    TRANSPOSE(
        INDEX($X$5:$AM$77, MATCH($A120,_xlfn.ANCHORARRAY( $W$5), 0), 0)
    )
)
/
(
    INDEX($AN$5:$AN$77, MATCH(W$100,_xlfn.ANCHORARRAY( $W$5), 0))
    *
    INDEX($AN$5:$AN$77, MATCH($A120,_xlfn.ANCHORARRAY( $W$5), 0))
)</f>
        <v>0.67948240130748994</v>
      </c>
      <c r="X120" s="17" cm="1">
        <f t="array" ref="X120">MMULT(
    MMULT(
        INDEX($X$5:$AM$77, MATCH(X$100,_xlfn.ANCHORARRAY( $W$5), 0), 0),
        $F$5:$U$20
    ),
    TRANSPOSE(
        INDEX($X$5:$AM$77, MATCH($A120,_xlfn.ANCHORARRAY( $W$5), 0), 0)
    )
)
/
(
    INDEX($AN$5:$AN$77, MATCH(X$100,_xlfn.ANCHORARRAY( $W$5), 0))
    *
    INDEX($AN$5:$AN$77, MATCH($A120,_xlfn.ANCHORARRAY( $W$5), 0))
)</f>
        <v>0.93670155309581993</v>
      </c>
      <c r="Y120" s="17" cm="1">
        <f t="array" ref="Y120">MMULT(
    MMULT(
        INDEX($X$5:$AM$77, MATCH(Y$100,_xlfn.ANCHORARRAY( $W$5), 0), 0),
        $F$5:$U$20
    ),
    TRANSPOSE(
        INDEX($X$5:$AM$77, MATCH($A120,_xlfn.ANCHORARRAY( $W$5), 0), 0)
    )
)
/
(
    INDEX($AN$5:$AN$77, MATCH(Y$100,_xlfn.ANCHORARRAY( $W$5), 0))
    *
    INDEX($AN$5:$AN$77, MATCH($A120,_xlfn.ANCHORARRAY( $W$5), 0))
)</f>
        <v>0.72284360818856785</v>
      </c>
      <c r="Z120" s="17" cm="1">
        <f t="array" ref="Z120">MMULT(
    MMULT(
        INDEX($X$5:$AM$77, MATCH(Z$100,_xlfn.ANCHORARRAY( $W$5), 0), 0),
        $F$5:$U$20
    ),
    TRANSPOSE(
        INDEX($X$5:$AM$77, MATCH($A120,_xlfn.ANCHORARRAY( $W$5), 0), 0)
    )
)
/
(
    INDEX($AN$5:$AN$77, MATCH(Z$100,_xlfn.ANCHORARRAY( $W$5), 0))
    *
    INDEX($AN$5:$AN$77, MATCH($A120,_xlfn.ANCHORARRAY( $W$5), 0))
)</f>
        <v>0.9706981388051279</v>
      </c>
      <c r="AA120" s="17" cm="1">
        <f t="array" ref="AA120">MMULT(
    MMULT(
        INDEX($X$5:$AM$77, MATCH(AA$100,_xlfn.ANCHORARRAY( $W$5), 0), 0),
        $F$5:$U$20
    ),
    TRANSPOSE(
        INDEX($X$5:$AM$77, MATCH($A120,_xlfn.ANCHORARRAY( $W$5), 0), 0)
    )
)
/
(
    INDEX($AN$5:$AN$77, MATCH(AA$100,_xlfn.ANCHORARRAY( $W$5), 0))
    *
    INDEX($AN$5:$AN$77, MATCH($A120,_xlfn.ANCHORARRAY( $W$5), 0))
)</f>
        <v>0.9611210578845184</v>
      </c>
      <c r="AB120" s="17" cm="1">
        <f t="array" ref="AB120">MMULT(
    MMULT(
        INDEX($X$5:$AM$77, MATCH(AB$100,_xlfn.ANCHORARRAY( $W$5), 0), 0),
        $F$5:$U$20
    ),
    TRANSPOSE(
        INDEX($X$5:$AM$77, MATCH($A120,_xlfn.ANCHORARRAY( $W$5), 0), 0)
    )
)
/
(
    INDEX($AN$5:$AN$77, MATCH(AB$100,_xlfn.ANCHORARRAY( $W$5), 0))
    *
    INDEX($AN$5:$AN$77, MATCH($A120,_xlfn.ANCHORARRAY( $W$5), 0))
)</f>
        <v>0.93827549196858584</v>
      </c>
      <c r="AC120" s="17" cm="1">
        <f t="array" ref="AC120">MMULT(
    MMULT(
        INDEX($X$5:$AM$77, MATCH(AC$100,_xlfn.ANCHORARRAY( $W$5), 0), 0),
        $F$5:$U$20
    ),
    TRANSPOSE(
        INDEX($X$5:$AM$77, MATCH($A120,_xlfn.ANCHORARRAY( $W$5), 0), 0)
    )
)
/
(
    INDEX($AN$5:$AN$77, MATCH(AC$100,_xlfn.ANCHORARRAY( $W$5), 0))
    *
    INDEX($AN$5:$AN$77, MATCH($A120,_xlfn.ANCHORARRAY( $W$5), 0))
)</f>
        <v>0.79136153889120897</v>
      </c>
      <c r="AD120" s="17" cm="1">
        <f t="array" ref="AD120">MMULT(
    MMULT(
        INDEX($X$5:$AM$77, MATCH(AD$100,_xlfn.ANCHORARRAY( $W$5), 0), 0),
        $F$5:$U$20
    ),
    TRANSPOSE(
        INDEX($X$5:$AM$77, MATCH($A120,_xlfn.ANCHORARRAY( $W$5), 0), 0)
    )
)
/
(
    INDEX($AN$5:$AN$77, MATCH(AD$100,_xlfn.ANCHORARRAY( $W$5), 0))
    *
    INDEX($AN$5:$AN$77, MATCH($A120,_xlfn.ANCHORARRAY( $W$5), 0))
)</f>
        <v>0.97904375872022764</v>
      </c>
      <c r="AE120" s="17" cm="1">
        <f t="array" ref="AE120">MMULT(
    MMULT(
        INDEX($X$5:$AM$77, MATCH(AE$100,_xlfn.ANCHORARRAY( $W$5), 0), 0),
        $F$5:$U$20
    ),
    TRANSPOSE(
        INDEX($X$5:$AM$77, MATCH($A120,_xlfn.ANCHORARRAY( $W$5), 0), 0)
    )
)
/
(
    INDEX($AN$5:$AN$77, MATCH(AE$100,_xlfn.ANCHORARRAY( $W$5), 0))
    *
    INDEX($AN$5:$AN$77, MATCH($A120,_xlfn.ANCHORARRAY( $W$5), 0))
)</f>
        <v>0.89070576028488935</v>
      </c>
      <c r="AF120" s="17" cm="1">
        <f t="array" ref="AF120">MMULT(
    MMULT(
        INDEX($X$5:$AM$77, MATCH(AF$100,_xlfn.ANCHORARRAY( $W$5), 0), 0),
        $F$5:$U$20
    ),
    TRANSPOSE(
        INDEX($X$5:$AM$77, MATCH($A120,_xlfn.ANCHORARRAY( $W$5), 0), 0)
    )
)
/
(
    INDEX($AN$5:$AN$77, MATCH(AF$100,_xlfn.ANCHORARRAY( $W$5), 0))
    *
    INDEX($AN$5:$AN$77, MATCH($A120,_xlfn.ANCHORARRAY( $W$5), 0))
)</f>
        <v>0.85311963672643476</v>
      </c>
      <c r="AG120" s="17" cm="1">
        <f t="array" ref="AG120">MMULT(
    MMULT(
        INDEX($X$5:$AM$77, MATCH(AG$100,_xlfn.ANCHORARRAY( $W$5), 0), 0),
        $F$5:$U$20
    ),
    TRANSPOSE(
        INDEX($X$5:$AM$77, MATCH($A120,_xlfn.ANCHORARRAY( $W$5), 0), 0)
    )
)
/
(
    INDEX($AN$5:$AN$77, MATCH(AG$100,_xlfn.ANCHORARRAY( $W$5), 0))
    *
    INDEX($AN$5:$AN$77, MATCH($A120,_xlfn.ANCHORARRAY( $W$5), 0))
)</f>
        <v>0.87756294820343006</v>
      </c>
      <c r="AH120" s="17" cm="1">
        <f t="array" ref="AH120">MMULT(
    MMULT(
        INDEX($X$5:$AM$77, MATCH(AH$100,_xlfn.ANCHORARRAY( $W$5), 0), 0),
        $F$5:$U$20
    ),
    TRANSPOSE(
        INDEX($X$5:$AM$77, MATCH($A120,_xlfn.ANCHORARRAY( $W$5), 0), 0)
    )
)
/
(
    INDEX($AN$5:$AN$77, MATCH(AH$100,_xlfn.ANCHORARRAY( $W$5), 0))
    *
    INDEX($AN$5:$AN$77, MATCH($A120,_xlfn.ANCHORARRAY( $W$5), 0))
)</f>
        <v>0.69506434354097668</v>
      </c>
      <c r="AI120" s="17" cm="1">
        <f t="array" ref="AI120">MMULT(
    MMULT(
        INDEX($X$5:$AM$77, MATCH(AI$100,_xlfn.ANCHORARRAY( $W$5), 0), 0),
        $F$5:$U$20
    ),
    TRANSPOSE(
        INDEX($X$5:$AM$77, MATCH($A120,_xlfn.ANCHORARRAY( $W$5), 0), 0)
    )
)
/
(
    INDEX($AN$5:$AN$77, MATCH(AI$100,_xlfn.ANCHORARRAY( $W$5), 0))
    *
    INDEX($AN$5:$AN$77, MATCH($A120,_xlfn.ANCHORARRAY( $W$5), 0))
)</f>
        <v>0.91179001979340124</v>
      </c>
      <c r="AJ120" s="17" cm="1">
        <f t="array" ref="AJ120">MMULT(
    MMULT(
        INDEX($X$5:$AM$77, MATCH(AJ$100,_xlfn.ANCHORARRAY( $W$5), 0), 0),
        $F$5:$U$20
    ),
    TRANSPOSE(
        INDEX($X$5:$AM$77, MATCH($A120,_xlfn.ANCHORARRAY( $W$5), 0), 0)
    )
)
/
(
    INDEX($AN$5:$AN$77, MATCH(AJ$100,_xlfn.ANCHORARRAY( $W$5), 0))
    *
    INDEX($AN$5:$AN$77, MATCH($A120,_xlfn.ANCHORARRAY( $W$5), 0))
)</f>
        <v>0.96959193630916529</v>
      </c>
      <c r="AK120" s="17" cm="1">
        <f t="array" ref="AK120">MMULT(
    MMULT(
        INDEX($X$5:$AM$77, MATCH(AK$100,_xlfn.ANCHORARRAY( $W$5), 0), 0),
        $F$5:$U$20
    ),
    TRANSPOSE(
        INDEX($X$5:$AM$77, MATCH($A120,_xlfn.ANCHORARRAY( $W$5), 0), 0)
    )
)
/
(
    INDEX($AN$5:$AN$77, MATCH(AK$100,_xlfn.ANCHORARRAY( $W$5), 0))
    *
    INDEX($AN$5:$AN$77, MATCH($A120,_xlfn.ANCHORARRAY( $W$5), 0))
)</f>
        <v>0.87849821456146726</v>
      </c>
      <c r="AL120" s="17" cm="1">
        <f t="array" ref="AL120">MMULT(
    MMULT(
        INDEX($X$5:$AM$77, MATCH(AL$100,_xlfn.ANCHORARRAY( $W$5), 0), 0),
        $F$5:$U$20
    ),
    TRANSPOSE(
        INDEX($X$5:$AM$77, MATCH($A120,_xlfn.ANCHORARRAY( $W$5), 0), 0)
    )
)
/
(
    INDEX($AN$5:$AN$77, MATCH(AL$100,_xlfn.ANCHORARRAY( $W$5), 0))
    *
    INDEX($AN$5:$AN$77, MATCH($A120,_xlfn.ANCHORARRAY( $W$5), 0))
)</f>
        <v>0.90442390322225463</v>
      </c>
      <c r="AM120" s="17" cm="1">
        <f t="array" ref="AM120">MMULT(
    MMULT(
        INDEX($X$5:$AM$77, MATCH(AM$100,_xlfn.ANCHORARRAY( $W$5), 0), 0),
        $F$5:$U$20
    ),
    TRANSPOSE(
        INDEX($X$5:$AM$77, MATCH($A120,_xlfn.ANCHORARRAY( $W$5), 0), 0)
    )
)
/
(
    INDEX($AN$5:$AN$77, MATCH(AM$100,_xlfn.ANCHORARRAY( $W$5), 0))
    *
    INDEX($AN$5:$AN$77, MATCH($A120,_xlfn.ANCHORARRAY( $W$5), 0))
)</f>
        <v>0.73538790863466608</v>
      </c>
      <c r="AN120" s="17" cm="1">
        <f t="array" ref="AN120">MMULT(
    MMULT(
        INDEX($X$5:$AM$77, MATCH(AN$100,_xlfn.ANCHORARRAY( $W$5), 0), 0),
        $F$5:$U$20
    ),
    TRANSPOSE(
        INDEX($X$5:$AM$77, MATCH($A120,_xlfn.ANCHORARRAY( $W$5), 0), 0)
    )
)
/
(
    INDEX($AN$5:$AN$77, MATCH(AN$100,_xlfn.ANCHORARRAY( $W$5), 0))
    *
    INDEX($AN$5:$AN$77, MATCH($A120,_xlfn.ANCHORARRAY( $W$5), 0))
)</f>
        <v>0.78163642407671985</v>
      </c>
      <c r="AO120" s="17" cm="1">
        <f t="array" ref="AO120">MMULT(
    MMULT(
        INDEX($X$5:$AM$77, MATCH(AO$100,_xlfn.ANCHORARRAY( $W$5), 0), 0),
        $F$5:$U$20
    ),
    TRANSPOSE(
        INDEX($X$5:$AM$77, MATCH($A120,_xlfn.ANCHORARRAY( $W$5), 0), 0)
    )
)
/
(
    INDEX($AN$5:$AN$77, MATCH(AO$100,_xlfn.ANCHORARRAY( $W$5), 0))
    *
    INDEX($AN$5:$AN$77, MATCH($A120,_xlfn.ANCHORARRAY( $W$5), 0))
)</f>
        <v>0.70808306950510091</v>
      </c>
      <c r="AP120" s="17" cm="1">
        <f t="array" ref="AP120">MMULT(
    MMULT(
        INDEX($X$5:$AM$77, MATCH(AP$100,_xlfn.ANCHORARRAY( $W$5), 0), 0),
        $F$5:$U$20
    ),
    TRANSPOSE(
        INDEX($X$5:$AM$77, MATCH($A120,_xlfn.ANCHORARRAY( $W$5), 0), 0)
    )
)
/
(
    INDEX($AN$5:$AN$77, MATCH(AP$100,_xlfn.ANCHORARRAY( $W$5), 0))
    *
    INDEX($AN$5:$AN$77, MATCH($A120,_xlfn.ANCHORARRAY( $W$5), 0))
)</f>
        <v>0.69863800201160853</v>
      </c>
      <c r="AQ120" s="17" cm="1">
        <f t="array" ref="AQ120">MMULT(
    MMULT(
        INDEX($X$5:$AM$77, MATCH(AQ$100,_xlfn.ANCHORARRAY( $W$5), 0), 0),
        $F$5:$U$20
    ),
    TRANSPOSE(
        INDEX($X$5:$AM$77, MATCH($A120,_xlfn.ANCHORARRAY( $W$5), 0), 0)
    )
)
/
(
    INDEX($AN$5:$AN$77, MATCH(AQ$100,_xlfn.ANCHORARRAY( $W$5), 0))
    *
    INDEX($AN$5:$AN$77, MATCH($A120,_xlfn.ANCHORARRAY( $W$5), 0))
)</f>
        <v>0.85117406696622799</v>
      </c>
      <c r="AR120" s="17" cm="1">
        <f t="array" ref="AR120">MMULT(
    MMULT(
        INDEX($X$5:$AM$77, MATCH(AR$100,_xlfn.ANCHORARRAY( $W$5), 0), 0),
        $F$5:$U$20
    ),
    TRANSPOSE(
        INDEX($X$5:$AM$77, MATCH($A120,_xlfn.ANCHORARRAY( $W$5), 0), 0)
    )
)
/
(
    INDEX($AN$5:$AN$77, MATCH(AR$100,_xlfn.ANCHORARRAY( $W$5), 0))
    *
    INDEX($AN$5:$AN$77, MATCH($A120,_xlfn.ANCHORARRAY( $W$5), 0))
)</f>
        <v>0.97440564313335731</v>
      </c>
      <c r="AS120" s="17" cm="1">
        <f t="array" ref="AS120">MMULT(
    MMULT(
        INDEX($X$5:$AM$77, MATCH(AS$100,_xlfn.ANCHORARRAY( $W$5), 0), 0),
        $F$5:$U$20
    ),
    TRANSPOSE(
        INDEX($X$5:$AM$77, MATCH($A120,_xlfn.ANCHORARRAY( $W$5), 0), 0)
    )
)
/
(
    INDEX($AN$5:$AN$77, MATCH(AS$100,_xlfn.ANCHORARRAY( $W$5), 0))
    *
    INDEX($AN$5:$AN$77, MATCH($A120,_xlfn.ANCHORARRAY( $W$5), 0))
)</f>
        <v>0.91822892724590655</v>
      </c>
      <c r="AT120" s="17" cm="1">
        <f t="array" ref="AT120">MMULT(
    MMULT(
        INDEX($X$5:$AM$77, MATCH(AT$100,_xlfn.ANCHORARRAY( $W$5), 0), 0),
        $F$5:$U$20
    ),
    TRANSPOSE(
        INDEX($X$5:$AM$77, MATCH($A120,_xlfn.ANCHORARRAY( $W$5), 0), 0)
    )
)
/
(
    INDEX($AN$5:$AN$77, MATCH(AT$100,_xlfn.ANCHORARRAY( $W$5), 0))
    *
    INDEX($AN$5:$AN$77, MATCH($A120,_xlfn.ANCHORARRAY( $W$5), 0))
)</f>
        <v>0.80619041483116605</v>
      </c>
      <c r="AU120" s="17" cm="1">
        <f t="array" ref="AU120">MMULT(
    MMULT(
        INDEX($X$5:$AM$77, MATCH(AU$100,_xlfn.ANCHORARRAY( $W$5), 0), 0),
        $F$5:$U$20
    ),
    TRANSPOSE(
        INDEX($X$5:$AM$77, MATCH($A120,_xlfn.ANCHORARRAY( $W$5), 0), 0)
    )
)
/
(
    INDEX($AN$5:$AN$77, MATCH(AU$100,_xlfn.ANCHORARRAY( $W$5), 0))
    *
    INDEX($AN$5:$AN$77, MATCH($A120,_xlfn.ANCHORARRAY( $W$5), 0))
)</f>
        <v>0.94175047319459282</v>
      </c>
      <c r="AV120" s="17" cm="1">
        <f t="array" ref="AV120">MMULT(
    MMULT(
        INDEX($X$5:$AM$77, MATCH(AV$100,_xlfn.ANCHORARRAY( $W$5), 0), 0),
        $F$5:$U$20
    ),
    TRANSPOSE(
        INDEX($X$5:$AM$77, MATCH($A120,_xlfn.ANCHORARRAY( $W$5), 0), 0)
    )
)
/
(
    INDEX($AN$5:$AN$77, MATCH(AV$100,_xlfn.ANCHORARRAY( $W$5), 0))
    *
    INDEX($AN$5:$AN$77, MATCH($A120,_xlfn.ANCHORARRAY( $W$5), 0))
)</f>
        <v>0.95041066908170879</v>
      </c>
      <c r="AW120" s="17" cm="1">
        <f t="array" ref="AW120">MMULT(
    MMULT(
        INDEX($X$5:$AM$77, MATCH(AW$100,_xlfn.ANCHORARRAY( $W$5), 0), 0),
        $F$5:$U$20
    ),
    TRANSPOSE(
        INDEX($X$5:$AM$77, MATCH($A120,_xlfn.ANCHORARRAY( $W$5), 0), 0)
    )
)
/
(
    INDEX($AN$5:$AN$77, MATCH(AW$100,_xlfn.ANCHORARRAY( $W$5), 0))
    *
    INDEX($AN$5:$AN$77, MATCH($A120,_xlfn.ANCHORARRAY( $W$5), 0))
)</f>
        <v>0.74558022719990791</v>
      </c>
      <c r="AX120" s="17" cm="1">
        <f t="array" ref="AX120">MMULT(
    MMULT(
        INDEX($X$5:$AM$77, MATCH(AX$100,_xlfn.ANCHORARRAY( $W$5), 0), 0),
        $F$5:$U$20
    ),
    TRANSPOSE(
        INDEX($X$5:$AM$77, MATCH($A120,_xlfn.ANCHORARRAY( $W$5), 0), 0)
    )
)
/
(
    INDEX($AN$5:$AN$77, MATCH(AX$100,_xlfn.ANCHORARRAY( $W$5), 0))
    *
    INDEX($AN$5:$AN$77, MATCH($A120,_xlfn.ANCHORARRAY( $W$5), 0))
)</f>
        <v>0.59598720067983391</v>
      </c>
      <c r="AY120" s="17" cm="1">
        <f t="array" ref="AY120">MMULT(
    MMULT(
        INDEX($X$5:$AM$77, MATCH(AY$100,_xlfn.ANCHORARRAY( $W$5), 0), 0),
        $F$5:$U$20
    ),
    TRANSPOSE(
        INDEX($X$5:$AM$77, MATCH($A120,_xlfn.ANCHORARRAY( $W$5), 0), 0)
    )
)
/
(
    INDEX($AN$5:$AN$77, MATCH(AY$100,_xlfn.ANCHORARRAY( $W$5), 0))
    *
    INDEX($AN$5:$AN$77, MATCH($A120,_xlfn.ANCHORARRAY( $W$5), 0))
)</f>
        <v>0.64589490636365754</v>
      </c>
      <c r="AZ120" s="17" cm="1">
        <f t="array" ref="AZ120">MMULT(
    MMULT(
        INDEX($X$5:$AM$77, MATCH(AZ$100,_xlfn.ANCHORARRAY( $W$5), 0), 0),
        $F$5:$U$20
    ),
    TRANSPOSE(
        INDEX($X$5:$AM$77, MATCH($A120,_xlfn.ANCHORARRAY( $W$5), 0), 0)
    )
)
/
(
    INDEX($AN$5:$AN$77, MATCH(AZ$100,_xlfn.ANCHORARRAY( $W$5), 0))
    *
    INDEX($AN$5:$AN$77, MATCH($A120,_xlfn.ANCHORARRAY( $W$5), 0))
)</f>
        <v>0.97002404632632178</v>
      </c>
      <c r="BA120" s="17" cm="1">
        <f t="array" ref="BA120">MMULT(
    MMULT(
        INDEX($X$5:$AM$77, MATCH(BA$100,_xlfn.ANCHORARRAY( $W$5), 0), 0),
        $F$5:$U$20
    ),
    TRANSPOSE(
        INDEX($X$5:$AM$77, MATCH($A120,_xlfn.ANCHORARRAY( $W$5), 0), 0)
    )
)
/
(
    INDEX($AN$5:$AN$77, MATCH(BA$100,_xlfn.ANCHORARRAY( $W$5), 0))
    *
    INDEX($AN$5:$AN$77, MATCH($A120,_xlfn.ANCHORARRAY( $W$5), 0))
)</f>
        <v>0.98825041263676416</v>
      </c>
      <c r="BB120" s="17" cm="1">
        <f t="array" ref="BB120">MMULT(
    MMULT(
        INDEX($X$5:$AM$77, MATCH(BB$100,_xlfn.ANCHORARRAY( $W$5), 0), 0),
        $F$5:$U$20
    ),
    TRANSPOSE(
        INDEX($X$5:$AM$77, MATCH($A120,_xlfn.ANCHORARRAY( $W$5), 0), 0)
    )
)
/
(
    INDEX($AN$5:$AN$77, MATCH(BB$100,_xlfn.ANCHORARRAY( $W$5), 0))
    *
    INDEX($AN$5:$AN$77, MATCH($A120,_xlfn.ANCHORARRAY( $W$5), 0))
)</f>
        <v>0.76228309047128362</v>
      </c>
      <c r="BC120" s="17" cm="1">
        <f t="array" ref="BC120">MMULT(
    MMULT(
        INDEX($X$5:$AM$77, MATCH(BC$100,_xlfn.ANCHORARRAY( $W$5), 0), 0),
        $F$5:$U$20
    ),
    TRANSPOSE(
        INDEX($X$5:$AM$77, MATCH($A120,_xlfn.ANCHORARRAY( $W$5), 0), 0)
    )
)
/
(
    INDEX($AN$5:$AN$77, MATCH(BC$100,_xlfn.ANCHORARRAY( $W$5), 0))
    *
    INDEX($AN$5:$AN$77, MATCH($A120,_xlfn.ANCHORARRAY( $W$5), 0))
)</f>
        <v>0.83490635551664005</v>
      </c>
      <c r="BD120" s="17" cm="1">
        <f t="array" ref="BD120">MMULT(
    MMULT(
        INDEX($X$5:$AM$77, MATCH(BD$100,_xlfn.ANCHORARRAY( $W$5), 0), 0),
        $F$5:$U$20
    ),
    TRANSPOSE(
        INDEX($X$5:$AM$77, MATCH($A120,_xlfn.ANCHORARRAY( $W$5), 0), 0)
    )
)
/
(
    INDEX($AN$5:$AN$77, MATCH(BD$100,_xlfn.ANCHORARRAY( $W$5), 0))
    *
    INDEX($AN$5:$AN$77, MATCH($A120,_xlfn.ANCHORARRAY( $W$5), 0))
)</f>
        <v>0.72545976119023925</v>
      </c>
      <c r="BE120" s="17" cm="1">
        <f t="array" ref="BE120">MMULT(
    MMULT(
        INDEX($X$5:$AM$77, MATCH(BE$100,_xlfn.ANCHORARRAY( $W$5), 0), 0),
        $F$5:$U$20
    ),
    TRANSPOSE(
        INDEX($X$5:$AM$77, MATCH($A120,_xlfn.ANCHORARRAY( $W$5), 0), 0)
    )
)
/
(
    INDEX($AN$5:$AN$77, MATCH(BE$100,_xlfn.ANCHORARRAY( $W$5), 0))
    *
    INDEX($AN$5:$AN$77, MATCH($A120,_xlfn.ANCHORARRAY( $W$5), 0))
)</f>
        <v>0.72552262906089737</v>
      </c>
      <c r="BF120" s="17" cm="1">
        <f t="array" ref="BF120">MMULT(
    MMULT(
        INDEX($X$5:$AM$77, MATCH(BF$100,_xlfn.ANCHORARRAY( $W$5), 0), 0),
        $F$5:$U$20
    ),
    TRANSPOSE(
        INDEX($X$5:$AM$77, MATCH($A120,_xlfn.ANCHORARRAY( $W$5), 0), 0)
    )
)
/
(
    INDEX($AN$5:$AN$77, MATCH(BF$100,_xlfn.ANCHORARRAY( $W$5), 0))
    *
    INDEX($AN$5:$AN$77, MATCH($A120,_xlfn.ANCHORARRAY( $W$5), 0))
)</f>
        <v>0.95859868457564978</v>
      </c>
      <c r="BG120" s="17" cm="1">
        <f t="array" ref="BG120">MMULT(
    MMULT(
        INDEX($X$5:$AM$77, MATCH(BG$100,_xlfn.ANCHORARRAY( $W$5), 0), 0),
        $F$5:$U$20
    ),
    TRANSPOSE(
        INDEX($X$5:$AM$77, MATCH($A120,_xlfn.ANCHORARRAY( $W$5), 0), 0)
    )
)
/
(
    INDEX($AN$5:$AN$77, MATCH(BG$100,_xlfn.ANCHORARRAY( $W$5), 0))
    *
    INDEX($AN$5:$AN$77, MATCH($A120,_xlfn.ANCHORARRAY( $W$5), 0))
)</f>
        <v>0.95543997747189158</v>
      </c>
      <c r="BH120" s="17" cm="1">
        <f t="array" ref="BH120">MMULT(
    MMULT(
        INDEX($X$5:$AM$77, MATCH(BH$100,_xlfn.ANCHORARRAY( $W$5), 0), 0),
        $F$5:$U$20
    ),
    TRANSPOSE(
        INDEX($X$5:$AM$77, MATCH($A120,_xlfn.ANCHORARRAY( $W$5), 0), 0)
    )
)
/
(
    INDEX($AN$5:$AN$77, MATCH(BH$100,_xlfn.ANCHORARRAY( $W$5), 0))
    *
    INDEX($AN$5:$AN$77, MATCH($A120,_xlfn.ANCHORARRAY( $W$5), 0))
)</f>
        <v>0.83754471504389572</v>
      </c>
      <c r="BI120" s="17" cm="1">
        <f t="array" ref="BI120">MMULT(
    MMULT(
        INDEX($X$5:$AM$77, MATCH(BI$100,_xlfn.ANCHORARRAY( $W$5), 0), 0),
        $F$5:$U$20
    ),
    TRANSPOSE(
        INDEX($X$5:$AM$77, MATCH($A120,_xlfn.ANCHORARRAY( $W$5), 0), 0)
    )
)
/
(
    INDEX($AN$5:$AN$77, MATCH(BI$100,_xlfn.ANCHORARRAY( $W$5), 0))
    *
    INDEX($AN$5:$AN$77, MATCH($A120,_xlfn.ANCHORARRAY( $W$5), 0))
)</f>
        <v>0.60343534571175717</v>
      </c>
      <c r="BJ120" s="17" cm="1">
        <f t="array" ref="BJ120">MMULT(
    MMULT(
        INDEX($X$5:$AM$77, MATCH(BJ$100,_xlfn.ANCHORARRAY( $W$5), 0), 0),
        $F$5:$U$20
    ),
    TRANSPOSE(
        INDEX($X$5:$AM$77, MATCH($A120,_xlfn.ANCHORARRAY( $W$5), 0), 0)
    )
)
/
(
    INDEX($AN$5:$AN$77, MATCH(BJ$100,_xlfn.ANCHORARRAY( $W$5), 0))
    *
    INDEX($AN$5:$AN$77, MATCH($A120,_xlfn.ANCHORARRAY( $W$5), 0))
)</f>
        <v>0.93263914455654873</v>
      </c>
      <c r="BK120" s="17" cm="1">
        <f t="array" ref="BK120">MMULT(
    MMULT(
        INDEX($X$5:$AM$77, MATCH(BK$100,_xlfn.ANCHORARRAY( $W$5), 0), 0),
        $F$5:$U$20
    ),
    TRANSPOSE(
        INDEX($X$5:$AM$77, MATCH($A120,_xlfn.ANCHORARRAY( $W$5), 0), 0)
    )
)
/
(
    INDEX($AN$5:$AN$77, MATCH(BK$100,_xlfn.ANCHORARRAY( $W$5), 0))
    *
    INDEX($AN$5:$AN$77, MATCH($A120,_xlfn.ANCHORARRAY( $W$5), 0))
)</f>
        <v>0.74298329274373509</v>
      </c>
      <c r="BL120" s="17" cm="1">
        <f t="array" ref="BL120">MMULT(
    MMULT(
        INDEX($X$5:$AM$77, MATCH(BL$100,_xlfn.ANCHORARRAY( $W$5), 0), 0),
        $F$5:$U$20
    ),
    TRANSPOSE(
        INDEX($X$5:$AM$77, MATCH($A120,_xlfn.ANCHORARRAY( $W$5), 0), 0)
    )
)
/
(
    INDEX($AN$5:$AN$77, MATCH(BL$100,_xlfn.ANCHORARRAY( $W$5), 0))
    *
    INDEX($AN$5:$AN$77, MATCH($A120,_xlfn.ANCHORARRAY( $W$5), 0))
)</f>
        <v>0.64028095396409201</v>
      </c>
      <c r="BM120" s="17" cm="1">
        <f t="array" ref="BM120">MMULT(
    MMULT(
        INDEX($X$5:$AM$77, MATCH(BM$100,_xlfn.ANCHORARRAY( $W$5), 0), 0),
        $F$5:$U$20
    ),
    TRANSPOSE(
        INDEX($X$5:$AM$77, MATCH($A120,_xlfn.ANCHORARRAY( $W$5), 0), 0)
    )
)
/
(
    INDEX($AN$5:$AN$77, MATCH(BM$100,_xlfn.ANCHORARRAY( $W$5), 0))
    *
    INDEX($AN$5:$AN$77, MATCH($A120,_xlfn.ANCHORARRAY( $W$5), 0))
)</f>
        <v>0.7490670507355397</v>
      </c>
      <c r="BN120" s="17" cm="1">
        <f t="array" ref="BN120">MMULT(
    MMULT(
        INDEX($X$5:$AM$77, MATCH(BN$100,_xlfn.ANCHORARRAY( $W$5), 0), 0),
        $F$5:$U$20
    ),
    TRANSPOSE(
        INDEX($X$5:$AM$77, MATCH($A120,_xlfn.ANCHORARRAY( $W$5), 0), 0)
    )
)
/
(
    INDEX($AN$5:$AN$77, MATCH(BN$100,_xlfn.ANCHORARRAY( $W$5), 0))
    *
    INDEX($AN$5:$AN$77, MATCH($A120,_xlfn.ANCHORARRAY( $W$5), 0))
)</f>
        <v>0.73474173670894427</v>
      </c>
      <c r="BO120" s="17" cm="1">
        <f t="array" ref="BO120">MMULT(
    MMULT(
        INDEX($X$5:$AM$77, MATCH(BO$100,_xlfn.ANCHORARRAY( $W$5), 0), 0),
        $F$5:$U$20
    ),
    TRANSPOSE(
        INDEX($X$5:$AM$77, MATCH($A120,_xlfn.ANCHORARRAY( $W$5), 0), 0)
    )
)
/
(
    INDEX($AN$5:$AN$77, MATCH(BO$100,_xlfn.ANCHORARRAY( $W$5), 0))
    *
    INDEX($AN$5:$AN$77, MATCH($A120,_xlfn.ANCHORARRAY( $W$5), 0))
)</f>
        <v>0.88466351993207493</v>
      </c>
      <c r="BP120" s="17" cm="1">
        <f t="array" ref="BP120">MMULT(
    MMULT(
        INDEX($X$5:$AM$77, MATCH(BP$100,_xlfn.ANCHORARRAY( $W$5), 0), 0),
        $F$5:$U$20
    ),
    TRANSPOSE(
        INDEX($X$5:$AM$77, MATCH($A120,_xlfn.ANCHORARRAY( $W$5), 0), 0)
    )
)
/
(
    INDEX($AN$5:$AN$77, MATCH(BP$100,_xlfn.ANCHORARRAY( $W$5), 0))
    *
    INDEX($AN$5:$AN$77, MATCH($A120,_xlfn.ANCHORARRAY( $W$5), 0))
)</f>
        <v>0.93935899890723462</v>
      </c>
      <c r="BQ120" s="17" cm="1">
        <f t="array" ref="BQ120">MMULT(
    MMULT(
        INDEX($X$5:$AM$77, MATCH(BQ$100,_xlfn.ANCHORARRAY( $W$5), 0), 0),
        $F$5:$U$20
    ),
    TRANSPOSE(
        INDEX($X$5:$AM$77, MATCH($A120,_xlfn.ANCHORARRAY( $W$5), 0), 0)
    )
)
/
(
    INDEX($AN$5:$AN$77, MATCH(BQ$100,_xlfn.ANCHORARRAY( $W$5), 0))
    *
    INDEX($AN$5:$AN$77, MATCH($A120,_xlfn.ANCHORARRAY( $W$5), 0))
)</f>
        <v>0.71456896755858557</v>
      </c>
      <c r="BR120" s="17" cm="1">
        <f t="array" ref="BR120">MMULT(
    MMULT(
        INDEX($X$5:$AM$77, MATCH(BR$100,_xlfn.ANCHORARRAY( $W$5), 0), 0),
        $F$5:$U$20
    ),
    TRANSPOSE(
        INDEX($X$5:$AM$77, MATCH($A120,_xlfn.ANCHORARRAY( $W$5), 0), 0)
    )
)
/
(
    INDEX($AN$5:$AN$77, MATCH(BR$100,_xlfn.ANCHORARRAY( $W$5), 0))
    *
    INDEX($AN$5:$AN$77, MATCH($A120,_xlfn.ANCHORARRAY( $W$5), 0))
)</f>
        <v>0.83487081129084051</v>
      </c>
      <c r="BS120" s="17" cm="1">
        <f t="array" ref="BS120">MMULT(
    MMULT(
        INDEX($X$5:$AM$77, MATCH(BS$100,_xlfn.ANCHORARRAY( $W$5), 0), 0),
        $F$5:$U$20
    ),
    TRANSPOSE(
        INDEX($X$5:$AM$77, MATCH($A120,_xlfn.ANCHORARRAY( $W$5), 0), 0)
    )
)
/
(
    INDEX($AN$5:$AN$77, MATCH(BS$100,_xlfn.ANCHORARRAY( $W$5), 0))
    *
    INDEX($AN$5:$AN$77, MATCH($A120,_xlfn.ANCHORARRAY( $W$5), 0))
)</f>
        <v>0.89861619929118453</v>
      </c>
      <c r="BT120" s="17" cm="1">
        <f t="array" ref="BT120">MMULT(
    MMULT(
        INDEX($X$5:$AM$77, MATCH(BT$100,_xlfn.ANCHORARRAY( $W$5), 0), 0),
        $F$5:$U$20
    ),
    TRANSPOSE(
        INDEX($X$5:$AM$77, MATCH($A120,_xlfn.ANCHORARRAY( $W$5), 0), 0)
    )
)
/
(
    INDEX($AN$5:$AN$77, MATCH(BT$100,_xlfn.ANCHORARRAY( $W$5), 0))
    *
    INDEX($AN$5:$AN$77, MATCH($A120,_xlfn.ANCHORARRAY( $W$5), 0))
)</f>
        <v>0.94847525878664984</v>
      </c>
      <c r="BU120" s="17" cm="1">
        <f t="array" ref="BU120">MMULT(
    MMULT(
        INDEX($X$5:$AM$77, MATCH(BU$100,_xlfn.ANCHORARRAY( $W$5), 0), 0),
        $F$5:$U$20
    ),
    TRANSPOSE(
        INDEX($X$5:$AM$77, MATCH($A120,_xlfn.ANCHORARRAY( $W$5), 0), 0)
    )
)
/
(
    INDEX($AN$5:$AN$77, MATCH(BU$100,_xlfn.ANCHORARRAY( $W$5), 0))
    *
    INDEX($AN$5:$AN$77, MATCH($A120,_xlfn.ANCHORARRAY( $W$5), 0))
)</f>
        <v>0.85505431714178204</v>
      </c>
      <c r="BV120" s="17" cm="1">
        <f t="array" ref="BV120">MMULT(
    MMULT(
        INDEX($X$5:$AM$77, MATCH(BV$100,_xlfn.ANCHORARRAY( $W$5), 0), 0),
        $F$5:$U$20
    ),
    TRANSPOSE(
        INDEX($X$5:$AM$77, MATCH($A120,_xlfn.ANCHORARRAY( $W$5), 0), 0)
    )
)
/
(
    INDEX($AN$5:$AN$77, MATCH(BV$100,_xlfn.ANCHORARRAY( $W$5), 0))
    *
    INDEX($AN$5:$AN$77, MATCH($A120,_xlfn.ANCHORARRAY( $W$5), 0))
)</f>
        <v>0.77079030705960649</v>
      </c>
    </row>
    <row r="121" spans="1:74" x14ac:dyDescent="0.3">
      <c r="A121" s="7" t="str">
        <v>Smyly, Drew</v>
      </c>
      <c r="B121" s="17" cm="1">
        <f t="array" ref="B121">MMULT(
    MMULT(
        INDEX($X$5:$AM$77, MATCH(B$100,_xlfn.ANCHORARRAY( $W$5), 0), 0),
        $F$5:$U$20
    ),
    TRANSPOSE(
        INDEX($X$5:$AM$77, MATCH($A121,_xlfn.ANCHORARRAY( $W$5), 0), 0)
    )
)
/
(
    INDEX($AN$5:$AN$77, MATCH(B$100,_xlfn.ANCHORARRAY( $W$5), 0))
    *
    INDEX($AN$5:$AN$77, MATCH($A121,_xlfn.ANCHORARRAY( $W$5), 0))
)</f>
        <v>0.74750452829884362</v>
      </c>
      <c r="C121" s="17" cm="1">
        <f t="array" ref="C121">MMULT(
    MMULT(
        INDEX($X$5:$AM$77, MATCH(C$100,_xlfn.ANCHORARRAY( $W$5), 0), 0),
        $F$5:$U$20
    ),
    TRANSPOSE(
        INDEX($X$5:$AM$77, MATCH($A121,_xlfn.ANCHORARRAY( $W$5), 0), 0)
    )
)
/
(
    INDEX($AN$5:$AN$77, MATCH(C$100,_xlfn.ANCHORARRAY( $W$5), 0))
    *
    INDEX($AN$5:$AN$77, MATCH($A121,_xlfn.ANCHORARRAY( $W$5), 0))
)</f>
        <v>0.79223757456782995</v>
      </c>
      <c r="D121" s="17" cm="1">
        <f t="array" ref="D121">MMULT(
    MMULT(
        INDEX($X$5:$AM$77, MATCH(D$100,_xlfn.ANCHORARRAY( $W$5), 0), 0),
        $F$5:$U$20
    ),
    TRANSPOSE(
        INDEX($X$5:$AM$77, MATCH($A121,_xlfn.ANCHORARRAY( $W$5), 0), 0)
    )
)
/
(
    INDEX($AN$5:$AN$77, MATCH(D$100,_xlfn.ANCHORARRAY( $W$5), 0))
    *
    INDEX($AN$5:$AN$77, MATCH($A121,_xlfn.ANCHORARRAY( $W$5), 0))
)</f>
        <v>0.52831465163624591</v>
      </c>
      <c r="E121" s="17" cm="1">
        <f t="array" ref="E121">MMULT(
    MMULT(
        INDEX($X$5:$AM$77, MATCH(E$100,_xlfn.ANCHORARRAY( $W$5), 0), 0),
        $F$5:$U$20
    ),
    TRANSPOSE(
        INDEX($X$5:$AM$77, MATCH($A121,_xlfn.ANCHORARRAY( $W$5), 0), 0)
    )
)
/
(
    INDEX($AN$5:$AN$77, MATCH(E$100,_xlfn.ANCHORARRAY( $W$5), 0))
    *
    INDEX($AN$5:$AN$77, MATCH($A121,_xlfn.ANCHORARRAY( $W$5), 0))
)</f>
        <v>0.63851341638117054</v>
      </c>
      <c r="F121" s="17" cm="1">
        <f t="array" ref="F121">MMULT(
    MMULT(
        INDEX($X$5:$AM$77, MATCH(F$100,_xlfn.ANCHORARRAY( $W$5), 0), 0),
        $F$5:$U$20
    ),
    TRANSPOSE(
        INDEX($X$5:$AM$77, MATCH($A121,_xlfn.ANCHORARRAY( $W$5), 0), 0)
    )
)
/
(
    INDEX($AN$5:$AN$77, MATCH(F$100,_xlfn.ANCHORARRAY( $W$5), 0))
    *
    INDEX($AN$5:$AN$77, MATCH($A121,_xlfn.ANCHORARRAY( $W$5), 0))
)</f>
        <v>0.44255300684005278</v>
      </c>
      <c r="G121" s="17" cm="1">
        <f t="array" ref="G121">MMULT(
    MMULT(
        INDEX($X$5:$AM$77, MATCH(G$100,_xlfn.ANCHORARRAY( $W$5), 0), 0),
        $F$5:$U$20
    ),
    TRANSPOSE(
        INDEX($X$5:$AM$77, MATCH($A121,_xlfn.ANCHORARRAY( $W$5), 0), 0)
    )
)
/
(
    INDEX($AN$5:$AN$77, MATCH(G$100,_xlfn.ANCHORARRAY( $W$5), 0))
    *
    INDEX($AN$5:$AN$77, MATCH($A121,_xlfn.ANCHORARRAY( $W$5), 0))
)</f>
        <v>0.59707806104920036</v>
      </c>
      <c r="H121" s="17" cm="1">
        <f t="array" ref="H121">MMULT(
    MMULT(
        INDEX($X$5:$AM$77, MATCH(H$100,_xlfn.ANCHORARRAY( $W$5), 0), 0),
        $F$5:$U$20
    ),
    TRANSPOSE(
        INDEX($X$5:$AM$77, MATCH($A121,_xlfn.ANCHORARRAY( $W$5), 0), 0)
    )
)
/
(
    INDEX($AN$5:$AN$77, MATCH(H$100,_xlfn.ANCHORARRAY( $W$5), 0))
    *
    INDEX($AN$5:$AN$77, MATCH($A121,_xlfn.ANCHORARRAY( $W$5), 0))
)</f>
        <v>0.64655539322248101</v>
      </c>
      <c r="I121" s="17" cm="1">
        <f t="array" ref="I121">MMULT(
    MMULT(
        INDEX($X$5:$AM$77, MATCH(I$100,_xlfn.ANCHORARRAY( $W$5), 0), 0),
        $F$5:$U$20
    ),
    TRANSPOSE(
        INDEX($X$5:$AM$77, MATCH($A121,_xlfn.ANCHORARRAY( $W$5), 0), 0)
    )
)
/
(
    INDEX($AN$5:$AN$77, MATCH(I$100,_xlfn.ANCHORARRAY( $W$5), 0))
    *
    INDEX($AN$5:$AN$77, MATCH($A121,_xlfn.ANCHORARRAY( $W$5), 0))
)</f>
        <v>0.91662605990113011</v>
      </c>
      <c r="J121" s="17" cm="1">
        <f t="array" ref="J121">MMULT(
    MMULT(
        INDEX($X$5:$AM$77, MATCH(J$100,_xlfn.ANCHORARRAY( $W$5), 0), 0),
        $F$5:$U$20
    ),
    TRANSPOSE(
        INDEX($X$5:$AM$77, MATCH($A121,_xlfn.ANCHORARRAY( $W$5), 0), 0)
    )
)
/
(
    INDEX($AN$5:$AN$77, MATCH(J$100,_xlfn.ANCHORARRAY( $W$5), 0))
    *
    INDEX($AN$5:$AN$77, MATCH($A121,_xlfn.ANCHORARRAY( $W$5), 0))
)</f>
        <v>0.70792242595451671</v>
      </c>
      <c r="K121" s="17" cm="1">
        <f t="array" ref="K121">MMULT(
    MMULT(
        INDEX($X$5:$AM$77, MATCH(K$100,_xlfn.ANCHORARRAY( $W$5), 0), 0),
        $F$5:$U$20
    ),
    TRANSPOSE(
        INDEX($X$5:$AM$77, MATCH($A121,_xlfn.ANCHORARRAY( $W$5), 0), 0)
    )
)
/
(
    INDEX($AN$5:$AN$77, MATCH(K$100,_xlfn.ANCHORARRAY( $W$5), 0))
    *
    INDEX($AN$5:$AN$77, MATCH($A121,_xlfn.ANCHORARRAY( $W$5), 0))
)</f>
        <v>0.69273702857388852</v>
      </c>
      <c r="L121" s="17" cm="1">
        <f t="array" ref="L121">MMULT(
    MMULT(
        INDEX($X$5:$AM$77, MATCH(L$100,_xlfn.ANCHORARRAY( $W$5), 0), 0),
        $F$5:$U$20
    ),
    TRANSPOSE(
        INDEX($X$5:$AM$77, MATCH($A121,_xlfn.ANCHORARRAY( $W$5), 0), 0)
    )
)
/
(
    INDEX($AN$5:$AN$77, MATCH(L$100,_xlfn.ANCHORARRAY( $W$5), 0))
    *
    INDEX($AN$5:$AN$77, MATCH($A121,_xlfn.ANCHORARRAY( $W$5), 0))
)</f>
        <v>0.75311441288878211</v>
      </c>
      <c r="M121" s="17" cm="1">
        <f t="array" ref="M121">MMULT(
    MMULT(
        INDEX($X$5:$AM$77, MATCH(M$100,_xlfn.ANCHORARRAY( $W$5), 0), 0),
        $F$5:$U$20
    ),
    TRANSPOSE(
        INDEX($X$5:$AM$77, MATCH($A121,_xlfn.ANCHORARRAY( $W$5), 0), 0)
    )
)
/
(
    INDEX($AN$5:$AN$77, MATCH(M$100,_xlfn.ANCHORARRAY( $W$5), 0))
    *
    INDEX($AN$5:$AN$77, MATCH($A121,_xlfn.ANCHORARRAY( $W$5), 0))
)</f>
        <v>0.57802389548120692</v>
      </c>
      <c r="N121" s="17" cm="1">
        <f t="array" ref="N121">MMULT(
    MMULT(
        INDEX($X$5:$AM$77, MATCH(N$100,_xlfn.ANCHORARRAY( $W$5), 0), 0),
        $F$5:$U$20
    ),
    TRANSPOSE(
        INDEX($X$5:$AM$77, MATCH($A121,_xlfn.ANCHORARRAY( $W$5), 0), 0)
    )
)
/
(
    INDEX($AN$5:$AN$77, MATCH(N$100,_xlfn.ANCHORARRAY( $W$5), 0))
    *
    INDEX($AN$5:$AN$77, MATCH($A121,_xlfn.ANCHORARRAY( $W$5), 0))
)</f>
        <v>0.42132746862584103</v>
      </c>
      <c r="O121" s="17" cm="1">
        <f t="array" ref="O121">MMULT(
    MMULT(
        INDEX($X$5:$AM$77, MATCH(O$100,_xlfn.ANCHORARRAY( $W$5), 0), 0),
        $F$5:$U$20
    ),
    TRANSPOSE(
        INDEX($X$5:$AM$77, MATCH($A121,_xlfn.ANCHORARRAY( $W$5), 0), 0)
    )
)
/
(
    INDEX($AN$5:$AN$77, MATCH(O$100,_xlfn.ANCHORARRAY( $W$5), 0))
    *
    INDEX($AN$5:$AN$77, MATCH($A121,_xlfn.ANCHORARRAY( $W$5), 0))
)</f>
        <v>0.32975555149715297</v>
      </c>
      <c r="P121" s="17" cm="1">
        <f t="array" ref="P121">MMULT(
    MMULT(
        INDEX($X$5:$AM$77, MATCH(P$100,_xlfn.ANCHORARRAY( $W$5), 0), 0),
        $F$5:$U$20
    ),
    TRANSPOSE(
        INDEX($X$5:$AM$77, MATCH($A121,_xlfn.ANCHORARRAY( $W$5), 0), 0)
    )
)
/
(
    INDEX($AN$5:$AN$77, MATCH(P$100,_xlfn.ANCHORARRAY( $W$5), 0))
    *
    INDEX($AN$5:$AN$77, MATCH($A121,_xlfn.ANCHORARRAY( $W$5), 0))
)</f>
        <v>0.60513427151416566</v>
      </c>
      <c r="Q121" s="17" cm="1">
        <f t="array" ref="Q121">MMULT(
    MMULT(
        INDEX($X$5:$AM$77, MATCH(Q$100,_xlfn.ANCHORARRAY( $W$5), 0), 0),
        $F$5:$U$20
    ),
    TRANSPOSE(
        INDEX($X$5:$AM$77, MATCH($A121,_xlfn.ANCHORARRAY( $W$5), 0), 0)
    )
)
/
(
    INDEX($AN$5:$AN$77, MATCH(Q$100,_xlfn.ANCHORARRAY( $W$5), 0))
    *
    INDEX($AN$5:$AN$77, MATCH($A121,_xlfn.ANCHORARRAY( $W$5), 0))
)</f>
        <v>0.77577229173701034</v>
      </c>
      <c r="R121" s="17" cm="1">
        <f t="array" ref="R121">MMULT(
    MMULT(
        INDEX($X$5:$AM$77, MATCH(R$100,_xlfn.ANCHORARRAY( $W$5), 0), 0),
        $F$5:$U$20
    ),
    TRANSPOSE(
        INDEX($X$5:$AM$77, MATCH($A121,_xlfn.ANCHORARRAY( $W$5), 0), 0)
    )
)
/
(
    INDEX($AN$5:$AN$77, MATCH(R$100,_xlfn.ANCHORARRAY( $W$5), 0))
    *
    INDEX($AN$5:$AN$77, MATCH($A121,_xlfn.ANCHORARRAY( $W$5), 0))
)</f>
        <v>0.57309078316980877</v>
      </c>
      <c r="S121" s="17" cm="1">
        <f t="array" ref="S121">MMULT(
    MMULT(
        INDEX($X$5:$AM$77, MATCH(S$100,_xlfn.ANCHORARRAY( $W$5), 0), 0),
        $F$5:$U$20
    ),
    TRANSPOSE(
        INDEX($X$5:$AM$77, MATCH($A121,_xlfn.ANCHORARRAY( $W$5), 0), 0)
    )
)
/
(
    INDEX($AN$5:$AN$77, MATCH(S$100,_xlfn.ANCHORARRAY( $W$5), 0))
    *
    INDEX($AN$5:$AN$77, MATCH($A121,_xlfn.ANCHORARRAY( $W$5), 0))
)</f>
        <v>0.69521676337351712</v>
      </c>
      <c r="T121" s="17" cm="1">
        <f t="array" ref="T121">MMULT(
    MMULT(
        INDEX($X$5:$AM$77, MATCH(T$100,_xlfn.ANCHORARRAY( $W$5), 0), 0),
        $F$5:$U$20
    ),
    TRANSPOSE(
        INDEX($X$5:$AM$77, MATCH($A121,_xlfn.ANCHORARRAY( $W$5), 0), 0)
    )
)
/
(
    INDEX($AN$5:$AN$77, MATCH(T$100,_xlfn.ANCHORARRAY( $W$5), 0))
    *
    INDEX($AN$5:$AN$77, MATCH($A121,_xlfn.ANCHORARRAY( $W$5), 0))
)</f>
        <v>0.61079493950117747</v>
      </c>
      <c r="U121" s="17" cm="1">
        <f t="array" ref="U121">MMULT(
    MMULT(
        INDEX($X$5:$AM$77, MATCH(U$100,_xlfn.ANCHORARRAY( $W$5), 0), 0),
        $F$5:$U$20
    ),
    TRANSPOSE(
        INDEX($X$5:$AM$77, MATCH($A121,_xlfn.ANCHORARRAY( $W$5), 0), 0)
    )
)
/
(
    INDEX($AN$5:$AN$77, MATCH(U$100,_xlfn.ANCHORARRAY( $W$5), 0))
    *
    INDEX($AN$5:$AN$77, MATCH($A121,_xlfn.ANCHORARRAY( $W$5), 0))
)</f>
        <v>0.58399028485535731</v>
      </c>
      <c r="V121" s="17" cm="1">
        <f t="array" ref="V121">MMULT(
    MMULT(
        INDEX($X$5:$AM$77, MATCH(V$100,_xlfn.ANCHORARRAY( $W$5), 0), 0),
        $F$5:$U$20
    ),
    TRANSPOSE(
        INDEX($X$5:$AM$77, MATCH($A121,_xlfn.ANCHORARRAY( $W$5), 0), 0)
    )
)
/
(
    INDEX($AN$5:$AN$77, MATCH(V$100,_xlfn.ANCHORARRAY( $W$5), 0))
    *
    INDEX($AN$5:$AN$77, MATCH($A121,_xlfn.ANCHORARRAY( $W$5), 0))
)</f>
        <v>1.0000000000000002</v>
      </c>
      <c r="W121" s="17" cm="1">
        <f t="array" ref="W121">MMULT(
    MMULT(
        INDEX($X$5:$AM$77, MATCH(W$100,_xlfn.ANCHORARRAY( $W$5), 0), 0),
        $F$5:$U$20
    ),
    TRANSPOSE(
        INDEX($X$5:$AM$77, MATCH($A121,_xlfn.ANCHORARRAY( $W$5), 0), 0)
    )
)
/
(
    INDEX($AN$5:$AN$77, MATCH(W$100,_xlfn.ANCHORARRAY( $W$5), 0))
    *
    INDEX($AN$5:$AN$77, MATCH($A121,_xlfn.ANCHORARRAY( $W$5), 0))
)</f>
        <v>0.47166376692463047</v>
      </c>
      <c r="X121" s="17" cm="1">
        <f t="array" ref="X121">MMULT(
    MMULT(
        INDEX($X$5:$AM$77, MATCH(X$100,_xlfn.ANCHORARRAY( $W$5), 0), 0),
        $F$5:$U$20
    ),
    TRANSPOSE(
        INDEX($X$5:$AM$77, MATCH($A121,_xlfn.ANCHORARRAY( $W$5), 0), 0)
    )
)
/
(
    INDEX($AN$5:$AN$77, MATCH(X$100,_xlfn.ANCHORARRAY( $W$5), 0))
    *
    INDEX($AN$5:$AN$77, MATCH($A121,_xlfn.ANCHORARRAY( $W$5), 0))
)</f>
        <v>0.41646501927246954</v>
      </c>
      <c r="Y121" s="17" cm="1">
        <f t="array" ref="Y121">MMULT(
    MMULT(
        INDEX($X$5:$AM$77, MATCH(Y$100,_xlfn.ANCHORARRAY( $W$5), 0), 0),
        $F$5:$U$20
    ),
    TRANSPOSE(
        INDEX($X$5:$AM$77, MATCH($A121,_xlfn.ANCHORARRAY( $W$5), 0), 0)
    )
)
/
(
    INDEX($AN$5:$AN$77, MATCH(Y$100,_xlfn.ANCHORARRAY( $W$5), 0))
    *
    INDEX($AN$5:$AN$77, MATCH($A121,_xlfn.ANCHORARRAY( $W$5), 0))
)</f>
        <v>0.8055430300500579</v>
      </c>
      <c r="Z121" s="17" cm="1">
        <f t="array" ref="Z121">MMULT(
    MMULT(
        INDEX($X$5:$AM$77, MATCH(Z$100,_xlfn.ANCHORARRAY( $W$5), 0), 0),
        $F$5:$U$20
    ),
    TRANSPOSE(
        INDEX($X$5:$AM$77, MATCH($A121,_xlfn.ANCHORARRAY( $W$5), 0), 0)
    )
)
/
(
    INDEX($AN$5:$AN$77, MATCH(Z$100,_xlfn.ANCHORARRAY( $W$5), 0))
    *
    INDEX($AN$5:$AN$77, MATCH($A121,_xlfn.ANCHORARRAY( $W$5), 0))
)</f>
        <v>0.46446491342058904</v>
      </c>
      <c r="AA121" s="17" cm="1">
        <f t="array" ref="AA121">MMULT(
    MMULT(
        INDEX($X$5:$AM$77, MATCH(AA$100,_xlfn.ANCHORARRAY( $W$5), 0), 0),
        $F$5:$U$20
    ),
    TRANSPOSE(
        INDEX($X$5:$AM$77, MATCH($A121,_xlfn.ANCHORARRAY( $W$5), 0), 0)
    )
)
/
(
    INDEX($AN$5:$AN$77, MATCH(AA$100,_xlfn.ANCHORARRAY( $W$5), 0))
    *
    INDEX($AN$5:$AN$77, MATCH($A121,_xlfn.ANCHORARRAY( $W$5), 0))
)</f>
        <v>0.48681336775367745</v>
      </c>
      <c r="AB121" s="17" cm="1">
        <f t="array" ref="AB121">MMULT(
    MMULT(
        INDEX($X$5:$AM$77, MATCH(AB$100,_xlfn.ANCHORARRAY( $W$5), 0), 0),
        $F$5:$U$20
    ),
    TRANSPOSE(
        INDEX($X$5:$AM$77, MATCH($A121,_xlfn.ANCHORARRAY( $W$5), 0), 0)
    )
)
/
(
    INDEX($AN$5:$AN$77, MATCH(AB$100,_xlfn.ANCHORARRAY( $W$5), 0))
    *
    INDEX($AN$5:$AN$77, MATCH($A121,_xlfn.ANCHORARRAY( $W$5), 0))
)</f>
        <v>0.69304140010702697</v>
      </c>
      <c r="AC121" s="17" cm="1">
        <f t="array" ref="AC121">MMULT(
    MMULT(
        INDEX($X$5:$AM$77, MATCH(AC$100,_xlfn.ANCHORARRAY( $W$5), 0), 0),
        $F$5:$U$20
    ),
    TRANSPOSE(
        INDEX($X$5:$AM$77, MATCH($A121,_xlfn.ANCHORARRAY( $W$5), 0), 0)
    )
)
/
(
    INDEX($AN$5:$AN$77, MATCH(AC$100,_xlfn.ANCHORARRAY( $W$5), 0))
    *
    INDEX($AN$5:$AN$77, MATCH($A121,_xlfn.ANCHORARRAY( $W$5), 0))
)</f>
        <v>0.76458943741497087</v>
      </c>
      <c r="AD121" s="17" cm="1">
        <f t="array" ref="AD121">MMULT(
    MMULT(
        INDEX($X$5:$AM$77, MATCH(AD$100,_xlfn.ANCHORARRAY( $W$5), 0), 0),
        $F$5:$U$20
    ),
    TRANSPOSE(
        INDEX($X$5:$AM$77, MATCH($A121,_xlfn.ANCHORARRAY( $W$5), 0), 0)
    )
)
/
(
    INDEX($AN$5:$AN$77, MATCH(AD$100,_xlfn.ANCHORARRAY( $W$5), 0))
    *
    INDEX($AN$5:$AN$77, MATCH($A121,_xlfn.ANCHORARRAY( $W$5), 0))
)</f>
        <v>0.49644855176939551</v>
      </c>
      <c r="AE121" s="17" cm="1">
        <f t="array" ref="AE121">MMULT(
    MMULT(
        INDEX($X$5:$AM$77, MATCH(AE$100,_xlfn.ANCHORARRAY( $W$5), 0), 0),
        $F$5:$U$20
    ),
    TRANSPOSE(
        INDEX($X$5:$AM$77, MATCH($A121,_xlfn.ANCHORARRAY( $W$5), 0), 0)
    )
)
/
(
    INDEX($AN$5:$AN$77, MATCH(AE$100,_xlfn.ANCHORARRAY( $W$5), 0))
    *
    INDEX($AN$5:$AN$77, MATCH($A121,_xlfn.ANCHORARRAY( $W$5), 0))
)</f>
        <v>0.60666003925599288</v>
      </c>
      <c r="AF121" s="17" cm="1">
        <f t="array" ref="AF121">MMULT(
    MMULT(
        INDEX($X$5:$AM$77, MATCH(AF$100,_xlfn.ANCHORARRAY( $W$5), 0), 0),
        $F$5:$U$20
    ),
    TRANSPOSE(
        INDEX($X$5:$AM$77, MATCH($A121,_xlfn.ANCHORARRAY( $W$5), 0), 0)
    )
)
/
(
    INDEX($AN$5:$AN$77, MATCH(AF$100,_xlfn.ANCHORARRAY( $W$5), 0))
    *
    INDEX($AN$5:$AN$77, MATCH($A121,_xlfn.ANCHORARRAY( $W$5), 0))
)</f>
        <v>0.827141126389762</v>
      </c>
      <c r="AG121" s="17" cm="1">
        <f t="array" ref="AG121">MMULT(
    MMULT(
        INDEX($X$5:$AM$77, MATCH(AG$100,_xlfn.ANCHORARRAY( $W$5), 0), 0),
        $F$5:$U$20
    ),
    TRANSPOSE(
        INDEX($X$5:$AM$77, MATCH($A121,_xlfn.ANCHORARRAY( $W$5), 0), 0)
    )
)
/
(
    INDEX($AN$5:$AN$77, MATCH(AG$100,_xlfn.ANCHORARRAY( $W$5), 0))
    *
    INDEX($AN$5:$AN$77, MATCH($A121,_xlfn.ANCHORARRAY( $W$5), 0))
)</f>
        <v>0.6901829153395278</v>
      </c>
      <c r="AH121" s="17" cm="1">
        <f t="array" ref="AH121">MMULT(
    MMULT(
        INDEX($X$5:$AM$77, MATCH(AH$100,_xlfn.ANCHORARRAY( $W$5), 0), 0),
        $F$5:$U$20
    ),
    TRANSPOSE(
        INDEX($X$5:$AM$77, MATCH($A121,_xlfn.ANCHORARRAY( $W$5), 0), 0)
    )
)
/
(
    INDEX($AN$5:$AN$77, MATCH(AH$100,_xlfn.ANCHORARRAY( $W$5), 0))
    *
    INDEX($AN$5:$AN$77, MATCH($A121,_xlfn.ANCHORARRAY( $W$5), 0))
)</f>
        <v>0.44787270895614562</v>
      </c>
      <c r="AI121" s="17" cm="1">
        <f t="array" ref="AI121">MMULT(
    MMULT(
        INDEX($X$5:$AM$77, MATCH(AI$100,_xlfn.ANCHORARRAY( $W$5), 0), 0),
        $F$5:$U$20
    ),
    TRANSPOSE(
        INDEX($X$5:$AM$77, MATCH($A121,_xlfn.ANCHORARRAY( $W$5), 0), 0)
    )
)
/
(
    INDEX($AN$5:$AN$77, MATCH(AI$100,_xlfn.ANCHORARRAY( $W$5), 0))
    *
    INDEX($AN$5:$AN$77, MATCH($A121,_xlfn.ANCHORARRAY( $W$5), 0))
)</f>
        <v>0.69009720757145654</v>
      </c>
      <c r="AJ121" s="17" cm="1">
        <f t="array" ref="AJ121">MMULT(
    MMULT(
        INDEX($X$5:$AM$77, MATCH(AJ$100,_xlfn.ANCHORARRAY( $W$5), 0), 0),
        $F$5:$U$20
    ),
    TRANSPOSE(
        INDEX($X$5:$AM$77, MATCH($A121,_xlfn.ANCHORARRAY( $W$5), 0), 0)
    )
)
/
(
    INDEX($AN$5:$AN$77, MATCH(AJ$100,_xlfn.ANCHORARRAY( $W$5), 0))
    *
    INDEX($AN$5:$AN$77, MATCH($A121,_xlfn.ANCHORARRAY( $W$5), 0))
)</f>
        <v>0.55767016677760839</v>
      </c>
      <c r="AK121" s="17" cm="1">
        <f t="array" ref="AK121">MMULT(
    MMULT(
        INDEX($X$5:$AM$77, MATCH(AK$100,_xlfn.ANCHORARRAY( $W$5), 0), 0),
        $F$5:$U$20
    ),
    TRANSPOSE(
        INDEX($X$5:$AM$77, MATCH($A121,_xlfn.ANCHORARRAY( $W$5), 0), 0)
    )
)
/
(
    INDEX($AN$5:$AN$77, MATCH(AK$100,_xlfn.ANCHORARRAY( $W$5), 0))
    *
    INDEX($AN$5:$AN$77, MATCH($A121,_xlfn.ANCHORARRAY( $W$5), 0))
)</f>
        <v>0.6894084593441554</v>
      </c>
      <c r="AL121" s="17" cm="1">
        <f t="array" ref="AL121">MMULT(
    MMULT(
        INDEX($X$5:$AM$77, MATCH(AL$100,_xlfn.ANCHORARRAY( $W$5), 0), 0),
        $F$5:$U$20
    ),
    TRANSPOSE(
        INDEX($X$5:$AM$77, MATCH($A121,_xlfn.ANCHORARRAY( $W$5), 0), 0)
    )
)
/
(
    INDEX($AN$5:$AN$77, MATCH(AL$100,_xlfn.ANCHORARRAY( $W$5), 0))
    *
    INDEX($AN$5:$AN$77, MATCH($A121,_xlfn.ANCHORARRAY( $W$5), 0))
)</f>
        <v>0.37108838598825078</v>
      </c>
      <c r="AM121" s="17" cm="1">
        <f t="array" ref="AM121">MMULT(
    MMULT(
        INDEX($X$5:$AM$77, MATCH(AM$100,_xlfn.ANCHORARRAY( $W$5), 0), 0),
        $F$5:$U$20
    ),
    TRANSPOSE(
        INDEX($X$5:$AM$77, MATCH($A121,_xlfn.ANCHORARRAY( $W$5), 0), 0)
    )
)
/
(
    INDEX($AN$5:$AN$77, MATCH(AM$100,_xlfn.ANCHORARRAY( $W$5), 0))
    *
    INDEX($AN$5:$AN$77, MATCH($A121,_xlfn.ANCHORARRAY( $W$5), 0))
)</f>
        <v>0.73232285859898938</v>
      </c>
      <c r="AN121" s="17" cm="1">
        <f t="array" ref="AN121">MMULT(
    MMULT(
        INDEX($X$5:$AM$77, MATCH(AN$100,_xlfn.ANCHORARRAY( $W$5), 0), 0),
        $F$5:$U$20
    ),
    TRANSPOSE(
        INDEX($X$5:$AM$77, MATCH($A121,_xlfn.ANCHORARRAY( $W$5), 0), 0)
    )
)
/
(
    INDEX($AN$5:$AN$77, MATCH(AN$100,_xlfn.ANCHORARRAY( $W$5), 0))
    *
    INDEX($AN$5:$AN$77, MATCH($A121,_xlfn.ANCHORARRAY( $W$5), 0))
)</f>
        <v>0.53014229976584848</v>
      </c>
      <c r="AO121" s="17" cm="1">
        <f t="array" ref="AO121">MMULT(
    MMULT(
        INDEX($X$5:$AM$77, MATCH(AO$100,_xlfn.ANCHORARRAY( $W$5), 0), 0),
        $F$5:$U$20
    ),
    TRANSPOSE(
        INDEX($X$5:$AM$77, MATCH($A121,_xlfn.ANCHORARRAY( $W$5), 0), 0)
    )
)
/
(
    INDEX($AN$5:$AN$77, MATCH(AO$100,_xlfn.ANCHORARRAY( $W$5), 0))
    *
    INDEX($AN$5:$AN$77, MATCH($A121,_xlfn.ANCHORARRAY( $W$5), 0))
)</f>
        <v>0.70651726269555992</v>
      </c>
      <c r="AP121" s="17" cm="1">
        <f t="array" ref="AP121">MMULT(
    MMULT(
        INDEX($X$5:$AM$77, MATCH(AP$100,_xlfn.ANCHORARRAY( $W$5), 0), 0),
        $F$5:$U$20
    ),
    TRANSPOSE(
        INDEX($X$5:$AM$77, MATCH($A121,_xlfn.ANCHORARRAY( $W$5), 0), 0)
    )
)
/
(
    INDEX($AN$5:$AN$77, MATCH(AP$100,_xlfn.ANCHORARRAY( $W$5), 0))
    *
    INDEX($AN$5:$AN$77, MATCH($A121,_xlfn.ANCHORARRAY( $W$5), 0))
)</f>
        <v>0.64091025045682881</v>
      </c>
      <c r="AQ121" s="17" cm="1">
        <f t="array" ref="AQ121">MMULT(
    MMULT(
        INDEX($X$5:$AM$77, MATCH(AQ$100,_xlfn.ANCHORARRAY( $W$5), 0), 0),
        $F$5:$U$20
    ),
    TRANSPOSE(
        INDEX($X$5:$AM$77, MATCH($A121,_xlfn.ANCHORARRAY( $W$5), 0), 0)
    )
)
/
(
    INDEX($AN$5:$AN$77, MATCH(AQ$100,_xlfn.ANCHORARRAY( $W$5), 0))
    *
    INDEX($AN$5:$AN$77, MATCH($A121,_xlfn.ANCHORARRAY( $W$5), 0))
)</f>
        <v>0.72417732979481308</v>
      </c>
      <c r="AR121" s="17" cm="1">
        <f t="array" ref="AR121">MMULT(
    MMULT(
        INDEX($X$5:$AM$77, MATCH(AR$100,_xlfn.ANCHORARRAY( $W$5), 0), 0),
        $F$5:$U$20
    ),
    TRANSPOSE(
        INDEX($X$5:$AM$77, MATCH($A121,_xlfn.ANCHORARRAY( $W$5), 0), 0)
    )
)
/
(
    INDEX($AN$5:$AN$77, MATCH(AR$100,_xlfn.ANCHORARRAY( $W$5), 0))
    *
    INDEX($AN$5:$AN$77, MATCH($A121,_xlfn.ANCHORARRAY( $W$5), 0))
)</f>
        <v>0.59395692466827066</v>
      </c>
      <c r="AS121" s="17" cm="1">
        <f t="array" ref="AS121">MMULT(
    MMULT(
        INDEX($X$5:$AM$77, MATCH(AS$100,_xlfn.ANCHORARRAY( $W$5), 0), 0),
        $F$5:$U$20
    ),
    TRANSPOSE(
        INDEX($X$5:$AM$77, MATCH($A121,_xlfn.ANCHORARRAY( $W$5), 0), 0)
    )
)
/
(
    INDEX($AN$5:$AN$77, MATCH(AS$100,_xlfn.ANCHORARRAY( $W$5), 0))
    *
    INDEX($AN$5:$AN$77, MATCH($A121,_xlfn.ANCHORARRAY( $W$5), 0))
)</f>
        <v>0.43449804320177055</v>
      </c>
      <c r="AT121" s="17" cm="1">
        <f t="array" ref="AT121">MMULT(
    MMULT(
        INDEX($X$5:$AM$77, MATCH(AT$100,_xlfn.ANCHORARRAY( $W$5), 0), 0),
        $F$5:$U$20
    ),
    TRANSPOSE(
        INDEX($X$5:$AM$77, MATCH($A121,_xlfn.ANCHORARRAY( $W$5), 0), 0)
    )
)
/
(
    INDEX($AN$5:$AN$77, MATCH(AT$100,_xlfn.ANCHORARRAY( $W$5), 0))
    *
    INDEX($AN$5:$AN$77, MATCH($A121,_xlfn.ANCHORARRAY( $W$5), 0))
)</f>
        <v>0.70281353032786054</v>
      </c>
      <c r="AU121" s="17" cm="1">
        <f t="array" ref="AU121">MMULT(
    MMULT(
        INDEX($X$5:$AM$77, MATCH(AU$100,_xlfn.ANCHORARRAY( $W$5), 0), 0),
        $F$5:$U$20
    ),
    TRANSPOSE(
        INDEX($X$5:$AM$77, MATCH($A121,_xlfn.ANCHORARRAY( $W$5), 0), 0)
    )
)
/
(
    INDEX($AN$5:$AN$77, MATCH(AU$100,_xlfn.ANCHORARRAY( $W$5), 0))
    *
    INDEX($AN$5:$AN$77, MATCH($A121,_xlfn.ANCHORARRAY( $W$5), 0))
)</f>
        <v>0.42560891573461052</v>
      </c>
      <c r="AV121" s="17" cm="1">
        <f t="array" ref="AV121">MMULT(
    MMULT(
        INDEX($X$5:$AM$77, MATCH(AV$100,_xlfn.ANCHORARRAY( $W$5), 0), 0),
        $F$5:$U$20
    ),
    TRANSPOSE(
        INDEX($X$5:$AM$77, MATCH($A121,_xlfn.ANCHORARRAY( $W$5), 0), 0)
    )
)
/
(
    INDEX($AN$5:$AN$77, MATCH(AV$100,_xlfn.ANCHORARRAY( $W$5), 0))
    *
    INDEX($AN$5:$AN$77, MATCH($A121,_xlfn.ANCHORARRAY( $W$5), 0))
)</f>
        <v>0.48667062116262194</v>
      </c>
      <c r="AW121" s="17" cm="1">
        <f t="array" ref="AW121">MMULT(
    MMULT(
        INDEX($X$5:$AM$77, MATCH(AW$100,_xlfn.ANCHORARRAY( $W$5), 0), 0),
        $F$5:$U$20
    ),
    TRANSPOSE(
        INDEX($X$5:$AM$77, MATCH($A121,_xlfn.ANCHORARRAY( $W$5), 0), 0)
    )
)
/
(
    INDEX($AN$5:$AN$77, MATCH(AW$100,_xlfn.ANCHORARRAY( $W$5), 0))
    *
    INDEX($AN$5:$AN$77, MATCH($A121,_xlfn.ANCHORARRAY( $W$5), 0))
)</f>
        <v>0.55615441700158164</v>
      </c>
      <c r="AX121" s="17" cm="1">
        <f t="array" ref="AX121">MMULT(
    MMULT(
        INDEX($X$5:$AM$77, MATCH(AX$100,_xlfn.ANCHORARRAY( $W$5), 0), 0),
        $F$5:$U$20
    ),
    TRANSPOSE(
        INDEX($X$5:$AM$77, MATCH($A121,_xlfn.ANCHORARRAY( $W$5), 0), 0)
    )
)
/
(
    INDEX($AN$5:$AN$77, MATCH(AX$100,_xlfn.ANCHORARRAY( $W$5), 0))
    *
    INDEX($AN$5:$AN$77, MATCH($A121,_xlfn.ANCHORARRAY( $W$5), 0))
)</f>
        <v>0.86771846168239486</v>
      </c>
      <c r="AY121" s="17" cm="1">
        <f t="array" ref="AY121">MMULT(
    MMULT(
        INDEX($X$5:$AM$77, MATCH(AY$100,_xlfn.ANCHORARRAY( $W$5), 0), 0),
        $F$5:$U$20
    ),
    TRANSPOSE(
        INDEX($X$5:$AM$77, MATCH($A121,_xlfn.ANCHORARRAY( $W$5), 0), 0)
    )
)
/
(
    INDEX($AN$5:$AN$77, MATCH(AY$100,_xlfn.ANCHORARRAY( $W$5), 0))
    *
    INDEX($AN$5:$AN$77, MATCH($A121,_xlfn.ANCHORARRAY( $W$5), 0))
)</f>
        <v>0.39709207574563415</v>
      </c>
      <c r="AZ121" s="17" cm="1">
        <f t="array" ref="AZ121">MMULT(
    MMULT(
        INDEX($X$5:$AM$77, MATCH(AZ$100,_xlfn.ANCHORARRAY( $W$5), 0), 0),
        $F$5:$U$20
    ),
    TRANSPOSE(
        INDEX($X$5:$AM$77, MATCH($A121,_xlfn.ANCHORARRAY( $W$5), 0), 0)
    )
)
/
(
    INDEX($AN$5:$AN$77, MATCH(AZ$100,_xlfn.ANCHORARRAY( $W$5), 0))
    *
    INDEX($AN$5:$AN$77, MATCH($A121,_xlfn.ANCHORARRAY( $W$5), 0))
)</f>
        <v>0.47135950099801788</v>
      </c>
      <c r="BA121" s="17" cm="1">
        <f t="array" ref="BA121">MMULT(
    MMULT(
        INDEX($X$5:$AM$77, MATCH(BA$100,_xlfn.ANCHORARRAY( $W$5), 0), 0),
        $F$5:$U$20
    ),
    TRANSPOSE(
        INDEX($X$5:$AM$77, MATCH($A121,_xlfn.ANCHORARRAY( $W$5), 0), 0)
    )
)
/
(
    INDEX($AN$5:$AN$77, MATCH(BA$100,_xlfn.ANCHORARRAY( $W$5), 0))
    *
    INDEX($AN$5:$AN$77, MATCH($A121,_xlfn.ANCHORARRAY( $W$5), 0))
)</f>
        <v>0.53754240345695625</v>
      </c>
      <c r="BB121" s="17" cm="1">
        <f t="array" ref="BB121">MMULT(
    MMULT(
        INDEX($X$5:$AM$77, MATCH(BB$100,_xlfn.ANCHORARRAY( $W$5), 0), 0),
        $F$5:$U$20
    ),
    TRANSPOSE(
        INDEX($X$5:$AM$77, MATCH($A121,_xlfn.ANCHORARRAY( $W$5), 0), 0)
    )
)
/
(
    INDEX($AN$5:$AN$77, MATCH(BB$100,_xlfn.ANCHORARRAY( $W$5), 0))
    *
    INDEX($AN$5:$AN$77, MATCH($A121,_xlfn.ANCHORARRAY( $W$5), 0))
)</f>
        <v>0.69219869924363231</v>
      </c>
      <c r="BC121" s="17" cm="1">
        <f t="array" ref="BC121">MMULT(
    MMULT(
        INDEX($X$5:$AM$77, MATCH(BC$100,_xlfn.ANCHORARRAY( $W$5), 0), 0),
        $F$5:$U$20
    ),
    TRANSPOSE(
        INDEX($X$5:$AM$77, MATCH($A121,_xlfn.ANCHORARRAY( $W$5), 0), 0)
    )
)
/
(
    INDEX($AN$5:$AN$77, MATCH(BC$100,_xlfn.ANCHORARRAY( $W$5), 0))
    *
    INDEX($AN$5:$AN$77, MATCH($A121,_xlfn.ANCHORARRAY( $W$5), 0))
)</f>
        <v>0.59323239943785133</v>
      </c>
      <c r="BD121" s="17" cm="1">
        <f t="array" ref="BD121">MMULT(
    MMULT(
        INDEX($X$5:$AM$77, MATCH(BD$100,_xlfn.ANCHORARRAY( $W$5), 0), 0),
        $F$5:$U$20
    ),
    TRANSPOSE(
        INDEX($X$5:$AM$77, MATCH($A121,_xlfn.ANCHORARRAY( $W$5), 0), 0)
    )
)
/
(
    INDEX($AN$5:$AN$77, MATCH(BD$100,_xlfn.ANCHORARRAY( $W$5), 0))
    *
    INDEX($AN$5:$AN$77, MATCH($A121,_xlfn.ANCHORARRAY( $W$5), 0))
)</f>
        <v>0.75287520182485401</v>
      </c>
      <c r="BE121" s="17" cm="1">
        <f t="array" ref="BE121">MMULT(
    MMULT(
        INDEX($X$5:$AM$77, MATCH(BE$100,_xlfn.ANCHORARRAY( $W$5), 0), 0),
        $F$5:$U$20
    ),
    TRANSPOSE(
        INDEX($X$5:$AM$77, MATCH($A121,_xlfn.ANCHORARRAY( $W$5), 0), 0)
    )
)
/
(
    INDEX($AN$5:$AN$77, MATCH(BE$100,_xlfn.ANCHORARRAY( $W$5), 0))
    *
    INDEX($AN$5:$AN$77, MATCH($A121,_xlfn.ANCHORARRAY( $W$5), 0))
)</f>
        <v>0.68860952770217798</v>
      </c>
      <c r="BF121" s="17" cm="1">
        <f t="array" ref="BF121">MMULT(
    MMULT(
        INDEX($X$5:$AM$77, MATCH(BF$100,_xlfn.ANCHORARRAY( $W$5), 0), 0),
        $F$5:$U$20
    ),
    TRANSPOSE(
        INDEX($X$5:$AM$77, MATCH($A121,_xlfn.ANCHORARRAY( $W$5), 0), 0)
    )
)
/
(
    INDEX($AN$5:$AN$77, MATCH(BF$100,_xlfn.ANCHORARRAY( $W$5), 0))
    *
    INDEX($AN$5:$AN$77, MATCH($A121,_xlfn.ANCHORARRAY( $W$5), 0))
)</f>
        <v>0.69178419564784388</v>
      </c>
      <c r="BG121" s="17" cm="1">
        <f t="array" ref="BG121">MMULT(
    MMULT(
        INDEX($X$5:$AM$77, MATCH(BG$100,_xlfn.ANCHORARRAY( $W$5), 0), 0),
        $F$5:$U$20
    ),
    TRANSPOSE(
        INDEX($X$5:$AM$77, MATCH($A121,_xlfn.ANCHORARRAY( $W$5), 0), 0)
    )
)
/
(
    INDEX($AN$5:$AN$77, MATCH(BG$100,_xlfn.ANCHORARRAY( $W$5), 0))
    *
    INDEX($AN$5:$AN$77, MATCH($A121,_xlfn.ANCHORARRAY( $W$5), 0))
)</f>
        <v>0.56845366131651809</v>
      </c>
      <c r="BH121" s="17" cm="1">
        <f t="array" ref="BH121">MMULT(
    MMULT(
        INDEX($X$5:$AM$77, MATCH(BH$100,_xlfn.ANCHORARRAY( $W$5), 0), 0),
        $F$5:$U$20
    ),
    TRANSPOSE(
        INDEX($X$5:$AM$77, MATCH($A121,_xlfn.ANCHORARRAY( $W$5), 0), 0)
    )
)
/
(
    INDEX($AN$5:$AN$77, MATCH(BH$100,_xlfn.ANCHORARRAY( $W$5), 0))
    *
    INDEX($AN$5:$AN$77, MATCH($A121,_xlfn.ANCHORARRAY( $W$5), 0))
)</f>
        <v>0.6947567922061707</v>
      </c>
      <c r="BI121" s="17" cm="1">
        <f t="array" ref="BI121">MMULT(
    MMULT(
        INDEX($X$5:$AM$77, MATCH(BI$100,_xlfn.ANCHORARRAY( $W$5), 0), 0),
        $F$5:$U$20
    ),
    TRANSPOSE(
        INDEX($X$5:$AM$77, MATCH($A121,_xlfn.ANCHORARRAY( $W$5), 0), 0)
    )
)
/
(
    INDEX($AN$5:$AN$77, MATCH(BI$100,_xlfn.ANCHORARRAY( $W$5), 0))
    *
    INDEX($AN$5:$AN$77, MATCH($A121,_xlfn.ANCHORARRAY( $W$5), 0))
)</f>
        <v>0.60092095447725291</v>
      </c>
      <c r="BJ121" s="17" cm="1">
        <f t="array" ref="BJ121">MMULT(
    MMULT(
        INDEX($X$5:$AM$77, MATCH(BJ$100,_xlfn.ANCHORARRAY( $W$5), 0), 0),
        $F$5:$U$20
    ),
    TRANSPOSE(
        INDEX($X$5:$AM$77, MATCH($A121,_xlfn.ANCHORARRAY( $W$5), 0), 0)
    )
)
/
(
    INDEX($AN$5:$AN$77, MATCH(BJ$100,_xlfn.ANCHORARRAY( $W$5), 0))
    *
    INDEX($AN$5:$AN$77, MATCH($A121,_xlfn.ANCHORARRAY( $W$5), 0))
)</f>
        <v>0.57690733024195062</v>
      </c>
      <c r="BK121" s="17" cm="1">
        <f t="array" ref="BK121">MMULT(
    MMULT(
        INDEX($X$5:$AM$77, MATCH(BK$100,_xlfn.ANCHORARRAY( $W$5), 0), 0),
        $F$5:$U$20
    ),
    TRANSPOSE(
        INDEX($X$5:$AM$77, MATCH($A121,_xlfn.ANCHORARRAY( $W$5), 0), 0)
    )
)
/
(
    INDEX($AN$5:$AN$77, MATCH(BK$100,_xlfn.ANCHORARRAY( $W$5), 0))
    *
    INDEX($AN$5:$AN$77, MATCH($A121,_xlfn.ANCHORARRAY( $W$5), 0))
)</f>
        <v>0.72529818226948961</v>
      </c>
      <c r="BL121" s="17" cm="1">
        <f t="array" ref="BL121">MMULT(
    MMULT(
        INDEX($X$5:$AM$77, MATCH(BL$100,_xlfn.ANCHORARRAY( $W$5), 0), 0),
        $F$5:$U$20
    ),
    TRANSPOSE(
        INDEX($X$5:$AM$77, MATCH($A121,_xlfn.ANCHORARRAY( $W$5), 0), 0)
    )
)
/
(
    INDEX($AN$5:$AN$77, MATCH(BL$100,_xlfn.ANCHORARRAY( $W$5), 0))
    *
    INDEX($AN$5:$AN$77, MATCH($A121,_xlfn.ANCHORARRAY( $W$5), 0))
)</f>
        <v>0.17712401051309939</v>
      </c>
      <c r="BM121" s="17" cm="1">
        <f t="array" ref="BM121">MMULT(
    MMULT(
        INDEX($X$5:$AM$77, MATCH(BM$100,_xlfn.ANCHORARRAY( $W$5), 0), 0),
        $F$5:$U$20
    ),
    TRANSPOSE(
        INDEX($X$5:$AM$77, MATCH($A121,_xlfn.ANCHORARRAY( $W$5), 0), 0)
    )
)
/
(
    INDEX($AN$5:$AN$77, MATCH(BM$100,_xlfn.ANCHORARRAY( $W$5), 0))
    *
    INDEX($AN$5:$AN$77, MATCH($A121,_xlfn.ANCHORARRAY( $W$5), 0))
)</f>
        <v>0.39011133964386202</v>
      </c>
      <c r="BN121" s="17" cm="1">
        <f t="array" ref="BN121">MMULT(
    MMULT(
        INDEX($X$5:$AM$77, MATCH(BN$100,_xlfn.ANCHORARRAY( $W$5), 0), 0),
        $F$5:$U$20
    ),
    TRANSPOSE(
        INDEX($X$5:$AM$77, MATCH($A121,_xlfn.ANCHORARRAY( $W$5), 0), 0)
    )
)
/
(
    INDEX($AN$5:$AN$77, MATCH(BN$100,_xlfn.ANCHORARRAY( $W$5), 0))
    *
    INDEX($AN$5:$AN$77, MATCH($A121,_xlfn.ANCHORARRAY( $W$5), 0))
)</f>
        <v>0.75288336610141748</v>
      </c>
      <c r="BO121" s="17" cm="1">
        <f t="array" ref="BO121">MMULT(
    MMULT(
        INDEX($X$5:$AM$77, MATCH(BO$100,_xlfn.ANCHORARRAY( $W$5), 0), 0),
        $F$5:$U$20
    ),
    TRANSPOSE(
        INDEX($X$5:$AM$77, MATCH($A121,_xlfn.ANCHORARRAY( $W$5), 0), 0)
    )
)
/
(
    INDEX($AN$5:$AN$77, MATCH(BO$100,_xlfn.ANCHORARRAY( $W$5), 0))
    *
    INDEX($AN$5:$AN$77, MATCH($A121,_xlfn.ANCHORARRAY( $W$5), 0))
)</f>
        <v>0.50667123709799977</v>
      </c>
      <c r="BP121" s="17" cm="1">
        <f t="array" ref="BP121">MMULT(
    MMULT(
        INDEX($X$5:$AM$77, MATCH(BP$100,_xlfn.ANCHORARRAY( $W$5), 0), 0),
        $F$5:$U$20
    ),
    TRANSPOSE(
        INDEX($X$5:$AM$77, MATCH($A121,_xlfn.ANCHORARRAY( $W$5), 0), 0)
    )
)
/
(
    INDEX($AN$5:$AN$77, MATCH(BP$100,_xlfn.ANCHORARRAY( $W$5), 0))
    *
    INDEX($AN$5:$AN$77, MATCH($A121,_xlfn.ANCHORARRAY( $W$5), 0))
)</f>
        <v>0.59784116070505566</v>
      </c>
      <c r="BQ121" s="17" cm="1">
        <f t="array" ref="BQ121">MMULT(
    MMULT(
        INDEX($X$5:$AM$77, MATCH(BQ$100,_xlfn.ANCHORARRAY( $W$5), 0), 0),
        $F$5:$U$20
    ),
    TRANSPOSE(
        INDEX($X$5:$AM$77, MATCH($A121,_xlfn.ANCHORARRAY( $W$5), 0), 0)
    )
)
/
(
    INDEX($AN$5:$AN$77, MATCH(BQ$100,_xlfn.ANCHORARRAY( $W$5), 0))
    *
    INDEX($AN$5:$AN$77, MATCH($A121,_xlfn.ANCHORARRAY( $W$5), 0))
)</f>
        <v>0.61250163471428209</v>
      </c>
      <c r="BR121" s="17" cm="1">
        <f t="array" ref="BR121">MMULT(
    MMULT(
        INDEX($X$5:$AM$77, MATCH(BR$100,_xlfn.ANCHORARRAY( $W$5), 0), 0),
        $F$5:$U$20
    ),
    TRANSPOSE(
        INDEX($X$5:$AM$77, MATCH($A121,_xlfn.ANCHORARRAY( $W$5), 0), 0)
    )
)
/
(
    INDEX($AN$5:$AN$77, MATCH(BR$100,_xlfn.ANCHORARRAY( $W$5), 0))
    *
    INDEX($AN$5:$AN$77, MATCH($A121,_xlfn.ANCHORARRAY( $W$5), 0))
)</f>
        <v>0.65693367301830508</v>
      </c>
      <c r="BS121" s="17" cm="1">
        <f t="array" ref="BS121">MMULT(
    MMULT(
        INDEX($X$5:$AM$77, MATCH(BS$100,_xlfn.ANCHORARRAY( $W$5), 0), 0),
        $F$5:$U$20
    ),
    TRANSPOSE(
        INDEX($X$5:$AM$77, MATCH($A121,_xlfn.ANCHORARRAY( $W$5), 0), 0)
    )
)
/
(
    INDEX($AN$5:$AN$77, MATCH(BS$100,_xlfn.ANCHORARRAY( $W$5), 0))
    *
    INDEX($AN$5:$AN$77, MATCH($A121,_xlfn.ANCHORARRAY( $W$5), 0))
)</f>
        <v>0.38143471488759678</v>
      </c>
      <c r="BT121" s="17" cm="1">
        <f t="array" ref="BT121">MMULT(
    MMULT(
        INDEX($X$5:$AM$77, MATCH(BT$100,_xlfn.ANCHORARRAY( $W$5), 0), 0),
        $F$5:$U$20
    ),
    TRANSPOSE(
        INDEX($X$5:$AM$77, MATCH($A121,_xlfn.ANCHORARRAY( $W$5), 0), 0)
    )
)
/
(
    INDEX($AN$5:$AN$77, MATCH(BT$100,_xlfn.ANCHORARRAY( $W$5), 0))
    *
    INDEX($AN$5:$AN$77, MATCH($A121,_xlfn.ANCHORARRAY( $W$5), 0))
)</f>
        <v>0.61339868149363086</v>
      </c>
      <c r="BU121" s="17" cm="1">
        <f t="array" ref="BU121">MMULT(
    MMULT(
        INDEX($X$5:$AM$77, MATCH(BU$100,_xlfn.ANCHORARRAY( $W$5), 0), 0),
        $F$5:$U$20
    ),
    TRANSPOSE(
        INDEX($X$5:$AM$77, MATCH($A121,_xlfn.ANCHORARRAY( $W$5), 0), 0)
    )
)
/
(
    INDEX($AN$5:$AN$77, MATCH(BU$100,_xlfn.ANCHORARRAY( $W$5), 0))
    *
    INDEX($AN$5:$AN$77, MATCH($A121,_xlfn.ANCHORARRAY( $W$5), 0))
)</f>
        <v>0.6980753013452573</v>
      </c>
      <c r="BV121" s="17" cm="1">
        <f t="array" ref="BV121">MMULT(
    MMULT(
        INDEX($X$5:$AM$77, MATCH(BV$100,_xlfn.ANCHORARRAY( $W$5), 0), 0),
        $F$5:$U$20
    ),
    TRANSPOSE(
        INDEX($X$5:$AM$77, MATCH($A121,_xlfn.ANCHORARRAY( $W$5), 0), 0)
    )
)
/
(
    INDEX($AN$5:$AN$77, MATCH(BV$100,_xlfn.ANCHORARRAY( $W$5), 0))
    *
    INDEX($AN$5:$AN$77, MATCH($A121,_xlfn.ANCHORARRAY( $W$5), 0))
)</f>
        <v>0.45733955711713653</v>
      </c>
    </row>
    <row r="122" spans="1:74" x14ac:dyDescent="0.3">
      <c r="A122" s="7" t="str">
        <v>McHugh, Collin</v>
      </c>
      <c r="B122" s="17" cm="1">
        <f t="array" ref="B122">MMULT(
    MMULT(
        INDEX($X$5:$AM$77, MATCH(B$100,_xlfn.ANCHORARRAY( $W$5), 0), 0),
        $F$5:$U$20
    ),
    TRANSPOSE(
        INDEX($X$5:$AM$77, MATCH($A122,_xlfn.ANCHORARRAY( $W$5), 0), 0)
    )
)
/
(
    INDEX($AN$5:$AN$77, MATCH(B$100,_xlfn.ANCHORARRAY( $W$5), 0))
    *
    INDEX($AN$5:$AN$77, MATCH($A122,_xlfn.ANCHORARRAY( $W$5), 0))
)</f>
        <v>0.63781032851642039</v>
      </c>
      <c r="C122" s="17" cm="1">
        <f t="array" ref="C122">MMULT(
    MMULT(
        INDEX($X$5:$AM$77, MATCH(C$100,_xlfn.ANCHORARRAY( $W$5), 0), 0),
        $F$5:$U$20
    ),
    TRANSPOSE(
        INDEX($X$5:$AM$77, MATCH($A122,_xlfn.ANCHORARRAY( $W$5), 0), 0)
    )
)
/
(
    INDEX($AN$5:$AN$77, MATCH(C$100,_xlfn.ANCHORARRAY( $W$5), 0))
    *
    INDEX($AN$5:$AN$77, MATCH($A122,_xlfn.ANCHORARRAY( $W$5), 0))
)</f>
        <v>0.47018610886645479</v>
      </c>
      <c r="D122" s="17" cm="1">
        <f t="array" ref="D122">MMULT(
    MMULT(
        INDEX($X$5:$AM$77, MATCH(D$100,_xlfn.ANCHORARRAY( $W$5), 0), 0),
        $F$5:$U$20
    ),
    TRANSPOSE(
        INDEX($X$5:$AM$77, MATCH($A122,_xlfn.ANCHORARRAY( $W$5), 0), 0)
    )
)
/
(
    INDEX($AN$5:$AN$77, MATCH(D$100,_xlfn.ANCHORARRAY( $W$5), 0))
    *
    INDEX($AN$5:$AN$77, MATCH($A122,_xlfn.ANCHORARRAY( $W$5), 0))
)</f>
        <v>0.68586206081523504</v>
      </c>
      <c r="E122" s="17" cm="1">
        <f t="array" ref="E122">MMULT(
    MMULT(
        INDEX($X$5:$AM$77, MATCH(E$100,_xlfn.ANCHORARRAY( $W$5), 0), 0),
        $F$5:$U$20
    ),
    TRANSPOSE(
        INDEX($X$5:$AM$77, MATCH($A122,_xlfn.ANCHORARRAY( $W$5), 0), 0)
    )
)
/
(
    INDEX($AN$5:$AN$77, MATCH(E$100,_xlfn.ANCHORARRAY( $W$5), 0))
    *
    INDEX($AN$5:$AN$77, MATCH($A122,_xlfn.ANCHORARRAY( $W$5), 0))
)</f>
        <v>0.70555125464005031</v>
      </c>
      <c r="F122" s="17" cm="1">
        <f t="array" ref="F122">MMULT(
    MMULT(
        INDEX($X$5:$AM$77, MATCH(F$100,_xlfn.ANCHORARRAY( $W$5), 0), 0),
        $F$5:$U$20
    ),
    TRANSPOSE(
        INDEX($X$5:$AM$77, MATCH($A122,_xlfn.ANCHORARRAY( $W$5), 0), 0)
    )
)
/
(
    INDEX($AN$5:$AN$77, MATCH(F$100,_xlfn.ANCHORARRAY( $W$5), 0))
    *
    INDEX($AN$5:$AN$77, MATCH($A122,_xlfn.ANCHORARRAY( $W$5), 0))
)</f>
        <v>0.71170112590737911</v>
      </c>
      <c r="G122" s="17" cm="1">
        <f t="array" ref="G122">MMULT(
    MMULT(
        INDEX($X$5:$AM$77, MATCH(G$100,_xlfn.ANCHORARRAY( $W$5), 0), 0),
        $F$5:$U$20
    ),
    TRANSPOSE(
        INDEX($X$5:$AM$77, MATCH($A122,_xlfn.ANCHORARRAY( $W$5), 0), 0)
    )
)
/
(
    INDEX($AN$5:$AN$77, MATCH(G$100,_xlfn.ANCHORARRAY( $W$5), 0))
    *
    INDEX($AN$5:$AN$77, MATCH($A122,_xlfn.ANCHORARRAY( $W$5), 0))
)</f>
        <v>0.42494502191912609</v>
      </c>
      <c r="H122" s="17" cm="1">
        <f t="array" ref="H122">MMULT(
    MMULT(
        INDEX($X$5:$AM$77, MATCH(H$100,_xlfn.ANCHORARRAY( $W$5), 0), 0),
        $F$5:$U$20
    ),
    TRANSPOSE(
        INDEX($X$5:$AM$77, MATCH($A122,_xlfn.ANCHORARRAY( $W$5), 0), 0)
    )
)
/
(
    INDEX($AN$5:$AN$77, MATCH(H$100,_xlfn.ANCHORARRAY( $W$5), 0))
    *
    INDEX($AN$5:$AN$77, MATCH($A122,_xlfn.ANCHORARRAY( $W$5), 0))
)</f>
        <v>0.64075931722748658</v>
      </c>
      <c r="I122" s="17" cm="1">
        <f t="array" ref="I122">MMULT(
    MMULT(
        INDEX($X$5:$AM$77, MATCH(I$100,_xlfn.ANCHORARRAY( $W$5), 0), 0),
        $F$5:$U$20
    ),
    TRANSPOSE(
        INDEX($X$5:$AM$77, MATCH($A122,_xlfn.ANCHORARRAY( $W$5), 0), 0)
    )
)
/
(
    INDEX($AN$5:$AN$77, MATCH(I$100,_xlfn.ANCHORARRAY( $W$5), 0))
    *
    INDEX($AN$5:$AN$77, MATCH($A122,_xlfn.ANCHORARRAY( $W$5), 0))
)</f>
        <v>0.53810152326967087</v>
      </c>
      <c r="J122" s="17" cm="1">
        <f t="array" ref="J122">MMULT(
    MMULT(
        INDEX($X$5:$AM$77, MATCH(J$100,_xlfn.ANCHORARRAY( $W$5), 0), 0),
        $F$5:$U$20
    ),
    TRANSPOSE(
        INDEX($X$5:$AM$77, MATCH($A122,_xlfn.ANCHORARRAY( $W$5), 0), 0)
    )
)
/
(
    INDEX($AN$5:$AN$77, MATCH(J$100,_xlfn.ANCHORARRAY( $W$5), 0))
    *
    INDEX($AN$5:$AN$77, MATCH($A122,_xlfn.ANCHORARRAY( $W$5), 0))
)</f>
        <v>0.71991420791385896</v>
      </c>
      <c r="K122" s="17" cm="1">
        <f t="array" ref="K122">MMULT(
    MMULT(
        INDEX($X$5:$AM$77, MATCH(K$100,_xlfn.ANCHORARRAY( $W$5), 0), 0),
        $F$5:$U$20
    ),
    TRANSPOSE(
        INDEX($X$5:$AM$77, MATCH($A122,_xlfn.ANCHORARRAY( $W$5), 0), 0)
    )
)
/
(
    INDEX($AN$5:$AN$77, MATCH(K$100,_xlfn.ANCHORARRAY( $W$5), 0))
    *
    INDEX($AN$5:$AN$77, MATCH($A122,_xlfn.ANCHORARRAY( $W$5), 0))
)</f>
        <v>0.68169857341050943</v>
      </c>
      <c r="L122" s="17" cm="1">
        <f t="array" ref="L122">MMULT(
    MMULT(
        INDEX($X$5:$AM$77, MATCH(L$100,_xlfn.ANCHORARRAY( $W$5), 0), 0),
        $F$5:$U$20
    ),
    TRANSPOSE(
        INDEX($X$5:$AM$77, MATCH($A122,_xlfn.ANCHORARRAY( $W$5), 0), 0)
    )
)
/
(
    INDEX($AN$5:$AN$77, MATCH(L$100,_xlfn.ANCHORARRAY( $W$5), 0))
    *
    INDEX($AN$5:$AN$77, MATCH($A122,_xlfn.ANCHORARRAY( $W$5), 0))
)</f>
        <v>0.68692073418694222</v>
      </c>
      <c r="M122" s="17" cm="1">
        <f t="array" ref="M122">MMULT(
    MMULT(
        INDEX($X$5:$AM$77, MATCH(M$100,_xlfn.ANCHORARRAY( $W$5), 0), 0),
        $F$5:$U$20
    ),
    TRANSPOSE(
        INDEX($X$5:$AM$77, MATCH($A122,_xlfn.ANCHORARRAY( $W$5), 0), 0)
    )
)
/
(
    INDEX($AN$5:$AN$77, MATCH(M$100,_xlfn.ANCHORARRAY( $W$5), 0))
    *
    INDEX($AN$5:$AN$77, MATCH($A122,_xlfn.ANCHORARRAY( $W$5), 0))
)</f>
        <v>0.57734543850919096</v>
      </c>
      <c r="N122" s="17" cm="1">
        <f t="array" ref="N122">MMULT(
    MMULT(
        INDEX($X$5:$AM$77, MATCH(N$100,_xlfn.ANCHORARRAY( $W$5), 0), 0),
        $F$5:$U$20
    ),
    TRANSPOSE(
        INDEX($X$5:$AM$77, MATCH($A122,_xlfn.ANCHORARRAY( $W$5), 0), 0)
    )
)
/
(
    INDEX($AN$5:$AN$77, MATCH(N$100,_xlfn.ANCHORARRAY( $W$5), 0))
    *
    INDEX($AN$5:$AN$77, MATCH($A122,_xlfn.ANCHORARRAY( $W$5), 0))
)</f>
        <v>0.69471388104144627</v>
      </c>
      <c r="O122" s="17" cm="1">
        <f t="array" ref="O122">MMULT(
    MMULT(
        INDEX($X$5:$AM$77, MATCH(O$100,_xlfn.ANCHORARRAY( $W$5), 0), 0),
        $F$5:$U$20
    ),
    TRANSPOSE(
        INDEX($X$5:$AM$77, MATCH($A122,_xlfn.ANCHORARRAY( $W$5), 0), 0)
    )
)
/
(
    INDEX($AN$5:$AN$77, MATCH(O$100,_xlfn.ANCHORARRAY( $W$5), 0))
    *
    INDEX($AN$5:$AN$77, MATCH($A122,_xlfn.ANCHORARRAY( $W$5), 0))
)</f>
        <v>0.68766600889180152</v>
      </c>
      <c r="P122" s="17" cm="1">
        <f t="array" ref="P122">MMULT(
    MMULT(
        INDEX($X$5:$AM$77, MATCH(P$100,_xlfn.ANCHORARRAY( $W$5), 0), 0),
        $F$5:$U$20
    ),
    TRANSPOSE(
        INDEX($X$5:$AM$77, MATCH($A122,_xlfn.ANCHORARRAY( $W$5), 0), 0)
    )
)
/
(
    INDEX($AN$5:$AN$77, MATCH(P$100,_xlfn.ANCHORARRAY( $W$5), 0))
    *
    INDEX($AN$5:$AN$77, MATCH($A122,_xlfn.ANCHORARRAY( $W$5), 0))
)</f>
        <v>0.75538415966209616</v>
      </c>
      <c r="Q122" s="17" cm="1">
        <f t="array" ref="Q122">MMULT(
    MMULT(
        INDEX($X$5:$AM$77, MATCH(Q$100,_xlfn.ANCHORARRAY( $W$5), 0), 0),
        $F$5:$U$20
    ),
    TRANSPOSE(
        INDEX($X$5:$AM$77, MATCH($A122,_xlfn.ANCHORARRAY( $W$5), 0), 0)
    )
)
/
(
    INDEX($AN$5:$AN$77, MATCH(Q$100,_xlfn.ANCHORARRAY( $W$5), 0))
    *
    INDEX($AN$5:$AN$77, MATCH($A122,_xlfn.ANCHORARRAY( $W$5), 0))
)</f>
        <v>0.66249566459111342</v>
      </c>
      <c r="R122" s="17" cm="1">
        <f t="array" ref="R122">MMULT(
    MMULT(
        INDEX($X$5:$AM$77, MATCH(R$100,_xlfn.ANCHORARRAY( $W$5), 0), 0),
        $F$5:$U$20
    ),
    TRANSPOSE(
        INDEX($X$5:$AM$77, MATCH($A122,_xlfn.ANCHORARRAY( $W$5), 0), 0)
    )
)
/
(
    INDEX($AN$5:$AN$77, MATCH(R$100,_xlfn.ANCHORARRAY( $W$5), 0))
    *
    INDEX($AN$5:$AN$77, MATCH($A122,_xlfn.ANCHORARRAY( $W$5), 0))
)</f>
        <v>0.65707365162210163</v>
      </c>
      <c r="S122" s="17" cm="1">
        <f t="array" ref="S122">MMULT(
    MMULT(
        INDEX($X$5:$AM$77, MATCH(S$100,_xlfn.ANCHORARRAY( $W$5), 0), 0),
        $F$5:$U$20
    ),
    TRANSPOSE(
        INDEX($X$5:$AM$77, MATCH($A122,_xlfn.ANCHORARRAY( $W$5), 0), 0)
    )
)
/
(
    INDEX($AN$5:$AN$77, MATCH(S$100,_xlfn.ANCHORARRAY( $W$5), 0))
    *
    INDEX($AN$5:$AN$77, MATCH($A122,_xlfn.ANCHORARRAY( $W$5), 0))
)</f>
        <v>0.581350960788523</v>
      </c>
      <c r="T122" s="17" cm="1">
        <f t="array" ref="T122">MMULT(
    MMULT(
        INDEX($X$5:$AM$77, MATCH(T$100,_xlfn.ANCHORARRAY( $W$5), 0), 0),
        $F$5:$U$20
    ),
    TRANSPOSE(
        INDEX($X$5:$AM$77, MATCH($A122,_xlfn.ANCHORARRAY( $W$5), 0), 0)
    )
)
/
(
    INDEX($AN$5:$AN$77, MATCH(T$100,_xlfn.ANCHORARRAY( $W$5), 0))
    *
    INDEX($AN$5:$AN$77, MATCH($A122,_xlfn.ANCHORARRAY( $W$5), 0))
)</f>
        <v>0.23347477428723387</v>
      </c>
      <c r="U122" s="17" cm="1">
        <f t="array" ref="U122">MMULT(
    MMULT(
        INDEX($X$5:$AM$77, MATCH(U$100,_xlfn.ANCHORARRAY( $W$5), 0), 0),
        $F$5:$U$20
    ),
    TRANSPOSE(
        INDEX($X$5:$AM$77, MATCH($A122,_xlfn.ANCHORARRAY( $W$5), 0), 0)
    )
)
/
(
    INDEX($AN$5:$AN$77, MATCH(U$100,_xlfn.ANCHORARRAY( $W$5), 0))
    *
    INDEX($AN$5:$AN$77, MATCH($A122,_xlfn.ANCHORARRAY( $W$5), 0))
)</f>
        <v>0.67948240130748994</v>
      </c>
      <c r="V122" s="17" cm="1">
        <f t="array" ref="V122">MMULT(
    MMULT(
        INDEX($X$5:$AM$77, MATCH(V$100,_xlfn.ANCHORARRAY( $W$5), 0), 0),
        $F$5:$U$20
    ),
    TRANSPOSE(
        INDEX($X$5:$AM$77, MATCH($A122,_xlfn.ANCHORARRAY( $W$5), 0), 0)
    )
)
/
(
    INDEX($AN$5:$AN$77, MATCH(V$100,_xlfn.ANCHORARRAY( $W$5), 0))
    *
    INDEX($AN$5:$AN$77, MATCH($A122,_xlfn.ANCHORARRAY( $W$5), 0))
)</f>
        <v>0.47166376692463058</v>
      </c>
      <c r="W122" s="17" cm="1">
        <f t="array" ref="W122">MMULT(
    MMULT(
        INDEX($X$5:$AM$77, MATCH(W$100,_xlfn.ANCHORARRAY( $W$5), 0), 0),
        $F$5:$U$20
    ),
    TRANSPOSE(
        INDEX($X$5:$AM$77, MATCH($A122,_xlfn.ANCHORARRAY( $W$5), 0), 0)
    )
)
/
(
    INDEX($AN$5:$AN$77, MATCH(W$100,_xlfn.ANCHORARRAY( $W$5), 0))
    *
    INDEX($AN$5:$AN$77, MATCH($A122,_xlfn.ANCHORARRAY( $W$5), 0))
)</f>
        <v>1.0000000000000002</v>
      </c>
      <c r="X122" s="17" cm="1">
        <f t="array" ref="X122">MMULT(
    MMULT(
        INDEX($X$5:$AM$77, MATCH(X$100,_xlfn.ANCHORARRAY( $W$5), 0), 0),
        $F$5:$U$20
    ),
    TRANSPOSE(
        INDEX($X$5:$AM$77, MATCH($A122,_xlfn.ANCHORARRAY( $W$5), 0), 0)
    )
)
/
(
    INDEX($AN$5:$AN$77, MATCH(X$100,_xlfn.ANCHORARRAY( $W$5), 0))
    *
    INDEX($AN$5:$AN$77, MATCH($A122,_xlfn.ANCHORARRAY( $W$5), 0))
)</f>
        <v>0.71088716938718155</v>
      </c>
      <c r="Y122" s="17" cm="1">
        <f t="array" ref="Y122">MMULT(
    MMULT(
        INDEX($X$5:$AM$77, MATCH(Y$100,_xlfn.ANCHORARRAY( $W$5), 0), 0),
        $F$5:$U$20
    ),
    TRANSPOSE(
        INDEX($X$5:$AM$77, MATCH($A122,_xlfn.ANCHORARRAY( $W$5), 0), 0)
    )
)
/
(
    INDEX($AN$5:$AN$77, MATCH(Y$100,_xlfn.ANCHORARRAY( $W$5), 0))
    *
    INDEX($AN$5:$AN$77, MATCH($A122,_xlfn.ANCHORARRAY( $W$5), 0))
)</f>
        <v>0.46764789225312137</v>
      </c>
      <c r="Z122" s="17" cm="1">
        <f t="array" ref="Z122">MMULT(
    MMULT(
        INDEX($X$5:$AM$77, MATCH(Z$100,_xlfn.ANCHORARRAY( $W$5), 0), 0),
        $F$5:$U$20
    ),
    TRANSPOSE(
        INDEX($X$5:$AM$77, MATCH($A122,_xlfn.ANCHORARRAY( $W$5), 0), 0)
    )
)
/
(
    INDEX($AN$5:$AN$77, MATCH(Z$100,_xlfn.ANCHORARRAY( $W$5), 0))
    *
    INDEX($AN$5:$AN$77, MATCH($A122,_xlfn.ANCHORARRAY( $W$5), 0))
)</f>
        <v>0.70490902705353686</v>
      </c>
      <c r="AA122" s="17" cm="1">
        <f t="array" ref="AA122">MMULT(
    MMULT(
        INDEX($X$5:$AM$77, MATCH(AA$100,_xlfn.ANCHORARRAY( $W$5), 0), 0),
        $F$5:$U$20
    ),
    TRANSPOSE(
        INDEX($X$5:$AM$77, MATCH($A122,_xlfn.ANCHORARRAY( $W$5), 0), 0)
    )
)
/
(
    INDEX($AN$5:$AN$77, MATCH(AA$100,_xlfn.ANCHORARRAY( $W$5), 0))
    *
    INDEX($AN$5:$AN$77, MATCH($A122,_xlfn.ANCHORARRAY( $W$5), 0))
)</f>
        <v>0.70761189422108917</v>
      </c>
      <c r="AB122" s="17" cm="1">
        <f t="array" ref="AB122">MMULT(
    MMULT(
        INDEX($X$5:$AM$77, MATCH(AB$100,_xlfn.ANCHORARRAY( $W$5), 0), 0),
        $F$5:$U$20
    ),
    TRANSPOSE(
        INDEX($X$5:$AM$77, MATCH($A122,_xlfn.ANCHORARRAY( $W$5), 0), 0)
    )
)
/
(
    INDEX($AN$5:$AN$77, MATCH(AB$100,_xlfn.ANCHORARRAY( $W$5), 0))
    *
    INDEX($AN$5:$AN$77, MATCH($A122,_xlfn.ANCHORARRAY( $W$5), 0))
)</f>
        <v>0.71143559976801096</v>
      </c>
      <c r="AC122" s="17" cm="1">
        <f t="array" ref="AC122">MMULT(
    MMULT(
        INDEX($X$5:$AM$77, MATCH(AC$100,_xlfn.ANCHORARRAY( $W$5), 0), 0),
        $F$5:$U$20
    ),
    TRANSPOSE(
        INDEX($X$5:$AM$77, MATCH($A122,_xlfn.ANCHORARRAY( $W$5), 0), 0)
    )
)
/
(
    INDEX($AN$5:$AN$77, MATCH(AC$100,_xlfn.ANCHORARRAY( $W$5), 0))
    *
    INDEX($AN$5:$AN$77, MATCH($A122,_xlfn.ANCHORARRAY( $W$5), 0))
)</f>
        <v>0.81151441827820503</v>
      </c>
      <c r="AD122" s="17" cm="1">
        <f t="array" ref="AD122">MMULT(
    MMULT(
        INDEX($X$5:$AM$77, MATCH(AD$100,_xlfn.ANCHORARRAY( $W$5), 0), 0),
        $F$5:$U$20
    ),
    TRANSPOSE(
        INDEX($X$5:$AM$77, MATCH($A122,_xlfn.ANCHORARRAY( $W$5), 0), 0)
    )
)
/
(
    INDEX($AN$5:$AN$77, MATCH(AD$100,_xlfn.ANCHORARRAY( $W$5), 0))
    *
    INDEX($AN$5:$AN$77, MATCH($A122,_xlfn.ANCHORARRAY( $W$5), 0))
)</f>
        <v>0.70433770976950671</v>
      </c>
      <c r="AE122" s="17" cm="1">
        <f t="array" ref="AE122">MMULT(
    MMULT(
        INDEX($X$5:$AM$77, MATCH(AE$100,_xlfn.ANCHORARRAY( $W$5), 0), 0),
        $F$5:$U$20
    ),
    TRANSPOSE(
        INDEX($X$5:$AM$77, MATCH($A122,_xlfn.ANCHORARRAY( $W$5), 0), 0)
    )
)
/
(
    INDEX($AN$5:$AN$77, MATCH(AE$100,_xlfn.ANCHORARRAY( $W$5), 0))
    *
    INDEX($AN$5:$AN$77, MATCH($A122,_xlfn.ANCHORARRAY( $W$5), 0))
)</f>
        <v>0.5411487799261111</v>
      </c>
      <c r="AF122" s="17" cm="1">
        <f t="array" ref="AF122">MMULT(
    MMULT(
        INDEX($X$5:$AM$77, MATCH(AF$100,_xlfn.ANCHORARRAY( $W$5), 0), 0),
        $F$5:$U$20
    ),
    TRANSPOSE(
        INDEX($X$5:$AM$77, MATCH($A122,_xlfn.ANCHORARRAY( $W$5), 0), 0)
    )
)
/
(
    INDEX($AN$5:$AN$77, MATCH(AF$100,_xlfn.ANCHORARRAY( $W$5), 0))
    *
    INDEX($AN$5:$AN$77, MATCH($A122,_xlfn.ANCHORARRAY( $W$5), 0))
)</f>
        <v>0.56380260464359122</v>
      </c>
      <c r="AG122" s="17" cm="1">
        <f t="array" ref="AG122">MMULT(
    MMULT(
        INDEX($X$5:$AM$77, MATCH(AG$100,_xlfn.ANCHORARRAY( $W$5), 0), 0),
        $F$5:$U$20
    ),
    TRANSPOSE(
        INDEX($X$5:$AM$77, MATCH($A122,_xlfn.ANCHORARRAY( $W$5), 0), 0)
    )
)
/
(
    INDEX($AN$5:$AN$77, MATCH(AG$100,_xlfn.ANCHORARRAY( $W$5), 0))
    *
    INDEX($AN$5:$AN$77, MATCH($A122,_xlfn.ANCHORARRAY( $W$5), 0))
)</f>
        <v>0.70337013878949617</v>
      </c>
      <c r="AH122" s="17" cm="1">
        <f t="array" ref="AH122">MMULT(
    MMULT(
        INDEX($X$5:$AM$77, MATCH(AH$100,_xlfn.ANCHORARRAY( $W$5), 0), 0),
        $F$5:$U$20
    ),
    TRANSPOSE(
        INDEX($X$5:$AM$77, MATCH($A122,_xlfn.ANCHORARRAY( $W$5), 0), 0)
    )
)
/
(
    INDEX($AN$5:$AN$77, MATCH(AH$100,_xlfn.ANCHORARRAY( $W$5), 0))
    *
    INDEX($AN$5:$AN$77, MATCH($A122,_xlfn.ANCHORARRAY( $W$5), 0))
)</f>
        <v>0.40689982216797427</v>
      </c>
      <c r="AI122" s="17" cm="1">
        <f t="array" ref="AI122">MMULT(
    MMULT(
        INDEX($X$5:$AM$77, MATCH(AI$100,_xlfn.ANCHORARRAY( $W$5), 0), 0),
        $F$5:$U$20
    ),
    TRANSPOSE(
        INDEX($X$5:$AM$77, MATCH($A122,_xlfn.ANCHORARRAY( $W$5), 0), 0)
    )
)
/
(
    INDEX($AN$5:$AN$77, MATCH(AI$100,_xlfn.ANCHORARRAY( $W$5), 0))
    *
    INDEX($AN$5:$AN$77, MATCH($A122,_xlfn.ANCHORARRAY( $W$5), 0))
)</f>
        <v>0.59103913326468982</v>
      </c>
      <c r="AJ122" s="17" cm="1">
        <f t="array" ref="AJ122">MMULT(
    MMULT(
        INDEX($X$5:$AM$77, MATCH(AJ$100,_xlfn.ANCHORARRAY( $W$5), 0), 0),
        $F$5:$U$20
    ),
    TRANSPOSE(
        INDEX($X$5:$AM$77, MATCH($A122,_xlfn.ANCHORARRAY( $W$5), 0), 0)
    )
)
/
(
    INDEX($AN$5:$AN$77, MATCH(AJ$100,_xlfn.ANCHORARRAY( $W$5), 0))
    *
    INDEX($AN$5:$AN$77, MATCH($A122,_xlfn.ANCHORARRAY( $W$5), 0))
)</f>
        <v>0.6827441729333279</v>
      </c>
      <c r="AK122" s="17" cm="1">
        <f t="array" ref="AK122">MMULT(
    MMULT(
        INDEX($X$5:$AM$77, MATCH(AK$100,_xlfn.ANCHORARRAY( $W$5), 0), 0),
        $F$5:$U$20
    ),
    TRANSPOSE(
        INDEX($X$5:$AM$77, MATCH($A122,_xlfn.ANCHORARRAY( $W$5), 0), 0)
    )
)
/
(
    INDEX($AN$5:$AN$77, MATCH(AK$100,_xlfn.ANCHORARRAY( $W$5), 0))
    *
    INDEX($AN$5:$AN$77, MATCH($A122,_xlfn.ANCHORARRAY( $W$5), 0))
)</f>
        <v>0.76106960170260163</v>
      </c>
      <c r="AL122" s="17" cm="1">
        <f t="array" ref="AL122">MMULT(
    MMULT(
        INDEX($X$5:$AM$77, MATCH(AL$100,_xlfn.ANCHORARRAY( $W$5), 0), 0),
        $F$5:$U$20
    ),
    TRANSPOSE(
        INDEX($X$5:$AM$77, MATCH($A122,_xlfn.ANCHORARRAY( $W$5), 0), 0)
    )
)
/
(
    INDEX($AN$5:$AN$77, MATCH(AL$100,_xlfn.ANCHORARRAY( $W$5), 0))
    *
    INDEX($AN$5:$AN$77, MATCH($A122,_xlfn.ANCHORARRAY( $W$5), 0))
)</f>
        <v>0.70722865755916586</v>
      </c>
      <c r="AM122" s="17" cm="1">
        <f t="array" ref="AM122">MMULT(
    MMULT(
        INDEX($X$5:$AM$77, MATCH(AM$100,_xlfn.ANCHORARRAY( $W$5), 0), 0),
        $F$5:$U$20
    ),
    TRANSPOSE(
        INDEX($X$5:$AM$77, MATCH($A122,_xlfn.ANCHORARRAY( $W$5), 0), 0)
    )
)
/
(
    INDEX($AN$5:$AN$77, MATCH(AM$100,_xlfn.ANCHORARRAY( $W$5), 0))
    *
    INDEX($AN$5:$AN$77, MATCH($A122,_xlfn.ANCHORARRAY( $W$5), 0))
)</f>
        <v>0.83793095523145</v>
      </c>
      <c r="AN122" s="17" cm="1">
        <f t="array" ref="AN122">MMULT(
    MMULT(
        INDEX($X$5:$AM$77, MATCH(AN$100,_xlfn.ANCHORARRAY( $W$5), 0), 0),
        $F$5:$U$20
    ),
    TRANSPOSE(
        INDEX($X$5:$AM$77, MATCH($A122,_xlfn.ANCHORARRAY( $W$5), 0), 0)
    )
)
/
(
    INDEX($AN$5:$AN$77, MATCH(AN$100,_xlfn.ANCHORARRAY( $W$5), 0))
    *
    INDEX($AN$5:$AN$77, MATCH($A122,_xlfn.ANCHORARRAY( $W$5), 0))
)</f>
        <v>0.44164135397234289</v>
      </c>
      <c r="AO122" s="17" cm="1">
        <f t="array" ref="AO122">MMULT(
    MMULT(
        INDEX($X$5:$AM$77, MATCH(AO$100,_xlfn.ANCHORARRAY( $W$5), 0), 0),
        $F$5:$U$20
    ),
    TRANSPOSE(
        INDEX($X$5:$AM$77, MATCH($A122,_xlfn.ANCHORARRAY( $W$5), 0), 0)
    )
)
/
(
    INDEX($AN$5:$AN$77, MATCH(AO$100,_xlfn.ANCHORARRAY( $W$5), 0))
    *
    INDEX($AN$5:$AN$77, MATCH($A122,_xlfn.ANCHORARRAY( $W$5), 0))
)</f>
        <v>0.76612781744244118</v>
      </c>
      <c r="AP122" s="17" cm="1">
        <f t="array" ref="AP122">MMULT(
    MMULT(
        INDEX($X$5:$AM$77, MATCH(AP$100,_xlfn.ANCHORARRAY( $W$5), 0), 0),
        $F$5:$U$20
    ),
    TRANSPOSE(
        INDEX($X$5:$AM$77, MATCH($A122,_xlfn.ANCHORARRAY( $W$5), 0), 0)
    )
)
/
(
    INDEX($AN$5:$AN$77, MATCH(AP$100,_xlfn.ANCHORARRAY( $W$5), 0))
    *
    INDEX($AN$5:$AN$77, MATCH($A122,_xlfn.ANCHORARRAY( $W$5), 0))
)</f>
        <v>0.60565967616191307</v>
      </c>
      <c r="AQ122" s="17" cm="1">
        <f t="array" ref="AQ122">MMULT(
    MMULT(
        INDEX($X$5:$AM$77, MATCH(AQ$100,_xlfn.ANCHORARRAY( $W$5), 0), 0),
        $F$5:$U$20
    ),
    TRANSPOSE(
        INDEX($X$5:$AM$77, MATCH($A122,_xlfn.ANCHORARRAY( $W$5), 0), 0)
    )
)
/
(
    INDEX($AN$5:$AN$77, MATCH(AQ$100,_xlfn.ANCHORARRAY( $W$5), 0))
    *
    INDEX($AN$5:$AN$77, MATCH($A122,_xlfn.ANCHORARRAY( $W$5), 0))
)</f>
        <v>0.47533308913748273</v>
      </c>
      <c r="AR122" s="17" cm="1">
        <f t="array" ref="AR122">MMULT(
    MMULT(
        INDEX($X$5:$AM$77, MATCH(AR$100,_xlfn.ANCHORARRAY( $W$5), 0), 0),
        $F$5:$U$20
    ),
    TRANSPOSE(
        INDEX($X$5:$AM$77, MATCH($A122,_xlfn.ANCHORARRAY( $W$5), 0), 0)
    )
)
/
(
    INDEX($AN$5:$AN$77, MATCH(AR$100,_xlfn.ANCHORARRAY( $W$5), 0))
    *
    INDEX($AN$5:$AN$77, MATCH($A122,_xlfn.ANCHORARRAY( $W$5), 0))
)</f>
        <v>0.67369355338030945</v>
      </c>
      <c r="AS122" s="17" cm="1">
        <f t="array" ref="AS122">MMULT(
    MMULT(
        INDEX($X$5:$AM$77, MATCH(AS$100,_xlfn.ANCHORARRAY( $W$5), 0), 0),
        $F$5:$U$20
    ),
    TRANSPOSE(
        INDEX($X$5:$AM$77, MATCH($A122,_xlfn.ANCHORARRAY( $W$5), 0), 0)
    )
)
/
(
    INDEX($AN$5:$AN$77, MATCH(AS$100,_xlfn.ANCHORARRAY( $W$5), 0))
    *
    INDEX($AN$5:$AN$77, MATCH($A122,_xlfn.ANCHORARRAY( $W$5), 0))
)</f>
        <v>0.65292849870842851</v>
      </c>
      <c r="AT122" s="17" cm="1">
        <f t="array" ref="AT122">MMULT(
    MMULT(
        INDEX($X$5:$AM$77, MATCH(AT$100,_xlfn.ANCHORARRAY( $W$5), 0), 0),
        $F$5:$U$20
    ),
    TRANSPOSE(
        INDEX($X$5:$AM$77, MATCH($A122,_xlfn.ANCHORARRAY( $W$5), 0), 0)
    )
)
/
(
    INDEX($AN$5:$AN$77, MATCH(AT$100,_xlfn.ANCHORARRAY( $W$5), 0))
    *
    INDEX($AN$5:$AN$77, MATCH($A122,_xlfn.ANCHORARRAY( $W$5), 0))
)</f>
        <v>0.63857748440006501</v>
      </c>
      <c r="AU122" s="17" cm="1">
        <f t="array" ref="AU122">MMULT(
    MMULT(
        INDEX($X$5:$AM$77, MATCH(AU$100,_xlfn.ANCHORARRAY( $W$5), 0), 0),
        $F$5:$U$20
    ),
    TRANSPOSE(
        INDEX($X$5:$AM$77, MATCH($A122,_xlfn.ANCHORARRAY( $W$5), 0), 0)
    )
)
/
(
    INDEX($AN$5:$AN$77, MATCH(AU$100,_xlfn.ANCHORARRAY( $W$5), 0))
    *
    INDEX($AN$5:$AN$77, MATCH($A122,_xlfn.ANCHORARRAY( $W$5), 0))
)</f>
        <v>0.69167116850603905</v>
      </c>
      <c r="AV122" s="17" cm="1">
        <f t="array" ref="AV122">MMULT(
    MMULT(
        INDEX($X$5:$AM$77, MATCH(AV$100,_xlfn.ANCHORARRAY( $W$5), 0), 0),
        $F$5:$U$20
    ),
    TRANSPOSE(
        INDEX($X$5:$AM$77, MATCH($A122,_xlfn.ANCHORARRAY( $W$5), 0), 0)
    )
)
/
(
    INDEX($AN$5:$AN$77, MATCH(AV$100,_xlfn.ANCHORARRAY( $W$5), 0))
    *
    INDEX($AN$5:$AN$77, MATCH($A122,_xlfn.ANCHORARRAY( $W$5), 0))
)</f>
        <v>0.72712199857674309</v>
      </c>
      <c r="AW122" s="17" cm="1">
        <f t="array" ref="AW122">MMULT(
    MMULT(
        INDEX($X$5:$AM$77, MATCH(AW$100,_xlfn.ANCHORARRAY( $W$5), 0), 0),
        $F$5:$U$20
    ),
    TRANSPOSE(
        INDEX($X$5:$AM$77, MATCH($A122,_xlfn.ANCHORARRAY( $W$5), 0), 0)
    )
)
/
(
    INDEX($AN$5:$AN$77, MATCH(AW$100,_xlfn.ANCHORARRAY( $W$5), 0))
    *
    INDEX($AN$5:$AN$77, MATCH($A122,_xlfn.ANCHORARRAY( $W$5), 0))
)</f>
        <v>0.6985490543935341</v>
      </c>
      <c r="AX122" s="17" cm="1">
        <f t="array" ref="AX122">MMULT(
    MMULT(
        INDEX($X$5:$AM$77, MATCH(AX$100,_xlfn.ANCHORARRAY( $W$5), 0), 0),
        $F$5:$U$20
    ),
    TRANSPOSE(
        INDEX($X$5:$AM$77, MATCH($A122,_xlfn.ANCHORARRAY( $W$5), 0), 0)
    )
)
/
(
    INDEX($AN$5:$AN$77, MATCH(AX$100,_xlfn.ANCHORARRAY( $W$5), 0))
    *
    INDEX($AN$5:$AN$77, MATCH($A122,_xlfn.ANCHORARRAY( $W$5), 0))
)</f>
        <v>0.60889748683812317</v>
      </c>
      <c r="AY122" s="17" cm="1">
        <f t="array" ref="AY122">MMULT(
    MMULT(
        INDEX($X$5:$AM$77, MATCH(AY$100,_xlfn.ANCHORARRAY( $W$5), 0), 0),
        $F$5:$U$20
    ),
    TRANSPOSE(
        INDEX($X$5:$AM$77, MATCH($A122,_xlfn.ANCHORARRAY( $W$5), 0), 0)
    )
)
/
(
    INDEX($AN$5:$AN$77, MATCH(AY$100,_xlfn.ANCHORARRAY( $W$5), 0))
    *
    INDEX($AN$5:$AN$77, MATCH($A122,_xlfn.ANCHORARRAY( $W$5), 0))
)</f>
        <v>0.39523013144311703</v>
      </c>
      <c r="AZ122" s="17" cm="1">
        <f t="array" ref="AZ122">MMULT(
    MMULT(
        INDEX($X$5:$AM$77, MATCH(AZ$100,_xlfn.ANCHORARRAY( $W$5), 0), 0),
        $F$5:$U$20
    ),
    TRANSPOSE(
        INDEX($X$5:$AM$77, MATCH($A122,_xlfn.ANCHORARRAY( $W$5), 0), 0)
    )
)
/
(
    INDEX($AN$5:$AN$77, MATCH(AZ$100,_xlfn.ANCHORARRAY( $W$5), 0))
    *
    INDEX($AN$5:$AN$77, MATCH($A122,_xlfn.ANCHORARRAY( $W$5), 0))
)</f>
        <v>0.71106370984683986</v>
      </c>
      <c r="BA122" s="17" cm="1">
        <f t="array" ref="BA122">MMULT(
    MMULT(
        INDEX($X$5:$AM$77, MATCH(BA$100,_xlfn.ANCHORARRAY( $W$5), 0), 0),
        $F$5:$U$20
    ),
    TRANSPOSE(
        INDEX($X$5:$AM$77, MATCH($A122,_xlfn.ANCHORARRAY( $W$5), 0), 0)
    )
)
/
(
    INDEX($AN$5:$AN$77, MATCH(BA$100,_xlfn.ANCHORARRAY( $W$5), 0))
    *
    INDEX($AN$5:$AN$77, MATCH($A122,_xlfn.ANCHORARRAY( $W$5), 0))
)</f>
        <v>0.70151116432823124</v>
      </c>
      <c r="BB122" s="17" cm="1">
        <f t="array" ref="BB122">MMULT(
    MMULT(
        INDEX($X$5:$AM$77, MATCH(BB$100,_xlfn.ANCHORARRAY( $W$5), 0), 0),
        $F$5:$U$20
    ),
    TRANSPOSE(
        INDEX($X$5:$AM$77, MATCH($A122,_xlfn.ANCHORARRAY( $W$5), 0), 0)
    )
)
/
(
    INDEX($AN$5:$AN$77, MATCH(BB$100,_xlfn.ANCHORARRAY( $W$5), 0))
    *
    INDEX($AN$5:$AN$77, MATCH($A122,_xlfn.ANCHORARRAY( $W$5), 0))
)</f>
        <v>0.68055354868647711</v>
      </c>
      <c r="BC122" s="17" cm="1">
        <f t="array" ref="BC122">MMULT(
    MMULT(
        INDEX($X$5:$AM$77, MATCH(BC$100,_xlfn.ANCHORARRAY( $W$5), 0), 0),
        $F$5:$U$20
    ),
    TRANSPOSE(
        INDEX($X$5:$AM$77, MATCH($A122,_xlfn.ANCHORARRAY( $W$5), 0), 0)
    )
)
/
(
    INDEX($AN$5:$AN$77, MATCH(BC$100,_xlfn.ANCHORARRAY( $W$5), 0))
    *
    INDEX($AN$5:$AN$77, MATCH($A122,_xlfn.ANCHORARRAY( $W$5), 0))
)</f>
        <v>0.6497394666120403</v>
      </c>
      <c r="BD122" s="17" cm="1">
        <f t="array" ref="BD122">MMULT(
    MMULT(
        INDEX($X$5:$AM$77, MATCH(BD$100,_xlfn.ANCHORARRAY( $W$5), 0), 0),
        $F$5:$U$20
    ),
    TRANSPOSE(
        INDEX($X$5:$AM$77, MATCH($A122,_xlfn.ANCHORARRAY( $W$5), 0), 0)
    )
)
/
(
    INDEX($AN$5:$AN$77, MATCH(BD$100,_xlfn.ANCHORARRAY( $W$5), 0))
    *
    INDEX($AN$5:$AN$77, MATCH($A122,_xlfn.ANCHORARRAY( $W$5), 0))
)</f>
        <v>0.39604649519338736</v>
      </c>
      <c r="BE122" s="17" cm="1">
        <f t="array" ref="BE122">MMULT(
    MMULT(
        INDEX($X$5:$AM$77, MATCH(BE$100,_xlfn.ANCHORARRAY( $W$5), 0), 0),
        $F$5:$U$20
    ),
    TRANSPOSE(
        INDEX($X$5:$AM$77, MATCH($A122,_xlfn.ANCHORARRAY( $W$5), 0), 0)
    )
)
/
(
    INDEX($AN$5:$AN$77, MATCH(BE$100,_xlfn.ANCHORARRAY( $W$5), 0))
    *
    INDEX($AN$5:$AN$77, MATCH($A122,_xlfn.ANCHORARRAY( $W$5), 0))
)</f>
        <v>0.85970257290109964</v>
      </c>
      <c r="BF122" s="17" cm="1">
        <f t="array" ref="BF122">MMULT(
    MMULT(
        INDEX($X$5:$AM$77, MATCH(BF$100,_xlfn.ANCHORARRAY( $W$5), 0), 0),
        $F$5:$U$20
    ),
    TRANSPOSE(
        INDEX($X$5:$AM$77, MATCH($A122,_xlfn.ANCHORARRAY( $W$5), 0), 0)
    )
)
/
(
    INDEX($AN$5:$AN$77, MATCH(BF$100,_xlfn.ANCHORARRAY( $W$5), 0))
    *
    INDEX($AN$5:$AN$77, MATCH($A122,_xlfn.ANCHORARRAY( $W$5), 0))
)</f>
        <v>0.61846625272498001</v>
      </c>
      <c r="BG122" s="17" cm="1">
        <f t="array" ref="BG122">MMULT(
    MMULT(
        INDEX($X$5:$AM$77, MATCH(BG$100,_xlfn.ANCHORARRAY( $W$5), 0), 0),
        $F$5:$U$20
    ),
    TRANSPOSE(
        INDEX($X$5:$AM$77, MATCH($A122,_xlfn.ANCHORARRAY( $W$5), 0), 0)
    )
)
/
(
    INDEX($AN$5:$AN$77, MATCH(BG$100,_xlfn.ANCHORARRAY( $W$5), 0))
    *
    INDEX($AN$5:$AN$77, MATCH($A122,_xlfn.ANCHORARRAY( $W$5), 0))
)</f>
        <v>0.69385598588356789</v>
      </c>
      <c r="BH122" s="17" cm="1">
        <f t="array" ref="BH122">MMULT(
    MMULT(
        INDEX($X$5:$AM$77, MATCH(BH$100,_xlfn.ANCHORARRAY( $W$5), 0), 0),
        $F$5:$U$20
    ),
    TRANSPOSE(
        INDEX($X$5:$AM$77, MATCH($A122,_xlfn.ANCHORARRAY( $W$5), 0), 0)
    )
)
/
(
    INDEX($AN$5:$AN$77, MATCH(BH$100,_xlfn.ANCHORARRAY( $W$5), 0))
    *
    INDEX($AN$5:$AN$77, MATCH($A122,_xlfn.ANCHORARRAY( $W$5), 0))
)</f>
        <v>0.45766274444181898</v>
      </c>
      <c r="BI122" s="17" cm="1">
        <f t="array" ref="BI122">MMULT(
    MMULT(
        INDEX($X$5:$AM$77, MATCH(BI$100,_xlfn.ANCHORARRAY( $W$5), 0), 0),
        $F$5:$U$20
    ),
    TRANSPOSE(
        INDEX($X$5:$AM$77, MATCH($A122,_xlfn.ANCHORARRAY( $W$5), 0), 0)
    )
)
/
(
    INDEX($AN$5:$AN$77, MATCH(BI$100,_xlfn.ANCHORARRAY( $W$5), 0))
    *
    INDEX($AN$5:$AN$77, MATCH($A122,_xlfn.ANCHORARRAY( $W$5), 0))
)</f>
        <v>0.49326688649065664</v>
      </c>
      <c r="BJ122" s="17" cm="1">
        <f t="array" ref="BJ122">MMULT(
    MMULT(
        INDEX($X$5:$AM$77, MATCH(BJ$100,_xlfn.ANCHORARRAY( $W$5), 0), 0),
        $F$5:$U$20
    ),
    TRANSPOSE(
        INDEX($X$5:$AM$77, MATCH($A122,_xlfn.ANCHORARRAY( $W$5), 0), 0)
    )
)
/
(
    INDEX($AN$5:$AN$77, MATCH(BJ$100,_xlfn.ANCHORARRAY( $W$5), 0))
    *
    INDEX($AN$5:$AN$77, MATCH($A122,_xlfn.ANCHORARRAY( $W$5), 0))
)</f>
        <v>0.59142772712465819</v>
      </c>
      <c r="BK122" s="17" cm="1">
        <f t="array" ref="BK122">MMULT(
    MMULT(
        INDEX($X$5:$AM$77, MATCH(BK$100,_xlfn.ANCHORARRAY( $W$5), 0), 0),
        $F$5:$U$20
    ),
    TRANSPOSE(
        INDEX($X$5:$AM$77, MATCH($A122,_xlfn.ANCHORARRAY( $W$5), 0), 0)
    )
)
/
(
    INDEX($AN$5:$AN$77, MATCH(BK$100,_xlfn.ANCHORARRAY( $W$5), 0))
    *
    INDEX($AN$5:$AN$77, MATCH($A122,_xlfn.ANCHORARRAY( $W$5), 0))
)</f>
        <v>0.40972389258092418</v>
      </c>
      <c r="BL122" s="17" cm="1">
        <f t="array" ref="BL122">MMULT(
    MMULT(
        INDEX($X$5:$AM$77, MATCH(BL$100,_xlfn.ANCHORARRAY( $W$5), 0), 0),
        $F$5:$U$20
    ),
    TRANSPOSE(
        INDEX($X$5:$AM$77, MATCH($A122,_xlfn.ANCHORARRAY( $W$5), 0), 0)
    )
)
/
(
    INDEX($AN$5:$AN$77, MATCH(BL$100,_xlfn.ANCHORARRAY( $W$5), 0))
    *
    INDEX($AN$5:$AN$77, MATCH($A122,_xlfn.ANCHORARRAY( $W$5), 0))
)</f>
        <v>0.57985482695552704</v>
      </c>
      <c r="BM122" s="17" cm="1">
        <f t="array" ref="BM122">MMULT(
    MMULT(
        INDEX($X$5:$AM$77, MATCH(BM$100,_xlfn.ANCHORARRAY( $W$5), 0), 0),
        $F$5:$U$20
    ),
    TRANSPOSE(
        INDEX($X$5:$AM$77, MATCH($A122,_xlfn.ANCHORARRAY( $W$5), 0), 0)
    )
)
/
(
    INDEX($AN$5:$AN$77, MATCH(BM$100,_xlfn.ANCHORARRAY( $W$5), 0))
    *
    INDEX($AN$5:$AN$77, MATCH($A122,_xlfn.ANCHORARRAY( $W$5), 0))
)</f>
        <v>0.88913077262594398</v>
      </c>
      <c r="BN122" s="17" cm="1">
        <f t="array" ref="BN122">MMULT(
    MMULT(
        INDEX($X$5:$AM$77, MATCH(BN$100,_xlfn.ANCHORARRAY( $W$5), 0), 0),
        $F$5:$U$20
    ),
    TRANSPOSE(
        INDEX($X$5:$AM$77, MATCH($A122,_xlfn.ANCHORARRAY( $W$5), 0), 0)
    )
)
/
(
    INDEX($AN$5:$AN$77, MATCH(BN$100,_xlfn.ANCHORARRAY( $W$5), 0))
    *
    INDEX($AN$5:$AN$77, MATCH($A122,_xlfn.ANCHORARRAY( $W$5), 0))
)</f>
        <v>0.75303232844128554</v>
      </c>
      <c r="BO122" s="17" cm="1">
        <f t="array" ref="BO122">MMULT(
    MMULT(
        INDEX($X$5:$AM$77, MATCH(BO$100,_xlfn.ANCHORARRAY( $W$5), 0), 0),
        $F$5:$U$20
    ),
    TRANSPOSE(
        INDEX($X$5:$AM$77, MATCH($A122,_xlfn.ANCHORARRAY( $W$5), 0), 0)
    )
)
/
(
    INDEX($AN$5:$AN$77, MATCH(BO$100,_xlfn.ANCHORARRAY( $W$5), 0))
    *
    INDEX($AN$5:$AN$77, MATCH($A122,_xlfn.ANCHORARRAY( $W$5), 0))
)</f>
        <v>0.61741878422411245</v>
      </c>
      <c r="BP122" s="17" cm="1">
        <f t="array" ref="BP122">MMULT(
    MMULT(
        INDEX($X$5:$AM$77, MATCH(BP$100,_xlfn.ANCHORARRAY( $W$5), 0), 0),
        $F$5:$U$20
    ),
    TRANSPOSE(
        INDEX($X$5:$AM$77, MATCH($A122,_xlfn.ANCHORARRAY( $W$5), 0), 0)
    )
)
/
(
    INDEX($AN$5:$AN$77, MATCH(BP$100,_xlfn.ANCHORARRAY( $W$5), 0))
    *
    INDEX($AN$5:$AN$77, MATCH($A122,_xlfn.ANCHORARRAY( $W$5), 0))
)</f>
        <v>0.75822514460595569</v>
      </c>
      <c r="BQ122" s="17" cm="1">
        <f t="array" ref="BQ122">MMULT(
    MMULT(
        INDEX($X$5:$AM$77, MATCH(BQ$100,_xlfn.ANCHORARRAY( $W$5), 0), 0),
        $F$5:$U$20
    ),
    TRANSPOSE(
        INDEX($X$5:$AM$77, MATCH($A122,_xlfn.ANCHORARRAY( $W$5), 0), 0)
    )
)
/
(
    INDEX($AN$5:$AN$77, MATCH(BQ$100,_xlfn.ANCHORARRAY( $W$5), 0))
    *
    INDEX($AN$5:$AN$77, MATCH($A122,_xlfn.ANCHORARRAY( $W$5), 0))
)</f>
        <v>0.9696921292770504</v>
      </c>
      <c r="BR122" s="17" cm="1">
        <f t="array" ref="BR122">MMULT(
    MMULT(
        INDEX($X$5:$AM$77, MATCH(BR$100,_xlfn.ANCHORARRAY( $W$5), 0), 0),
        $F$5:$U$20
    ),
    TRANSPOSE(
        INDEX($X$5:$AM$77, MATCH($A122,_xlfn.ANCHORARRAY( $W$5), 0), 0)
    )
)
/
(
    INDEX($AN$5:$AN$77, MATCH(BR$100,_xlfn.ANCHORARRAY( $W$5), 0))
    *
    INDEX($AN$5:$AN$77, MATCH($A122,_xlfn.ANCHORARRAY( $W$5), 0))
)</f>
        <v>0.60326323781877367</v>
      </c>
      <c r="BS122" s="17" cm="1">
        <f t="array" ref="BS122">MMULT(
    MMULT(
        INDEX($X$5:$AM$77, MATCH(BS$100,_xlfn.ANCHORARRAY( $W$5), 0), 0),
        $F$5:$U$20
    ),
    TRANSPOSE(
        INDEX($X$5:$AM$77, MATCH($A122,_xlfn.ANCHORARRAY( $W$5), 0), 0)
    )
)
/
(
    INDEX($AN$5:$AN$77, MATCH(BS$100,_xlfn.ANCHORARRAY( $W$5), 0))
    *
    INDEX($AN$5:$AN$77, MATCH($A122,_xlfn.ANCHORARRAY( $W$5), 0))
)</f>
        <v>0.67793659829330088</v>
      </c>
      <c r="BT122" s="17" cm="1">
        <f t="array" ref="BT122">MMULT(
    MMULT(
        INDEX($X$5:$AM$77, MATCH(BT$100,_xlfn.ANCHORARRAY( $W$5), 0), 0),
        $F$5:$U$20
    ),
    TRANSPOSE(
        INDEX($X$5:$AM$77, MATCH($A122,_xlfn.ANCHORARRAY( $W$5), 0), 0)
    )
)
/
(
    INDEX($AN$5:$AN$77, MATCH(BT$100,_xlfn.ANCHORARRAY( $W$5), 0))
    *
    INDEX($AN$5:$AN$77, MATCH($A122,_xlfn.ANCHORARRAY( $W$5), 0))
)</f>
        <v>0.75059213596069574</v>
      </c>
      <c r="BU122" s="17" cm="1">
        <f t="array" ref="BU122">MMULT(
    MMULT(
        INDEX($X$5:$AM$77, MATCH(BU$100,_xlfn.ANCHORARRAY( $W$5), 0), 0),
        $F$5:$U$20
    ),
    TRANSPOSE(
        INDEX($X$5:$AM$77, MATCH($A122,_xlfn.ANCHORARRAY( $W$5), 0), 0)
    )
)
/
(
    INDEX($AN$5:$AN$77, MATCH(BU$100,_xlfn.ANCHORARRAY( $W$5), 0))
    *
    INDEX($AN$5:$AN$77, MATCH($A122,_xlfn.ANCHORARRAY( $W$5), 0))
)</f>
        <v>0.47395502434704373</v>
      </c>
      <c r="BV122" s="17" cm="1">
        <f t="array" ref="BV122">MMULT(
    MMULT(
        INDEX($X$5:$AM$77, MATCH(BV$100,_xlfn.ANCHORARRAY( $W$5), 0), 0),
        $F$5:$U$20
    ),
    TRANSPOSE(
        INDEX($X$5:$AM$77, MATCH($A122,_xlfn.ANCHORARRAY( $W$5), 0), 0)
    )
)
/
(
    INDEX($AN$5:$AN$77, MATCH(BV$100,_xlfn.ANCHORARRAY( $W$5), 0))
    *
    INDEX($AN$5:$AN$77, MATCH($A122,_xlfn.ANCHORARRAY( $W$5), 0))
)</f>
        <v>0.47244867861984419</v>
      </c>
    </row>
    <row r="123" spans="1:74" x14ac:dyDescent="0.3">
      <c r="A123" s="7" t="str">
        <v>Ynoa, Huascar</v>
      </c>
      <c r="B123" s="17" cm="1">
        <f t="array" ref="B123">MMULT(
    MMULT(
        INDEX($X$5:$AM$77, MATCH(B$100,_xlfn.ANCHORARRAY( $W$5), 0), 0),
        $F$5:$U$20
    ),
    TRANSPOSE(
        INDEX($X$5:$AM$77, MATCH($A123,_xlfn.ANCHORARRAY( $W$5), 0), 0)
    )
)
/
(
    INDEX($AN$5:$AN$77, MATCH(B$100,_xlfn.ANCHORARRAY( $W$5), 0))
    *
    INDEX($AN$5:$AN$77, MATCH($A123,_xlfn.ANCHORARRAY( $W$5), 0))
)</f>
        <v>0.80522441245511489</v>
      </c>
      <c r="C123" s="17" cm="1">
        <f t="array" ref="C123">MMULT(
    MMULT(
        INDEX($X$5:$AM$77, MATCH(C$100,_xlfn.ANCHORARRAY( $W$5), 0), 0),
        $F$5:$U$20
    ),
    TRANSPOSE(
        INDEX($X$5:$AM$77, MATCH($A123,_xlfn.ANCHORARRAY( $W$5), 0), 0)
    )
)
/
(
    INDEX($AN$5:$AN$77, MATCH(C$100,_xlfn.ANCHORARRAY( $W$5), 0))
    *
    INDEX($AN$5:$AN$77, MATCH($A123,_xlfn.ANCHORARRAY( $W$5), 0))
)</f>
        <v>0.5269638040807183</v>
      </c>
      <c r="D123" s="17" cm="1">
        <f t="array" ref="D123">MMULT(
    MMULT(
        INDEX($X$5:$AM$77, MATCH(D$100,_xlfn.ANCHORARRAY( $W$5), 0), 0),
        $F$5:$U$20
    ),
    TRANSPOSE(
        INDEX($X$5:$AM$77, MATCH($A123,_xlfn.ANCHORARRAY( $W$5), 0), 0)
    )
)
/
(
    INDEX($AN$5:$AN$77, MATCH(D$100,_xlfn.ANCHORARRAY( $W$5), 0))
    *
    INDEX($AN$5:$AN$77, MATCH($A123,_xlfn.ANCHORARRAY( $W$5), 0))
)</f>
        <v>0.955781962473783</v>
      </c>
      <c r="E123" s="17" cm="1">
        <f t="array" ref="E123">MMULT(
    MMULT(
        INDEX($X$5:$AM$77, MATCH(E$100,_xlfn.ANCHORARRAY( $W$5), 0), 0),
        $F$5:$U$20
    ),
    TRANSPOSE(
        INDEX($X$5:$AM$77, MATCH($A123,_xlfn.ANCHORARRAY( $W$5), 0), 0)
    )
)
/
(
    INDEX($AN$5:$AN$77, MATCH(E$100,_xlfn.ANCHORARRAY( $W$5), 0))
    *
    INDEX($AN$5:$AN$77, MATCH($A123,_xlfn.ANCHORARRAY( $W$5), 0))
)</f>
        <v>0.8814188467727313</v>
      </c>
      <c r="F123" s="17" cm="1">
        <f t="array" ref="F123">MMULT(
    MMULT(
        INDEX($X$5:$AM$77, MATCH(F$100,_xlfn.ANCHORARRAY( $W$5), 0), 0),
        $F$5:$U$20
    ),
    TRANSPOSE(
        INDEX($X$5:$AM$77, MATCH($A123,_xlfn.ANCHORARRAY( $W$5), 0), 0)
    )
)
/
(
    INDEX($AN$5:$AN$77, MATCH(F$100,_xlfn.ANCHORARRAY( $W$5), 0))
    *
    INDEX($AN$5:$AN$77, MATCH($A123,_xlfn.ANCHORARRAY( $W$5), 0))
)</f>
        <v>0.99620431346311566</v>
      </c>
      <c r="G123" s="17" cm="1">
        <f t="array" ref="G123">MMULT(
    MMULT(
        INDEX($X$5:$AM$77, MATCH(G$100,_xlfn.ANCHORARRAY( $W$5), 0), 0),
        $F$5:$U$20
    ),
    TRANSPOSE(
        INDEX($X$5:$AM$77, MATCH($A123,_xlfn.ANCHORARRAY( $W$5), 0), 0)
    )
)
/
(
    INDEX($AN$5:$AN$77, MATCH(G$100,_xlfn.ANCHORARRAY( $W$5), 0))
    *
    INDEX($AN$5:$AN$77, MATCH($A123,_xlfn.ANCHORARRAY( $W$5), 0))
)</f>
        <v>0.60991053844332477</v>
      </c>
      <c r="H123" s="17" cm="1">
        <f t="array" ref="H123">MMULT(
    MMULT(
        INDEX($X$5:$AM$77, MATCH(H$100,_xlfn.ANCHORARRAY( $W$5), 0), 0),
        $F$5:$U$20
    ),
    TRANSPOSE(
        INDEX($X$5:$AM$77, MATCH($A123,_xlfn.ANCHORARRAY( $W$5), 0), 0)
    )
)
/
(
    INDEX($AN$5:$AN$77, MATCH(H$100,_xlfn.ANCHORARRAY( $W$5), 0))
    *
    INDEX($AN$5:$AN$77, MATCH($A123,_xlfn.ANCHORARRAY( $W$5), 0))
)</f>
        <v>0.6598522964503879</v>
      </c>
      <c r="I123" s="17" cm="1">
        <f t="array" ref="I123">MMULT(
    MMULT(
        INDEX($X$5:$AM$77, MATCH(I$100,_xlfn.ANCHORARRAY( $W$5), 0), 0),
        $F$5:$U$20
    ),
    TRANSPOSE(
        INDEX($X$5:$AM$77, MATCH($A123,_xlfn.ANCHORARRAY( $W$5), 0), 0)
    )
)
/
(
    INDEX($AN$5:$AN$77, MATCH(I$100,_xlfn.ANCHORARRAY( $W$5), 0))
    *
    INDEX($AN$5:$AN$77, MATCH($A123,_xlfn.ANCHORARRAY( $W$5), 0))
)</f>
        <v>0.65946162573260025</v>
      </c>
      <c r="J123" s="17" cm="1">
        <f t="array" ref="J123">MMULT(
    MMULT(
        INDEX($X$5:$AM$77, MATCH(J$100,_xlfn.ANCHORARRAY( $W$5), 0), 0),
        $F$5:$U$20
    ),
    TRANSPOSE(
        INDEX($X$5:$AM$77, MATCH($A123,_xlfn.ANCHORARRAY( $W$5), 0), 0)
    )
)
/
(
    INDEX($AN$5:$AN$77, MATCH(J$100,_xlfn.ANCHORARRAY( $W$5), 0))
    *
    INDEX($AN$5:$AN$77, MATCH($A123,_xlfn.ANCHORARRAY( $W$5), 0))
)</f>
        <v>0.84931432444343591</v>
      </c>
      <c r="K123" s="17" cm="1">
        <f t="array" ref="K123">MMULT(
    MMULT(
        INDEX($X$5:$AM$77, MATCH(K$100,_xlfn.ANCHORARRAY( $W$5), 0), 0),
        $F$5:$U$20
    ),
    TRANSPOSE(
        INDEX($X$5:$AM$77, MATCH($A123,_xlfn.ANCHORARRAY( $W$5), 0), 0)
    )
)
/
(
    INDEX($AN$5:$AN$77, MATCH(K$100,_xlfn.ANCHORARRAY( $W$5), 0))
    *
    INDEX($AN$5:$AN$77, MATCH($A123,_xlfn.ANCHORARRAY( $W$5), 0))
)</f>
        <v>0.84693475214136316</v>
      </c>
      <c r="L123" s="17" cm="1">
        <f t="array" ref="L123">MMULT(
    MMULT(
        INDEX($X$5:$AM$77, MATCH(L$100,_xlfn.ANCHORARRAY( $W$5), 0), 0),
        $F$5:$U$20
    ),
    TRANSPOSE(
        INDEX($X$5:$AM$77, MATCH($A123,_xlfn.ANCHORARRAY( $W$5), 0), 0)
    )
)
/
(
    INDEX($AN$5:$AN$77, MATCH(L$100,_xlfn.ANCHORARRAY( $W$5), 0))
    *
    INDEX($AN$5:$AN$77, MATCH($A123,_xlfn.ANCHORARRAY( $W$5), 0))
)</f>
        <v>0.56392205878552248</v>
      </c>
      <c r="M123" s="17" cm="1">
        <f t="array" ref="M123">MMULT(
    MMULT(
        INDEX($X$5:$AM$77, MATCH(M$100,_xlfn.ANCHORARRAY( $W$5), 0), 0),
        $F$5:$U$20
    ),
    TRANSPOSE(
        INDEX($X$5:$AM$77, MATCH($A123,_xlfn.ANCHORARRAY( $W$5), 0), 0)
    )
)
/
(
    INDEX($AN$5:$AN$77, MATCH(M$100,_xlfn.ANCHORARRAY( $W$5), 0))
    *
    INDEX($AN$5:$AN$77, MATCH($A123,_xlfn.ANCHORARRAY( $W$5), 0))
)</f>
        <v>0.79245544408584212</v>
      </c>
      <c r="N123" s="17" cm="1">
        <f t="array" ref="N123">MMULT(
    MMULT(
        INDEX($X$5:$AM$77, MATCH(N$100,_xlfn.ANCHORARRAY( $W$5), 0), 0),
        $F$5:$U$20
    ),
    TRANSPOSE(
        INDEX($X$5:$AM$77, MATCH($A123,_xlfn.ANCHORARRAY( $W$5), 0), 0)
    )
)
/
(
    INDEX($AN$5:$AN$77, MATCH(N$100,_xlfn.ANCHORARRAY( $W$5), 0))
    *
    INDEX($AN$5:$AN$77, MATCH($A123,_xlfn.ANCHORARRAY( $W$5), 0))
)</f>
        <v>0.96202177310312242</v>
      </c>
      <c r="O123" s="17" cm="1">
        <f t="array" ref="O123">MMULT(
    MMULT(
        INDEX($X$5:$AM$77, MATCH(O$100,_xlfn.ANCHORARRAY( $W$5), 0), 0),
        $F$5:$U$20
    ),
    TRANSPOSE(
        INDEX($X$5:$AM$77, MATCH($A123,_xlfn.ANCHORARRAY( $W$5), 0), 0)
    )
)
/
(
    INDEX($AN$5:$AN$77, MATCH(O$100,_xlfn.ANCHORARRAY( $W$5), 0))
    *
    INDEX($AN$5:$AN$77, MATCH($A123,_xlfn.ANCHORARRAY( $W$5), 0))
)</f>
        <v>0.98444184494364706</v>
      </c>
      <c r="P123" s="17" cm="1">
        <f t="array" ref="P123">MMULT(
    MMULT(
        INDEX($X$5:$AM$77, MATCH(P$100,_xlfn.ANCHORARRAY( $W$5), 0), 0),
        $F$5:$U$20
    ),
    TRANSPOSE(
        INDEX($X$5:$AM$77, MATCH($A123,_xlfn.ANCHORARRAY( $W$5), 0), 0)
    )
)
/
(
    INDEX($AN$5:$AN$77, MATCH(P$100,_xlfn.ANCHORARRAY( $W$5), 0))
    *
    INDEX($AN$5:$AN$77, MATCH($A123,_xlfn.ANCHORARRAY( $W$5), 0))
)</f>
        <v>0.93342108357573195</v>
      </c>
      <c r="Q123" s="17" cm="1">
        <f t="array" ref="Q123">MMULT(
    MMULT(
        INDEX($X$5:$AM$77, MATCH(Q$100,_xlfn.ANCHORARRAY( $W$5), 0), 0),
        $F$5:$U$20
    ),
    TRANSPOSE(
        INDEX($X$5:$AM$77, MATCH($A123,_xlfn.ANCHORARRAY( $W$5), 0), 0)
    )
)
/
(
    INDEX($AN$5:$AN$77, MATCH(Q$100,_xlfn.ANCHORARRAY( $W$5), 0))
    *
    INDEX($AN$5:$AN$77, MATCH($A123,_xlfn.ANCHORARRAY( $W$5), 0))
)</f>
        <v>0.5745206047258189</v>
      </c>
      <c r="R123" s="17" cm="1">
        <f t="array" ref="R123">MMULT(
    MMULT(
        INDEX($X$5:$AM$77, MATCH(R$100,_xlfn.ANCHORARRAY( $W$5), 0), 0),
        $F$5:$U$20
    ),
    TRANSPOSE(
        INDEX($X$5:$AM$77, MATCH($A123,_xlfn.ANCHORARRAY( $W$5), 0), 0)
    )
)
/
(
    INDEX($AN$5:$AN$77, MATCH(R$100,_xlfn.ANCHORARRAY( $W$5), 0))
    *
    INDEX($AN$5:$AN$77, MATCH($A123,_xlfn.ANCHORARRAY( $W$5), 0))
)</f>
        <v>0.88940833471073222</v>
      </c>
      <c r="S123" s="17" cm="1">
        <f t="array" ref="S123">MMULT(
    MMULT(
        INDEX($X$5:$AM$77, MATCH(S$100,_xlfn.ANCHORARRAY( $W$5), 0), 0),
        $F$5:$U$20
    ),
    TRANSPOSE(
        INDEX($X$5:$AM$77, MATCH($A123,_xlfn.ANCHORARRAY( $W$5), 0), 0)
    )
)
/
(
    INDEX($AN$5:$AN$77, MATCH(S$100,_xlfn.ANCHORARRAY( $W$5), 0))
    *
    INDEX($AN$5:$AN$77, MATCH($A123,_xlfn.ANCHORARRAY( $W$5), 0))
)</f>
        <v>0.72932164825691881</v>
      </c>
      <c r="T123" s="17" cm="1">
        <f t="array" ref="T123">MMULT(
    MMULT(
        INDEX($X$5:$AM$77, MATCH(T$100,_xlfn.ANCHORARRAY( $W$5), 0), 0),
        $F$5:$U$20
    ),
    TRANSPOSE(
        INDEX($X$5:$AM$77, MATCH($A123,_xlfn.ANCHORARRAY( $W$5), 0), 0)
    )
)
/
(
    INDEX($AN$5:$AN$77, MATCH(T$100,_xlfn.ANCHORARRAY( $W$5), 0))
    *
    INDEX($AN$5:$AN$77, MATCH($A123,_xlfn.ANCHORARRAY( $W$5), 0))
)</f>
        <v>0.24573366984714201</v>
      </c>
      <c r="U123" s="17" cm="1">
        <f t="array" ref="U123">MMULT(
    MMULT(
        INDEX($X$5:$AM$77, MATCH(U$100,_xlfn.ANCHORARRAY( $W$5), 0), 0),
        $F$5:$U$20
    ),
    TRANSPOSE(
        INDEX($X$5:$AM$77, MATCH($A123,_xlfn.ANCHORARRAY( $W$5), 0), 0)
    )
)
/
(
    INDEX($AN$5:$AN$77, MATCH(U$100,_xlfn.ANCHORARRAY( $W$5), 0))
    *
    INDEX($AN$5:$AN$77, MATCH($A123,_xlfn.ANCHORARRAY( $W$5), 0))
)</f>
        <v>0.93670155309581993</v>
      </c>
      <c r="V123" s="17" cm="1">
        <f t="array" ref="V123">MMULT(
    MMULT(
        INDEX($X$5:$AM$77, MATCH(V$100,_xlfn.ANCHORARRAY( $W$5), 0), 0),
        $F$5:$U$20
    ),
    TRANSPOSE(
        INDEX($X$5:$AM$77, MATCH($A123,_xlfn.ANCHORARRAY( $W$5), 0), 0)
    )
)
/
(
    INDEX($AN$5:$AN$77, MATCH(V$100,_xlfn.ANCHORARRAY( $W$5), 0))
    *
    INDEX($AN$5:$AN$77, MATCH($A123,_xlfn.ANCHORARRAY( $W$5), 0))
)</f>
        <v>0.41646501927246948</v>
      </c>
      <c r="W123" s="17" cm="1">
        <f t="array" ref="W123">MMULT(
    MMULT(
        INDEX($X$5:$AM$77, MATCH(W$100,_xlfn.ANCHORARRAY( $W$5), 0), 0),
        $F$5:$U$20
    ),
    TRANSPOSE(
        INDEX($X$5:$AM$77, MATCH($A123,_xlfn.ANCHORARRAY( $W$5), 0), 0)
    )
)
/
(
    INDEX($AN$5:$AN$77, MATCH(W$100,_xlfn.ANCHORARRAY( $W$5), 0))
    *
    INDEX($AN$5:$AN$77, MATCH($A123,_xlfn.ANCHORARRAY( $W$5), 0))
)</f>
        <v>0.71088716938718166</v>
      </c>
      <c r="X123" s="17" cm="1">
        <f t="array" ref="X123">MMULT(
    MMULT(
        INDEX($X$5:$AM$77, MATCH(X$100,_xlfn.ANCHORARRAY( $W$5), 0), 0),
        $F$5:$U$20
    ),
    TRANSPOSE(
        INDEX($X$5:$AM$77, MATCH($A123,_xlfn.ANCHORARRAY( $W$5), 0), 0)
    )
)
/
(
    INDEX($AN$5:$AN$77, MATCH(X$100,_xlfn.ANCHORARRAY( $W$5), 0))
    *
    INDEX($AN$5:$AN$77, MATCH($A123,_xlfn.ANCHORARRAY( $W$5), 0))
)</f>
        <v>0.99999999999999989</v>
      </c>
      <c r="Y123" s="17" cm="1">
        <f t="array" ref="Y123">MMULT(
    MMULT(
        INDEX($X$5:$AM$77, MATCH(Y$100,_xlfn.ANCHORARRAY( $W$5), 0), 0),
        $F$5:$U$20
    ),
    TRANSPOSE(
        INDEX($X$5:$AM$77, MATCH($A123,_xlfn.ANCHORARRAY( $W$5), 0), 0)
    )
)
/
(
    INDEX($AN$5:$AN$77, MATCH(Y$100,_xlfn.ANCHORARRAY( $W$5), 0))
    *
    INDEX($AN$5:$AN$77, MATCH($A123,_xlfn.ANCHORARRAY( $W$5), 0))
)</f>
        <v>0.54611450186828381</v>
      </c>
      <c r="Z123" s="17" cm="1">
        <f t="array" ref="Z123">MMULT(
    MMULT(
        INDEX($X$5:$AM$77, MATCH(Z$100,_xlfn.ANCHORARRAY( $W$5), 0), 0),
        $F$5:$U$20
    ),
    TRANSPOSE(
        INDEX($X$5:$AM$77, MATCH($A123,_xlfn.ANCHORARRAY( $W$5), 0), 0)
    )
)
/
(
    INDEX($AN$5:$AN$77, MATCH(Z$100,_xlfn.ANCHORARRAY( $W$5), 0))
    *
    INDEX($AN$5:$AN$77, MATCH($A123,_xlfn.ANCHORARRAY( $W$5), 0))
)</f>
        <v>0.98877110487487019</v>
      </c>
      <c r="AA123" s="17" cm="1">
        <f t="array" ref="AA123">MMULT(
    MMULT(
        INDEX($X$5:$AM$77, MATCH(AA$100,_xlfn.ANCHORARRAY( $W$5), 0), 0),
        $F$5:$U$20
    ),
    TRANSPOSE(
        INDEX($X$5:$AM$77, MATCH($A123,_xlfn.ANCHORARRAY( $W$5), 0), 0)
    )
)
/
(
    INDEX($AN$5:$AN$77, MATCH(AA$100,_xlfn.ANCHORARRAY( $W$5), 0))
    *
    INDEX($AN$5:$AN$77, MATCH($A123,_xlfn.ANCHORARRAY( $W$5), 0))
)</f>
        <v>0.97858442366307907</v>
      </c>
      <c r="AB123" s="17" cm="1">
        <f t="array" ref="AB123">MMULT(
    MMULT(
        INDEX($X$5:$AM$77, MATCH(AB$100,_xlfn.ANCHORARRAY( $W$5), 0), 0),
        $F$5:$U$20
    ),
    TRANSPOSE(
        INDEX($X$5:$AM$77, MATCH($A123,_xlfn.ANCHORARRAY( $W$5), 0), 0)
    )
)
/
(
    INDEX($AN$5:$AN$77, MATCH(AB$100,_xlfn.ANCHORARRAY( $W$5), 0))
    *
    INDEX($AN$5:$AN$77, MATCH($A123,_xlfn.ANCHORARRAY( $W$5), 0))
)</f>
        <v>0.91274889889631328</v>
      </c>
      <c r="AC123" s="17" cm="1">
        <f t="array" ref="AC123">MMULT(
    MMULT(
        INDEX($X$5:$AM$77, MATCH(AC$100,_xlfn.ANCHORARRAY( $W$5), 0), 0),
        $F$5:$U$20
    ),
    TRANSPOSE(
        INDEX($X$5:$AM$77, MATCH($A123,_xlfn.ANCHORARRAY( $W$5), 0), 0)
    )
)
/
(
    INDEX($AN$5:$AN$77, MATCH(AC$100,_xlfn.ANCHORARRAY( $W$5), 0))
    *
    INDEX($AN$5:$AN$77, MATCH($A123,_xlfn.ANCHORARRAY( $W$5), 0))
)</f>
        <v>0.71879717779746066</v>
      </c>
      <c r="AD123" s="17" cm="1">
        <f t="array" ref="AD123">MMULT(
    MMULT(
        INDEX($X$5:$AM$77, MATCH(AD$100,_xlfn.ANCHORARRAY( $W$5), 0), 0),
        $F$5:$U$20
    ),
    TRANSPOSE(
        INDEX($X$5:$AM$77, MATCH($A123,_xlfn.ANCHORARRAY( $W$5), 0), 0)
    )
)
/
(
    INDEX($AN$5:$AN$77, MATCH(AD$100,_xlfn.ANCHORARRAY( $W$5), 0))
    *
    INDEX($AN$5:$AN$77, MATCH($A123,_xlfn.ANCHORARRAY( $W$5), 0))
)</f>
        <v>0.9654782427235219</v>
      </c>
      <c r="AE123" s="17" cm="1">
        <f t="array" ref="AE123">MMULT(
    MMULT(
        INDEX($X$5:$AM$77, MATCH(AE$100,_xlfn.ANCHORARRAY( $W$5), 0), 0),
        $F$5:$U$20
    ),
    TRANSPOSE(
        INDEX($X$5:$AM$77, MATCH($A123,_xlfn.ANCHORARRAY( $W$5), 0), 0)
    )
)
/
(
    INDEX($AN$5:$AN$77, MATCH(AE$100,_xlfn.ANCHORARRAY( $W$5), 0))
    *
    INDEX($AN$5:$AN$77, MATCH($A123,_xlfn.ANCHORARRAY( $W$5), 0))
)</f>
        <v>0.76142488995410262</v>
      </c>
      <c r="AF123" s="17" cm="1">
        <f t="array" ref="AF123">MMULT(
    MMULT(
        INDEX($X$5:$AM$77, MATCH(AF$100,_xlfn.ANCHORARRAY( $W$5), 0), 0),
        $F$5:$U$20
    ),
    TRANSPOSE(
        INDEX($X$5:$AM$77, MATCH($A123,_xlfn.ANCHORARRAY( $W$5), 0), 0)
    )
)
/
(
    INDEX($AN$5:$AN$77, MATCH(AF$100,_xlfn.ANCHORARRAY( $W$5), 0))
    *
    INDEX($AN$5:$AN$77, MATCH($A123,_xlfn.ANCHORARRAY( $W$5), 0))
)</f>
        <v>0.66707715744658114</v>
      </c>
      <c r="AG123" s="17" cm="1">
        <f t="array" ref="AG123">MMULT(
    MMULT(
        INDEX($X$5:$AM$77, MATCH(AG$100,_xlfn.ANCHORARRAY( $W$5), 0), 0),
        $F$5:$U$20
    ),
    TRANSPOSE(
        INDEX($X$5:$AM$77, MATCH($A123,_xlfn.ANCHORARRAY( $W$5), 0), 0)
    )
)
/
(
    INDEX($AN$5:$AN$77, MATCH(AG$100,_xlfn.ANCHORARRAY( $W$5), 0))
    *
    INDEX($AN$5:$AN$77, MATCH($A123,_xlfn.ANCHORARRAY( $W$5), 0))
)</f>
        <v>0.74457397609824583</v>
      </c>
      <c r="AH123" s="17" cm="1">
        <f t="array" ref="AH123">MMULT(
    MMULT(
        INDEX($X$5:$AM$77, MATCH(AH$100,_xlfn.ANCHORARRAY( $W$5), 0), 0),
        $F$5:$U$20
    ),
    TRANSPOSE(
        INDEX($X$5:$AM$77, MATCH($A123,_xlfn.ANCHORARRAY( $W$5), 0), 0)
    )
)
/
(
    INDEX($AN$5:$AN$77, MATCH(AH$100,_xlfn.ANCHORARRAY( $W$5), 0))
    *
    INDEX($AN$5:$AN$77, MATCH($A123,_xlfn.ANCHORARRAY( $W$5), 0))
)</f>
        <v>0.5915738718737682</v>
      </c>
      <c r="AI123" s="17" cm="1">
        <f t="array" ref="AI123">MMULT(
    MMULT(
        INDEX($X$5:$AM$77, MATCH(AI$100,_xlfn.ANCHORARRAY( $W$5), 0), 0),
        $F$5:$U$20
    ),
    TRANSPOSE(
        INDEX($X$5:$AM$77, MATCH($A123,_xlfn.ANCHORARRAY( $W$5), 0), 0)
    )
)
/
(
    INDEX($AN$5:$AN$77, MATCH(AI$100,_xlfn.ANCHORARRAY( $W$5), 0))
    *
    INDEX($AN$5:$AN$77, MATCH($A123,_xlfn.ANCHORARRAY( $W$5), 0))
)</f>
        <v>0.78188493961943017</v>
      </c>
      <c r="AJ123" s="17" cm="1">
        <f t="array" ref="AJ123">MMULT(
    MMULT(
        INDEX($X$5:$AM$77, MATCH(AJ$100,_xlfn.ANCHORARRAY( $W$5), 0), 0),
        $F$5:$U$20
    ),
    TRANSPOSE(
        INDEX($X$5:$AM$77, MATCH($A123,_xlfn.ANCHORARRAY( $W$5), 0), 0)
    )
)
/
(
    INDEX($AN$5:$AN$77, MATCH(AJ$100,_xlfn.ANCHORARRAY( $W$5), 0))
    *
    INDEX($AN$5:$AN$77, MATCH($A123,_xlfn.ANCHORARRAY( $W$5), 0))
)</f>
        <v>0.94299099859727709</v>
      </c>
      <c r="AK123" s="17" cm="1">
        <f t="array" ref="AK123">MMULT(
    MMULT(
        INDEX($X$5:$AM$77, MATCH(AK$100,_xlfn.ANCHORARRAY( $W$5), 0), 0),
        $F$5:$U$20
    ),
    TRANSPOSE(
        INDEX($X$5:$AM$77, MATCH($A123,_xlfn.ANCHORARRAY( $W$5), 0), 0)
    )
)
/
(
    INDEX($AN$5:$AN$77, MATCH(AK$100,_xlfn.ANCHORARRAY( $W$5), 0))
    *
    INDEX($AN$5:$AN$77, MATCH($A123,_xlfn.ANCHORARRAY( $W$5), 0))
)</f>
        <v>0.81608769770419021</v>
      </c>
      <c r="AL123" s="17" cm="1">
        <f t="array" ref="AL123">MMULT(
    MMULT(
        INDEX($X$5:$AM$77, MATCH(AL$100,_xlfn.ANCHORARRAY( $W$5), 0), 0),
        $F$5:$U$20
    ),
    TRANSPOSE(
        INDEX($X$5:$AM$77, MATCH($A123,_xlfn.ANCHORARRAY( $W$5), 0), 0)
    )
)
/
(
    INDEX($AN$5:$AN$77, MATCH(AL$100,_xlfn.ANCHORARRAY( $W$5), 0))
    *
    INDEX($AN$5:$AN$77, MATCH($A123,_xlfn.ANCHORARRAY( $W$5), 0))
)</f>
        <v>0.98932818292790081</v>
      </c>
      <c r="AM123" s="17" cm="1">
        <f t="array" ref="AM123">MMULT(
    MMULT(
        INDEX($X$5:$AM$77, MATCH(AM$100,_xlfn.ANCHORARRAY( $W$5), 0), 0),
        $F$5:$U$20
    ),
    TRANSPOSE(
        INDEX($X$5:$AM$77, MATCH($A123,_xlfn.ANCHORARRAY( $W$5), 0), 0)
    )
)
/
(
    INDEX($AN$5:$AN$77, MATCH(AM$100,_xlfn.ANCHORARRAY( $W$5), 0))
    *
    INDEX($AN$5:$AN$77, MATCH($A123,_xlfn.ANCHORARRAY( $W$5), 0))
)</f>
        <v>0.68679262855832979</v>
      </c>
      <c r="AN123" s="17" cm="1">
        <f t="array" ref="AN123">MMULT(
    MMULT(
        INDEX($X$5:$AM$77, MATCH(AN$100,_xlfn.ANCHORARRAY( $W$5), 0), 0),
        $F$5:$U$20
    ),
    TRANSPOSE(
        INDEX($X$5:$AM$77, MATCH($A123,_xlfn.ANCHORARRAY( $W$5), 0), 0)
    )
)
/
(
    INDEX($AN$5:$AN$77, MATCH(AN$100,_xlfn.ANCHORARRAY( $W$5), 0))
    *
    INDEX($AN$5:$AN$77, MATCH($A123,_xlfn.ANCHORARRAY( $W$5), 0))
)</f>
        <v>0.64954689813144306</v>
      </c>
      <c r="AO123" s="17" cm="1">
        <f t="array" ref="AO123">MMULT(
    MMULT(
        INDEX($X$5:$AM$77, MATCH(AO$100,_xlfn.ANCHORARRAY( $W$5), 0), 0),
        $F$5:$U$20
    ),
    TRANSPOSE(
        INDEX($X$5:$AM$77, MATCH($A123,_xlfn.ANCHORARRAY( $W$5), 0), 0)
    )
)
/
(
    INDEX($AN$5:$AN$77, MATCH(AO$100,_xlfn.ANCHORARRAY( $W$5), 0))
    *
    INDEX($AN$5:$AN$77, MATCH($A123,_xlfn.ANCHORARRAY( $W$5), 0))
)</f>
        <v>0.62965944093186188</v>
      </c>
      <c r="AP123" s="17" cm="1">
        <f t="array" ref="AP123">MMULT(
    MMULT(
        INDEX($X$5:$AM$77, MATCH(AP$100,_xlfn.ANCHORARRAY( $W$5), 0), 0),
        $F$5:$U$20
    ),
    TRANSPOSE(
        INDEX($X$5:$AM$77, MATCH($A123,_xlfn.ANCHORARRAY( $W$5), 0), 0)
    )
)
/
(
    INDEX($AN$5:$AN$77, MATCH(AP$100,_xlfn.ANCHORARRAY( $W$5), 0))
    *
    INDEX($AN$5:$AN$77, MATCH($A123,_xlfn.ANCHORARRAY( $W$5), 0))
)</f>
        <v>0.64428982278569635</v>
      </c>
      <c r="AQ123" s="17" cm="1">
        <f t="array" ref="AQ123">MMULT(
    MMULT(
        INDEX($X$5:$AM$77, MATCH(AQ$100,_xlfn.ANCHORARRAY( $W$5), 0), 0),
        $F$5:$U$20
    ),
    TRANSPOSE(
        INDEX($X$5:$AM$77, MATCH($A123,_xlfn.ANCHORARRAY( $W$5), 0), 0)
    )
)
/
(
    INDEX($AN$5:$AN$77, MATCH(AQ$100,_xlfn.ANCHORARRAY( $W$5), 0))
    *
    INDEX($AN$5:$AN$77, MATCH($A123,_xlfn.ANCHORARRAY( $W$5), 0))
)</f>
        <v>0.61577410907357344</v>
      </c>
      <c r="AR123" s="17" cm="1">
        <f t="array" ref="AR123">MMULT(
    MMULT(
        INDEX($X$5:$AM$77, MATCH(AR$100,_xlfn.ANCHORARRAY( $W$5), 0), 0),
        $F$5:$U$20
    ),
    TRANSPOSE(
        INDEX($X$5:$AM$77, MATCH($A123,_xlfn.ANCHORARRAY( $W$5), 0), 0)
    )
)
/
(
    INDEX($AN$5:$AN$77, MATCH(AR$100,_xlfn.ANCHORARRAY( $W$5), 0))
    *
    INDEX($AN$5:$AN$77, MATCH($A123,_xlfn.ANCHORARRAY( $W$5), 0))
)</f>
        <v>0.92276692222749901</v>
      </c>
      <c r="AS123" s="17" cm="1">
        <f t="array" ref="AS123">MMULT(
    MMULT(
        INDEX($X$5:$AM$77, MATCH(AS$100,_xlfn.ANCHORARRAY( $W$5), 0), 0),
        $F$5:$U$20
    ),
    TRANSPOSE(
        INDEX($X$5:$AM$77, MATCH($A123,_xlfn.ANCHORARRAY( $W$5), 0), 0)
    )
)
/
(
    INDEX($AN$5:$AN$77, MATCH(AS$100,_xlfn.ANCHORARRAY( $W$5), 0))
    *
    INDEX($AN$5:$AN$77, MATCH($A123,_xlfn.ANCHORARRAY( $W$5), 0))
)</f>
        <v>0.94832636086735622</v>
      </c>
      <c r="AT123" s="17" cm="1">
        <f t="array" ref="AT123">MMULT(
    MMULT(
        INDEX($X$5:$AM$77, MATCH(AT$100,_xlfn.ANCHORARRAY( $W$5), 0), 0),
        $F$5:$U$20
    ),
    TRANSPOSE(
        INDEX($X$5:$AM$77, MATCH($A123,_xlfn.ANCHORARRAY( $W$5), 0), 0)
    )
)
/
(
    INDEX($AN$5:$AN$77, MATCH(AT$100,_xlfn.ANCHORARRAY( $W$5), 0))
    *
    INDEX($AN$5:$AN$77, MATCH($A123,_xlfn.ANCHORARRAY( $W$5), 0))
)</f>
        <v>0.68161770985912618</v>
      </c>
      <c r="AU123" s="17" cm="1">
        <f t="array" ref="AU123">MMULT(
    MMULT(
        INDEX($X$5:$AM$77, MATCH(AU$100,_xlfn.ANCHORARRAY( $W$5), 0), 0),
        $F$5:$U$20
    ),
    TRANSPOSE(
        INDEX($X$5:$AM$77, MATCH($A123,_xlfn.ANCHORARRAY( $W$5), 0), 0)
    )
)
/
(
    INDEX($AN$5:$AN$77, MATCH(AU$100,_xlfn.ANCHORARRAY( $W$5), 0))
    *
    INDEX($AN$5:$AN$77, MATCH($A123,_xlfn.ANCHORARRAY( $W$5), 0))
)</f>
        <v>0.98934010354958501</v>
      </c>
      <c r="AV123" s="17" cm="1">
        <f t="array" ref="AV123">MMULT(
    MMULT(
        INDEX($X$5:$AM$77, MATCH(AV$100,_xlfn.ANCHORARRAY( $W$5), 0), 0),
        $F$5:$U$20
    ),
    TRANSPOSE(
        INDEX($X$5:$AM$77, MATCH($A123,_xlfn.ANCHORARRAY( $W$5), 0), 0)
    )
)
/
(
    INDEX($AN$5:$AN$77, MATCH(AV$100,_xlfn.ANCHORARRAY( $W$5), 0))
    *
    INDEX($AN$5:$AN$77, MATCH($A123,_xlfn.ANCHORARRAY( $W$5), 0))
)</f>
        <v>0.98827496433456519</v>
      </c>
      <c r="AW123" s="17" cm="1">
        <f t="array" ref="AW123">MMULT(
    MMULT(
        INDEX($X$5:$AM$77, MATCH(AW$100,_xlfn.ANCHORARRAY( $W$5), 0), 0),
        $F$5:$U$20
    ),
    TRANSPOSE(
        INDEX($X$5:$AM$77, MATCH($A123,_xlfn.ANCHORARRAY( $W$5), 0), 0)
    )
)
/
(
    INDEX($AN$5:$AN$77, MATCH(AW$100,_xlfn.ANCHORARRAY( $W$5), 0))
    *
    INDEX($AN$5:$AN$77, MATCH($A123,_xlfn.ANCHORARRAY( $W$5), 0))
)</f>
        <v>0.73587916110049145</v>
      </c>
      <c r="AX123" s="17" cm="1">
        <f t="array" ref="AX123">MMULT(
    MMULT(
        INDEX($X$5:$AM$77, MATCH(AX$100,_xlfn.ANCHORARRAY( $W$5), 0), 0),
        $F$5:$U$20
    ),
    TRANSPOSE(
        INDEX($X$5:$AM$77, MATCH($A123,_xlfn.ANCHORARRAY( $W$5), 0), 0)
    )
)
/
(
    INDEX($AN$5:$AN$77, MATCH(AX$100,_xlfn.ANCHORARRAY( $W$5), 0))
    *
    INDEX($AN$5:$AN$77, MATCH($A123,_xlfn.ANCHORARRAY( $W$5), 0))
)</f>
        <v>0.42830217436992052</v>
      </c>
      <c r="AY123" s="17" cm="1">
        <f t="array" ref="AY123">MMULT(
    MMULT(
        INDEX($X$5:$AM$77, MATCH(AY$100,_xlfn.ANCHORARRAY( $W$5), 0), 0),
        $F$5:$U$20
    ),
    TRANSPOSE(
        INDEX($X$5:$AM$77, MATCH($A123,_xlfn.ANCHORARRAY( $W$5), 0), 0)
    )
)
/
(
    INDEX($AN$5:$AN$77, MATCH(AY$100,_xlfn.ANCHORARRAY( $W$5), 0))
    *
    INDEX($AN$5:$AN$77, MATCH($A123,_xlfn.ANCHORARRAY( $W$5), 0))
)</f>
        <v>0.58884807083123292</v>
      </c>
      <c r="AZ123" s="17" cm="1">
        <f t="array" ref="AZ123">MMULT(
    MMULT(
        INDEX($X$5:$AM$77, MATCH(AZ$100,_xlfn.ANCHORARRAY( $W$5), 0), 0),
        $F$5:$U$20
    ),
    TRANSPOSE(
        INDEX($X$5:$AM$77, MATCH($A123,_xlfn.ANCHORARRAY( $W$5), 0), 0)
    )
)
/
(
    INDEX($AN$5:$AN$77, MATCH(AZ$100,_xlfn.ANCHORARRAY( $W$5), 0))
    *
    INDEX($AN$5:$AN$77, MATCH($A123,_xlfn.ANCHORARRAY( $W$5), 0))
)</f>
        <v>0.98196882407464403</v>
      </c>
      <c r="BA123" s="17" cm="1">
        <f t="array" ref="BA123">MMULT(
    MMULT(
        INDEX($X$5:$AM$77, MATCH(BA$100,_xlfn.ANCHORARRAY( $W$5), 0), 0),
        $F$5:$U$20
    ),
    TRANSPOSE(
        INDEX($X$5:$AM$77, MATCH($A123,_xlfn.ANCHORARRAY( $W$5), 0), 0)
    )
)
/
(
    INDEX($AN$5:$AN$77, MATCH(BA$100,_xlfn.ANCHORARRAY( $W$5), 0))
    *
    INDEX($AN$5:$AN$77, MATCH($A123,_xlfn.ANCHORARRAY( $W$5), 0))
)</f>
        <v>0.96678536708820118</v>
      </c>
      <c r="BB123" s="17" cm="1">
        <f t="array" ref="BB123">MMULT(
    MMULT(
        INDEX($X$5:$AM$77, MATCH(BB$100,_xlfn.ANCHORARRAY( $W$5), 0), 0),
        $F$5:$U$20
    ),
    TRANSPOSE(
        INDEX($X$5:$AM$77, MATCH($A123,_xlfn.ANCHORARRAY( $W$5), 0), 0)
    )
)
/
(
    INDEX($AN$5:$AN$77, MATCH(BB$100,_xlfn.ANCHORARRAY( $W$5), 0))
    *
    INDEX($AN$5:$AN$77, MATCH($A123,_xlfn.ANCHORARRAY( $W$5), 0))
)</f>
        <v>0.78513429068078933</v>
      </c>
      <c r="BC123" s="17" cm="1">
        <f t="array" ref="BC123">MMULT(
    MMULT(
        INDEX($X$5:$AM$77, MATCH(BC$100,_xlfn.ANCHORARRAY( $W$5), 0), 0),
        $F$5:$U$20
    ),
    TRANSPOSE(
        INDEX($X$5:$AM$77, MATCH($A123,_xlfn.ANCHORARRAY( $W$5), 0), 0)
    )
)
/
(
    INDEX($AN$5:$AN$77, MATCH(BC$100,_xlfn.ANCHORARRAY( $W$5), 0))
    *
    INDEX($AN$5:$AN$77, MATCH($A123,_xlfn.ANCHORARRAY( $W$5), 0))
)</f>
        <v>0.75206579701190002</v>
      </c>
      <c r="BD123" s="17" cm="1">
        <f t="array" ref="BD123">MMULT(
    MMULT(
        INDEX($X$5:$AM$77, MATCH(BD$100,_xlfn.ANCHORARRAY( $W$5), 0), 0),
        $F$5:$U$20
    ),
    TRANSPOSE(
        INDEX($X$5:$AM$77, MATCH($A123,_xlfn.ANCHORARRAY( $W$5), 0), 0)
    )
)
/
(
    INDEX($AN$5:$AN$77, MATCH(BD$100,_xlfn.ANCHORARRAY( $W$5), 0))
    *
    INDEX($AN$5:$AN$77, MATCH($A123,_xlfn.ANCHORARRAY( $W$5), 0))
)</f>
        <v>0.47793881149381101</v>
      </c>
      <c r="BE123" s="17" cm="1">
        <f t="array" ref="BE123">MMULT(
    MMULT(
        INDEX($X$5:$AM$77, MATCH(BE$100,_xlfn.ANCHORARRAY( $W$5), 0), 0),
        $F$5:$U$20
    ),
    TRANSPOSE(
        INDEX($X$5:$AM$77, MATCH($A123,_xlfn.ANCHORARRAY( $W$5), 0), 0)
    )
)
/
(
    INDEX($AN$5:$AN$77, MATCH(BE$100,_xlfn.ANCHORARRAY( $W$5), 0))
    *
    INDEX($AN$5:$AN$77, MATCH($A123,_xlfn.ANCHORARRAY( $W$5), 0))
)</f>
        <v>0.69754303211409074</v>
      </c>
      <c r="BF123" s="17" cm="1">
        <f t="array" ref="BF123">MMULT(
    MMULT(
        INDEX($X$5:$AM$77, MATCH(BF$100,_xlfn.ANCHORARRAY( $W$5), 0), 0),
        $F$5:$U$20
    ),
    TRANSPOSE(
        INDEX($X$5:$AM$77, MATCH($A123,_xlfn.ANCHORARRAY( $W$5), 0), 0)
    )
)
/
(
    INDEX($AN$5:$AN$77, MATCH(BF$100,_xlfn.ANCHORARRAY( $W$5), 0))
    *
    INDEX($AN$5:$AN$77, MATCH($A123,_xlfn.ANCHORARRAY( $W$5), 0))
)</f>
        <v>0.82055803386324</v>
      </c>
      <c r="BG123" s="17" cm="1">
        <f t="array" ref="BG123">MMULT(
    MMULT(
        INDEX($X$5:$AM$77, MATCH(BG$100,_xlfn.ANCHORARRAY( $W$5), 0), 0),
        $F$5:$U$20
    ),
    TRANSPOSE(
        INDEX($X$5:$AM$77, MATCH($A123,_xlfn.ANCHORARRAY( $W$5), 0), 0)
    )
)
/
(
    INDEX($AN$5:$AN$77, MATCH(BG$100,_xlfn.ANCHORARRAY( $W$5), 0))
    *
    INDEX($AN$5:$AN$77, MATCH($A123,_xlfn.ANCHORARRAY( $W$5), 0))
)</f>
        <v>0.93111935344991981</v>
      </c>
      <c r="BH123" s="17" cm="1">
        <f t="array" ref="BH123">MMULT(
    MMULT(
        INDEX($X$5:$AM$77, MATCH(BH$100,_xlfn.ANCHORARRAY( $W$5), 0), 0),
        $F$5:$U$20
    ),
    TRANSPOSE(
        INDEX($X$5:$AM$77, MATCH($A123,_xlfn.ANCHORARRAY( $W$5), 0), 0)
    )
)
/
(
    INDEX($AN$5:$AN$77, MATCH(BH$100,_xlfn.ANCHORARRAY( $W$5), 0))
    *
    INDEX($AN$5:$AN$77, MATCH($A123,_xlfn.ANCHORARRAY( $W$5), 0))
)</f>
        <v>0.62266420789545252</v>
      </c>
      <c r="BI123" s="17" cm="1">
        <f t="array" ref="BI123">MMULT(
    MMULT(
        INDEX($X$5:$AM$77, MATCH(BI$100,_xlfn.ANCHORARRAY( $W$5), 0), 0),
        $F$5:$U$20
    ),
    TRANSPOSE(
        INDEX($X$5:$AM$77, MATCH($A123,_xlfn.ANCHORARRAY( $W$5), 0), 0)
    )
)
/
(
    INDEX($AN$5:$AN$77, MATCH(BI$100,_xlfn.ANCHORARRAY( $W$5), 0))
    *
    INDEX($AN$5:$AN$77, MATCH($A123,_xlfn.ANCHORARRAY( $W$5), 0))
)</f>
        <v>0.59104823417485597</v>
      </c>
      <c r="BJ123" s="17" cm="1">
        <f t="array" ref="BJ123">MMULT(
    MMULT(
        INDEX($X$5:$AM$77, MATCH(BJ$100,_xlfn.ANCHORARRAY( $W$5), 0), 0),
        $F$5:$U$20
    ),
    TRANSPOSE(
        INDEX($X$5:$AM$77, MATCH($A123,_xlfn.ANCHORARRAY( $W$5), 0), 0)
    )
)
/
(
    INDEX($AN$5:$AN$77, MATCH(BJ$100,_xlfn.ANCHORARRAY( $W$5), 0))
    *
    INDEX($AN$5:$AN$77, MATCH($A123,_xlfn.ANCHORARRAY( $W$5), 0))
)</f>
        <v>0.80767811225674713</v>
      </c>
      <c r="BK123" s="17" cm="1">
        <f t="array" ref="BK123">MMULT(
    MMULT(
        INDEX($X$5:$AM$77, MATCH(BK$100,_xlfn.ANCHORARRAY( $W$5), 0), 0),
        $F$5:$U$20
    ),
    TRANSPOSE(
        INDEX($X$5:$AM$77, MATCH($A123,_xlfn.ANCHORARRAY( $W$5), 0), 0)
    )
)
/
(
    INDEX($AN$5:$AN$77, MATCH(BK$100,_xlfn.ANCHORARRAY( $W$5), 0))
    *
    INDEX($AN$5:$AN$77, MATCH($A123,_xlfn.ANCHORARRAY( $W$5), 0))
)</f>
        <v>0.49663082422606825</v>
      </c>
      <c r="BL123" s="17" cm="1">
        <f t="array" ref="BL123">MMULT(
    MMULT(
        INDEX($X$5:$AM$77, MATCH(BL$100,_xlfn.ANCHORARRAY( $W$5), 0), 0),
        $F$5:$U$20
    ),
    TRANSPOSE(
        INDEX($X$5:$AM$77, MATCH($A123,_xlfn.ANCHORARRAY( $W$5), 0), 0)
    )
)
/
(
    INDEX($AN$5:$AN$77, MATCH(BL$100,_xlfn.ANCHORARRAY( $W$5), 0))
    *
    INDEX($AN$5:$AN$77, MATCH($A123,_xlfn.ANCHORARRAY( $W$5), 0))
)</f>
        <v>0.81869518809410069</v>
      </c>
      <c r="BM123" s="17" cm="1">
        <f t="array" ref="BM123">MMULT(
    MMULT(
        INDEX($X$5:$AM$77, MATCH(BM$100,_xlfn.ANCHORARRAY( $W$5), 0), 0),
        $F$5:$U$20
    ),
    TRANSPOSE(
        INDEX($X$5:$AM$77, MATCH($A123,_xlfn.ANCHORARRAY( $W$5), 0), 0)
    )
)
/
(
    INDEX($AN$5:$AN$77, MATCH(BM$100,_xlfn.ANCHORARRAY( $W$5), 0))
    *
    INDEX($AN$5:$AN$77, MATCH($A123,_xlfn.ANCHORARRAY( $W$5), 0))
)</f>
        <v>0.79808489871275778</v>
      </c>
      <c r="BN123" s="17" cm="1">
        <f t="array" ref="BN123">MMULT(
    MMULT(
        INDEX($X$5:$AM$77, MATCH(BN$100,_xlfn.ANCHORARRAY( $W$5), 0), 0),
        $F$5:$U$20
    ),
    TRANSPOSE(
        INDEX($X$5:$AM$77, MATCH($A123,_xlfn.ANCHORARRAY( $W$5), 0), 0)
    )
)
/
(
    INDEX($AN$5:$AN$77, MATCH(BN$100,_xlfn.ANCHORARRAY( $W$5), 0))
    *
    INDEX($AN$5:$AN$77, MATCH($A123,_xlfn.ANCHORARRAY( $W$5), 0))
)</f>
        <v>0.65592808241940037</v>
      </c>
      <c r="BO123" s="17" cm="1">
        <f t="array" ref="BO123">MMULT(
    MMULT(
        INDEX($X$5:$AM$77, MATCH(BO$100,_xlfn.ANCHORARRAY( $W$5), 0), 0),
        $F$5:$U$20
    ),
    TRANSPOSE(
        INDEX($X$5:$AM$77, MATCH($A123,_xlfn.ANCHORARRAY( $W$5), 0), 0)
    )
)
/
(
    INDEX($AN$5:$AN$77, MATCH(BO$100,_xlfn.ANCHORARRAY( $W$5), 0))
    *
    INDEX($AN$5:$AN$77, MATCH($A123,_xlfn.ANCHORARRAY( $W$5), 0))
)</f>
        <v>0.86860927901771667</v>
      </c>
      <c r="BP123" s="17" cm="1">
        <f t="array" ref="BP123">MMULT(
    MMULT(
        INDEX($X$5:$AM$77, MATCH(BP$100,_xlfn.ANCHORARRAY( $W$5), 0), 0),
        $F$5:$U$20
    ),
    TRANSPOSE(
        INDEX($X$5:$AM$77, MATCH($A123,_xlfn.ANCHORARRAY( $W$5), 0), 0)
    )
)
/
(
    INDEX($AN$5:$AN$77, MATCH(BP$100,_xlfn.ANCHORARRAY( $W$5), 0))
    *
    INDEX($AN$5:$AN$77, MATCH($A123,_xlfn.ANCHORARRAY( $W$5), 0))
)</f>
        <v>0.82854441544754642</v>
      </c>
      <c r="BQ123" s="17" cm="1">
        <f t="array" ref="BQ123">MMULT(
    MMULT(
        INDEX($X$5:$AM$77, MATCH(BQ$100,_xlfn.ANCHORARRAY( $W$5), 0), 0),
        $F$5:$U$20
    ),
    TRANSPOSE(
        INDEX($X$5:$AM$77, MATCH($A123,_xlfn.ANCHORARRAY( $W$5), 0), 0)
    )
)
/
(
    INDEX($AN$5:$AN$77, MATCH(BQ$100,_xlfn.ANCHORARRAY( $W$5), 0))
    *
    INDEX($AN$5:$AN$77, MATCH($A123,_xlfn.ANCHORARRAY( $W$5), 0))
)</f>
        <v>0.68000185748045039</v>
      </c>
      <c r="BR123" s="17" cm="1">
        <f t="array" ref="BR123">MMULT(
    MMULT(
        INDEX($X$5:$AM$77, MATCH(BR$100,_xlfn.ANCHORARRAY( $W$5), 0), 0),
        $F$5:$U$20
    ),
    TRANSPOSE(
        INDEX($X$5:$AM$77, MATCH($A123,_xlfn.ANCHORARRAY( $W$5), 0), 0)
    )
)
/
(
    INDEX($AN$5:$AN$77, MATCH(BR$100,_xlfn.ANCHORARRAY( $W$5), 0))
    *
    INDEX($AN$5:$AN$77, MATCH($A123,_xlfn.ANCHORARRAY( $W$5), 0))
)</f>
        <v>0.79924689793394033</v>
      </c>
      <c r="BS123" s="17" cm="1">
        <f t="array" ref="BS123">MMULT(
    MMULT(
        INDEX($X$5:$AM$77, MATCH(BS$100,_xlfn.ANCHORARRAY( $W$5), 0), 0),
        $F$5:$U$20
    ),
    TRANSPOSE(
        INDEX($X$5:$AM$77, MATCH($A123,_xlfn.ANCHORARRAY( $W$5), 0), 0)
    )
)
/
(
    INDEX($AN$5:$AN$77, MATCH(BS$100,_xlfn.ANCHORARRAY( $W$5), 0))
    *
    INDEX($AN$5:$AN$77, MATCH($A123,_xlfn.ANCHORARRAY( $W$5), 0))
)</f>
        <v>0.97034782475307169</v>
      </c>
      <c r="BT123" s="17" cm="1">
        <f t="array" ref="BT123">MMULT(
    MMULT(
        INDEX($X$5:$AM$77, MATCH(BT$100,_xlfn.ANCHORARRAY( $W$5), 0), 0),
        $F$5:$U$20
    ),
    TRANSPOSE(
        INDEX($X$5:$AM$77, MATCH($A123,_xlfn.ANCHORARRAY( $W$5), 0), 0)
    )
)
/
(
    INDEX($AN$5:$AN$77, MATCH(BT$100,_xlfn.ANCHORARRAY( $W$5), 0))
    *
    INDEX($AN$5:$AN$77, MATCH($A123,_xlfn.ANCHORARRAY( $W$5), 0))
)</f>
        <v>0.88310613639829516</v>
      </c>
      <c r="BU123" s="17" cm="1">
        <f t="array" ref="BU123">MMULT(
    MMULT(
        INDEX($X$5:$AM$77, MATCH(BU$100,_xlfn.ANCHORARRAY( $W$5), 0), 0),
        $F$5:$U$20
    ),
    TRANSPOSE(
        INDEX($X$5:$AM$77, MATCH($A123,_xlfn.ANCHORARRAY( $W$5), 0), 0)
    )
)
/
(
    INDEX($AN$5:$AN$77, MATCH(BU$100,_xlfn.ANCHORARRAY( $W$5), 0))
    *
    INDEX($AN$5:$AN$77, MATCH($A123,_xlfn.ANCHORARRAY( $W$5), 0))
)</f>
        <v>0.64325164458115758</v>
      </c>
      <c r="BV123" s="17" cm="1">
        <f t="array" ref="BV123">MMULT(
    MMULT(
        INDEX($X$5:$AM$77, MATCH(BV$100,_xlfn.ANCHORARRAY( $W$5), 0), 0),
        $F$5:$U$20
    ),
    TRANSPOSE(
        INDEX($X$5:$AM$77, MATCH($A123,_xlfn.ANCHORARRAY( $W$5), 0), 0)
    )
)
/
(
    INDEX($AN$5:$AN$77, MATCH(BV$100,_xlfn.ANCHORARRAY( $W$5), 0))
    *
    INDEX($AN$5:$AN$77, MATCH($A123,_xlfn.ANCHORARRAY( $W$5), 0))
)</f>
        <v>0.71261968548952082</v>
      </c>
    </row>
    <row r="124" spans="1:74" x14ac:dyDescent="0.3">
      <c r="A124" s="7" t="str">
        <v>Toussaint, Touki</v>
      </c>
      <c r="B124" s="17" cm="1">
        <f t="array" ref="B124">MMULT(
    MMULT(
        INDEX($X$5:$AM$77, MATCH(B$100,_xlfn.ANCHORARRAY( $W$5), 0), 0),
        $F$5:$U$20
    ),
    TRANSPOSE(
        INDEX($X$5:$AM$77, MATCH($A124,_xlfn.ANCHORARRAY( $W$5), 0), 0)
    )
)
/
(
    INDEX($AN$5:$AN$77, MATCH(B$100,_xlfn.ANCHORARRAY( $W$5), 0))
    *
    INDEX($AN$5:$AN$77, MATCH($A124,_xlfn.ANCHORARRAY( $W$5), 0))
)</f>
        <v>0.88943535927907436</v>
      </c>
      <c r="C124" s="17" cm="1">
        <f t="array" ref="C124">MMULT(
    MMULT(
        INDEX($X$5:$AM$77, MATCH(C$100,_xlfn.ANCHORARRAY( $W$5), 0), 0),
        $F$5:$U$20
    ),
    TRANSPOSE(
        INDEX($X$5:$AM$77, MATCH($A124,_xlfn.ANCHORARRAY( $W$5), 0), 0)
    )
)
/
(
    INDEX($AN$5:$AN$77, MATCH(C$100,_xlfn.ANCHORARRAY( $W$5), 0))
    *
    INDEX($AN$5:$AN$77, MATCH($A124,_xlfn.ANCHORARRAY( $W$5), 0))
)</f>
        <v>0.91430881861742785</v>
      </c>
      <c r="D124" s="17" cm="1">
        <f t="array" ref="D124">MMULT(
    MMULT(
        INDEX($X$5:$AM$77, MATCH(D$100,_xlfn.ANCHORARRAY( $W$5), 0), 0),
        $F$5:$U$20
    ),
    TRANSPOSE(
        INDEX($X$5:$AM$77, MATCH($A124,_xlfn.ANCHORARRAY( $W$5), 0), 0)
    )
)
/
(
    INDEX($AN$5:$AN$77, MATCH(D$100,_xlfn.ANCHORARRAY( $W$5), 0))
    *
    INDEX($AN$5:$AN$77, MATCH($A124,_xlfn.ANCHORARRAY( $W$5), 0))
)</f>
        <v>0.66620491889616773</v>
      </c>
      <c r="E124" s="17" cm="1">
        <f t="array" ref="E124">MMULT(
    MMULT(
        INDEX($X$5:$AM$77, MATCH(E$100,_xlfn.ANCHORARRAY( $W$5), 0), 0),
        $F$5:$U$20
    ),
    TRANSPOSE(
        INDEX($X$5:$AM$77, MATCH($A124,_xlfn.ANCHORARRAY( $W$5), 0), 0)
    )
)
/
(
    INDEX($AN$5:$AN$77, MATCH(E$100,_xlfn.ANCHORARRAY( $W$5), 0))
    *
    INDEX($AN$5:$AN$77, MATCH($A124,_xlfn.ANCHORARRAY( $W$5), 0))
)</f>
        <v>0.70989217216752665</v>
      </c>
      <c r="F124" s="17" cm="1">
        <f t="array" ref="F124">MMULT(
    MMULT(
        INDEX($X$5:$AM$77, MATCH(F$100,_xlfn.ANCHORARRAY( $W$5), 0), 0),
        $F$5:$U$20
    ),
    TRANSPOSE(
        INDEX($X$5:$AM$77, MATCH($A124,_xlfn.ANCHORARRAY( $W$5), 0), 0)
    )
)
/
(
    INDEX($AN$5:$AN$77, MATCH(F$100,_xlfn.ANCHORARRAY( $W$5), 0))
    *
    INDEX($AN$5:$AN$77, MATCH($A124,_xlfn.ANCHORARRAY( $W$5), 0))
)</f>
        <v>0.58332245966798257</v>
      </c>
      <c r="G124" s="17" cm="1">
        <f t="array" ref="G124">MMULT(
    MMULT(
        INDEX($X$5:$AM$77, MATCH(G$100,_xlfn.ANCHORARRAY( $W$5), 0), 0),
        $F$5:$U$20
    ),
    TRANSPOSE(
        INDEX($X$5:$AM$77, MATCH($A124,_xlfn.ANCHORARRAY( $W$5), 0), 0)
    )
)
/
(
    INDEX($AN$5:$AN$77, MATCH(G$100,_xlfn.ANCHORARRAY( $W$5), 0))
    *
    INDEX($AN$5:$AN$77, MATCH($A124,_xlfn.ANCHORARRAY( $W$5), 0))
)</f>
        <v>0.84372335423909484</v>
      </c>
      <c r="H124" s="17" cm="1">
        <f t="array" ref="H124">MMULT(
    MMULT(
        INDEX($X$5:$AM$77, MATCH(H$100,_xlfn.ANCHORARRAY( $W$5), 0), 0),
        $F$5:$U$20
    ),
    TRANSPOSE(
        INDEX($X$5:$AM$77, MATCH($A124,_xlfn.ANCHORARRAY( $W$5), 0), 0)
    )
)
/
(
    INDEX($AN$5:$AN$77, MATCH(H$100,_xlfn.ANCHORARRAY( $W$5), 0))
    *
    INDEX($AN$5:$AN$77, MATCH($A124,_xlfn.ANCHORARRAY( $W$5), 0))
)</f>
        <v>0.74129821332135504</v>
      </c>
      <c r="I124" s="17" cm="1">
        <f t="array" ref="I124">MMULT(
    MMULT(
        INDEX($X$5:$AM$77, MATCH(I$100,_xlfn.ANCHORARRAY( $W$5), 0), 0),
        $F$5:$U$20
    ),
    TRANSPOSE(
        INDEX($X$5:$AM$77, MATCH($A124,_xlfn.ANCHORARRAY( $W$5), 0), 0)
    )
)
/
(
    INDEX($AN$5:$AN$77, MATCH(I$100,_xlfn.ANCHORARRAY( $W$5), 0))
    *
    INDEX($AN$5:$AN$77, MATCH($A124,_xlfn.ANCHORARRAY( $W$5), 0))
)</f>
        <v>0.86422146503562469</v>
      </c>
      <c r="J124" s="17" cm="1">
        <f t="array" ref="J124">MMULT(
    MMULT(
        INDEX($X$5:$AM$77, MATCH(J$100,_xlfn.ANCHORARRAY( $W$5), 0), 0),
        $F$5:$U$20
    ),
    TRANSPOSE(
        INDEX($X$5:$AM$77, MATCH($A124,_xlfn.ANCHORARRAY( $W$5), 0), 0)
    )
)
/
(
    INDEX($AN$5:$AN$77, MATCH(J$100,_xlfn.ANCHORARRAY( $W$5), 0))
    *
    INDEX($AN$5:$AN$77, MATCH($A124,_xlfn.ANCHORARRAY( $W$5), 0))
)</f>
        <v>0.87013565323094877</v>
      </c>
      <c r="K124" s="17" cm="1">
        <f t="array" ref="K124">MMULT(
    MMULT(
        INDEX($X$5:$AM$77, MATCH(K$100,_xlfn.ANCHORARRAY( $W$5), 0), 0),
        $F$5:$U$20
    ),
    TRANSPOSE(
        INDEX($X$5:$AM$77, MATCH($A124,_xlfn.ANCHORARRAY( $W$5), 0), 0)
    )
)
/
(
    INDEX($AN$5:$AN$77, MATCH(K$100,_xlfn.ANCHORARRAY( $W$5), 0))
    *
    INDEX($AN$5:$AN$77, MATCH($A124,_xlfn.ANCHORARRAY( $W$5), 0))
)</f>
        <v>0.77464928203802641</v>
      </c>
      <c r="L124" s="17" cm="1">
        <f t="array" ref="L124">MMULT(
    MMULT(
        INDEX($X$5:$AM$77, MATCH(L$100,_xlfn.ANCHORARRAY( $W$5), 0), 0),
        $F$5:$U$20
    ),
    TRANSPOSE(
        INDEX($X$5:$AM$77, MATCH($A124,_xlfn.ANCHORARRAY( $W$5), 0), 0)
    )
)
/
(
    INDEX($AN$5:$AN$77, MATCH(L$100,_xlfn.ANCHORARRAY( $W$5), 0))
    *
    INDEX($AN$5:$AN$77, MATCH($A124,_xlfn.ANCHORARRAY( $W$5), 0))
)</f>
        <v>0.76134126865699758</v>
      </c>
      <c r="M124" s="17" cm="1">
        <f t="array" ref="M124">MMULT(
    MMULT(
        INDEX($X$5:$AM$77, MATCH(M$100,_xlfn.ANCHORARRAY( $W$5), 0), 0),
        $F$5:$U$20
    ),
    TRANSPOSE(
        INDEX($X$5:$AM$77, MATCH($A124,_xlfn.ANCHORARRAY( $W$5), 0), 0)
    )
)
/
(
    INDEX($AN$5:$AN$77, MATCH(M$100,_xlfn.ANCHORARRAY( $W$5), 0))
    *
    INDEX($AN$5:$AN$77, MATCH($A124,_xlfn.ANCHORARRAY( $W$5), 0))
)</f>
        <v>0.77537917047843918</v>
      </c>
      <c r="N124" s="17" cm="1">
        <f t="array" ref="N124">MMULT(
    MMULT(
        INDEX($X$5:$AM$77, MATCH(N$100,_xlfn.ANCHORARRAY( $W$5), 0), 0),
        $F$5:$U$20
    ),
    TRANSPOSE(
        INDEX($X$5:$AM$77, MATCH($A124,_xlfn.ANCHORARRAY( $W$5), 0), 0)
    )
)
/
(
    INDEX($AN$5:$AN$77, MATCH(N$100,_xlfn.ANCHORARRAY( $W$5), 0))
    *
    INDEX($AN$5:$AN$77, MATCH($A124,_xlfn.ANCHORARRAY( $W$5), 0))
)</f>
        <v>0.526271343275861</v>
      </c>
      <c r="O124" s="17" cm="1">
        <f t="array" ref="O124">MMULT(
    MMULT(
        INDEX($X$5:$AM$77, MATCH(O$100,_xlfn.ANCHORARRAY( $W$5), 0), 0),
        $F$5:$U$20
    ),
    TRANSPOSE(
        INDEX($X$5:$AM$77, MATCH($A124,_xlfn.ANCHORARRAY( $W$5), 0), 0)
    )
)
/
(
    INDEX($AN$5:$AN$77, MATCH(O$100,_xlfn.ANCHORARRAY( $W$5), 0))
    *
    INDEX($AN$5:$AN$77, MATCH($A124,_xlfn.ANCHORARRAY( $W$5), 0))
)</f>
        <v>0.46942595071247689</v>
      </c>
      <c r="P124" s="17" cm="1">
        <f t="array" ref="P124">MMULT(
    MMULT(
        INDEX($X$5:$AM$77, MATCH(P$100,_xlfn.ANCHORARRAY( $W$5), 0), 0),
        $F$5:$U$20
    ),
    TRANSPOSE(
        INDEX($X$5:$AM$77, MATCH($A124,_xlfn.ANCHORARRAY( $W$5), 0), 0)
    )
)
/
(
    INDEX($AN$5:$AN$77, MATCH(P$100,_xlfn.ANCHORARRAY( $W$5), 0))
    *
    INDEX($AN$5:$AN$77, MATCH($A124,_xlfn.ANCHORARRAY( $W$5), 0))
)</f>
        <v>0.70559311251832257</v>
      </c>
      <c r="Q124" s="17" cm="1">
        <f t="array" ref="Q124">MMULT(
    MMULT(
        INDEX($X$5:$AM$77, MATCH(Q$100,_xlfn.ANCHORARRAY( $W$5), 0), 0),
        $F$5:$U$20
    ),
    TRANSPOSE(
        INDEX($X$5:$AM$77, MATCH($A124,_xlfn.ANCHORARRAY( $W$5), 0), 0)
    )
)
/
(
    INDEX($AN$5:$AN$77, MATCH(Q$100,_xlfn.ANCHORARRAY( $W$5), 0))
    *
    INDEX($AN$5:$AN$77, MATCH($A124,_xlfn.ANCHORARRAY( $W$5), 0))
)</f>
        <v>0.82144956293822724</v>
      </c>
      <c r="R124" s="17" cm="1">
        <f t="array" ref="R124">MMULT(
    MMULT(
        INDEX($X$5:$AM$77, MATCH(R$100,_xlfn.ANCHORARRAY( $W$5), 0), 0),
        $F$5:$U$20
    ),
    TRANSPOSE(
        INDEX($X$5:$AM$77, MATCH($A124,_xlfn.ANCHORARRAY( $W$5), 0), 0)
    )
)
/
(
    INDEX($AN$5:$AN$77, MATCH(R$100,_xlfn.ANCHORARRAY( $W$5), 0))
    *
    INDEX($AN$5:$AN$77, MATCH($A124,_xlfn.ANCHORARRAY( $W$5), 0))
)</f>
        <v>0.68637878596599555</v>
      </c>
      <c r="S124" s="17" cm="1">
        <f t="array" ref="S124">MMULT(
    MMULT(
        INDEX($X$5:$AM$77, MATCH(S$100,_xlfn.ANCHORARRAY( $W$5), 0), 0),
        $F$5:$U$20
    ),
    TRANSPOSE(
        INDEX($X$5:$AM$77, MATCH($A124,_xlfn.ANCHORARRAY( $W$5), 0), 0)
    )
)
/
(
    INDEX($AN$5:$AN$77, MATCH(S$100,_xlfn.ANCHORARRAY( $W$5), 0))
    *
    INDEX($AN$5:$AN$77, MATCH($A124,_xlfn.ANCHORARRAY( $W$5), 0))
)</f>
        <v>0.82790339339464447</v>
      </c>
      <c r="T124" s="17" cm="1">
        <f t="array" ref="T124">MMULT(
    MMULT(
        INDEX($X$5:$AM$77, MATCH(T$100,_xlfn.ANCHORARRAY( $W$5), 0), 0),
        $F$5:$U$20
    ),
    TRANSPOSE(
        INDEX($X$5:$AM$77, MATCH($A124,_xlfn.ANCHORARRAY( $W$5), 0), 0)
    )
)
/
(
    INDEX($AN$5:$AN$77, MATCH(T$100,_xlfn.ANCHORARRAY( $W$5), 0))
    *
    INDEX($AN$5:$AN$77, MATCH($A124,_xlfn.ANCHORARRAY( $W$5), 0))
)</f>
        <v>0.70119599502441565</v>
      </c>
      <c r="U124" s="17" cm="1">
        <f t="array" ref="U124">MMULT(
    MMULT(
        INDEX($X$5:$AM$77, MATCH(U$100,_xlfn.ANCHORARRAY( $W$5), 0), 0),
        $F$5:$U$20
    ),
    TRANSPOSE(
        INDEX($X$5:$AM$77, MATCH($A124,_xlfn.ANCHORARRAY( $W$5), 0), 0)
    )
)
/
(
    INDEX($AN$5:$AN$77, MATCH(U$100,_xlfn.ANCHORARRAY( $W$5), 0))
    *
    INDEX($AN$5:$AN$77, MATCH($A124,_xlfn.ANCHORARRAY( $W$5), 0))
)</f>
        <v>0.72284360818856785</v>
      </c>
      <c r="V124" s="17" cm="1">
        <f t="array" ref="V124">MMULT(
    MMULT(
        INDEX($X$5:$AM$77, MATCH(V$100,_xlfn.ANCHORARRAY( $W$5), 0), 0),
        $F$5:$U$20
    ),
    TRANSPOSE(
        INDEX($X$5:$AM$77, MATCH($A124,_xlfn.ANCHORARRAY( $W$5), 0), 0)
    )
)
/
(
    INDEX($AN$5:$AN$77, MATCH(V$100,_xlfn.ANCHORARRAY( $W$5), 0))
    *
    INDEX($AN$5:$AN$77, MATCH($A124,_xlfn.ANCHORARRAY( $W$5), 0))
)</f>
        <v>0.8055430300500579</v>
      </c>
      <c r="W124" s="17" cm="1">
        <f t="array" ref="W124">MMULT(
    MMULT(
        INDEX($X$5:$AM$77, MATCH(W$100,_xlfn.ANCHORARRAY( $W$5), 0), 0),
        $F$5:$U$20
    ),
    TRANSPOSE(
        INDEX($X$5:$AM$77, MATCH($A124,_xlfn.ANCHORARRAY( $W$5), 0), 0)
    )
)
/
(
    INDEX($AN$5:$AN$77, MATCH(W$100,_xlfn.ANCHORARRAY( $W$5), 0))
    *
    INDEX($AN$5:$AN$77, MATCH($A124,_xlfn.ANCHORARRAY( $W$5), 0))
)</f>
        <v>0.46764789225312142</v>
      </c>
      <c r="X124" s="17" cm="1">
        <f t="array" ref="X124">MMULT(
    MMULT(
        INDEX($X$5:$AM$77, MATCH(X$100,_xlfn.ANCHORARRAY( $W$5), 0), 0),
        $F$5:$U$20
    ),
    TRANSPOSE(
        INDEX($X$5:$AM$77, MATCH($A124,_xlfn.ANCHORARRAY( $W$5), 0), 0)
    )
)
/
(
    INDEX($AN$5:$AN$77, MATCH(X$100,_xlfn.ANCHORARRAY( $W$5), 0))
    *
    INDEX($AN$5:$AN$77, MATCH($A124,_xlfn.ANCHORARRAY( $W$5), 0))
)</f>
        <v>0.54611450186828381</v>
      </c>
      <c r="Y124" s="17" cm="1">
        <f t="array" ref="Y124">MMULT(
    MMULT(
        INDEX($X$5:$AM$77, MATCH(Y$100,_xlfn.ANCHORARRAY( $W$5), 0), 0),
        $F$5:$U$20
    ),
    TRANSPOSE(
        INDEX($X$5:$AM$77, MATCH($A124,_xlfn.ANCHORARRAY( $W$5), 0), 0)
    )
)
/
(
    INDEX($AN$5:$AN$77, MATCH(Y$100,_xlfn.ANCHORARRAY( $W$5), 0))
    *
    INDEX($AN$5:$AN$77, MATCH($A124,_xlfn.ANCHORARRAY( $W$5), 0))
)</f>
        <v>1</v>
      </c>
      <c r="Z124" s="17" cm="1">
        <f t="array" ref="Z124">MMULT(
    MMULT(
        INDEX($X$5:$AM$77, MATCH(Z$100,_xlfn.ANCHORARRAY( $W$5), 0), 0),
        $F$5:$U$20
    ),
    TRANSPOSE(
        INDEX($X$5:$AM$77, MATCH($A124,_xlfn.ANCHORARRAY( $W$5), 0), 0)
    )
)
/
(
    INDEX($AN$5:$AN$77, MATCH(Z$100,_xlfn.ANCHORARRAY( $W$5), 0))
    *
    INDEX($AN$5:$AN$77, MATCH($A124,_xlfn.ANCHORARRAY( $W$5), 0))
)</f>
        <v>0.59555156359231631</v>
      </c>
      <c r="AA124" s="17" cm="1">
        <f t="array" ref="AA124">MMULT(
    MMULT(
        INDEX($X$5:$AM$77, MATCH(AA$100,_xlfn.ANCHORARRAY( $W$5), 0), 0),
        $F$5:$U$20
    ),
    TRANSPOSE(
        INDEX($X$5:$AM$77, MATCH($A124,_xlfn.ANCHORARRAY( $W$5), 0), 0)
    )
)
/
(
    INDEX($AN$5:$AN$77, MATCH(AA$100,_xlfn.ANCHORARRAY( $W$5), 0))
    *
    INDEX($AN$5:$AN$77, MATCH($A124,_xlfn.ANCHORARRAY( $W$5), 0))
)</f>
        <v>0.60070303952630755</v>
      </c>
      <c r="AB124" s="17" cm="1">
        <f t="array" ref="AB124">MMULT(
    MMULT(
        INDEX($X$5:$AM$77, MATCH(AB$100,_xlfn.ANCHORARRAY( $W$5), 0), 0),
        $F$5:$U$20
    ),
    TRANSPOSE(
        INDEX($X$5:$AM$77, MATCH($A124,_xlfn.ANCHORARRAY( $W$5), 0), 0)
    )
)
/
(
    INDEX($AN$5:$AN$77, MATCH(AB$100,_xlfn.ANCHORARRAY( $W$5), 0))
    *
    INDEX($AN$5:$AN$77, MATCH($A124,_xlfn.ANCHORARRAY( $W$5), 0))
)</f>
        <v>0.79983460287471164</v>
      </c>
      <c r="AC124" s="17" cm="1">
        <f t="array" ref="AC124">MMULT(
    MMULT(
        INDEX($X$5:$AM$77, MATCH(AC$100,_xlfn.ANCHORARRAY( $W$5), 0), 0),
        $F$5:$U$20
    ),
    TRANSPOSE(
        INDEX($X$5:$AM$77, MATCH($A124,_xlfn.ANCHORARRAY( $W$5), 0), 0)
    )
)
/
(
    INDEX($AN$5:$AN$77, MATCH(AC$100,_xlfn.ANCHORARRAY( $W$5), 0))
    *
    INDEX($AN$5:$AN$77, MATCH($A124,_xlfn.ANCHORARRAY( $W$5), 0))
)</f>
        <v>0.79334326046922454</v>
      </c>
      <c r="AD124" s="17" cm="1">
        <f t="array" ref="AD124">MMULT(
    MMULT(
        INDEX($X$5:$AM$77, MATCH(AD$100,_xlfn.ANCHORARRAY( $W$5), 0), 0),
        $F$5:$U$20
    ),
    TRANSPOSE(
        INDEX($X$5:$AM$77, MATCH($A124,_xlfn.ANCHORARRAY( $W$5), 0), 0)
    )
)
/
(
    INDEX($AN$5:$AN$77, MATCH(AD$100,_xlfn.ANCHORARRAY( $W$5), 0))
    *
    INDEX($AN$5:$AN$77, MATCH($A124,_xlfn.ANCHORARRAY( $W$5), 0))
)</f>
        <v>0.6085382437490533</v>
      </c>
      <c r="AE124" s="17" cm="1">
        <f t="array" ref="AE124">MMULT(
    MMULT(
        INDEX($X$5:$AM$77, MATCH(AE$100,_xlfn.ANCHORARRAY( $W$5), 0), 0),
        $F$5:$U$20
    ),
    TRANSPOSE(
        INDEX($X$5:$AM$77, MATCH($A124,_xlfn.ANCHORARRAY( $W$5), 0), 0)
    )
)
/
(
    INDEX($AN$5:$AN$77, MATCH(AE$100,_xlfn.ANCHORARRAY( $W$5), 0))
    *
    INDEX($AN$5:$AN$77, MATCH($A124,_xlfn.ANCHORARRAY( $W$5), 0))
)</f>
        <v>0.8797522744456131</v>
      </c>
      <c r="AF124" s="17" cm="1">
        <f t="array" ref="AF124">MMULT(
    MMULT(
        INDEX($X$5:$AM$77, MATCH(AF$100,_xlfn.ANCHORARRAY( $W$5), 0), 0),
        $F$5:$U$20
    ),
    TRANSPOSE(
        INDEX($X$5:$AM$77, MATCH($A124,_xlfn.ANCHORARRAY( $W$5), 0), 0)
    )
)
/
(
    INDEX($AN$5:$AN$77, MATCH(AF$100,_xlfn.ANCHORARRAY( $W$5), 0))
    *
    INDEX($AN$5:$AN$77, MATCH($A124,_xlfn.ANCHORARRAY( $W$5), 0))
)</f>
        <v>0.93950998944111574</v>
      </c>
      <c r="AG124" s="17" cm="1">
        <f t="array" ref="AG124">MMULT(
    MMULT(
        INDEX($X$5:$AM$77, MATCH(AG$100,_xlfn.ANCHORARRAY( $W$5), 0), 0),
        $F$5:$U$20
    ),
    TRANSPOSE(
        INDEX($X$5:$AM$77, MATCH($A124,_xlfn.ANCHORARRAY( $W$5), 0), 0)
    )
)
/
(
    INDEX($AN$5:$AN$77, MATCH(AG$100,_xlfn.ANCHORARRAY( $W$5), 0))
    *
    INDEX($AN$5:$AN$77, MATCH($A124,_xlfn.ANCHORARRAY( $W$5), 0))
)</f>
        <v>0.82691636325255768</v>
      </c>
      <c r="AH124" s="17" cm="1">
        <f t="array" ref="AH124">MMULT(
    MMULT(
        INDEX($X$5:$AM$77, MATCH(AH$100,_xlfn.ANCHORARRAY( $W$5), 0), 0),
        $F$5:$U$20
    ),
    TRANSPOSE(
        INDEX($X$5:$AM$77, MATCH($A124,_xlfn.ANCHORARRAY( $W$5), 0), 0)
    )
)
/
(
    INDEX($AN$5:$AN$77, MATCH(AH$100,_xlfn.ANCHORARRAY( $W$5), 0))
    *
    INDEX($AN$5:$AN$77, MATCH($A124,_xlfn.ANCHORARRAY( $W$5), 0))
)</f>
        <v>0.77792270953833909</v>
      </c>
      <c r="AI124" s="17" cm="1">
        <f t="array" ref="AI124">MMULT(
    MMULT(
        INDEX($X$5:$AM$77, MATCH(AI$100,_xlfn.ANCHORARRAY( $W$5), 0), 0),
        $F$5:$U$20
    ),
    TRANSPOSE(
        INDEX($X$5:$AM$77, MATCH($A124,_xlfn.ANCHORARRAY( $W$5), 0), 0)
    )
)
/
(
    INDEX($AN$5:$AN$77, MATCH(AI$100,_xlfn.ANCHORARRAY( $W$5), 0))
    *
    INDEX($AN$5:$AN$77, MATCH($A124,_xlfn.ANCHORARRAY( $W$5), 0))
)</f>
        <v>0.84073573503822807</v>
      </c>
      <c r="AJ124" s="17" cm="1">
        <f t="array" ref="AJ124">MMULT(
    MMULT(
        INDEX($X$5:$AM$77, MATCH(AJ$100,_xlfn.ANCHORARRAY( $W$5), 0), 0),
        $F$5:$U$20
    ),
    TRANSPOSE(
        INDEX($X$5:$AM$77, MATCH($A124,_xlfn.ANCHORARRAY( $W$5), 0), 0)
    )
)
/
(
    INDEX($AN$5:$AN$77, MATCH(AJ$100,_xlfn.ANCHORARRAY( $W$5), 0))
    *
    INDEX($AN$5:$AN$77, MATCH($A124,_xlfn.ANCHORARRAY( $W$5), 0))
)</f>
        <v>0.70132718846392594</v>
      </c>
      <c r="AK124" s="17" cm="1">
        <f t="array" ref="AK124">MMULT(
    MMULT(
        INDEX($X$5:$AM$77, MATCH(AK$100,_xlfn.ANCHORARRAY( $W$5), 0), 0),
        $F$5:$U$20
    ),
    TRANSPOSE(
        INDEX($X$5:$AM$77, MATCH($A124,_xlfn.ANCHORARRAY( $W$5), 0), 0)
    )
)
/
(
    INDEX($AN$5:$AN$77, MATCH(AK$100,_xlfn.ANCHORARRAY( $W$5), 0))
    *
    INDEX($AN$5:$AN$77, MATCH($A124,_xlfn.ANCHORARRAY( $W$5), 0))
)</f>
        <v>0.75554504885730056</v>
      </c>
      <c r="AL124" s="17" cm="1">
        <f t="array" ref="AL124">MMULT(
    MMULT(
        INDEX($X$5:$AM$77, MATCH(AL$100,_xlfn.ANCHORARRAY( $W$5), 0), 0),
        $F$5:$U$20
    ),
    TRANSPOSE(
        INDEX($X$5:$AM$77, MATCH($A124,_xlfn.ANCHORARRAY( $W$5), 0), 0)
    )
)
/
(
    INDEX($AN$5:$AN$77, MATCH(AL$100,_xlfn.ANCHORARRAY( $W$5), 0))
    *
    INDEX($AN$5:$AN$77, MATCH($A124,_xlfn.ANCHORARRAY( $W$5), 0))
)</f>
        <v>0.46855087550695113</v>
      </c>
      <c r="AM124" s="17" cm="1">
        <f t="array" ref="AM124">MMULT(
    MMULT(
        INDEX($X$5:$AM$77, MATCH(AM$100,_xlfn.ANCHORARRAY( $W$5), 0), 0),
        $F$5:$U$20
    ),
    TRANSPOSE(
        INDEX($X$5:$AM$77, MATCH($A124,_xlfn.ANCHORARRAY( $W$5), 0), 0)
    )
)
/
(
    INDEX($AN$5:$AN$77, MATCH(AM$100,_xlfn.ANCHORARRAY( $W$5), 0))
    *
    INDEX($AN$5:$AN$77, MATCH($A124,_xlfn.ANCHORARRAY( $W$5), 0))
)</f>
        <v>0.72653499006770383</v>
      </c>
      <c r="AN124" s="17" cm="1">
        <f t="array" ref="AN124">MMULT(
    MMULT(
        INDEX($X$5:$AM$77, MATCH(AN$100,_xlfn.ANCHORARRAY( $W$5), 0), 0),
        $F$5:$U$20
    ),
    TRANSPOSE(
        INDEX($X$5:$AM$77, MATCH($A124,_xlfn.ANCHORARRAY( $W$5), 0), 0)
    )
)
/
(
    INDEX($AN$5:$AN$77, MATCH(AN$100,_xlfn.ANCHORARRAY( $W$5), 0))
    *
    INDEX($AN$5:$AN$77, MATCH($A124,_xlfn.ANCHORARRAY( $W$5), 0))
)</f>
        <v>0.76516831342380165</v>
      </c>
      <c r="AO124" s="17" cm="1">
        <f t="array" ref="AO124">MMULT(
    MMULT(
        INDEX($X$5:$AM$77, MATCH(AO$100,_xlfn.ANCHORARRAY( $W$5), 0), 0),
        $F$5:$U$20
    ),
    TRANSPOSE(
        INDEX($X$5:$AM$77, MATCH($A124,_xlfn.ANCHORARRAY( $W$5), 0), 0)
    )
)
/
(
    INDEX($AN$5:$AN$77, MATCH(AO$100,_xlfn.ANCHORARRAY( $W$5), 0))
    *
    INDEX($AN$5:$AN$77, MATCH($A124,_xlfn.ANCHORARRAY( $W$5), 0))
)</f>
        <v>0.66856196818686819</v>
      </c>
      <c r="AP124" s="17" cm="1">
        <f t="array" ref="AP124">MMULT(
    MMULT(
        INDEX($X$5:$AM$77, MATCH(AP$100,_xlfn.ANCHORARRAY( $W$5), 0), 0),
        $F$5:$U$20
    ),
    TRANSPOSE(
        INDEX($X$5:$AM$77, MATCH($A124,_xlfn.ANCHORARRAY( $W$5), 0), 0)
    )
)
/
(
    INDEX($AN$5:$AN$77, MATCH(AP$100,_xlfn.ANCHORARRAY( $W$5), 0))
    *
    INDEX($AN$5:$AN$77, MATCH($A124,_xlfn.ANCHORARRAY( $W$5), 0))
)</f>
        <v>0.88625712037754245</v>
      </c>
      <c r="AQ124" s="17" cm="1">
        <f t="array" ref="AQ124">MMULT(
    MMULT(
        INDEX($X$5:$AM$77, MATCH(AQ$100,_xlfn.ANCHORARRAY( $W$5), 0), 0),
        $F$5:$U$20
    ),
    TRANSPOSE(
        INDEX($X$5:$AM$77, MATCH($A124,_xlfn.ANCHORARRAY( $W$5), 0), 0)
    )
)
/
(
    INDEX($AN$5:$AN$77, MATCH(AQ$100,_xlfn.ANCHORARRAY( $W$5), 0))
    *
    INDEX($AN$5:$AN$77, MATCH($A124,_xlfn.ANCHORARRAY( $W$5), 0))
)</f>
        <v>0.84656283936578958</v>
      </c>
      <c r="AR124" s="17" cm="1">
        <f t="array" ref="AR124">MMULT(
    MMULT(
        INDEX($X$5:$AM$77, MATCH(AR$100,_xlfn.ANCHORARRAY( $W$5), 0), 0),
        $F$5:$U$20
    ),
    TRANSPOSE(
        INDEX($X$5:$AM$77, MATCH($A124,_xlfn.ANCHORARRAY( $W$5), 0), 0)
    )
)
/
(
    INDEX($AN$5:$AN$77, MATCH(AR$100,_xlfn.ANCHORARRAY( $W$5), 0))
    *
    INDEX($AN$5:$AN$77, MATCH($A124,_xlfn.ANCHORARRAY( $W$5), 0))
)</f>
        <v>0.7355317331833876</v>
      </c>
      <c r="AS124" s="17" cm="1">
        <f t="array" ref="AS124">MMULT(
    MMULT(
        INDEX($X$5:$AM$77, MATCH(AS$100,_xlfn.ANCHORARRAY( $W$5), 0), 0),
        $F$5:$U$20
    ),
    TRANSPOSE(
        INDEX($X$5:$AM$77, MATCH($A124,_xlfn.ANCHORARRAY( $W$5), 0), 0)
    )
)
/
(
    INDEX($AN$5:$AN$77, MATCH(AS$100,_xlfn.ANCHORARRAY( $W$5), 0))
    *
    INDEX($AN$5:$AN$77, MATCH($A124,_xlfn.ANCHORARRAY( $W$5), 0))
)</f>
        <v>0.63913967242453329</v>
      </c>
      <c r="AT124" s="17" cm="1">
        <f t="array" ref="AT124">MMULT(
    MMULT(
        INDEX($X$5:$AM$77, MATCH(AT$100,_xlfn.ANCHORARRAY( $W$5), 0), 0),
        $F$5:$U$20
    ),
    TRANSPOSE(
        INDEX($X$5:$AM$77, MATCH($A124,_xlfn.ANCHORARRAY( $W$5), 0), 0)
    )
)
/
(
    INDEX($AN$5:$AN$77, MATCH(AT$100,_xlfn.ANCHORARRAY( $W$5), 0))
    *
    INDEX($AN$5:$AN$77, MATCH($A124,_xlfn.ANCHORARRAY( $W$5), 0))
)</f>
        <v>0.85529163888299631</v>
      </c>
      <c r="AU124" s="17" cm="1">
        <f t="array" ref="AU124">MMULT(
    MMULT(
        INDEX($X$5:$AM$77, MATCH(AU$100,_xlfn.ANCHORARRAY( $W$5), 0), 0),
        $F$5:$U$20
    ),
    TRANSPOSE(
        INDEX($X$5:$AM$77, MATCH($A124,_xlfn.ANCHORARRAY( $W$5), 0), 0)
    )
)
/
(
    INDEX($AN$5:$AN$77, MATCH(AU$100,_xlfn.ANCHORARRAY( $W$5), 0))
    *
    INDEX($AN$5:$AN$77, MATCH($A124,_xlfn.ANCHORARRAY( $W$5), 0))
)</f>
        <v>0.59271584550243106</v>
      </c>
      <c r="AV124" s="17" cm="1">
        <f t="array" ref="AV124">MMULT(
    MMULT(
        INDEX($X$5:$AM$77, MATCH(AV$100,_xlfn.ANCHORARRAY( $W$5), 0), 0),
        $F$5:$U$20
    ),
    TRANSPOSE(
        INDEX($X$5:$AM$77, MATCH($A124,_xlfn.ANCHORARRAY( $W$5), 0), 0)
    )
)
/
(
    INDEX($AN$5:$AN$77, MATCH(AV$100,_xlfn.ANCHORARRAY( $W$5), 0))
    *
    INDEX($AN$5:$AN$77, MATCH($A124,_xlfn.ANCHORARRAY( $W$5), 0))
)</f>
        <v>0.57734824711777077</v>
      </c>
      <c r="AW124" s="17" cm="1">
        <f t="array" ref="AW124">MMULT(
    MMULT(
        INDEX($X$5:$AM$77, MATCH(AW$100,_xlfn.ANCHORARRAY( $W$5), 0), 0),
        $F$5:$U$20
    ),
    TRANSPOSE(
        INDEX($X$5:$AM$77, MATCH($A124,_xlfn.ANCHORARRAY( $W$5), 0), 0)
    )
)
/
(
    INDEX($AN$5:$AN$77, MATCH(AW$100,_xlfn.ANCHORARRAY( $W$5), 0))
    *
    INDEX($AN$5:$AN$77, MATCH($A124,_xlfn.ANCHORARRAY( $W$5), 0))
)</f>
        <v>0.73268665513568154</v>
      </c>
      <c r="AX124" s="17" cm="1">
        <f t="array" ref="AX124">MMULT(
    MMULT(
        INDEX($X$5:$AM$77, MATCH(AX$100,_xlfn.ANCHORARRAY( $W$5), 0), 0),
        $F$5:$U$20
    ),
    TRANSPOSE(
        INDEX($X$5:$AM$77, MATCH($A124,_xlfn.ANCHORARRAY( $W$5), 0), 0)
    )
)
/
(
    INDEX($AN$5:$AN$77, MATCH(AX$100,_xlfn.ANCHORARRAY( $W$5), 0))
    *
    INDEX($AN$5:$AN$77, MATCH($A124,_xlfn.ANCHORARRAY( $W$5), 0))
)</f>
        <v>0.70585397172538733</v>
      </c>
      <c r="AY124" s="17" cm="1">
        <f t="array" ref="AY124">MMULT(
    MMULT(
        INDEX($X$5:$AM$77, MATCH(AY$100,_xlfn.ANCHORARRAY( $W$5), 0), 0),
        $F$5:$U$20
    ),
    TRANSPOSE(
        INDEX($X$5:$AM$77, MATCH($A124,_xlfn.ANCHORARRAY( $W$5), 0), 0)
    )
)
/
(
    INDEX($AN$5:$AN$77, MATCH(AY$100,_xlfn.ANCHORARRAY( $W$5), 0))
    *
    INDEX($AN$5:$AN$77, MATCH($A124,_xlfn.ANCHORARRAY( $W$5), 0))
)</f>
        <v>0.75453051726466869</v>
      </c>
      <c r="AZ124" s="17" cm="1">
        <f t="array" ref="AZ124">MMULT(
    MMULT(
        INDEX($X$5:$AM$77, MATCH(AZ$100,_xlfn.ANCHORARRAY( $W$5), 0), 0),
        $F$5:$U$20
    ),
    TRANSPOSE(
        INDEX($X$5:$AM$77, MATCH($A124,_xlfn.ANCHORARRAY( $W$5), 0), 0)
    )
)
/
(
    INDEX($AN$5:$AN$77, MATCH(AZ$100,_xlfn.ANCHORARRAY( $W$5), 0))
    *
    INDEX($AN$5:$AN$77, MATCH($A124,_xlfn.ANCHORARRAY( $W$5), 0))
)</f>
        <v>0.57950179766341747</v>
      </c>
      <c r="BA124" s="17" cm="1">
        <f t="array" ref="BA124">MMULT(
    MMULT(
        INDEX($X$5:$AM$77, MATCH(BA$100,_xlfn.ANCHORARRAY( $W$5), 0), 0),
        $F$5:$U$20
    ),
    TRANSPOSE(
        INDEX($X$5:$AM$77, MATCH($A124,_xlfn.ANCHORARRAY( $W$5), 0), 0)
    )
)
/
(
    INDEX($AN$5:$AN$77, MATCH(BA$100,_xlfn.ANCHORARRAY( $W$5), 0))
    *
    INDEX($AN$5:$AN$77, MATCH($A124,_xlfn.ANCHORARRAY( $W$5), 0))
)</f>
        <v>0.65940453092254214</v>
      </c>
      <c r="BB124" s="17" cm="1">
        <f t="array" ref="BB124">MMULT(
    MMULT(
        INDEX($X$5:$AM$77, MATCH(BB$100,_xlfn.ANCHORARRAY( $W$5), 0), 0),
        $F$5:$U$20
    ),
    TRANSPOSE(
        INDEX($X$5:$AM$77, MATCH($A124,_xlfn.ANCHORARRAY( $W$5), 0), 0)
    )
)
/
(
    INDEX($AN$5:$AN$77, MATCH(BB$100,_xlfn.ANCHORARRAY( $W$5), 0))
    *
    INDEX($AN$5:$AN$77, MATCH($A124,_xlfn.ANCHORARRAY( $W$5), 0))
)</f>
        <v>0.67819024735986477</v>
      </c>
      <c r="BC124" s="17" cm="1">
        <f t="array" ref="BC124">MMULT(
    MMULT(
        INDEX($X$5:$AM$77, MATCH(BC$100,_xlfn.ANCHORARRAY( $W$5), 0), 0),
        $F$5:$U$20
    ),
    TRANSPOSE(
        INDEX($X$5:$AM$77, MATCH($A124,_xlfn.ANCHORARRAY( $W$5), 0), 0)
    )
)
/
(
    INDEX($AN$5:$AN$77, MATCH(BC$100,_xlfn.ANCHORARRAY( $W$5), 0))
    *
    INDEX($AN$5:$AN$77, MATCH($A124,_xlfn.ANCHORARRAY( $W$5), 0))
)</f>
        <v>0.76561395039907765</v>
      </c>
      <c r="BD124" s="17" cm="1">
        <f t="array" ref="BD124">MMULT(
    MMULT(
        INDEX($X$5:$AM$77, MATCH(BD$100,_xlfn.ANCHORARRAY( $W$5), 0), 0),
        $F$5:$U$20
    ),
    TRANSPOSE(
        INDEX($X$5:$AM$77, MATCH($A124,_xlfn.ANCHORARRAY( $W$5), 0), 0)
    )
)
/
(
    INDEX($AN$5:$AN$77, MATCH(BD$100,_xlfn.ANCHORARRAY( $W$5), 0))
    *
    INDEX($AN$5:$AN$77, MATCH($A124,_xlfn.ANCHORARRAY( $W$5), 0))
)</f>
        <v>0.85825617390065212</v>
      </c>
      <c r="BE124" s="17" cm="1">
        <f t="array" ref="BE124">MMULT(
    MMULT(
        INDEX($X$5:$AM$77, MATCH(BE$100,_xlfn.ANCHORARRAY( $W$5), 0), 0),
        $F$5:$U$20
    ),
    TRANSPOSE(
        INDEX($X$5:$AM$77, MATCH($A124,_xlfn.ANCHORARRAY( $W$5), 0), 0)
    )
)
/
(
    INDEX($AN$5:$AN$77, MATCH(BE$100,_xlfn.ANCHORARRAY( $W$5), 0))
    *
    INDEX($AN$5:$AN$77, MATCH($A124,_xlfn.ANCHORARRAY( $W$5), 0))
)</f>
        <v>0.72114903677049691</v>
      </c>
      <c r="BF124" s="17" cm="1">
        <f t="array" ref="BF124">MMULT(
    MMULT(
        INDEX($X$5:$AM$77, MATCH(BF$100,_xlfn.ANCHORARRAY( $W$5), 0), 0),
        $F$5:$U$20
    ),
    TRANSPOSE(
        INDEX($X$5:$AM$77, MATCH($A124,_xlfn.ANCHORARRAY( $W$5), 0), 0)
    )
)
/
(
    INDEX($AN$5:$AN$77, MATCH(BF$100,_xlfn.ANCHORARRAY( $W$5), 0))
    *
    INDEX($AN$5:$AN$77, MATCH($A124,_xlfn.ANCHORARRAY( $W$5), 0))
)</f>
        <v>0.81621295482422074</v>
      </c>
      <c r="BG124" s="17" cm="1">
        <f t="array" ref="BG124">MMULT(
    MMULT(
        INDEX($X$5:$AM$77, MATCH(BG$100,_xlfn.ANCHORARRAY( $W$5), 0), 0),
        $F$5:$U$20
    ),
    TRANSPOSE(
        INDEX($X$5:$AM$77, MATCH($A124,_xlfn.ANCHORARRAY( $W$5), 0), 0)
    )
)
/
(
    INDEX($AN$5:$AN$77, MATCH(BG$100,_xlfn.ANCHORARRAY( $W$5), 0))
    *
    INDEX($AN$5:$AN$77, MATCH($A124,_xlfn.ANCHORARRAY( $W$5), 0))
)</f>
        <v>0.75242824780589546</v>
      </c>
      <c r="BH124" s="17" cm="1">
        <f t="array" ref="BH124">MMULT(
    MMULT(
        INDEX($X$5:$AM$77, MATCH(BH$100,_xlfn.ANCHORARRAY( $W$5), 0), 0),
        $F$5:$U$20
    ),
    TRANSPOSE(
        INDEX($X$5:$AM$77, MATCH($A124,_xlfn.ANCHORARRAY( $W$5), 0), 0)
    )
)
/
(
    INDEX($AN$5:$AN$77, MATCH(BH$100,_xlfn.ANCHORARRAY( $W$5), 0))
    *
    INDEX($AN$5:$AN$77, MATCH($A124,_xlfn.ANCHORARRAY( $W$5), 0))
)</f>
        <v>0.88279253780750311</v>
      </c>
      <c r="BI124" s="17" cm="1">
        <f t="array" ref="BI124">MMULT(
    MMULT(
        INDEX($X$5:$AM$77, MATCH(BI$100,_xlfn.ANCHORARRAY( $W$5), 0), 0),
        $F$5:$U$20
    ),
    TRANSPOSE(
        INDEX($X$5:$AM$77, MATCH($A124,_xlfn.ANCHORARRAY( $W$5), 0), 0)
    )
)
/
(
    INDEX($AN$5:$AN$77, MATCH(BI$100,_xlfn.ANCHORARRAY( $W$5), 0))
    *
    INDEX($AN$5:$AN$77, MATCH($A124,_xlfn.ANCHORARRAY( $W$5), 0))
)</f>
        <v>0.82034843829557291</v>
      </c>
      <c r="BJ124" s="17" cm="1">
        <f t="array" ref="BJ124">MMULT(
    MMULT(
        INDEX($X$5:$AM$77, MATCH(BJ$100,_xlfn.ANCHORARRAY( $W$5), 0), 0),
        $F$5:$U$20
    ),
    TRANSPOSE(
        INDEX($X$5:$AM$77, MATCH($A124,_xlfn.ANCHORARRAY( $W$5), 0), 0)
    )
)
/
(
    INDEX($AN$5:$AN$77, MATCH(BJ$100,_xlfn.ANCHORARRAY( $W$5), 0))
    *
    INDEX($AN$5:$AN$77, MATCH($A124,_xlfn.ANCHORARRAY( $W$5), 0))
)</f>
        <v>0.68969006372102437</v>
      </c>
      <c r="BK124" s="17" cm="1">
        <f t="array" ref="BK124">MMULT(
    MMULT(
        INDEX($X$5:$AM$77, MATCH(BK$100,_xlfn.ANCHORARRAY( $W$5), 0), 0),
        $F$5:$U$20
    ),
    TRANSPOSE(
        INDEX($X$5:$AM$77, MATCH($A124,_xlfn.ANCHORARRAY( $W$5), 0), 0)
    )
)
/
(
    INDEX($AN$5:$AN$77, MATCH(BK$100,_xlfn.ANCHORARRAY( $W$5), 0))
    *
    INDEX($AN$5:$AN$77, MATCH($A124,_xlfn.ANCHORARRAY( $W$5), 0))
)</f>
        <v>0.86397794171722997</v>
      </c>
      <c r="BL124" s="17" cm="1">
        <f t="array" ref="BL124">MMULT(
    MMULT(
        INDEX($X$5:$AM$77, MATCH(BL$100,_xlfn.ANCHORARRAY( $W$5), 0), 0),
        $F$5:$U$20
    ),
    TRANSPOSE(
        INDEX($X$5:$AM$77, MATCH($A124,_xlfn.ANCHORARRAY( $W$5), 0), 0)
    )
)
/
(
    INDEX($AN$5:$AN$77, MATCH(BL$100,_xlfn.ANCHORARRAY( $W$5), 0))
    *
    INDEX($AN$5:$AN$77, MATCH($A124,_xlfn.ANCHORARRAY( $W$5), 0))
)</f>
        <v>0.24555032944702718</v>
      </c>
      <c r="BM124" s="17" cm="1">
        <f t="array" ref="BM124">MMULT(
    MMULT(
        INDEX($X$5:$AM$77, MATCH(BM$100,_xlfn.ANCHORARRAY( $W$5), 0), 0),
        $F$5:$U$20
    ),
    TRANSPOSE(
        INDEX($X$5:$AM$77, MATCH($A124,_xlfn.ANCHORARRAY( $W$5), 0), 0)
    )
)
/
(
    INDEX($AN$5:$AN$77, MATCH(BM$100,_xlfn.ANCHORARRAY( $W$5), 0))
    *
    INDEX($AN$5:$AN$77, MATCH($A124,_xlfn.ANCHORARRAY( $W$5), 0))
)</f>
        <v>0.45335879052740841</v>
      </c>
      <c r="BN124" s="17" cm="1">
        <f t="array" ref="BN124">MMULT(
    MMULT(
        INDEX($X$5:$AM$77, MATCH(BN$100,_xlfn.ANCHORARRAY( $W$5), 0), 0),
        $F$5:$U$20
    ),
    TRANSPOSE(
        INDEX($X$5:$AM$77, MATCH($A124,_xlfn.ANCHORARRAY( $W$5), 0), 0)
    )
)
/
(
    INDEX($AN$5:$AN$77, MATCH(BN$100,_xlfn.ANCHORARRAY( $W$5), 0))
    *
    INDEX($AN$5:$AN$77, MATCH($A124,_xlfn.ANCHORARRAY( $W$5), 0))
)</f>
        <v>0.77529792844160739</v>
      </c>
      <c r="BO124" s="17" cm="1">
        <f t="array" ref="BO124">MMULT(
    MMULT(
        INDEX($X$5:$AM$77, MATCH(BO$100,_xlfn.ANCHORARRAY( $W$5), 0), 0),
        $F$5:$U$20
    ),
    TRANSPOSE(
        INDEX($X$5:$AM$77, MATCH($A124,_xlfn.ANCHORARRAY( $W$5), 0), 0)
    )
)
/
(
    INDEX($AN$5:$AN$77, MATCH(BO$100,_xlfn.ANCHORARRAY( $W$5), 0))
    *
    INDEX($AN$5:$AN$77, MATCH($A124,_xlfn.ANCHORARRAY( $W$5), 0))
)</f>
        <v>0.72269604398285847</v>
      </c>
      <c r="BP124" s="17" cm="1">
        <f t="array" ref="BP124">MMULT(
    MMULT(
        INDEX($X$5:$AM$77, MATCH(BP$100,_xlfn.ANCHORARRAY( $W$5), 0), 0),
        $F$5:$U$20
    ),
    TRANSPOSE(
        INDEX($X$5:$AM$77, MATCH($A124,_xlfn.ANCHORARRAY( $W$5), 0), 0)
    )
)
/
(
    INDEX($AN$5:$AN$77, MATCH(BP$100,_xlfn.ANCHORARRAY( $W$5), 0))
    *
    INDEX($AN$5:$AN$77, MATCH($A124,_xlfn.ANCHORARRAY( $W$5), 0))
)</f>
        <v>0.73454310994992655</v>
      </c>
      <c r="BQ124" s="17" cm="1">
        <f t="array" ref="BQ124">MMULT(
    MMULT(
        INDEX($X$5:$AM$77, MATCH(BQ$100,_xlfn.ANCHORARRAY( $W$5), 0), 0),
        $F$5:$U$20
    ),
    TRANSPOSE(
        INDEX($X$5:$AM$77, MATCH($A124,_xlfn.ANCHORARRAY( $W$5), 0), 0)
    )
)
/
(
    INDEX($AN$5:$AN$77, MATCH(BQ$100,_xlfn.ANCHORARRAY( $W$5), 0))
    *
    INDEX($AN$5:$AN$77, MATCH($A124,_xlfn.ANCHORARRAY( $W$5), 0))
)</f>
        <v>0.60732622531832248</v>
      </c>
      <c r="BR124" s="17" cm="1">
        <f t="array" ref="BR124">MMULT(
    MMULT(
        INDEX($X$5:$AM$77, MATCH(BR$100,_xlfn.ANCHORARRAY( $W$5), 0), 0),
        $F$5:$U$20
    ),
    TRANSPOSE(
        INDEX($X$5:$AM$77, MATCH($A124,_xlfn.ANCHORARRAY( $W$5), 0), 0)
    )
)
/
(
    INDEX($AN$5:$AN$77, MATCH(BR$100,_xlfn.ANCHORARRAY( $W$5), 0))
    *
    INDEX($AN$5:$AN$77, MATCH($A124,_xlfn.ANCHORARRAY( $W$5), 0))
)</f>
        <v>0.8467726419875552</v>
      </c>
      <c r="BS124" s="17" cm="1">
        <f t="array" ref="BS124">MMULT(
    MMULT(
        INDEX($X$5:$AM$77, MATCH(BS$100,_xlfn.ANCHORARRAY( $W$5), 0), 0),
        $F$5:$U$20
    ),
    TRANSPOSE(
        INDEX($X$5:$AM$77, MATCH($A124,_xlfn.ANCHORARRAY( $W$5), 0), 0)
    )
)
/
(
    INDEX($AN$5:$AN$77, MATCH(BS$100,_xlfn.ANCHORARRAY( $W$5), 0))
    *
    INDEX($AN$5:$AN$77, MATCH($A124,_xlfn.ANCHORARRAY( $W$5), 0))
)</f>
        <v>0.59515656314996701</v>
      </c>
      <c r="BT124" s="17" cm="1">
        <f t="array" ref="BT124">MMULT(
    MMULT(
        INDEX($X$5:$AM$77, MATCH(BT$100,_xlfn.ANCHORARRAY( $W$5), 0), 0),
        $F$5:$U$20
    ),
    TRANSPOSE(
        INDEX($X$5:$AM$77, MATCH($A124,_xlfn.ANCHORARRAY( $W$5), 0), 0)
    )
)
/
(
    INDEX($AN$5:$AN$77, MATCH(BT$100,_xlfn.ANCHORARRAY( $W$5), 0))
    *
    INDEX($AN$5:$AN$77, MATCH($A124,_xlfn.ANCHORARRAY( $W$5), 0))
)</f>
        <v>0.69320255891554516</v>
      </c>
      <c r="BU124" s="17" cm="1">
        <f t="array" ref="BU124">MMULT(
    MMULT(
        INDEX($X$5:$AM$77, MATCH(BU$100,_xlfn.ANCHORARRAY( $W$5), 0), 0),
        $F$5:$U$20
    ),
    TRANSPOSE(
        INDEX($X$5:$AM$77, MATCH($A124,_xlfn.ANCHORARRAY( $W$5), 0), 0)
    )
)
/
(
    INDEX($AN$5:$AN$77, MATCH(BU$100,_xlfn.ANCHORARRAY( $W$5), 0))
    *
    INDEX($AN$5:$AN$77, MATCH($A124,_xlfn.ANCHORARRAY( $W$5), 0))
)</f>
        <v>0.87980390034658429</v>
      </c>
      <c r="BV124" s="17" cm="1">
        <f t="array" ref="BV124">MMULT(
    MMULT(
        INDEX($X$5:$AM$77, MATCH(BV$100,_xlfn.ANCHORARRAY( $W$5), 0), 0),
        $F$5:$U$20
    ),
    TRANSPOSE(
        INDEX($X$5:$AM$77, MATCH($A124,_xlfn.ANCHORARRAY( $W$5), 0), 0)
    )
)
/
(
    INDEX($AN$5:$AN$77, MATCH(BV$100,_xlfn.ANCHORARRAY( $W$5), 0))
    *
    INDEX($AN$5:$AN$77, MATCH($A124,_xlfn.ANCHORARRAY( $W$5), 0))
)</f>
        <v>0.71927724122900594</v>
      </c>
    </row>
    <row r="125" spans="1:74" x14ac:dyDescent="0.3">
      <c r="A125" s="7" t="str">
        <v>Jiménez, Joe</v>
      </c>
      <c r="B125" s="17" cm="1">
        <f t="array" ref="B125">MMULT(
    MMULT(
        INDEX($X$5:$AM$77, MATCH(B$100,_xlfn.ANCHORARRAY( $W$5), 0), 0),
        $F$5:$U$20
    ),
    TRANSPOSE(
        INDEX($X$5:$AM$77, MATCH($A125,_xlfn.ANCHORARRAY( $W$5), 0), 0)
    )
)
/
(
    INDEX($AN$5:$AN$77, MATCH(B$100,_xlfn.ANCHORARRAY( $W$5), 0))
    *
    INDEX($AN$5:$AN$77, MATCH($A125,_xlfn.ANCHORARRAY( $W$5), 0))
)</f>
        <v>0.84991297970254764</v>
      </c>
      <c r="C125" s="17" cm="1">
        <f t="array" ref="C125">MMULT(
    MMULT(
        INDEX($X$5:$AM$77, MATCH(C$100,_xlfn.ANCHORARRAY( $W$5), 0), 0),
        $F$5:$U$20
    ),
    TRANSPOSE(
        INDEX($X$5:$AM$77, MATCH($A125,_xlfn.ANCHORARRAY( $W$5), 0), 0)
    )
)
/
(
    INDEX($AN$5:$AN$77, MATCH(C$100,_xlfn.ANCHORARRAY( $W$5), 0))
    *
    INDEX($AN$5:$AN$77, MATCH($A125,_xlfn.ANCHORARRAY( $W$5), 0))
)</f>
        <v>0.59232883104227119</v>
      </c>
      <c r="D125" s="17" cm="1">
        <f t="array" ref="D125">MMULT(
    MMULT(
        INDEX($X$5:$AM$77, MATCH(D$100,_xlfn.ANCHORARRAY( $W$5), 0), 0),
        $F$5:$U$20
    ),
    TRANSPOSE(
        INDEX($X$5:$AM$77, MATCH($A125,_xlfn.ANCHORARRAY( $W$5), 0), 0)
    )
)
/
(
    INDEX($AN$5:$AN$77, MATCH(D$100,_xlfn.ANCHORARRAY( $W$5), 0))
    *
    INDEX($AN$5:$AN$77, MATCH($A125,_xlfn.ANCHORARRAY( $W$5), 0))
)</f>
        <v>0.98820571522237954</v>
      </c>
      <c r="E125" s="17" cm="1">
        <f t="array" ref="E125">MMULT(
    MMULT(
        INDEX($X$5:$AM$77, MATCH(E$100,_xlfn.ANCHORARRAY( $W$5), 0), 0),
        $F$5:$U$20
    ),
    TRANSPOSE(
        INDEX($X$5:$AM$77, MATCH($A125,_xlfn.ANCHORARRAY( $W$5), 0), 0)
    )
)
/
(
    INDEX($AN$5:$AN$77, MATCH(E$100,_xlfn.ANCHORARRAY( $W$5), 0))
    *
    INDEX($AN$5:$AN$77, MATCH($A125,_xlfn.ANCHORARRAY( $W$5), 0))
)</f>
        <v>0.87476516081099476</v>
      </c>
      <c r="F125" s="17" cm="1">
        <f t="array" ref="F125">MMULT(
    MMULT(
        INDEX($X$5:$AM$77, MATCH(F$100,_xlfn.ANCHORARRAY( $W$5), 0), 0),
        $F$5:$U$20
    ),
    TRANSPOSE(
        INDEX($X$5:$AM$77, MATCH($A125,_xlfn.ANCHORARRAY( $W$5), 0), 0)
    )
)
/
(
    INDEX($AN$5:$AN$77, MATCH(F$100,_xlfn.ANCHORARRAY( $W$5), 0))
    *
    INDEX($AN$5:$AN$77, MATCH($A125,_xlfn.ANCHORARRAY( $W$5), 0))
)</f>
        <v>0.98451963566149292</v>
      </c>
      <c r="G125" s="17" cm="1">
        <f t="array" ref="G125">MMULT(
    MMULT(
        INDEX($X$5:$AM$77, MATCH(G$100,_xlfn.ANCHORARRAY( $W$5), 0), 0),
        $F$5:$U$20
    ),
    TRANSPOSE(
        INDEX($X$5:$AM$77, MATCH($A125,_xlfn.ANCHORARRAY( $W$5), 0), 0)
    )
)
/
(
    INDEX($AN$5:$AN$77, MATCH(G$100,_xlfn.ANCHORARRAY( $W$5), 0))
    *
    INDEX($AN$5:$AN$77, MATCH($A125,_xlfn.ANCHORARRAY( $W$5), 0))
)</f>
        <v>0.67082008412938332</v>
      </c>
      <c r="H125" s="17" cm="1">
        <f t="array" ref="H125">MMULT(
    MMULT(
        INDEX($X$5:$AM$77, MATCH(H$100,_xlfn.ANCHORARRAY( $W$5), 0), 0),
        $F$5:$U$20
    ),
    TRANSPOSE(
        INDEX($X$5:$AM$77, MATCH($A125,_xlfn.ANCHORARRAY( $W$5), 0), 0)
    )
)
/
(
    INDEX($AN$5:$AN$77, MATCH(H$100,_xlfn.ANCHORARRAY( $W$5), 0))
    *
    INDEX($AN$5:$AN$77, MATCH($A125,_xlfn.ANCHORARRAY( $W$5), 0))
)</f>
        <v>0.74151304711249078</v>
      </c>
      <c r="I125" s="17" cm="1">
        <f t="array" ref="I125">MMULT(
    MMULT(
        INDEX($X$5:$AM$77, MATCH(I$100,_xlfn.ANCHORARRAY( $W$5), 0), 0),
        $F$5:$U$20
    ),
    TRANSPOSE(
        INDEX($X$5:$AM$77, MATCH($A125,_xlfn.ANCHORARRAY( $W$5), 0), 0)
    )
)
/
(
    INDEX($AN$5:$AN$77, MATCH(I$100,_xlfn.ANCHORARRAY( $W$5), 0))
    *
    INDEX($AN$5:$AN$77, MATCH($A125,_xlfn.ANCHORARRAY( $W$5), 0))
)</f>
        <v>0.69315885249327036</v>
      </c>
      <c r="J125" s="17" cm="1">
        <f t="array" ref="J125">MMULT(
    MMULT(
        INDEX($X$5:$AM$77, MATCH(J$100,_xlfn.ANCHORARRAY( $W$5), 0), 0),
        $F$5:$U$20
    ),
    TRANSPOSE(
        INDEX($X$5:$AM$77, MATCH($A125,_xlfn.ANCHORARRAY( $W$5), 0), 0)
    )
)
/
(
    INDEX($AN$5:$AN$77, MATCH(J$100,_xlfn.ANCHORARRAY( $W$5), 0))
    *
    INDEX($AN$5:$AN$77, MATCH($A125,_xlfn.ANCHORARRAY( $W$5), 0))
)</f>
        <v>0.88834665126683499</v>
      </c>
      <c r="K125" s="17" cm="1">
        <f t="array" ref="K125">MMULT(
    MMULT(
        INDEX($X$5:$AM$77, MATCH(K$100,_xlfn.ANCHORARRAY( $W$5), 0), 0),
        $F$5:$U$20
    ),
    TRANSPOSE(
        INDEX($X$5:$AM$77, MATCH($A125,_xlfn.ANCHORARRAY( $W$5), 0), 0)
    )
)
/
(
    INDEX($AN$5:$AN$77, MATCH(K$100,_xlfn.ANCHORARRAY( $W$5), 0))
    *
    INDEX($AN$5:$AN$77, MATCH($A125,_xlfn.ANCHORARRAY( $W$5), 0))
)</f>
        <v>0.86755287079528165</v>
      </c>
      <c r="L125" s="17" cm="1">
        <f t="array" ref="L125">MMULT(
    MMULT(
        INDEX($X$5:$AM$77, MATCH(L$100,_xlfn.ANCHORARRAY( $W$5), 0), 0),
        $F$5:$U$20
    ),
    TRANSPOSE(
        INDEX($X$5:$AM$77, MATCH($A125,_xlfn.ANCHORARRAY( $W$5), 0), 0)
    )
)
/
(
    INDEX($AN$5:$AN$77, MATCH(L$100,_xlfn.ANCHORARRAY( $W$5), 0))
    *
    INDEX($AN$5:$AN$77, MATCH($A125,_xlfn.ANCHORARRAY( $W$5), 0))
)</f>
        <v>0.62067182156232492</v>
      </c>
      <c r="M125" s="17" cm="1">
        <f t="array" ref="M125">MMULT(
    MMULT(
        INDEX($X$5:$AM$77, MATCH(M$100,_xlfn.ANCHORARRAY( $W$5), 0), 0),
        $F$5:$U$20
    ),
    TRANSPOSE(
        INDEX($X$5:$AM$77, MATCH($A125,_xlfn.ANCHORARRAY( $W$5), 0), 0)
    )
)
/
(
    INDEX($AN$5:$AN$77, MATCH(M$100,_xlfn.ANCHORARRAY( $W$5), 0))
    *
    INDEX($AN$5:$AN$77, MATCH($A125,_xlfn.ANCHORARRAY( $W$5), 0))
)</f>
        <v>0.82394300966765155</v>
      </c>
      <c r="N125" s="17" cm="1">
        <f t="array" ref="N125">MMULT(
    MMULT(
        INDEX($X$5:$AM$77, MATCH(N$100,_xlfn.ANCHORARRAY( $W$5), 0), 0),
        $F$5:$U$20
    ),
    TRANSPOSE(
        INDEX($X$5:$AM$77, MATCH($A125,_xlfn.ANCHORARRAY( $W$5), 0), 0)
    )
)
/
(
    INDEX($AN$5:$AN$77, MATCH(N$100,_xlfn.ANCHORARRAY( $W$5), 0))
    *
    INDEX($AN$5:$AN$77, MATCH($A125,_xlfn.ANCHORARRAY( $W$5), 0))
)</f>
        <v>0.9332438607696909</v>
      </c>
      <c r="O125" s="17" cm="1">
        <f t="array" ref="O125">MMULT(
    MMULT(
        INDEX($X$5:$AM$77, MATCH(O$100,_xlfn.ANCHORARRAY( $W$5), 0), 0),
        $F$5:$U$20
    ),
    TRANSPOSE(
        INDEX($X$5:$AM$77, MATCH($A125,_xlfn.ANCHORARRAY( $W$5), 0), 0)
    )
)
/
(
    INDEX($AN$5:$AN$77, MATCH(O$100,_xlfn.ANCHORARRAY( $W$5), 0))
    *
    INDEX($AN$5:$AN$77, MATCH($A125,_xlfn.ANCHORARRAY( $W$5), 0))
)</f>
        <v>0.94830576645737297</v>
      </c>
      <c r="P125" s="17" cm="1">
        <f t="array" ref="P125">MMULT(
    MMULT(
        INDEX($X$5:$AM$77, MATCH(P$100,_xlfn.ANCHORARRAY( $W$5), 0), 0),
        $F$5:$U$20
    ),
    TRANSPOSE(
        INDEX($X$5:$AM$77, MATCH($A125,_xlfn.ANCHORARRAY( $W$5), 0), 0)
    )
)
/
(
    INDEX($AN$5:$AN$77, MATCH(P$100,_xlfn.ANCHORARRAY( $W$5), 0))
    *
    INDEX($AN$5:$AN$77, MATCH($A125,_xlfn.ANCHORARRAY( $W$5), 0))
)</f>
        <v>0.9413234297936508</v>
      </c>
      <c r="Q125" s="17" cm="1">
        <f t="array" ref="Q125">MMULT(
    MMULT(
        INDEX($X$5:$AM$77, MATCH(Q$100,_xlfn.ANCHORARRAY( $W$5), 0), 0),
        $F$5:$U$20
    ),
    TRANSPOSE(
        INDEX($X$5:$AM$77, MATCH($A125,_xlfn.ANCHORARRAY( $W$5), 0), 0)
    )
)
/
(
    INDEX($AN$5:$AN$77, MATCH(Q$100,_xlfn.ANCHORARRAY( $W$5), 0))
    *
    INDEX($AN$5:$AN$77, MATCH($A125,_xlfn.ANCHORARRAY( $W$5), 0))
)</f>
        <v>0.64822249306750912</v>
      </c>
      <c r="R125" s="17" cm="1">
        <f t="array" ref="R125">MMULT(
    MMULT(
        INDEX($X$5:$AM$77, MATCH(R$100,_xlfn.ANCHORARRAY( $W$5), 0), 0),
        $F$5:$U$20
    ),
    TRANSPOSE(
        INDEX($X$5:$AM$77, MATCH($A125,_xlfn.ANCHORARRAY( $W$5), 0), 0)
    )
)
/
(
    INDEX($AN$5:$AN$77, MATCH(R$100,_xlfn.ANCHORARRAY( $W$5), 0))
    *
    INDEX($AN$5:$AN$77, MATCH($A125,_xlfn.ANCHORARRAY( $W$5), 0))
)</f>
        <v>0.94709402284184252</v>
      </c>
      <c r="S125" s="17" cm="1">
        <f t="array" ref="S125">MMULT(
    MMULT(
        INDEX($X$5:$AM$77, MATCH(S$100,_xlfn.ANCHORARRAY( $W$5), 0), 0),
        $F$5:$U$20
    ),
    TRANSPOSE(
        INDEX($X$5:$AM$77, MATCH($A125,_xlfn.ANCHORARRAY( $W$5), 0), 0)
    )
)
/
(
    INDEX($AN$5:$AN$77, MATCH(S$100,_xlfn.ANCHORARRAY( $W$5), 0))
    *
    INDEX($AN$5:$AN$77, MATCH($A125,_xlfn.ANCHORARRAY( $W$5), 0))
)</f>
        <v>0.81192837133200357</v>
      </c>
      <c r="T125" s="17" cm="1">
        <f t="array" ref="T125">MMULT(
    MMULT(
        INDEX($X$5:$AM$77, MATCH(T$100,_xlfn.ANCHORARRAY( $W$5), 0), 0),
        $F$5:$U$20
    ),
    TRANSPOSE(
        INDEX($X$5:$AM$77, MATCH($A125,_xlfn.ANCHORARRAY( $W$5), 0), 0)
    )
)
/
(
    INDEX($AN$5:$AN$77, MATCH(T$100,_xlfn.ANCHORARRAY( $W$5), 0))
    *
    INDEX($AN$5:$AN$77, MATCH($A125,_xlfn.ANCHORARRAY( $W$5), 0))
)</f>
        <v>0.27870584816368715</v>
      </c>
      <c r="U125" s="17" cm="1">
        <f t="array" ref="U125">MMULT(
    MMULT(
        INDEX($X$5:$AM$77, MATCH(U$100,_xlfn.ANCHORARRAY( $W$5), 0), 0),
        $F$5:$U$20
    ),
    TRANSPOSE(
        INDEX($X$5:$AM$77, MATCH($A125,_xlfn.ANCHORARRAY( $W$5), 0), 0)
    )
)
/
(
    INDEX($AN$5:$AN$77, MATCH(U$100,_xlfn.ANCHORARRAY( $W$5), 0))
    *
    INDEX($AN$5:$AN$77, MATCH($A125,_xlfn.ANCHORARRAY( $W$5), 0))
)</f>
        <v>0.9706981388051279</v>
      </c>
      <c r="V125" s="17" cm="1">
        <f t="array" ref="V125">MMULT(
    MMULT(
        INDEX($X$5:$AM$77, MATCH(V$100,_xlfn.ANCHORARRAY( $W$5), 0), 0),
        $F$5:$U$20
    ),
    TRANSPOSE(
        INDEX($X$5:$AM$77, MATCH($A125,_xlfn.ANCHORARRAY( $W$5), 0), 0)
    )
)
/
(
    INDEX($AN$5:$AN$77, MATCH(V$100,_xlfn.ANCHORARRAY( $W$5), 0))
    *
    INDEX($AN$5:$AN$77, MATCH($A125,_xlfn.ANCHORARRAY( $W$5), 0))
)</f>
        <v>0.46446491342058904</v>
      </c>
      <c r="W125" s="17" cm="1">
        <f t="array" ref="W125">MMULT(
    MMULT(
        INDEX($X$5:$AM$77, MATCH(W$100,_xlfn.ANCHORARRAY( $W$5), 0), 0),
        $F$5:$U$20
    ),
    TRANSPOSE(
        INDEX($X$5:$AM$77, MATCH($A125,_xlfn.ANCHORARRAY( $W$5), 0), 0)
    )
)
/
(
    INDEX($AN$5:$AN$77, MATCH(W$100,_xlfn.ANCHORARRAY( $W$5), 0))
    *
    INDEX($AN$5:$AN$77, MATCH($A125,_xlfn.ANCHORARRAY( $W$5), 0))
)</f>
        <v>0.70490902705353675</v>
      </c>
      <c r="X125" s="17" cm="1">
        <f t="array" ref="X125">MMULT(
    MMULT(
        INDEX($X$5:$AM$77, MATCH(X$100,_xlfn.ANCHORARRAY( $W$5), 0), 0),
        $F$5:$U$20
    ),
    TRANSPOSE(
        INDEX($X$5:$AM$77, MATCH($A125,_xlfn.ANCHORARRAY( $W$5), 0), 0)
    )
)
/
(
    INDEX($AN$5:$AN$77, MATCH(X$100,_xlfn.ANCHORARRAY( $W$5), 0))
    *
    INDEX($AN$5:$AN$77, MATCH($A125,_xlfn.ANCHORARRAY( $W$5), 0))
)</f>
        <v>0.9887711048748703</v>
      </c>
      <c r="Y125" s="17" cm="1">
        <f t="array" ref="Y125">MMULT(
    MMULT(
        INDEX($X$5:$AM$77, MATCH(Y$100,_xlfn.ANCHORARRAY( $W$5), 0), 0),
        $F$5:$U$20
    ),
    TRANSPOSE(
        INDEX($X$5:$AM$77, MATCH($A125,_xlfn.ANCHORARRAY( $W$5), 0), 0)
    )
)
/
(
    INDEX($AN$5:$AN$77, MATCH(Y$100,_xlfn.ANCHORARRAY( $W$5), 0))
    *
    INDEX($AN$5:$AN$77, MATCH($A125,_xlfn.ANCHORARRAY( $W$5), 0))
)</f>
        <v>0.59555156359231631</v>
      </c>
      <c r="Z125" s="17" cm="1">
        <f t="array" ref="Z125">MMULT(
    MMULT(
        INDEX($X$5:$AM$77, MATCH(Z$100,_xlfn.ANCHORARRAY( $W$5), 0), 0),
        $F$5:$U$20
    ),
    TRANSPOSE(
        INDEX($X$5:$AM$77, MATCH($A125,_xlfn.ANCHORARRAY( $W$5), 0), 0)
    )
)
/
(
    INDEX($AN$5:$AN$77, MATCH(Z$100,_xlfn.ANCHORARRAY( $W$5), 0))
    *
    INDEX($AN$5:$AN$77, MATCH($A125,_xlfn.ANCHORARRAY( $W$5), 0))
)</f>
        <v>0.99999999999999989</v>
      </c>
      <c r="AA125" s="17" cm="1">
        <f t="array" ref="AA125">MMULT(
    MMULT(
        INDEX($X$5:$AM$77, MATCH(AA$100,_xlfn.ANCHORARRAY( $W$5), 0), 0),
        $F$5:$U$20
    ),
    TRANSPOSE(
        INDEX($X$5:$AM$77, MATCH($A125,_xlfn.ANCHORARRAY( $W$5), 0), 0)
    )
)
/
(
    INDEX($AN$5:$AN$77, MATCH(AA$100,_xlfn.ANCHORARRAY( $W$5), 0))
    *
    INDEX($AN$5:$AN$77, MATCH($A125,_xlfn.ANCHORARRAY( $W$5), 0))
)</f>
        <v>0.97505447949381896</v>
      </c>
      <c r="AB125" s="17" cm="1">
        <f t="array" ref="AB125">MMULT(
    MMULT(
        INDEX($X$5:$AM$77, MATCH(AB$100,_xlfn.ANCHORARRAY( $W$5), 0), 0),
        $F$5:$U$20
    ),
    TRANSPOSE(
        INDEX($X$5:$AM$77, MATCH($A125,_xlfn.ANCHORARRAY( $W$5), 0), 0)
    )
)
/
(
    INDEX($AN$5:$AN$77, MATCH(AB$100,_xlfn.ANCHORARRAY( $W$5), 0))
    *
    INDEX($AN$5:$AN$77, MATCH($A125,_xlfn.ANCHORARRAY( $W$5), 0))
)</f>
        <v>0.92429231630905928</v>
      </c>
      <c r="AC125" s="17" cm="1">
        <f t="array" ref="AC125">MMULT(
    MMULT(
        INDEX($X$5:$AM$77, MATCH(AC$100,_xlfn.ANCHORARRAY( $W$5), 0), 0),
        $F$5:$U$20
    ),
    TRANSPOSE(
        INDEX($X$5:$AM$77, MATCH($A125,_xlfn.ANCHORARRAY( $W$5), 0), 0)
    )
)
/
(
    INDEX($AN$5:$AN$77, MATCH(AC$100,_xlfn.ANCHORARRAY( $W$5), 0))
    *
    INDEX($AN$5:$AN$77, MATCH($A125,_xlfn.ANCHORARRAY( $W$5), 0))
)</f>
        <v>0.73721844226401401</v>
      </c>
      <c r="AD125" s="17" cm="1">
        <f t="array" ref="AD125">MMULT(
    MMULT(
        INDEX($X$5:$AM$77, MATCH(AD$100,_xlfn.ANCHORARRAY( $W$5), 0), 0),
        $F$5:$U$20
    ),
    TRANSPOSE(
        INDEX($X$5:$AM$77, MATCH($A125,_xlfn.ANCHORARRAY( $W$5), 0), 0)
    )
)
/
(
    INDEX($AN$5:$AN$77, MATCH(AD$100,_xlfn.ANCHORARRAY( $W$5), 0))
    *
    INDEX($AN$5:$AN$77, MATCH($A125,_xlfn.ANCHORARRAY( $W$5), 0))
)</f>
        <v>0.99236778440226547</v>
      </c>
      <c r="AE125" s="17" cm="1">
        <f t="array" ref="AE125">MMULT(
    MMULT(
        INDEX($X$5:$AM$77, MATCH(AE$100,_xlfn.ANCHORARRAY( $W$5), 0), 0),
        $F$5:$U$20
    ),
    TRANSPOSE(
        INDEX($X$5:$AM$77, MATCH($A125,_xlfn.ANCHORARRAY( $W$5), 0), 0)
    )
)
/
(
    INDEX($AN$5:$AN$77, MATCH(AE$100,_xlfn.ANCHORARRAY( $W$5), 0))
    *
    INDEX($AN$5:$AN$77, MATCH($A125,_xlfn.ANCHORARRAY( $W$5), 0))
)</f>
        <v>0.81671399135446077</v>
      </c>
      <c r="AF125" s="17" cm="1">
        <f t="array" ref="AF125">MMULT(
    MMULT(
        INDEX($X$5:$AM$77, MATCH(AF$100,_xlfn.ANCHORARRAY( $W$5), 0), 0),
        $F$5:$U$20
    ),
    TRANSPOSE(
        INDEX($X$5:$AM$77, MATCH($A125,_xlfn.ANCHORARRAY( $W$5), 0), 0)
    )
)
/
(
    INDEX($AN$5:$AN$77, MATCH(AF$100,_xlfn.ANCHORARRAY( $W$5), 0))
    *
    INDEX($AN$5:$AN$77, MATCH($A125,_xlfn.ANCHORARRAY( $W$5), 0))
)</f>
        <v>0.7290788978697893</v>
      </c>
      <c r="AG125" s="17" cm="1">
        <f t="array" ref="AG125">MMULT(
    MMULT(
        INDEX($X$5:$AM$77, MATCH(AG$100,_xlfn.ANCHORARRAY( $W$5), 0), 0),
        $F$5:$U$20
    ),
    TRANSPOSE(
        INDEX($X$5:$AM$77, MATCH($A125,_xlfn.ANCHORARRAY( $W$5), 0), 0)
    )
)
/
(
    INDEX($AN$5:$AN$77, MATCH(AG$100,_xlfn.ANCHORARRAY( $W$5), 0))
    *
    INDEX($AN$5:$AN$77, MATCH($A125,_xlfn.ANCHORARRAY( $W$5), 0))
)</f>
        <v>0.81720455708368667</v>
      </c>
      <c r="AH125" s="17" cm="1">
        <f t="array" ref="AH125">MMULT(
    MMULT(
        INDEX($X$5:$AM$77, MATCH(AH$100,_xlfn.ANCHORARRAY( $W$5), 0), 0),
        $F$5:$U$20
    ),
    TRANSPOSE(
        INDEX($X$5:$AM$77, MATCH($A125,_xlfn.ANCHORARRAY( $W$5), 0), 0)
    )
)
/
(
    INDEX($AN$5:$AN$77, MATCH(AH$100,_xlfn.ANCHORARRAY( $W$5), 0))
    *
    INDEX($AN$5:$AN$77, MATCH($A125,_xlfn.ANCHORARRAY( $W$5), 0))
)</f>
        <v>0.65202522118795614</v>
      </c>
      <c r="AI125" s="17" cm="1">
        <f t="array" ref="AI125">MMULT(
    MMULT(
        INDEX($X$5:$AM$77, MATCH(AI$100,_xlfn.ANCHORARRAY( $W$5), 0), 0),
        $F$5:$U$20
    ),
    TRANSPOSE(
        INDEX($X$5:$AM$77, MATCH($A125,_xlfn.ANCHORARRAY( $W$5), 0), 0)
    )
)
/
(
    INDEX($AN$5:$AN$77, MATCH(AI$100,_xlfn.ANCHORARRAY( $W$5), 0))
    *
    INDEX($AN$5:$AN$77, MATCH($A125,_xlfn.ANCHORARRAY( $W$5), 0))
)</f>
        <v>0.84849687473428648</v>
      </c>
      <c r="AJ125" s="17" cm="1">
        <f t="array" ref="AJ125">MMULT(
    MMULT(
        INDEX($X$5:$AM$77, MATCH(AJ$100,_xlfn.ANCHORARRAY( $W$5), 0), 0),
        $F$5:$U$20
    ),
    TRANSPOSE(
        INDEX($X$5:$AM$77, MATCH($A125,_xlfn.ANCHORARRAY( $W$5), 0), 0)
    )
)
/
(
    INDEX($AN$5:$AN$77, MATCH(AJ$100,_xlfn.ANCHORARRAY( $W$5), 0))
    *
    INDEX($AN$5:$AN$77, MATCH($A125,_xlfn.ANCHORARRAY( $W$5), 0))
)</f>
        <v>0.9465909014904762</v>
      </c>
      <c r="AK125" s="17" cm="1">
        <f t="array" ref="AK125">MMULT(
    MMULT(
        INDEX($X$5:$AM$77, MATCH(AK$100,_xlfn.ANCHORARRAY( $W$5), 0), 0),
        $F$5:$U$20
    ),
    TRANSPOSE(
        INDEX($X$5:$AM$77, MATCH($A125,_xlfn.ANCHORARRAY( $W$5), 0), 0)
    )
)
/
(
    INDEX($AN$5:$AN$77, MATCH(AK$100,_xlfn.ANCHORARRAY( $W$5), 0))
    *
    INDEX($AN$5:$AN$77, MATCH($A125,_xlfn.ANCHORARRAY( $W$5), 0))
)</f>
        <v>0.85993103332610654</v>
      </c>
      <c r="AL125" s="17" cm="1">
        <f t="array" ref="AL125">MMULT(
    MMULT(
        INDEX($X$5:$AM$77, MATCH(AL$100,_xlfn.ANCHORARRAY( $W$5), 0), 0),
        $F$5:$U$20
    ),
    TRANSPOSE(
        INDEX($X$5:$AM$77, MATCH($A125,_xlfn.ANCHORARRAY( $W$5), 0), 0)
    )
)
/
(
    INDEX($AN$5:$AN$77, MATCH(AL$100,_xlfn.ANCHORARRAY( $W$5), 0))
    *
    INDEX($AN$5:$AN$77, MATCH($A125,_xlfn.ANCHORARRAY( $W$5), 0))
)</f>
        <v>0.96808679824066179</v>
      </c>
      <c r="AM125" s="17" cm="1">
        <f t="array" ref="AM125">MMULT(
    MMULT(
        INDEX($X$5:$AM$77, MATCH(AM$100,_xlfn.ANCHORARRAY( $W$5), 0), 0),
        $F$5:$U$20
    ),
    TRANSPOSE(
        INDEX($X$5:$AM$77, MATCH($A125,_xlfn.ANCHORARRAY( $W$5), 0), 0)
    )
)
/
(
    INDEX($AN$5:$AN$77, MATCH(AM$100,_xlfn.ANCHORARRAY( $W$5), 0))
    *
    INDEX($AN$5:$AN$77, MATCH($A125,_xlfn.ANCHORARRAY( $W$5), 0))
)</f>
        <v>0.71922885699202044</v>
      </c>
      <c r="AN125" s="17" cm="1">
        <f t="array" ref="AN125">MMULT(
    MMULT(
        INDEX($X$5:$AM$77, MATCH(AN$100,_xlfn.ANCHORARRAY( $W$5), 0), 0),
        $F$5:$U$20
    ),
    TRANSPOSE(
        INDEX($X$5:$AM$77, MATCH($A125,_xlfn.ANCHORARRAY( $W$5), 0), 0)
    )
)
/
(
    INDEX($AN$5:$AN$77, MATCH(AN$100,_xlfn.ANCHORARRAY( $W$5), 0))
    *
    INDEX($AN$5:$AN$77, MATCH($A125,_xlfn.ANCHORARRAY( $W$5), 0))
)</f>
        <v>0.71844510270825845</v>
      </c>
      <c r="AO125" s="17" cm="1">
        <f t="array" ref="AO125">MMULT(
    MMULT(
        INDEX($X$5:$AM$77, MATCH(AO$100,_xlfn.ANCHORARRAY( $W$5), 0), 0),
        $F$5:$U$20
    ),
    TRANSPOSE(
        INDEX($X$5:$AM$77, MATCH($A125,_xlfn.ANCHORARRAY( $W$5), 0), 0)
    )
)
/
(
    INDEX($AN$5:$AN$77, MATCH(AO$100,_xlfn.ANCHORARRAY( $W$5), 0))
    *
    INDEX($AN$5:$AN$77, MATCH($A125,_xlfn.ANCHORARRAY( $W$5), 0))
)</f>
        <v>0.67737240895528483</v>
      </c>
      <c r="AP125" s="17" cm="1">
        <f t="array" ref="AP125">MMULT(
    MMULT(
        INDEX($X$5:$AM$77, MATCH(AP$100,_xlfn.ANCHORARRAY( $W$5), 0), 0),
        $F$5:$U$20
    ),
    TRANSPOSE(
        INDEX($X$5:$AM$77, MATCH($A125,_xlfn.ANCHORARRAY( $W$5), 0), 0)
    )
)
/
(
    INDEX($AN$5:$AN$77, MATCH(AP$100,_xlfn.ANCHORARRAY( $W$5), 0))
    *
    INDEX($AN$5:$AN$77, MATCH($A125,_xlfn.ANCHORARRAY( $W$5), 0))
)</f>
        <v>0.65852913395462165</v>
      </c>
      <c r="AQ125" s="17" cm="1">
        <f t="array" ref="AQ125">MMULT(
    MMULT(
        INDEX($X$5:$AM$77, MATCH(AQ$100,_xlfn.ANCHORARRAY( $W$5), 0), 0),
        $F$5:$U$20
    ),
    TRANSPOSE(
        INDEX($X$5:$AM$77, MATCH($A125,_xlfn.ANCHORARRAY( $W$5), 0), 0)
    )
)
/
(
    INDEX($AN$5:$AN$77, MATCH(AQ$100,_xlfn.ANCHORARRAY( $W$5), 0))
    *
    INDEX($AN$5:$AN$77, MATCH($A125,_xlfn.ANCHORARRAY( $W$5), 0))
)</f>
        <v>0.70297897898380224</v>
      </c>
      <c r="AR125" s="17" cm="1">
        <f t="array" ref="AR125">MMULT(
    MMULT(
        INDEX($X$5:$AM$77, MATCH(AR$100,_xlfn.ANCHORARRAY( $W$5), 0), 0),
        $F$5:$U$20
    ),
    TRANSPOSE(
        INDEX($X$5:$AM$77, MATCH($A125,_xlfn.ANCHORARRAY( $W$5), 0), 0)
    )
)
/
(
    INDEX($AN$5:$AN$77, MATCH(AR$100,_xlfn.ANCHORARRAY( $W$5), 0))
    *
    INDEX($AN$5:$AN$77, MATCH($A125,_xlfn.ANCHORARRAY( $W$5), 0))
)</f>
        <v>0.9351443537061509</v>
      </c>
      <c r="AS125" s="17" cm="1">
        <f t="array" ref="AS125">MMULT(
    MMULT(
        INDEX($X$5:$AM$77, MATCH(AS$100,_xlfn.ANCHORARRAY( $W$5), 0), 0),
        $F$5:$U$20
    ),
    TRANSPOSE(
        INDEX($X$5:$AM$77, MATCH($A125,_xlfn.ANCHORARRAY( $W$5), 0), 0)
    )
)
/
(
    INDEX($AN$5:$AN$77, MATCH(AS$100,_xlfn.ANCHORARRAY( $W$5), 0))
    *
    INDEX($AN$5:$AN$77, MATCH($A125,_xlfn.ANCHORARRAY( $W$5), 0))
)</f>
        <v>0.9507381434299611</v>
      </c>
      <c r="AT125" s="17" cm="1">
        <f t="array" ref="AT125">MMULT(
    MMULT(
        INDEX($X$5:$AM$77, MATCH(AT$100,_xlfn.ANCHORARRAY( $W$5), 0), 0),
        $F$5:$U$20
    ),
    TRANSPOSE(
        INDEX($X$5:$AM$77, MATCH($A125,_xlfn.ANCHORARRAY( $W$5), 0), 0)
    )
)
/
(
    INDEX($AN$5:$AN$77, MATCH(AT$100,_xlfn.ANCHORARRAY( $W$5), 0))
    *
    INDEX($AN$5:$AN$77, MATCH($A125,_xlfn.ANCHORARRAY( $W$5), 0))
)</f>
        <v>0.74899538712434843</v>
      </c>
      <c r="AU125" s="17" cm="1">
        <f t="array" ref="AU125">MMULT(
    MMULT(
        INDEX($X$5:$AM$77, MATCH(AU$100,_xlfn.ANCHORARRAY( $W$5), 0), 0),
        $F$5:$U$20
    ),
    TRANSPOSE(
        INDEX($X$5:$AM$77, MATCH($A125,_xlfn.ANCHORARRAY( $W$5), 0), 0)
    )
)
/
(
    INDEX($AN$5:$AN$77, MATCH(AU$100,_xlfn.ANCHORARRAY( $W$5), 0))
    *
    INDEX($AN$5:$AN$77, MATCH($A125,_xlfn.ANCHORARRAY( $W$5), 0))
)</f>
        <v>0.98499927026141842</v>
      </c>
      <c r="AV125" s="17" cm="1">
        <f t="array" ref="AV125">MMULT(
    MMULT(
        INDEX($X$5:$AM$77, MATCH(AV$100,_xlfn.ANCHORARRAY( $W$5), 0), 0),
        $F$5:$U$20
    ),
    TRANSPOSE(
        INDEX($X$5:$AM$77, MATCH($A125,_xlfn.ANCHORARRAY( $W$5), 0), 0)
    )
)
/
(
    INDEX($AN$5:$AN$77, MATCH(AV$100,_xlfn.ANCHORARRAY( $W$5), 0))
    *
    INDEX($AN$5:$AN$77, MATCH($A125,_xlfn.ANCHORARRAY( $W$5), 0))
)</f>
        <v>0.9893250007228056</v>
      </c>
      <c r="AW125" s="17" cm="1">
        <f t="array" ref="AW125">MMULT(
    MMULT(
        INDEX($X$5:$AM$77, MATCH(AW$100,_xlfn.ANCHORARRAY( $W$5), 0), 0),
        $F$5:$U$20
    ),
    TRANSPOSE(
        INDEX($X$5:$AM$77, MATCH($A125,_xlfn.ANCHORARRAY( $W$5), 0), 0)
    )
)
/
(
    INDEX($AN$5:$AN$77, MATCH(AW$100,_xlfn.ANCHORARRAY( $W$5), 0))
    *
    INDEX($AN$5:$AN$77, MATCH($A125,_xlfn.ANCHORARRAY( $W$5), 0))
)</f>
        <v>0.74947554524936677</v>
      </c>
      <c r="AX125" s="17" cm="1">
        <f t="array" ref="AX125">MMULT(
    MMULT(
        INDEX($X$5:$AM$77, MATCH(AX$100,_xlfn.ANCHORARRAY( $W$5), 0), 0),
        $F$5:$U$20
    ),
    TRANSPOSE(
        INDEX($X$5:$AM$77, MATCH($A125,_xlfn.ANCHORARRAY( $W$5), 0), 0)
    )
)
/
(
    INDEX($AN$5:$AN$77, MATCH(AX$100,_xlfn.ANCHORARRAY( $W$5), 0))
    *
    INDEX($AN$5:$AN$77, MATCH($A125,_xlfn.ANCHORARRAY( $W$5), 0))
)</f>
        <v>0.48317278181295498</v>
      </c>
      <c r="AY125" s="17" cm="1">
        <f t="array" ref="AY125">MMULT(
    MMULT(
        INDEX($X$5:$AM$77, MATCH(AY$100,_xlfn.ANCHORARRAY( $W$5), 0), 0),
        $F$5:$U$20
    ),
    TRANSPOSE(
        INDEX($X$5:$AM$77, MATCH($A125,_xlfn.ANCHORARRAY( $W$5), 0), 0)
    )
)
/
(
    INDEX($AN$5:$AN$77, MATCH(AY$100,_xlfn.ANCHORARRAY( $W$5), 0))
    *
    INDEX($AN$5:$AN$77, MATCH($A125,_xlfn.ANCHORARRAY( $W$5), 0))
)</f>
        <v>0.62556872108634998</v>
      </c>
      <c r="AZ125" s="17" cm="1">
        <f t="array" ref="AZ125">MMULT(
    MMULT(
        INDEX($X$5:$AM$77, MATCH(AZ$100,_xlfn.ANCHORARRAY( $W$5), 0), 0),
        $F$5:$U$20
    ),
    TRANSPOSE(
        INDEX($X$5:$AM$77, MATCH($A125,_xlfn.ANCHORARRAY( $W$5), 0), 0)
    )
)
/
(
    INDEX($AN$5:$AN$77, MATCH(AZ$100,_xlfn.ANCHORARRAY( $W$5), 0))
    *
    INDEX($AN$5:$AN$77, MATCH($A125,_xlfn.ANCHORARRAY( $W$5), 0))
)</f>
        <v>0.99658021305780031</v>
      </c>
      <c r="BA125" s="17" cm="1">
        <f t="array" ref="BA125">MMULT(
    MMULT(
        INDEX($X$5:$AM$77, MATCH(BA$100,_xlfn.ANCHORARRAY( $W$5), 0), 0),
        $F$5:$U$20
    ),
    TRANSPOSE(
        INDEX($X$5:$AM$77, MATCH($A125,_xlfn.ANCHORARRAY( $W$5), 0), 0)
    )
)
/
(
    INDEX($AN$5:$AN$77, MATCH(BA$100,_xlfn.ANCHORARRAY( $W$5), 0))
    *
    INDEX($AN$5:$AN$77, MATCH($A125,_xlfn.ANCHORARRAY( $W$5), 0))
)</f>
        <v>0.98159402953287189</v>
      </c>
      <c r="BB125" s="17" cm="1">
        <f t="array" ref="BB125">MMULT(
    MMULT(
        INDEX($X$5:$AM$77, MATCH(BB$100,_xlfn.ANCHORARRAY( $W$5), 0), 0),
        $F$5:$U$20
    ),
    TRANSPOSE(
        INDEX($X$5:$AM$77, MATCH($A125,_xlfn.ANCHORARRAY( $W$5), 0), 0)
    )
)
/
(
    INDEX($AN$5:$AN$77, MATCH(BB$100,_xlfn.ANCHORARRAY( $W$5), 0))
    *
    INDEX($AN$5:$AN$77, MATCH($A125,_xlfn.ANCHORARRAY( $W$5), 0))
)</f>
        <v>0.7841795972407084</v>
      </c>
      <c r="BC125" s="17" cm="1">
        <f t="array" ref="BC125">MMULT(
    MMULT(
        INDEX($X$5:$AM$77, MATCH(BC$100,_xlfn.ANCHORARRAY( $W$5), 0), 0),
        $F$5:$U$20
    ),
    TRANSPOSE(
        INDEX($X$5:$AM$77, MATCH($A125,_xlfn.ANCHORARRAY( $W$5), 0), 0)
    )
)
/
(
    INDEX($AN$5:$AN$77, MATCH(BC$100,_xlfn.ANCHORARRAY( $W$5), 0))
    *
    INDEX($AN$5:$AN$77, MATCH($A125,_xlfn.ANCHORARRAY( $W$5), 0))
)</f>
        <v>0.80104212110583117</v>
      </c>
      <c r="BD125" s="17" cm="1">
        <f t="array" ref="BD125">MMULT(
    MMULT(
        INDEX($X$5:$AM$77, MATCH(BD$100,_xlfn.ANCHORARRAY( $W$5), 0), 0),
        $F$5:$U$20
    ),
    TRANSPOSE(
        INDEX($X$5:$AM$77, MATCH($A125,_xlfn.ANCHORARRAY( $W$5), 0), 0)
    )
)
/
(
    INDEX($AN$5:$AN$77, MATCH(BD$100,_xlfn.ANCHORARRAY( $W$5), 0))
    *
    INDEX($AN$5:$AN$77, MATCH($A125,_xlfn.ANCHORARRAY( $W$5), 0))
)</f>
        <v>0.544193280754525</v>
      </c>
      <c r="BE125" s="17" cm="1">
        <f t="array" ref="BE125">MMULT(
    MMULT(
        INDEX($X$5:$AM$77, MATCH(BE$100,_xlfn.ANCHORARRAY( $W$5), 0), 0),
        $F$5:$U$20
    ),
    TRANSPOSE(
        INDEX($X$5:$AM$77, MATCH($A125,_xlfn.ANCHORARRAY( $W$5), 0), 0)
    )
)
/
(
    INDEX($AN$5:$AN$77, MATCH(BE$100,_xlfn.ANCHORARRAY( $W$5), 0))
    *
    INDEX($AN$5:$AN$77, MATCH($A125,_xlfn.ANCHORARRAY( $W$5), 0))
)</f>
        <v>0.71959343313445179</v>
      </c>
      <c r="BF125" s="17" cm="1">
        <f t="array" ref="BF125">MMULT(
    MMULT(
        INDEX($X$5:$AM$77, MATCH(BF$100,_xlfn.ANCHORARRAY( $W$5), 0), 0),
        $F$5:$U$20
    ),
    TRANSPOSE(
        INDEX($X$5:$AM$77, MATCH($A125,_xlfn.ANCHORARRAY( $W$5), 0), 0)
    )
)
/
(
    INDEX($AN$5:$AN$77, MATCH(BF$100,_xlfn.ANCHORARRAY( $W$5), 0))
    *
    INDEX($AN$5:$AN$77, MATCH($A125,_xlfn.ANCHORARRAY( $W$5), 0))
)</f>
        <v>0.86688358729946691</v>
      </c>
      <c r="BG125" s="17" cm="1">
        <f t="array" ref="BG125">MMULT(
    MMULT(
        INDEX($X$5:$AM$77, MATCH(BG$100,_xlfn.ANCHORARRAY( $W$5), 0), 0),
        $F$5:$U$20
    ),
    TRANSPOSE(
        INDEX($X$5:$AM$77, MATCH($A125,_xlfn.ANCHORARRAY( $W$5), 0), 0)
    )
)
/
(
    INDEX($AN$5:$AN$77, MATCH(BG$100,_xlfn.ANCHORARRAY( $W$5), 0))
    *
    INDEX($AN$5:$AN$77, MATCH($A125,_xlfn.ANCHORARRAY( $W$5), 0))
)</f>
        <v>0.9323805889801563</v>
      </c>
      <c r="BH125" s="17" cm="1">
        <f t="array" ref="BH125">MMULT(
    MMULT(
        INDEX($X$5:$AM$77, MATCH(BH$100,_xlfn.ANCHORARRAY( $W$5), 0), 0),
        $F$5:$U$20
    ),
    TRANSPOSE(
        INDEX($X$5:$AM$77, MATCH($A125,_xlfn.ANCHORARRAY( $W$5), 0), 0)
    )
)
/
(
    INDEX($AN$5:$AN$77, MATCH(BH$100,_xlfn.ANCHORARRAY( $W$5), 0))
    *
    INDEX($AN$5:$AN$77, MATCH($A125,_xlfn.ANCHORARRAY( $W$5), 0))
)</f>
        <v>0.69953348192735909</v>
      </c>
      <c r="BI125" s="17" cm="1">
        <f t="array" ref="BI125">MMULT(
    MMULT(
        INDEX($X$5:$AM$77, MATCH(BI$100,_xlfn.ANCHORARRAY( $W$5), 0), 0),
        $F$5:$U$20
    ),
    TRANSPOSE(
        INDEX($X$5:$AM$77, MATCH($A125,_xlfn.ANCHORARRAY( $W$5), 0), 0)
    )
)
/
(
    INDEX($AN$5:$AN$77, MATCH(BI$100,_xlfn.ANCHORARRAY( $W$5), 0))
    *
    INDEX($AN$5:$AN$77, MATCH($A125,_xlfn.ANCHORARRAY( $W$5), 0))
)</f>
        <v>0.60154832977525508</v>
      </c>
      <c r="BJ125" s="17" cm="1">
        <f t="array" ref="BJ125">MMULT(
    MMULT(
        INDEX($X$5:$AM$77, MATCH(BJ$100,_xlfn.ANCHORARRAY( $W$5), 0), 0),
        $F$5:$U$20
    ),
    TRANSPOSE(
        INDEX($X$5:$AM$77, MATCH($A125,_xlfn.ANCHORARRAY( $W$5), 0), 0)
    )
)
/
(
    INDEX($AN$5:$AN$77, MATCH(BJ$100,_xlfn.ANCHORARRAY( $W$5), 0))
    *
    INDEX($AN$5:$AN$77, MATCH($A125,_xlfn.ANCHORARRAY( $W$5), 0))
)</f>
        <v>0.88622005440303142</v>
      </c>
      <c r="BK125" s="17" cm="1">
        <f t="array" ref="BK125">MMULT(
    MMULT(
        INDEX($X$5:$AM$77, MATCH(BK$100,_xlfn.ANCHORARRAY( $W$5), 0), 0),
        $F$5:$U$20
    ),
    TRANSPOSE(
        INDEX($X$5:$AM$77, MATCH($A125,_xlfn.ANCHORARRAY( $W$5), 0), 0)
    )
)
/
(
    INDEX($AN$5:$AN$77, MATCH(BK$100,_xlfn.ANCHORARRAY( $W$5), 0))
    *
    INDEX($AN$5:$AN$77, MATCH($A125,_xlfn.ANCHORARRAY( $W$5), 0))
)</f>
        <v>0.56487362174485078</v>
      </c>
      <c r="BL125" s="17" cm="1">
        <f t="array" ref="BL125">MMULT(
    MMULT(
        INDEX($X$5:$AM$77, MATCH(BL$100,_xlfn.ANCHORARRAY( $W$5), 0), 0),
        $F$5:$U$20
    ),
    TRANSPOSE(
        INDEX($X$5:$AM$77, MATCH($A125,_xlfn.ANCHORARRAY( $W$5), 0), 0)
    )
)
/
(
    INDEX($AN$5:$AN$77, MATCH(BL$100,_xlfn.ANCHORARRAY( $W$5), 0))
    *
    INDEX($AN$5:$AN$77, MATCH($A125,_xlfn.ANCHORARRAY( $W$5), 0))
)</f>
        <v>0.73337447891953711</v>
      </c>
      <c r="BM125" s="17" cm="1">
        <f t="array" ref="BM125">MMULT(
    MMULT(
        INDEX($X$5:$AM$77, MATCH(BM$100,_xlfn.ANCHORARRAY( $W$5), 0), 0),
        $F$5:$U$20
    ),
    TRANSPOSE(
        INDEX($X$5:$AM$77, MATCH($A125,_xlfn.ANCHORARRAY( $W$5), 0), 0)
    )
)
/
(
    INDEX($AN$5:$AN$77, MATCH(BM$100,_xlfn.ANCHORARRAY( $W$5), 0))
    *
    INDEX($AN$5:$AN$77, MATCH($A125,_xlfn.ANCHORARRAY( $W$5), 0))
)</f>
        <v>0.78941275063240723</v>
      </c>
      <c r="BN125" s="17" cm="1">
        <f t="array" ref="BN125">MMULT(
    MMULT(
        INDEX($X$5:$AM$77, MATCH(BN$100,_xlfn.ANCHORARRAY( $W$5), 0), 0),
        $F$5:$U$20
    ),
    TRANSPOSE(
        INDEX($X$5:$AM$77, MATCH($A125,_xlfn.ANCHORARRAY( $W$5), 0), 0)
    )
)
/
(
    INDEX($AN$5:$AN$77, MATCH(BN$100,_xlfn.ANCHORARRAY( $W$5), 0))
    *
    INDEX($AN$5:$AN$77, MATCH($A125,_xlfn.ANCHORARRAY( $W$5), 0))
)</f>
        <v>0.70218581480084696</v>
      </c>
      <c r="BO125" s="17" cm="1">
        <f t="array" ref="BO125">MMULT(
    MMULT(
        INDEX($X$5:$AM$77, MATCH(BO$100,_xlfn.ANCHORARRAY( $W$5), 0), 0),
        $F$5:$U$20
    ),
    TRANSPOSE(
        INDEX($X$5:$AM$77, MATCH($A125,_xlfn.ANCHORARRAY( $W$5), 0), 0)
    )
)
/
(
    INDEX($AN$5:$AN$77, MATCH(BO$100,_xlfn.ANCHORARRAY( $W$5), 0))
    *
    INDEX($AN$5:$AN$77, MATCH($A125,_xlfn.ANCHORARRAY( $W$5), 0))
)</f>
        <v>0.89018833843005174</v>
      </c>
      <c r="BP125" s="17" cm="1">
        <f t="array" ref="BP125">MMULT(
    MMULT(
        INDEX($X$5:$AM$77, MATCH(BP$100,_xlfn.ANCHORARRAY( $W$5), 0), 0),
        $F$5:$U$20
    ),
    TRANSPOSE(
        INDEX($X$5:$AM$77, MATCH($A125,_xlfn.ANCHORARRAY( $W$5), 0), 0)
    )
)
/
(
    INDEX($AN$5:$AN$77, MATCH(BP$100,_xlfn.ANCHORARRAY( $W$5), 0))
    *
    INDEX($AN$5:$AN$77, MATCH($A125,_xlfn.ANCHORARRAY( $W$5), 0))
)</f>
        <v>0.88377978275783975</v>
      </c>
      <c r="BQ125" s="17" cm="1">
        <f t="array" ref="BQ125">MMULT(
    MMULT(
        INDEX($X$5:$AM$77, MATCH(BQ$100,_xlfn.ANCHORARRAY( $W$5), 0), 0),
        $F$5:$U$20
    ),
    TRANSPOSE(
        INDEX($X$5:$AM$77, MATCH($A125,_xlfn.ANCHORARRAY( $W$5), 0), 0)
    )
)
/
(
    INDEX($AN$5:$AN$77, MATCH(BQ$100,_xlfn.ANCHORARRAY( $W$5), 0))
    *
    INDEX($AN$5:$AN$77, MATCH($A125,_xlfn.ANCHORARRAY( $W$5), 0))
)</f>
        <v>0.68981264909864637</v>
      </c>
      <c r="BR125" s="17" cm="1">
        <f t="array" ref="BR125">MMULT(
    MMULT(
        INDEX($X$5:$AM$77, MATCH(BR$100,_xlfn.ANCHORARRAY( $W$5), 0), 0),
        $F$5:$U$20
    ),
    TRANSPOSE(
        INDEX($X$5:$AM$77, MATCH($A125,_xlfn.ANCHORARRAY( $W$5), 0), 0)
    )
)
/
(
    INDEX($AN$5:$AN$77, MATCH(BR$100,_xlfn.ANCHORARRAY( $W$5), 0))
    *
    INDEX($AN$5:$AN$77, MATCH($A125,_xlfn.ANCHORARRAY( $W$5), 0))
)</f>
        <v>0.80503940180778499</v>
      </c>
      <c r="BS125" s="17" cm="1">
        <f t="array" ref="BS125">MMULT(
    MMULT(
        INDEX($X$5:$AM$77, MATCH(BS$100,_xlfn.ANCHORARRAY( $W$5), 0), 0),
        $F$5:$U$20
    ),
    TRANSPOSE(
        INDEX($X$5:$AM$77, MATCH($A125,_xlfn.ANCHORARRAY( $W$5), 0), 0)
    )
)
/
(
    INDEX($AN$5:$AN$77, MATCH(BS$100,_xlfn.ANCHORARRAY( $W$5), 0))
    *
    INDEX($AN$5:$AN$77, MATCH($A125,_xlfn.ANCHORARRAY( $W$5), 0))
)</f>
        <v>0.95386096412664301</v>
      </c>
      <c r="BT125" s="17" cm="1">
        <f t="array" ref="BT125">MMULT(
    MMULT(
        INDEX($X$5:$AM$77, MATCH(BT$100,_xlfn.ANCHORARRAY( $W$5), 0), 0),
        $F$5:$U$20
    ),
    TRANSPOSE(
        INDEX($X$5:$AM$77, MATCH($A125,_xlfn.ANCHORARRAY( $W$5), 0), 0)
    )
)
/
(
    INDEX($AN$5:$AN$77, MATCH(BT$100,_xlfn.ANCHORARRAY( $W$5), 0))
    *
    INDEX($AN$5:$AN$77, MATCH($A125,_xlfn.ANCHORARRAY( $W$5), 0))
)</f>
        <v>0.93260041757454537</v>
      </c>
      <c r="BU125" s="17" cm="1">
        <f t="array" ref="BU125">MMULT(
    MMULT(
        INDEX($X$5:$AM$77, MATCH(BU$100,_xlfn.ANCHORARRAY( $W$5), 0), 0),
        $F$5:$U$20
    ),
    TRANSPOSE(
        INDEX($X$5:$AM$77, MATCH($A125,_xlfn.ANCHORARRAY( $W$5), 0), 0)
    )
)
/
(
    INDEX($AN$5:$AN$77, MATCH(BU$100,_xlfn.ANCHORARRAY( $W$5), 0))
    *
    INDEX($AN$5:$AN$77, MATCH($A125,_xlfn.ANCHORARRAY( $W$5), 0))
)</f>
        <v>0.71864184761337957</v>
      </c>
      <c r="BV125" s="17" cm="1">
        <f t="array" ref="BV125">MMULT(
    MMULT(
        INDEX($X$5:$AM$77, MATCH(BV$100,_xlfn.ANCHORARRAY( $W$5), 0), 0),
        $F$5:$U$20
    ),
    TRANSPOSE(
        INDEX($X$5:$AM$77, MATCH($A125,_xlfn.ANCHORARRAY( $W$5), 0), 0)
    )
)
/
(
    INDEX($AN$5:$AN$77, MATCH(BV$100,_xlfn.ANCHORARRAY( $W$5), 0))
    *
    INDEX($AN$5:$AN$77, MATCH($A125,_xlfn.ANCHORARRAY( $W$5), 0))
)</f>
        <v>0.74776771231218675</v>
      </c>
    </row>
    <row r="126" spans="1:74" x14ac:dyDescent="0.3">
      <c r="A126" s="7" t="str">
        <v>Smith, Will</v>
      </c>
      <c r="B126" s="17" cm="1">
        <f t="array" ref="B126">MMULT(
    MMULT(
        INDEX($X$5:$AM$77, MATCH(B$100,_xlfn.ANCHORARRAY( $W$5), 0), 0),
        $F$5:$U$20
    ),
    TRANSPOSE(
        INDEX($X$5:$AM$77, MATCH($A126,_xlfn.ANCHORARRAY( $W$5), 0), 0)
    )
)
/
(
    INDEX($AN$5:$AN$77, MATCH(B$100,_xlfn.ANCHORARRAY( $W$5), 0))
    *
    INDEX($AN$5:$AN$77, MATCH($A126,_xlfn.ANCHORARRAY( $W$5), 0))
)</f>
        <v>0.85872851398493699</v>
      </c>
      <c r="C126" s="17" cm="1">
        <f t="array" ref="C126">MMULT(
    MMULT(
        INDEX($X$5:$AM$77, MATCH(C$100,_xlfn.ANCHORARRAY( $W$5), 0), 0),
        $F$5:$U$20
    ),
    TRANSPOSE(
        INDEX($X$5:$AM$77, MATCH($A126,_xlfn.ANCHORARRAY( $W$5), 0), 0)
    )
)
/
(
    INDEX($AN$5:$AN$77, MATCH(C$100,_xlfn.ANCHORARRAY( $W$5), 0))
    *
    INDEX($AN$5:$AN$77, MATCH($A126,_xlfn.ANCHORARRAY( $W$5), 0))
)</f>
        <v>0.62800918540294126</v>
      </c>
      <c r="D126" s="17" cm="1">
        <f t="array" ref="D126">MMULT(
    MMULT(
        INDEX($X$5:$AM$77, MATCH(D$100,_xlfn.ANCHORARRAY( $W$5), 0), 0),
        $F$5:$U$20
    ),
    TRANSPOSE(
        INDEX($X$5:$AM$77, MATCH($A126,_xlfn.ANCHORARRAY( $W$5), 0), 0)
    )
)
/
(
    INDEX($AN$5:$AN$77, MATCH(D$100,_xlfn.ANCHORARRAY( $W$5), 0))
    *
    INDEX($AN$5:$AN$77, MATCH($A126,_xlfn.ANCHORARRAY( $W$5), 0))
)</f>
        <v>0.95287201410246192</v>
      </c>
      <c r="E126" s="17" cm="1">
        <f t="array" ref="E126">MMULT(
    MMULT(
        INDEX($X$5:$AM$77, MATCH(E$100,_xlfn.ANCHORARRAY( $W$5), 0), 0),
        $F$5:$U$20
    ),
    TRANSPOSE(
        INDEX($X$5:$AM$77, MATCH($A126,_xlfn.ANCHORARRAY( $W$5), 0), 0)
    )
)
/
(
    INDEX($AN$5:$AN$77, MATCH(E$100,_xlfn.ANCHORARRAY( $W$5), 0))
    *
    INDEX($AN$5:$AN$77, MATCH($A126,_xlfn.ANCHORARRAY( $W$5), 0))
)</f>
        <v>0.84568692373443821</v>
      </c>
      <c r="F126" s="17" cm="1">
        <f t="array" ref="F126">MMULT(
    MMULT(
        INDEX($X$5:$AM$77, MATCH(F$100,_xlfn.ANCHORARRAY( $W$5), 0), 0),
        $F$5:$U$20
    ),
    TRANSPOSE(
        INDEX($X$5:$AM$77, MATCH($A126,_xlfn.ANCHORARRAY( $W$5), 0), 0)
    )
)
/
(
    INDEX($AN$5:$AN$77, MATCH(F$100,_xlfn.ANCHORARRAY( $W$5), 0))
    *
    INDEX($AN$5:$AN$77, MATCH($A126,_xlfn.ANCHORARRAY( $W$5), 0))
)</f>
        <v>0.96656700440902665</v>
      </c>
      <c r="G126" s="17" cm="1">
        <f t="array" ref="G126">MMULT(
    MMULT(
        INDEX($X$5:$AM$77, MATCH(G$100,_xlfn.ANCHORARRAY( $W$5), 0), 0),
        $F$5:$U$20
    ),
    TRANSPOSE(
        INDEX($X$5:$AM$77, MATCH($A126,_xlfn.ANCHORARRAY( $W$5), 0), 0)
    )
)
/
(
    INDEX($AN$5:$AN$77, MATCH(G$100,_xlfn.ANCHORARRAY( $W$5), 0))
    *
    INDEX($AN$5:$AN$77, MATCH($A126,_xlfn.ANCHORARRAY( $W$5), 0))
)</f>
        <v>0.61554377040777941</v>
      </c>
      <c r="H126" s="17" cm="1">
        <f t="array" ref="H126">MMULT(
    MMULT(
        INDEX($X$5:$AM$77, MATCH(H$100,_xlfn.ANCHORARRAY( $W$5), 0), 0),
        $F$5:$U$20
    ),
    TRANSPOSE(
        INDEX($X$5:$AM$77, MATCH($A126,_xlfn.ANCHORARRAY( $W$5), 0), 0)
    )
)
/
(
    INDEX($AN$5:$AN$77, MATCH(H$100,_xlfn.ANCHORARRAY( $W$5), 0))
    *
    INDEX($AN$5:$AN$77, MATCH($A126,_xlfn.ANCHORARRAY( $W$5), 0))
)</f>
        <v>0.6468799098538156</v>
      </c>
      <c r="I126" s="17" cm="1">
        <f t="array" ref="I126">MMULT(
    MMULT(
        INDEX($X$5:$AM$77, MATCH(I$100,_xlfn.ANCHORARRAY( $W$5), 0), 0),
        $F$5:$U$20
    ),
    TRANSPOSE(
        INDEX($X$5:$AM$77, MATCH($A126,_xlfn.ANCHORARRAY( $W$5), 0), 0)
    )
)
/
(
    INDEX($AN$5:$AN$77, MATCH(I$100,_xlfn.ANCHORARRAY( $W$5), 0))
    *
    INDEX($AN$5:$AN$77, MATCH($A126,_xlfn.ANCHORARRAY( $W$5), 0))
)</f>
        <v>0.69717441696265947</v>
      </c>
      <c r="J126" s="17" cm="1">
        <f t="array" ref="J126">MMULT(
    MMULT(
        INDEX($X$5:$AM$77, MATCH(J$100,_xlfn.ANCHORARRAY( $W$5), 0), 0),
        $F$5:$U$20
    ),
    TRANSPOSE(
        INDEX($X$5:$AM$77, MATCH($A126,_xlfn.ANCHORARRAY( $W$5), 0), 0)
    )
)
/
(
    INDEX($AN$5:$AN$77, MATCH(J$100,_xlfn.ANCHORARRAY( $W$5), 0))
    *
    INDEX($AN$5:$AN$77, MATCH($A126,_xlfn.ANCHORARRAY( $W$5), 0))
)</f>
        <v>0.87018854501445675</v>
      </c>
      <c r="K126" s="17" cm="1">
        <f t="array" ref="K126">MMULT(
    MMULT(
        INDEX($X$5:$AM$77, MATCH(K$100,_xlfn.ANCHORARRAY( $W$5), 0), 0),
        $F$5:$U$20
    ),
    TRANSPOSE(
        INDEX($X$5:$AM$77, MATCH($A126,_xlfn.ANCHORARRAY( $W$5), 0), 0)
    )
)
/
(
    INDEX($AN$5:$AN$77, MATCH(K$100,_xlfn.ANCHORARRAY( $W$5), 0))
    *
    INDEX($AN$5:$AN$77, MATCH($A126,_xlfn.ANCHORARRAY( $W$5), 0))
)</f>
        <v>0.81591860408813888</v>
      </c>
      <c r="L126" s="17" cm="1">
        <f t="array" ref="L126">MMULT(
    MMULT(
        INDEX($X$5:$AM$77, MATCH(L$100,_xlfn.ANCHORARRAY( $W$5), 0), 0),
        $F$5:$U$20
    ),
    TRANSPOSE(
        INDEX($X$5:$AM$77, MATCH($A126,_xlfn.ANCHORARRAY( $W$5), 0), 0)
    )
)
/
(
    INDEX($AN$5:$AN$77, MATCH(L$100,_xlfn.ANCHORARRAY( $W$5), 0))
    *
    INDEX($AN$5:$AN$77, MATCH($A126,_xlfn.ANCHORARRAY( $W$5), 0))
)</f>
        <v>0.55394921600557911</v>
      </c>
      <c r="M126" s="17" cm="1">
        <f t="array" ref="M126">MMULT(
    MMULT(
        INDEX($X$5:$AM$77, MATCH(M$100,_xlfn.ANCHORARRAY( $W$5), 0), 0),
        $F$5:$U$20
    ),
    TRANSPOSE(
        INDEX($X$5:$AM$77, MATCH($A126,_xlfn.ANCHORARRAY( $W$5), 0), 0)
    )
)
/
(
    INDEX($AN$5:$AN$77, MATCH(M$100,_xlfn.ANCHORARRAY( $W$5), 0))
    *
    INDEX($AN$5:$AN$77, MATCH($A126,_xlfn.ANCHORARRAY( $W$5), 0))
)</f>
        <v>0.73552286680068324</v>
      </c>
      <c r="N126" s="17" cm="1">
        <f t="array" ref="N126">MMULT(
    MMULT(
        INDEX($X$5:$AM$77, MATCH(N$100,_xlfn.ANCHORARRAY( $W$5), 0), 0),
        $F$5:$U$20
    ),
    TRANSPOSE(
        INDEX($X$5:$AM$77, MATCH($A126,_xlfn.ANCHORARRAY( $W$5), 0), 0)
    )
)
/
(
    INDEX($AN$5:$AN$77, MATCH(N$100,_xlfn.ANCHORARRAY( $W$5), 0))
    *
    INDEX($AN$5:$AN$77, MATCH($A126,_xlfn.ANCHORARRAY( $W$5), 0))
)</f>
        <v>0.98418057553654792</v>
      </c>
      <c r="O126" s="17" cm="1">
        <f t="array" ref="O126">MMULT(
    MMULT(
        INDEX($X$5:$AM$77, MATCH(O$100,_xlfn.ANCHORARRAY( $W$5), 0), 0),
        $F$5:$U$20
    ),
    TRANSPOSE(
        INDEX($X$5:$AM$77, MATCH($A126,_xlfn.ANCHORARRAY( $W$5), 0), 0)
    )
)
/
(
    INDEX($AN$5:$AN$77, MATCH(O$100,_xlfn.ANCHORARRAY( $W$5), 0))
    *
    INDEX($AN$5:$AN$77, MATCH($A126,_xlfn.ANCHORARRAY( $W$5), 0))
)</f>
        <v>0.951964714638594</v>
      </c>
      <c r="P126" s="17" cm="1">
        <f t="array" ref="P126">MMULT(
    MMULT(
        INDEX($X$5:$AM$77, MATCH(P$100,_xlfn.ANCHORARRAY( $W$5), 0), 0),
        $F$5:$U$20
    ),
    TRANSPOSE(
        INDEX($X$5:$AM$77, MATCH($A126,_xlfn.ANCHORARRAY( $W$5), 0), 0)
    )
)
/
(
    INDEX($AN$5:$AN$77, MATCH(P$100,_xlfn.ANCHORARRAY( $W$5), 0))
    *
    INDEX($AN$5:$AN$77, MATCH($A126,_xlfn.ANCHORARRAY( $W$5), 0))
)</f>
        <v>0.975121996977661</v>
      </c>
      <c r="Q126" s="17" cm="1">
        <f t="array" ref="Q126">MMULT(
    MMULT(
        INDEX($X$5:$AM$77, MATCH(Q$100,_xlfn.ANCHORARRAY( $W$5), 0), 0),
        $F$5:$U$20
    ),
    TRANSPOSE(
        INDEX($X$5:$AM$77, MATCH($A126,_xlfn.ANCHORARRAY( $W$5), 0), 0)
    )
)
/
(
    INDEX($AN$5:$AN$77, MATCH(Q$100,_xlfn.ANCHORARRAY( $W$5), 0))
    *
    INDEX($AN$5:$AN$77, MATCH($A126,_xlfn.ANCHORARRAY( $W$5), 0))
)</f>
        <v>0.62883506066467731</v>
      </c>
      <c r="R126" s="17" cm="1">
        <f t="array" ref="R126">MMULT(
    MMULT(
        INDEX($X$5:$AM$77, MATCH(R$100,_xlfn.ANCHORARRAY( $W$5), 0), 0),
        $F$5:$U$20
    ),
    TRANSPOSE(
        INDEX($X$5:$AM$77, MATCH($A126,_xlfn.ANCHORARRAY( $W$5), 0), 0)
    )
)
/
(
    INDEX($AN$5:$AN$77, MATCH(R$100,_xlfn.ANCHORARRAY( $W$5), 0))
    *
    INDEX($AN$5:$AN$77, MATCH($A126,_xlfn.ANCHORARRAY( $W$5), 0))
)</f>
        <v>0.899194595971194</v>
      </c>
      <c r="S126" s="17" cm="1">
        <f t="array" ref="S126">MMULT(
    MMULT(
        INDEX($X$5:$AM$77, MATCH(S$100,_xlfn.ANCHORARRAY( $W$5), 0), 0),
        $F$5:$U$20
    ),
    TRANSPOSE(
        INDEX($X$5:$AM$77, MATCH($A126,_xlfn.ANCHORARRAY( $W$5), 0), 0)
    )
)
/
(
    INDEX($AN$5:$AN$77, MATCH(S$100,_xlfn.ANCHORARRAY( $W$5), 0))
    *
    INDEX($AN$5:$AN$77, MATCH($A126,_xlfn.ANCHORARRAY( $W$5), 0))
)</f>
        <v>0.7722077389262908</v>
      </c>
      <c r="T126" s="17" cm="1">
        <f t="array" ref="T126">MMULT(
    MMULT(
        INDEX($X$5:$AM$77, MATCH(T$100,_xlfn.ANCHORARRAY( $W$5), 0), 0),
        $F$5:$U$20
    ),
    TRANSPOSE(
        INDEX($X$5:$AM$77, MATCH($A126,_xlfn.ANCHORARRAY( $W$5), 0), 0)
    )
)
/
(
    INDEX($AN$5:$AN$77, MATCH(T$100,_xlfn.ANCHORARRAY( $W$5), 0))
    *
    INDEX($AN$5:$AN$77, MATCH($A126,_xlfn.ANCHORARRAY( $W$5), 0))
)</f>
        <v>0.41015724178679891</v>
      </c>
      <c r="U126" s="17" cm="1">
        <f t="array" ref="U126">MMULT(
    MMULT(
        INDEX($X$5:$AM$77, MATCH(U$100,_xlfn.ANCHORARRAY( $W$5), 0), 0),
        $F$5:$U$20
    ),
    TRANSPOSE(
        INDEX($X$5:$AM$77, MATCH($A126,_xlfn.ANCHORARRAY( $W$5), 0), 0)
    )
)
/
(
    INDEX($AN$5:$AN$77, MATCH(U$100,_xlfn.ANCHORARRAY( $W$5), 0))
    *
    INDEX($AN$5:$AN$77, MATCH($A126,_xlfn.ANCHORARRAY( $W$5), 0))
)</f>
        <v>0.9611210578845184</v>
      </c>
      <c r="V126" s="17" cm="1">
        <f t="array" ref="V126">MMULT(
    MMULT(
        INDEX($X$5:$AM$77, MATCH(V$100,_xlfn.ANCHORARRAY( $W$5), 0), 0),
        $F$5:$U$20
    ),
    TRANSPOSE(
        INDEX($X$5:$AM$77, MATCH($A126,_xlfn.ANCHORARRAY( $W$5), 0), 0)
    )
)
/
(
    INDEX($AN$5:$AN$77, MATCH(V$100,_xlfn.ANCHORARRAY( $W$5), 0))
    *
    INDEX($AN$5:$AN$77, MATCH($A126,_xlfn.ANCHORARRAY( $W$5), 0))
)</f>
        <v>0.48681336775367756</v>
      </c>
      <c r="W126" s="17" cm="1">
        <f t="array" ref="W126">MMULT(
    MMULT(
        INDEX($X$5:$AM$77, MATCH(W$100,_xlfn.ANCHORARRAY( $W$5), 0), 0),
        $F$5:$U$20
    ),
    TRANSPOSE(
        INDEX($X$5:$AM$77, MATCH($A126,_xlfn.ANCHORARRAY( $W$5), 0), 0)
    )
)
/
(
    INDEX($AN$5:$AN$77, MATCH(W$100,_xlfn.ANCHORARRAY( $W$5), 0))
    *
    INDEX($AN$5:$AN$77, MATCH($A126,_xlfn.ANCHORARRAY( $W$5), 0))
)</f>
        <v>0.70761189422108917</v>
      </c>
      <c r="X126" s="17" cm="1">
        <f t="array" ref="X126">MMULT(
    MMULT(
        INDEX($X$5:$AM$77, MATCH(X$100,_xlfn.ANCHORARRAY( $W$5), 0), 0),
        $F$5:$U$20
    ),
    TRANSPOSE(
        INDEX($X$5:$AM$77, MATCH($A126,_xlfn.ANCHORARRAY( $W$5), 0), 0)
    )
)
/
(
    INDEX($AN$5:$AN$77, MATCH(X$100,_xlfn.ANCHORARRAY( $W$5), 0))
    *
    INDEX($AN$5:$AN$77, MATCH($A126,_xlfn.ANCHORARRAY( $W$5), 0))
)</f>
        <v>0.97858442366307918</v>
      </c>
      <c r="Y126" s="17" cm="1">
        <f t="array" ref="Y126">MMULT(
    MMULT(
        INDEX($X$5:$AM$77, MATCH(Y$100,_xlfn.ANCHORARRAY( $W$5), 0), 0),
        $F$5:$U$20
    ),
    TRANSPOSE(
        INDEX($X$5:$AM$77, MATCH($A126,_xlfn.ANCHORARRAY( $W$5), 0), 0)
    )
)
/
(
    INDEX($AN$5:$AN$77, MATCH(Y$100,_xlfn.ANCHORARRAY( $W$5), 0))
    *
    INDEX($AN$5:$AN$77, MATCH($A126,_xlfn.ANCHORARRAY( $W$5), 0))
)</f>
        <v>0.60070303952630755</v>
      </c>
      <c r="Z126" s="17" cm="1">
        <f t="array" ref="Z126">MMULT(
    MMULT(
        INDEX($X$5:$AM$77, MATCH(Z$100,_xlfn.ANCHORARRAY( $W$5), 0), 0),
        $F$5:$U$20
    ),
    TRANSPOSE(
        INDEX($X$5:$AM$77, MATCH($A126,_xlfn.ANCHORARRAY( $W$5), 0), 0)
    )
)
/
(
    INDEX($AN$5:$AN$77, MATCH(Z$100,_xlfn.ANCHORARRAY( $W$5), 0))
    *
    INDEX($AN$5:$AN$77, MATCH($A126,_xlfn.ANCHORARRAY( $W$5), 0))
)</f>
        <v>0.97505447949381896</v>
      </c>
      <c r="AA126" s="17" cm="1">
        <f t="array" ref="AA126">MMULT(
    MMULT(
        INDEX($X$5:$AM$77, MATCH(AA$100,_xlfn.ANCHORARRAY( $W$5), 0), 0),
        $F$5:$U$20
    ),
    TRANSPOSE(
        INDEX($X$5:$AM$77, MATCH($A126,_xlfn.ANCHORARRAY( $W$5), 0), 0)
    )
)
/
(
    INDEX($AN$5:$AN$77, MATCH(AA$100,_xlfn.ANCHORARRAY( $W$5), 0))
    *
    INDEX($AN$5:$AN$77, MATCH($A126,_xlfn.ANCHORARRAY( $W$5), 0))
)</f>
        <v>1</v>
      </c>
      <c r="AB126" s="17" cm="1">
        <f t="array" ref="AB126">MMULT(
    MMULT(
        INDEX($X$5:$AM$77, MATCH(AB$100,_xlfn.ANCHORARRAY( $W$5), 0), 0),
        $F$5:$U$20
    ),
    TRANSPOSE(
        INDEX($X$5:$AM$77, MATCH($A126,_xlfn.ANCHORARRAY( $W$5), 0), 0)
    )
)
/
(
    INDEX($AN$5:$AN$77, MATCH(AB$100,_xlfn.ANCHORARRAY( $W$5), 0))
    *
    INDEX($AN$5:$AN$77, MATCH($A126,_xlfn.ANCHORARRAY( $W$5), 0))
)</f>
        <v>0.91597645230375646</v>
      </c>
      <c r="AC126" s="17" cm="1">
        <f t="array" ref="AC126">MMULT(
    MMULT(
        INDEX($X$5:$AM$77, MATCH(AC$100,_xlfn.ANCHORARRAY( $W$5), 0), 0),
        $F$5:$U$20
    ),
    TRANSPOSE(
        INDEX($X$5:$AM$77, MATCH($A126,_xlfn.ANCHORARRAY( $W$5), 0), 0)
    )
)
/
(
    INDEX($AN$5:$AN$77, MATCH(AC$100,_xlfn.ANCHORARRAY( $W$5), 0))
    *
    INDEX($AN$5:$AN$77, MATCH($A126,_xlfn.ANCHORARRAY( $W$5), 0))
)</f>
        <v>0.76171639591940843</v>
      </c>
      <c r="AD126" s="17" cm="1">
        <f t="array" ref="AD126">MMULT(
    MMULT(
        INDEX($X$5:$AM$77, MATCH(AD$100,_xlfn.ANCHORARRAY( $W$5), 0), 0),
        $F$5:$U$20
    ),
    TRANSPOSE(
        INDEX($X$5:$AM$77, MATCH($A126,_xlfn.ANCHORARRAY( $W$5), 0), 0)
    )
)
/
(
    INDEX($AN$5:$AN$77, MATCH(AD$100,_xlfn.ANCHORARRAY( $W$5), 0))
    *
    INDEX($AN$5:$AN$77, MATCH($A126,_xlfn.ANCHORARRAY( $W$5), 0))
)</f>
        <v>0.96346960174281771</v>
      </c>
      <c r="AE126" s="17" cm="1">
        <f t="array" ref="AE126">MMULT(
    MMULT(
        INDEX($X$5:$AM$77, MATCH(AE$100,_xlfn.ANCHORARRAY( $W$5), 0), 0),
        $F$5:$U$20
    ),
    TRANSPOSE(
        INDEX($X$5:$AM$77, MATCH($A126,_xlfn.ANCHORARRAY( $W$5), 0), 0)
    )
)
/
(
    INDEX($AN$5:$AN$77, MATCH(AE$100,_xlfn.ANCHORARRAY( $W$5), 0))
    *
    INDEX($AN$5:$AN$77, MATCH($A126,_xlfn.ANCHORARRAY( $W$5), 0))
)</f>
        <v>0.77571101220510408</v>
      </c>
      <c r="AF126" s="17" cm="1">
        <f t="array" ref="AF126">MMULT(
    MMULT(
        INDEX($X$5:$AM$77, MATCH(AF$100,_xlfn.ANCHORARRAY( $W$5), 0), 0),
        $F$5:$U$20
    ),
    TRANSPOSE(
        INDEX($X$5:$AM$77, MATCH($A126,_xlfn.ANCHORARRAY( $W$5), 0), 0)
    )
)
/
(
    INDEX($AN$5:$AN$77, MATCH(AF$100,_xlfn.ANCHORARRAY( $W$5), 0))
    *
    INDEX($AN$5:$AN$77, MATCH($A126,_xlfn.ANCHORARRAY( $W$5), 0))
)</f>
        <v>0.72931282913956552</v>
      </c>
      <c r="AG126" s="17" cm="1">
        <f t="array" ref="AG126">MMULT(
    MMULT(
        INDEX($X$5:$AM$77, MATCH(AG$100,_xlfn.ANCHORARRAY( $W$5), 0), 0),
        $F$5:$U$20
    ),
    TRANSPOSE(
        INDEX($X$5:$AM$77, MATCH($A126,_xlfn.ANCHORARRAY( $W$5), 0), 0)
    )
)
/
(
    INDEX($AN$5:$AN$77, MATCH(AG$100,_xlfn.ANCHORARRAY( $W$5), 0))
    *
    INDEX($AN$5:$AN$77, MATCH($A126,_xlfn.ANCHORARRAY( $W$5), 0))
)</f>
        <v>0.74623259733085645</v>
      </c>
      <c r="AH126" s="17" cm="1">
        <f t="array" ref="AH126">MMULT(
    MMULT(
        INDEX($X$5:$AM$77, MATCH(AH$100,_xlfn.ANCHORARRAY( $W$5), 0), 0),
        $F$5:$U$20
    ),
    TRANSPOSE(
        INDEX($X$5:$AM$77, MATCH($A126,_xlfn.ANCHORARRAY( $W$5), 0), 0)
    )
)
/
(
    INDEX($AN$5:$AN$77, MATCH(AH$100,_xlfn.ANCHORARRAY( $W$5), 0))
    *
    INDEX($AN$5:$AN$77, MATCH($A126,_xlfn.ANCHORARRAY( $W$5), 0))
)</f>
        <v>0.55109613278732428</v>
      </c>
      <c r="AI126" s="17" cm="1">
        <f t="array" ref="AI126">MMULT(
    MMULT(
        INDEX($X$5:$AM$77, MATCH(AI$100,_xlfn.ANCHORARRAY( $W$5), 0), 0),
        $F$5:$U$20
    ),
    TRANSPOSE(
        INDEX($X$5:$AM$77, MATCH($A126,_xlfn.ANCHORARRAY( $W$5), 0), 0)
    )
)
/
(
    INDEX($AN$5:$AN$77, MATCH(AI$100,_xlfn.ANCHORARRAY( $W$5), 0))
    *
    INDEX($AN$5:$AN$77, MATCH($A126,_xlfn.ANCHORARRAY( $W$5), 0))
)</f>
        <v>0.78031780952922269</v>
      </c>
      <c r="AJ126" s="17" cm="1">
        <f t="array" ref="AJ126">MMULT(
    MMULT(
        INDEX($X$5:$AM$77, MATCH(AJ$100,_xlfn.ANCHORARRAY( $W$5), 0), 0),
        $F$5:$U$20
    ),
    TRANSPOSE(
        INDEX($X$5:$AM$77, MATCH($A126,_xlfn.ANCHORARRAY( $W$5), 0), 0)
    )
)
/
(
    INDEX($AN$5:$AN$77, MATCH(AJ$100,_xlfn.ANCHORARRAY( $W$5), 0))
    *
    INDEX($AN$5:$AN$77, MATCH($A126,_xlfn.ANCHORARRAY( $W$5), 0))
)</f>
        <v>0.98266672388852805</v>
      </c>
      <c r="AK126" s="17" cm="1">
        <f t="array" ref="AK126">MMULT(
    MMULT(
        INDEX($X$5:$AM$77, MATCH(AK$100,_xlfn.ANCHORARRAY( $W$5), 0), 0),
        $F$5:$U$20
    ),
    TRANSPOSE(
        INDEX($X$5:$AM$77, MATCH($A126,_xlfn.ANCHORARRAY( $W$5), 0), 0)
    )
)
/
(
    INDEX($AN$5:$AN$77, MATCH(AK$100,_xlfn.ANCHORARRAY( $W$5), 0))
    *
    INDEX($AN$5:$AN$77, MATCH($A126,_xlfn.ANCHORARRAY( $W$5), 0))
)</f>
        <v>0.79734444944938621</v>
      </c>
      <c r="AL126" s="17" cm="1">
        <f t="array" ref="AL126">MMULT(
    MMULT(
        INDEX($X$5:$AM$77, MATCH(AL$100,_xlfn.ANCHORARRAY( $W$5), 0), 0),
        $F$5:$U$20
    ),
    TRANSPOSE(
        INDEX($X$5:$AM$77, MATCH($A126,_xlfn.ANCHORARRAY( $W$5), 0), 0)
    )
)
/
(
    INDEX($AN$5:$AN$77, MATCH(AL$100,_xlfn.ANCHORARRAY( $W$5), 0))
    *
    INDEX($AN$5:$AN$77, MATCH($A126,_xlfn.ANCHORARRAY( $W$5), 0))
)</f>
        <v>0.97806306539879551</v>
      </c>
      <c r="AM126" s="17" cm="1">
        <f t="array" ref="AM126">MMULT(
    MMULT(
        INDEX($X$5:$AM$77, MATCH(AM$100,_xlfn.ANCHORARRAY( $W$5), 0), 0),
        $F$5:$U$20
    ),
    TRANSPOSE(
        INDEX($X$5:$AM$77, MATCH($A126,_xlfn.ANCHORARRAY( $W$5), 0), 0)
    )
)
/
(
    INDEX($AN$5:$AN$77, MATCH(AM$100,_xlfn.ANCHORARRAY( $W$5), 0))
    *
    INDEX($AN$5:$AN$77, MATCH($A126,_xlfn.ANCHORARRAY( $W$5), 0))
)</f>
        <v>0.67019850321603058</v>
      </c>
      <c r="AN126" s="17" cm="1">
        <f t="array" ref="AN126">MMULT(
    MMULT(
        INDEX($X$5:$AM$77, MATCH(AN$100,_xlfn.ANCHORARRAY( $W$5), 0), 0),
        $F$5:$U$20
    ),
    TRANSPOSE(
        INDEX($X$5:$AM$77, MATCH($A126,_xlfn.ANCHORARRAY( $W$5), 0), 0)
    )
)
/
(
    INDEX($AN$5:$AN$77, MATCH(AN$100,_xlfn.ANCHORARRAY( $W$5), 0))
    *
    INDEX($AN$5:$AN$77, MATCH($A126,_xlfn.ANCHORARRAY( $W$5), 0))
)</f>
        <v>0.61553170622648867</v>
      </c>
      <c r="AO126" s="17" cm="1">
        <f t="array" ref="AO126">MMULT(
    MMULT(
        INDEX($X$5:$AM$77, MATCH(AO$100,_xlfn.ANCHORARRAY( $W$5), 0), 0),
        $F$5:$U$20
    ),
    TRANSPOSE(
        INDEX($X$5:$AM$77, MATCH($A126,_xlfn.ANCHORARRAY( $W$5), 0), 0)
    )
)
/
(
    INDEX($AN$5:$AN$77, MATCH(AO$100,_xlfn.ANCHORARRAY( $W$5), 0))
    *
    INDEX($AN$5:$AN$77, MATCH($A126,_xlfn.ANCHORARRAY( $W$5), 0))
)</f>
        <v>0.62766042286950807</v>
      </c>
      <c r="AP126" s="17" cm="1">
        <f t="array" ref="AP126">MMULT(
    MMULT(
        INDEX($X$5:$AM$77, MATCH(AP$100,_xlfn.ANCHORARRAY( $W$5), 0), 0),
        $F$5:$U$20
    ),
    TRANSPOSE(
        INDEX($X$5:$AM$77, MATCH($A126,_xlfn.ANCHORARRAY( $W$5), 0), 0)
    )
)
/
(
    INDEX($AN$5:$AN$77, MATCH(AP$100,_xlfn.ANCHORARRAY( $W$5), 0))
    *
    INDEX($AN$5:$AN$77, MATCH($A126,_xlfn.ANCHORARRAY( $W$5), 0))
)</f>
        <v>0.63041242374961615</v>
      </c>
      <c r="AQ126" s="17" cm="1">
        <f t="array" ref="AQ126">MMULT(
    MMULT(
        INDEX($X$5:$AM$77, MATCH(AQ$100,_xlfn.ANCHORARRAY( $W$5), 0), 0),
        $F$5:$U$20
    ),
    TRANSPOSE(
        INDEX($X$5:$AM$77, MATCH($A126,_xlfn.ANCHORARRAY( $W$5), 0), 0)
    )
)
/
(
    INDEX($AN$5:$AN$77, MATCH(AQ$100,_xlfn.ANCHORARRAY( $W$5), 0))
    *
    INDEX($AN$5:$AN$77, MATCH($A126,_xlfn.ANCHORARRAY( $W$5), 0))
)</f>
        <v>0.70603769432489993</v>
      </c>
      <c r="AR126" s="17" cm="1">
        <f t="array" ref="AR126">MMULT(
    MMULT(
        INDEX($X$5:$AM$77, MATCH(AR$100,_xlfn.ANCHORARRAY( $W$5), 0), 0),
        $F$5:$U$20
    ),
    TRANSPOSE(
        INDEX($X$5:$AM$77, MATCH($A126,_xlfn.ANCHORARRAY( $W$5), 0), 0)
    )
)
/
(
    INDEX($AN$5:$AN$77, MATCH(AR$100,_xlfn.ANCHORARRAY( $W$5), 0))
    *
    INDEX($AN$5:$AN$77, MATCH($A126,_xlfn.ANCHORARRAY( $W$5), 0))
)</f>
        <v>0.97147767738594271</v>
      </c>
      <c r="AS126" s="17" cm="1">
        <f t="array" ref="AS126">MMULT(
    MMULT(
        INDEX($X$5:$AM$77, MATCH(AS$100,_xlfn.ANCHORARRAY( $W$5), 0), 0),
        $F$5:$U$20
    ),
    TRANSPOSE(
        INDEX($X$5:$AM$77, MATCH($A126,_xlfn.ANCHORARRAY( $W$5), 0), 0)
    )
)
/
(
    INDEX($AN$5:$AN$77, MATCH(AS$100,_xlfn.ANCHORARRAY( $W$5), 0))
    *
    INDEX($AN$5:$AN$77, MATCH($A126,_xlfn.ANCHORARRAY( $W$5), 0))
)</f>
        <v>0.9011452772427504</v>
      </c>
      <c r="AT126" s="17" cm="1">
        <f t="array" ref="AT126">MMULT(
    MMULT(
        INDEX($X$5:$AM$77, MATCH(AT$100,_xlfn.ANCHORARRAY( $W$5), 0), 0),
        $F$5:$U$20
    ),
    TRANSPOSE(
        INDEX($X$5:$AM$77, MATCH($A126,_xlfn.ANCHORARRAY( $W$5), 0), 0)
    )
)
/
(
    INDEX($AN$5:$AN$77, MATCH(AT$100,_xlfn.ANCHORARRAY( $W$5), 0))
    *
    INDEX($AN$5:$AN$77, MATCH($A126,_xlfn.ANCHORARRAY( $W$5), 0))
)</f>
        <v>0.66913545236743943</v>
      </c>
      <c r="AU126" s="17" cm="1">
        <f t="array" ref="AU126">MMULT(
    MMULT(
        INDEX($X$5:$AM$77, MATCH(AU$100,_xlfn.ANCHORARRAY( $W$5), 0), 0),
        $F$5:$U$20
    ),
    TRANSPOSE(
        INDEX($X$5:$AM$77, MATCH($A126,_xlfn.ANCHORARRAY( $W$5), 0), 0)
    )
)
/
(
    INDEX($AN$5:$AN$77, MATCH(AU$100,_xlfn.ANCHORARRAY( $W$5), 0))
    *
    INDEX($AN$5:$AN$77, MATCH($A126,_xlfn.ANCHORARRAY( $W$5), 0))
)</f>
        <v>0.95643939172940229</v>
      </c>
      <c r="AV126" s="17" cm="1">
        <f t="array" ref="AV126">MMULT(
    MMULT(
        INDEX($X$5:$AM$77, MATCH(AV$100,_xlfn.ANCHORARRAY( $W$5), 0), 0),
        $F$5:$U$20
    ),
    TRANSPOSE(
        INDEX($X$5:$AM$77, MATCH($A126,_xlfn.ANCHORARRAY( $W$5), 0), 0)
    )
)
/
(
    INDEX($AN$5:$AN$77, MATCH(AV$100,_xlfn.ANCHORARRAY( $W$5), 0))
    *
    INDEX($AN$5:$AN$77, MATCH($A126,_xlfn.ANCHORARRAY( $W$5), 0))
)</f>
        <v>0.97982414914749261</v>
      </c>
      <c r="AW126" s="17" cm="1">
        <f t="array" ref="AW126">MMULT(
    MMULT(
        INDEX($X$5:$AM$77, MATCH(AW$100,_xlfn.ANCHORARRAY( $W$5), 0), 0),
        $F$5:$U$20
    ),
    TRANSPOSE(
        INDEX($X$5:$AM$77, MATCH($A126,_xlfn.ANCHORARRAY( $W$5), 0), 0)
    )
)
/
(
    INDEX($AN$5:$AN$77, MATCH(AW$100,_xlfn.ANCHORARRAY( $W$5), 0))
    *
    INDEX($AN$5:$AN$77, MATCH($A126,_xlfn.ANCHORARRAY( $W$5), 0))
)</f>
        <v>0.67225136116226369</v>
      </c>
      <c r="AX126" s="17" cm="1">
        <f t="array" ref="AX126">MMULT(
    MMULT(
        INDEX($X$5:$AM$77, MATCH(AX$100,_xlfn.ANCHORARRAY( $W$5), 0), 0),
        $F$5:$U$20
    ),
    TRANSPOSE(
        INDEX($X$5:$AM$77, MATCH($A126,_xlfn.ANCHORARRAY( $W$5), 0), 0)
    )
)
/
(
    INDEX($AN$5:$AN$77, MATCH(AX$100,_xlfn.ANCHORARRAY( $W$5), 0))
    *
    INDEX($AN$5:$AN$77, MATCH($A126,_xlfn.ANCHORARRAY( $W$5), 0))
)</f>
        <v>0.49460020810030403</v>
      </c>
      <c r="AY126" s="17" cm="1">
        <f t="array" ref="AY126">MMULT(
    MMULT(
        INDEX($X$5:$AM$77, MATCH(AY$100,_xlfn.ANCHORARRAY( $W$5), 0), 0),
        $F$5:$U$20
    ),
    TRANSPOSE(
        INDEX($X$5:$AM$77, MATCH($A126,_xlfn.ANCHORARRAY( $W$5), 0), 0)
    )
)
/
(
    INDEX($AN$5:$AN$77, MATCH(AY$100,_xlfn.ANCHORARRAY( $W$5), 0))
    *
    INDEX($AN$5:$AN$77, MATCH($A126,_xlfn.ANCHORARRAY( $W$5), 0))
)</f>
        <v>0.53579530753245441</v>
      </c>
      <c r="AZ126" s="17" cm="1">
        <f t="array" ref="AZ126">MMULT(
    MMULT(
        INDEX($X$5:$AM$77, MATCH(AZ$100,_xlfn.ANCHORARRAY( $W$5), 0), 0),
        $F$5:$U$20
    ),
    TRANSPOSE(
        INDEX($X$5:$AM$77, MATCH($A126,_xlfn.ANCHORARRAY( $W$5), 0), 0)
    )
)
/
(
    INDEX($AN$5:$AN$77, MATCH(AZ$100,_xlfn.ANCHORARRAY( $W$5), 0))
    *
    INDEX($AN$5:$AN$77, MATCH($A126,_xlfn.ANCHORARRAY( $W$5), 0))
)</f>
        <v>0.97748492562630429</v>
      </c>
      <c r="BA126" s="17" cm="1">
        <f t="array" ref="BA126">MMULT(
    MMULT(
        INDEX($X$5:$AM$77, MATCH(BA$100,_xlfn.ANCHORARRAY( $W$5), 0), 0),
        $F$5:$U$20
    ),
    TRANSPOSE(
        INDEX($X$5:$AM$77, MATCH($A126,_xlfn.ANCHORARRAY( $W$5), 0), 0)
    )
)
/
(
    INDEX($AN$5:$AN$77, MATCH(BA$100,_xlfn.ANCHORARRAY( $W$5), 0))
    *
    INDEX($AN$5:$AN$77, MATCH($A126,_xlfn.ANCHORARRAY( $W$5), 0))
)</f>
        <v>0.99173306194554955</v>
      </c>
      <c r="BB126" s="17" cm="1">
        <f t="array" ref="BB126">MMULT(
    MMULT(
        INDEX($X$5:$AM$77, MATCH(BB$100,_xlfn.ANCHORARRAY( $W$5), 0), 0),
        $F$5:$U$20
    ),
    TRANSPOSE(
        INDEX($X$5:$AM$77, MATCH($A126,_xlfn.ANCHORARRAY( $W$5), 0), 0)
    )
)
/
(
    INDEX($AN$5:$AN$77, MATCH(BB$100,_xlfn.ANCHORARRAY( $W$5), 0))
    *
    INDEX($AN$5:$AN$77, MATCH($A126,_xlfn.ANCHORARRAY( $W$5), 0))
)</f>
        <v>0.76990759064988978</v>
      </c>
      <c r="BC126" s="17" cm="1">
        <f t="array" ref="BC126">MMULT(
    MMULT(
        INDEX($X$5:$AM$77, MATCH(BC$100,_xlfn.ANCHORARRAY( $W$5), 0), 0),
        $F$5:$U$20
    ),
    TRANSPOSE(
        INDEX($X$5:$AM$77, MATCH($A126,_xlfn.ANCHORARRAY( $W$5), 0), 0)
    )
)
/
(
    INDEX($AN$5:$AN$77, MATCH(BC$100,_xlfn.ANCHORARRAY( $W$5), 0))
    *
    INDEX($AN$5:$AN$77, MATCH($A126,_xlfn.ANCHORARRAY( $W$5), 0))
)</f>
        <v>0.71422939930023122</v>
      </c>
      <c r="BD126" s="17" cm="1">
        <f t="array" ref="BD126">MMULT(
    MMULT(
        INDEX($X$5:$AM$77, MATCH(BD$100,_xlfn.ANCHORARRAY( $W$5), 0), 0),
        $F$5:$U$20
    ),
    TRANSPOSE(
        INDEX($X$5:$AM$77, MATCH($A126,_xlfn.ANCHORARRAY( $W$5), 0), 0)
    )
)
/
(
    INDEX($AN$5:$AN$77, MATCH(BD$100,_xlfn.ANCHORARRAY( $W$5), 0))
    *
    INDEX($AN$5:$AN$77, MATCH($A126,_xlfn.ANCHORARRAY( $W$5), 0))
)</f>
        <v>0.60898388941959514</v>
      </c>
      <c r="BE126" s="17" cm="1">
        <f t="array" ref="BE126">MMULT(
    MMULT(
        INDEX($X$5:$AM$77, MATCH(BE$100,_xlfn.ANCHORARRAY( $W$5), 0), 0),
        $F$5:$U$20
    ),
    TRANSPOSE(
        INDEX($X$5:$AM$77, MATCH($A126,_xlfn.ANCHORARRAY( $W$5), 0), 0)
    )
)
/
(
    INDEX($AN$5:$AN$77, MATCH(BE$100,_xlfn.ANCHORARRAY( $W$5), 0))
    *
    INDEX($AN$5:$AN$77, MATCH($A126,_xlfn.ANCHORARRAY( $W$5), 0))
)</f>
        <v>0.66485866836365393</v>
      </c>
      <c r="BF126" s="17" cm="1">
        <f t="array" ref="BF126">MMULT(
    MMULT(
        INDEX($X$5:$AM$77, MATCH(BF$100,_xlfn.ANCHORARRAY( $W$5), 0), 0),
        $F$5:$U$20
    ),
    TRANSPOSE(
        INDEX($X$5:$AM$77, MATCH($A126,_xlfn.ANCHORARRAY( $W$5), 0), 0)
    )
)
/
(
    INDEX($AN$5:$AN$77, MATCH(BF$100,_xlfn.ANCHORARRAY( $W$5), 0))
    *
    INDEX($AN$5:$AN$77, MATCH($A126,_xlfn.ANCHORARRAY( $W$5), 0))
)</f>
        <v>0.89593929939951178</v>
      </c>
      <c r="BG126" s="17" cm="1">
        <f t="array" ref="BG126">MMULT(
    MMULT(
        INDEX($X$5:$AM$77, MATCH(BG$100,_xlfn.ANCHORARRAY( $W$5), 0), 0),
        $F$5:$U$20
    ),
    TRANSPOSE(
        INDEX($X$5:$AM$77, MATCH($A126,_xlfn.ANCHORARRAY( $W$5), 0), 0)
    )
)
/
(
    INDEX($AN$5:$AN$77, MATCH(BG$100,_xlfn.ANCHORARRAY( $W$5), 0))
    *
    INDEX($AN$5:$AN$77, MATCH($A126,_xlfn.ANCHORARRAY( $W$5), 0))
)</f>
        <v>0.96544973047123128</v>
      </c>
      <c r="BH126" s="17" cm="1">
        <f t="array" ref="BH126">MMULT(
    MMULT(
        INDEX($X$5:$AM$77, MATCH(BH$100,_xlfn.ANCHORARRAY( $W$5), 0), 0),
        $F$5:$U$20
    ),
    TRANSPOSE(
        INDEX($X$5:$AM$77, MATCH($A126,_xlfn.ANCHORARRAY( $W$5), 0), 0)
    )
)
/
(
    INDEX($AN$5:$AN$77, MATCH(BH$100,_xlfn.ANCHORARRAY( $W$5), 0))
    *
    INDEX($AN$5:$AN$77, MATCH($A126,_xlfn.ANCHORARRAY( $W$5), 0))
)</f>
        <v>0.68220895276519222</v>
      </c>
      <c r="BI126" s="17" cm="1">
        <f t="array" ref="BI126">MMULT(
    MMULT(
        INDEX($X$5:$AM$77, MATCH(BI$100,_xlfn.ANCHORARRAY( $W$5), 0), 0),
        $F$5:$U$20
    ),
    TRANSPOSE(
        INDEX($X$5:$AM$77, MATCH($A126,_xlfn.ANCHORARRAY( $W$5), 0), 0)
    )
)
/
(
    INDEX($AN$5:$AN$77, MATCH(BI$100,_xlfn.ANCHORARRAY( $W$5), 0))
    *
    INDEX($AN$5:$AN$77, MATCH($A126,_xlfn.ANCHORARRAY( $W$5), 0))
)</f>
        <v>0.53563023153588163</v>
      </c>
      <c r="BJ126" s="17" cm="1">
        <f t="array" ref="BJ126">MMULT(
    MMULT(
        INDEX($X$5:$AM$77, MATCH(BJ$100,_xlfn.ANCHORARRAY( $W$5), 0), 0),
        $F$5:$U$20
    ),
    TRANSPOSE(
        INDEX($X$5:$AM$77, MATCH($A126,_xlfn.ANCHORARRAY( $W$5), 0), 0)
    )
)
/
(
    INDEX($AN$5:$AN$77, MATCH(BJ$100,_xlfn.ANCHORARRAY( $W$5), 0))
    *
    INDEX($AN$5:$AN$77, MATCH($A126,_xlfn.ANCHORARRAY( $W$5), 0))
)</f>
        <v>0.81648029367585218</v>
      </c>
      <c r="BK126" s="17" cm="1">
        <f t="array" ref="BK126">MMULT(
    MMULT(
        INDEX($X$5:$AM$77, MATCH(BK$100,_xlfn.ANCHORARRAY( $W$5), 0), 0),
        $F$5:$U$20
    ),
    TRANSPOSE(
        INDEX($X$5:$AM$77, MATCH($A126,_xlfn.ANCHORARRAY( $W$5), 0), 0)
    )
)
/
(
    INDEX($AN$5:$AN$77, MATCH(BK$100,_xlfn.ANCHORARRAY( $W$5), 0))
    *
    INDEX($AN$5:$AN$77, MATCH($A126,_xlfn.ANCHORARRAY( $W$5), 0))
)</f>
        <v>0.62060771481230148</v>
      </c>
      <c r="BL126" s="17" cm="1">
        <f t="array" ref="BL126">MMULT(
    MMULT(
        INDEX($X$5:$AM$77, MATCH(BL$100,_xlfn.ANCHORARRAY( $W$5), 0), 0),
        $F$5:$U$20
    ),
    TRANSPOSE(
        INDEX($X$5:$AM$77, MATCH($A126,_xlfn.ANCHORARRAY( $W$5), 0), 0)
    )
)
/
(
    INDEX($AN$5:$AN$77, MATCH(BL$100,_xlfn.ANCHORARRAY( $W$5), 0))
    *
    INDEX($AN$5:$AN$77, MATCH($A126,_xlfn.ANCHORARRAY( $W$5), 0))
)</f>
        <v>0.82416760117117449</v>
      </c>
      <c r="BM126" s="17" cm="1">
        <f t="array" ref="BM126">MMULT(
    MMULT(
        INDEX($X$5:$AM$77, MATCH(BM$100,_xlfn.ANCHORARRAY( $W$5), 0), 0),
        $F$5:$U$20
    ),
    TRANSPOSE(
        INDEX($X$5:$AM$77, MATCH($A126,_xlfn.ANCHORARRAY( $W$5), 0), 0)
    )
)
/
(
    INDEX($AN$5:$AN$77, MATCH(BM$100,_xlfn.ANCHORARRAY( $W$5), 0))
    *
    INDEX($AN$5:$AN$77, MATCH($A126,_xlfn.ANCHORARRAY( $W$5), 0))
)</f>
        <v>0.78883375340444384</v>
      </c>
      <c r="BN126" s="17" cm="1">
        <f t="array" ref="BN126">MMULT(
    MMULT(
        INDEX($X$5:$AM$77, MATCH(BN$100,_xlfn.ANCHORARRAY( $W$5), 0), 0),
        $F$5:$U$20
    ),
    TRANSPOSE(
        INDEX($X$5:$AM$77, MATCH($A126,_xlfn.ANCHORARRAY( $W$5), 0), 0)
    )
)
/
(
    INDEX($AN$5:$AN$77, MATCH(BN$100,_xlfn.ANCHORARRAY( $W$5), 0))
    *
    INDEX($AN$5:$AN$77, MATCH($A126,_xlfn.ANCHORARRAY( $W$5), 0))
)</f>
        <v>0.63289194225904233</v>
      </c>
      <c r="BO126" s="17" cm="1">
        <f t="array" ref="BO126">MMULT(
    MMULT(
        INDEX($X$5:$AM$77, MATCH(BO$100,_xlfn.ANCHORARRAY( $W$5), 0), 0),
        $F$5:$U$20
    ),
    TRANSPOSE(
        INDEX($X$5:$AM$77, MATCH($A126,_xlfn.ANCHORARRAY( $W$5), 0), 0)
    )
)
/
(
    INDEX($AN$5:$AN$77, MATCH(BO$100,_xlfn.ANCHORARRAY( $W$5), 0))
    *
    INDEX($AN$5:$AN$77, MATCH($A126,_xlfn.ANCHORARRAY( $W$5), 0))
)</f>
        <v>0.81530821531125286</v>
      </c>
      <c r="BP126" s="17" cm="1">
        <f t="array" ref="BP126">MMULT(
    MMULT(
        INDEX($X$5:$AM$77, MATCH(BP$100,_xlfn.ANCHORARRAY( $W$5), 0), 0),
        $F$5:$U$20
    ),
    TRANSPOSE(
        INDEX($X$5:$AM$77, MATCH($A126,_xlfn.ANCHORARRAY( $W$5), 0), 0)
    )
)
/
(
    INDEX($AN$5:$AN$77, MATCH(BP$100,_xlfn.ANCHORARRAY( $W$5), 0))
    *
    INDEX($AN$5:$AN$77, MATCH($A126,_xlfn.ANCHORARRAY( $W$5), 0))
)</f>
        <v>0.86076492008801697</v>
      </c>
      <c r="BQ126" s="17" cm="1">
        <f t="array" ref="BQ126">MMULT(
    MMULT(
        INDEX($X$5:$AM$77, MATCH(BQ$100,_xlfn.ANCHORARRAY( $W$5), 0), 0),
        $F$5:$U$20
    ),
    TRANSPOSE(
        INDEX($X$5:$AM$77, MATCH($A126,_xlfn.ANCHORARRAY( $W$5), 0), 0)
    )
)
/
(
    INDEX($AN$5:$AN$77, MATCH(BQ$100,_xlfn.ANCHORARRAY( $W$5), 0))
    *
    INDEX($AN$5:$AN$77, MATCH($A126,_xlfn.ANCHORARRAY( $W$5), 0))
)</f>
        <v>0.70901930042090244</v>
      </c>
      <c r="BR126" s="17" cm="1">
        <f t="array" ref="BR126">MMULT(
    MMULT(
        INDEX($X$5:$AM$77, MATCH(BR$100,_xlfn.ANCHORARRAY( $W$5), 0), 0),
        $F$5:$U$20
    ),
    TRANSPOSE(
        INDEX($X$5:$AM$77, MATCH($A126,_xlfn.ANCHORARRAY( $W$5), 0), 0)
    )
)
/
(
    INDEX($AN$5:$AN$77, MATCH(BR$100,_xlfn.ANCHORARRAY( $W$5), 0))
    *
    INDEX($AN$5:$AN$77, MATCH($A126,_xlfn.ANCHORARRAY( $W$5), 0))
)</f>
        <v>0.77949199188037177</v>
      </c>
      <c r="BS126" s="17" cm="1">
        <f t="array" ref="BS126">MMULT(
    MMULT(
        INDEX($X$5:$AM$77, MATCH(BS$100,_xlfn.ANCHORARRAY( $W$5), 0), 0),
        $F$5:$U$20
    ),
    TRANSPOSE(
        INDEX($X$5:$AM$77, MATCH($A126,_xlfn.ANCHORARRAY( $W$5), 0), 0)
    )
)
/
(
    INDEX($AN$5:$AN$77, MATCH(BS$100,_xlfn.ANCHORARRAY( $W$5), 0))
    *
    INDEX($AN$5:$AN$77, MATCH($A126,_xlfn.ANCHORARRAY( $W$5), 0))
)</f>
        <v>0.93788018426176645</v>
      </c>
      <c r="BT126" s="17" cm="1">
        <f t="array" ref="BT126">MMULT(
    MMULT(
        INDEX($X$5:$AM$77, MATCH(BT$100,_xlfn.ANCHORARRAY( $W$5), 0), 0),
        $F$5:$U$20
    ),
    TRANSPOSE(
        INDEX($X$5:$AM$77, MATCH($A126,_xlfn.ANCHORARRAY( $W$5), 0), 0)
    )
)
/
(
    INDEX($AN$5:$AN$77, MATCH(BT$100,_xlfn.ANCHORARRAY( $W$5), 0))
    *
    INDEX($AN$5:$AN$77, MATCH($A126,_xlfn.ANCHORARRAY( $W$5), 0))
)</f>
        <v>0.88258943150898583</v>
      </c>
      <c r="BU126" s="17" cm="1">
        <f t="array" ref="BU126">MMULT(
    MMULT(
        INDEX($X$5:$AM$77, MATCH(BU$100,_xlfn.ANCHORARRAY( $W$5), 0), 0),
        $F$5:$U$20
    ),
    TRANSPOSE(
        INDEX($X$5:$AM$77, MATCH($A126,_xlfn.ANCHORARRAY( $W$5), 0), 0)
    )
)
/
(
    INDEX($AN$5:$AN$77, MATCH(BU$100,_xlfn.ANCHORARRAY( $W$5), 0))
    *
    INDEX($AN$5:$AN$77, MATCH($A126,_xlfn.ANCHORARRAY( $W$5), 0))
)</f>
        <v>0.7074358844631865</v>
      </c>
      <c r="BV126" s="17" cm="1">
        <f t="array" ref="BV126">MMULT(
    MMULT(
        INDEX($X$5:$AM$77, MATCH(BV$100,_xlfn.ANCHORARRAY( $W$5), 0), 0),
        $F$5:$U$20
    ),
    TRANSPOSE(
        INDEX($X$5:$AM$77, MATCH($A126,_xlfn.ANCHORARRAY( $W$5), 0), 0)
    )
)
/
(
    INDEX($AN$5:$AN$77, MATCH(BV$100,_xlfn.ANCHORARRAY( $W$5), 0))
    *
    INDEX($AN$5:$AN$77, MATCH($A126,_xlfn.ANCHORARRAY( $W$5), 0))
)</f>
        <v>0.65394474709194805</v>
      </c>
    </row>
    <row r="127" spans="1:74" x14ac:dyDescent="0.3">
      <c r="A127" s="7" t="str">
        <v>Foltynewicz, Mike</v>
      </c>
      <c r="B127" s="17" cm="1">
        <f t="array" ref="B127">MMULT(
    MMULT(
        INDEX($X$5:$AM$77, MATCH(B$100,_xlfn.ANCHORARRAY( $W$5), 0), 0),
        $F$5:$U$20
    ),
    TRANSPOSE(
        INDEX($X$5:$AM$77, MATCH($A127,_xlfn.ANCHORARRAY( $W$5), 0), 0)
    )
)
/
(
    INDEX($AN$5:$AN$77, MATCH(B$100,_xlfn.ANCHORARRAY( $W$5), 0))
    *
    INDEX($AN$5:$AN$77, MATCH($A127,_xlfn.ANCHORARRAY( $W$5), 0))
)</f>
        <v>0.93404373272352847</v>
      </c>
      <c r="C127" s="17" cm="1">
        <f t="array" ref="C127">MMULT(
    MMULT(
        INDEX($X$5:$AM$77, MATCH(C$100,_xlfn.ANCHORARRAY( $W$5), 0), 0),
        $F$5:$U$20
    ),
    TRANSPOSE(
        INDEX($X$5:$AM$77, MATCH($A127,_xlfn.ANCHORARRAY( $W$5), 0), 0)
    )
)
/
(
    INDEX($AN$5:$AN$77, MATCH(C$100,_xlfn.ANCHORARRAY( $W$5), 0))
    *
    INDEX($AN$5:$AN$77, MATCH($A127,_xlfn.ANCHORARRAY( $W$5), 0))
)</f>
        <v>0.7488816433337806</v>
      </c>
      <c r="D127" s="17" cm="1">
        <f t="array" ref="D127">MMULT(
    MMULT(
        INDEX($X$5:$AM$77, MATCH(D$100,_xlfn.ANCHORARRAY( $W$5), 0), 0),
        $F$5:$U$20
    ),
    TRANSPOSE(
        INDEX($X$5:$AM$77, MATCH($A127,_xlfn.ANCHORARRAY( $W$5), 0), 0)
    )
)
/
(
    INDEX($AN$5:$AN$77, MATCH(D$100,_xlfn.ANCHORARRAY( $W$5), 0))
    *
    INDEX($AN$5:$AN$77, MATCH($A127,_xlfn.ANCHORARRAY( $W$5), 0))
)</f>
        <v>0.93092800449223811</v>
      </c>
      <c r="E127" s="17" cm="1">
        <f t="array" ref="E127">MMULT(
    MMULT(
        INDEX($X$5:$AM$77, MATCH(E$100,_xlfn.ANCHORARRAY( $W$5), 0), 0),
        $F$5:$U$20
    ),
    TRANSPOSE(
        INDEX($X$5:$AM$77, MATCH($A127,_xlfn.ANCHORARRAY( $W$5), 0), 0)
    )
)
/
(
    INDEX($AN$5:$AN$77, MATCH(E$100,_xlfn.ANCHORARRAY( $W$5), 0))
    *
    INDEX($AN$5:$AN$77, MATCH($A127,_xlfn.ANCHORARRAY( $W$5), 0))
)</f>
        <v>0.96707104486797646</v>
      </c>
      <c r="F127" s="17" cm="1">
        <f t="array" ref="F127">MMULT(
    MMULT(
        INDEX($X$5:$AM$77, MATCH(F$100,_xlfn.ANCHORARRAY( $W$5), 0), 0),
        $F$5:$U$20
    ),
    TRANSPOSE(
        INDEX($X$5:$AM$77, MATCH($A127,_xlfn.ANCHORARRAY( $W$5), 0), 0)
    )
)
/
(
    INDEX($AN$5:$AN$77, MATCH(F$100,_xlfn.ANCHORARRAY( $W$5), 0))
    *
    INDEX($AN$5:$AN$77, MATCH($A127,_xlfn.ANCHORARRAY( $W$5), 0))
)</f>
        <v>0.93131611114875479</v>
      </c>
      <c r="G127" s="17" cm="1">
        <f t="array" ref="G127">MMULT(
    MMULT(
        INDEX($X$5:$AM$77, MATCH(G$100,_xlfn.ANCHORARRAY( $W$5), 0), 0),
        $F$5:$U$20
    ),
    TRANSPOSE(
        INDEX($X$5:$AM$77, MATCH($A127,_xlfn.ANCHORARRAY( $W$5), 0), 0)
    )
)
/
(
    INDEX($AN$5:$AN$77, MATCH(G$100,_xlfn.ANCHORARRAY( $W$5), 0))
    *
    INDEX($AN$5:$AN$77, MATCH($A127,_xlfn.ANCHORARRAY( $W$5), 0))
)</f>
        <v>0.75367100753558658</v>
      </c>
      <c r="H127" s="17" cm="1">
        <f t="array" ref="H127">MMULT(
    MMULT(
        INDEX($X$5:$AM$77, MATCH(H$100,_xlfn.ANCHORARRAY( $W$5), 0), 0),
        $F$5:$U$20
    ),
    TRANSPOSE(
        INDEX($X$5:$AM$77, MATCH($A127,_xlfn.ANCHORARRAY( $W$5), 0), 0)
    )
)
/
(
    INDEX($AN$5:$AN$77, MATCH(H$100,_xlfn.ANCHORARRAY( $W$5), 0))
    *
    INDEX($AN$5:$AN$77, MATCH($A127,_xlfn.ANCHORARRAY( $W$5), 0))
)</f>
        <v>0.78248701528139386</v>
      </c>
      <c r="I127" s="17" cm="1">
        <f t="array" ref="I127">MMULT(
    MMULT(
        INDEX($X$5:$AM$77, MATCH(I$100,_xlfn.ANCHORARRAY( $W$5), 0), 0),
        $F$5:$U$20
    ),
    TRANSPOSE(
        INDEX($X$5:$AM$77, MATCH($A127,_xlfn.ANCHORARRAY( $W$5), 0), 0)
    )
)
/
(
    INDEX($AN$5:$AN$77, MATCH(I$100,_xlfn.ANCHORARRAY( $W$5), 0))
    *
    INDEX($AN$5:$AN$77, MATCH($A127,_xlfn.ANCHORARRAY( $W$5), 0))
)</f>
        <v>0.84834624153427196</v>
      </c>
      <c r="J127" s="17" cm="1">
        <f t="array" ref="J127">MMULT(
    MMULT(
        INDEX($X$5:$AM$77, MATCH(J$100,_xlfn.ANCHORARRAY( $W$5), 0), 0),
        $F$5:$U$20
    ),
    TRANSPOSE(
        INDEX($X$5:$AM$77, MATCH($A127,_xlfn.ANCHORARRAY( $W$5), 0), 0)
    )
)
/
(
    INDEX($AN$5:$AN$77, MATCH(J$100,_xlfn.ANCHORARRAY( $W$5), 0))
    *
    INDEX($AN$5:$AN$77, MATCH($A127,_xlfn.ANCHORARRAY( $W$5), 0))
)</f>
        <v>0.94524901710819476</v>
      </c>
      <c r="K127" s="17" cm="1">
        <f t="array" ref="K127">MMULT(
    MMULT(
        INDEX($X$5:$AM$77, MATCH(K$100,_xlfn.ANCHORARRAY( $W$5), 0), 0),
        $F$5:$U$20
    ),
    TRANSPOSE(
        INDEX($X$5:$AM$77, MATCH($A127,_xlfn.ANCHORARRAY( $W$5), 0), 0)
    )
)
/
(
    INDEX($AN$5:$AN$77, MATCH(K$100,_xlfn.ANCHORARRAY( $W$5), 0))
    *
    INDEX($AN$5:$AN$77, MATCH($A127,_xlfn.ANCHORARRAY( $W$5), 0))
)</f>
        <v>0.96879526686493023</v>
      </c>
      <c r="L127" s="17" cm="1">
        <f t="array" ref="L127">MMULT(
    MMULT(
        INDEX($X$5:$AM$77, MATCH(L$100,_xlfn.ANCHORARRAY( $W$5), 0), 0),
        $F$5:$U$20
    ),
    TRANSPOSE(
        INDEX($X$5:$AM$77, MATCH($A127,_xlfn.ANCHORARRAY( $W$5), 0), 0)
    )
)
/
(
    INDEX($AN$5:$AN$77, MATCH(L$100,_xlfn.ANCHORARRAY( $W$5), 0))
    *
    INDEX($AN$5:$AN$77, MATCH($A127,_xlfn.ANCHORARRAY( $W$5), 0))
)</f>
        <v>0.77298089744324461</v>
      </c>
      <c r="M127" s="17" cm="1">
        <f t="array" ref="M127">MMULT(
    MMULT(
        INDEX($X$5:$AM$77, MATCH(M$100,_xlfn.ANCHORARRAY( $W$5), 0), 0),
        $F$5:$U$20
    ),
    TRANSPOSE(
        INDEX($X$5:$AM$77, MATCH($A127,_xlfn.ANCHORARRAY( $W$5), 0), 0)
    )
)
/
(
    INDEX($AN$5:$AN$77, MATCH(M$100,_xlfn.ANCHORARRAY( $W$5), 0))
    *
    INDEX($AN$5:$AN$77, MATCH($A127,_xlfn.ANCHORARRAY( $W$5), 0))
)</f>
        <v>0.89049878265896121</v>
      </c>
      <c r="N127" s="17" cm="1">
        <f t="array" ref="N127">MMULT(
    MMULT(
        INDEX($X$5:$AM$77, MATCH(N$100,_xlfn.ANCHORARRAY( $W$5), 0), 0),
        $F$5:$U$20
    ),
    TRANSPOSE(
        INDEX($X$5:$AM$77, MATCH($A127,_xlfn.ANCHORARRAY( $W$5), 0), 0)
    )
)
/
(
    INDEX($AN$5:$AN$77, MATCH(N$100,_xlfn.ANCHORARRAY( $W$5), 0))
    *
    INDEX($AN$5:$AN$77, MATCH($A127,_xlfn.ANCHORARRAY( $W$5), 0))
)</f>
        <v>0.87196977623568406</v>
      </c>
      <c r="O127" s="17" cm="1">
        <f t="array" ref="O127">MMULT(
    MMULT(
        INDEX($X$5:$AM$77, MATCH(O$100,_xlfn.ANCHORARRAY( $W$5), 0), 0),
        $F$5:$U$20
    ),
    TRANSPOSE(
        INDEX($X$5:$AM$77, MATCH($A127,_xlfn.ANCHORARRAY( $W$5), 0), 0)
    )
)
/
(
    INDEX($AN$5:$AN$77, MATCH(O$100,_xlfn.ANCHORARRAY( $W$5), 0))
    *
    INDEX($AN$5:$AN$77, MATCH($A127,_xlfn.ANCHORARRAY( $W$5), 0))
)</f>
        <v>0.86500847496209921</v>
      </c>
      <c r="P127" s="17" cm="1">
        <f t="array" ref="P127">MMULT(
    MMULT(
        INDEX($X$5:$AM$77, MATCH(P$100,_xlfn.ANCHORARRAY( $W$5), 0), 0),
        $F$5:$U$20
    ),
    TRANSPOSE(
        INDEX($X$5:$AM$77, MATCH($A127,_xlfn.ANCHORARRAY( $W$5), 0), 0)
    )
)
/
(
    INDEX($AN$5:$AN$77, MATCH(P$100,_xlfn.ANCHORARRAY( $W$5), 0))
    *
    INDEX($AN$5:$AN$77, MATCH($A127,_xlfn.ANCHORARRAY( $W$5), 0))
)</f>
        <v>0.93558875696649613</v>
      </c>
      <c r="Q127" s="17" cm="1">
        <f t="array" ref="Q127">MMULT(
    MMULT(
        INDEX($X$5:$AM$77, MATCH(Q$100,_xlfn.ANCHORARRAY( $W$5), 0), 0),
        $F$5:$U$20
    ),
    TRANSPOSE(
        INDEX($X$5:$AM$77, MATCH($A127,_xlfn.ANCHORARRAY( $W$5), 0), 0)
    )
)
/
(
    INDEX($AN$5:$AN$77, MATCH(Q$100,_xlfn.ANCHORARRAY( $W$5), 0))
    *
    INDEX($AN$5:$AN$77, MATCH($A127,_xlfn.ANCHORARRAY( $W$5), 0))
)</f>
        <v>0.76278089369416691</v>
      </c>
      <c r="R127" s="17" cm="1">
        <f t="array" ref="R127">MMULT(
    MMULT(
        INDEX($X$5:$AM$77, MATCH(R$100,_xlfn.ANCHORARRAY( $W$5), 0), 0),
        $F$5:$U$20
    ),
    TRANSPOSE(
        INDEX($X$5:$AM$77, MATCH($A127,_xlfn.ANCHORARRAY( $W$5), 0), 0)
    )
)
/
(
    INDEX($AN$5:$AN$77, MATCH(R$100,_xlfn.ANCHORARRAY( $W$5), 0))
    *
    INDEX($AN$5:$AN$77, MATCH($A127,_xlfn.ANCHORARRAY( $W$5), 0))
)</f>
        <v>0.89813727416372402</v>
      </c>
      <c r="S127" s="17" cm="1">
        <f t="array" ref="S127">MMULT(
    MMULT(
        INDEX($X$5:$AM$77, MATCH(S$100,_xlfn.ANCHORARRAY( $W$5), 0), 0),
        $F$5:$U$20
    ),
    TRANSPOSE(
        INDEX($X$5:$AM$77, MATCH($A127,_xlfn.ANCHORARRAY( $W$5), 0), 0)
    )
)
/
(
    INDEX($AN$5:$AN$77, MATCH(S$100,_xlfn.ANCHORARRAY( $W$5), 0))
    *
    INDEX($AN$5:$AN$77, MATCH($A127,_xlfn.ANCHORARRAY( $W$5), 0))
)</f>
        <v>0.84511618383297327</v>
      </c>
      <c r="T127" s="17" cm="1">
        <f t="array" ref="T127">MMULT(
    MMULT(
        INDEX($X$5:$AM$77, MATCH(T$100,_xlfn.ANCHORARRAY( $W$5), 0), 0),
        $F$5:$U$20
    ),
    TRANSPOSE(
        INDEX($X$5:$AM$77, MATCH($A127,_xlfn.ANCHORARRAY( $W$5), 0), 0)
    )
)
/
(
    INDEX($AN$5:$AN$77, MATCH(T$100,_xlfn.ANCHORARRAY( $W$5), 0))
    *
    INDEX($AN$5:$AN$77, MATCH($A127,_xlfn.ANCHORARRAY( $W$5), 0))
)</f>
        <v>0.43961309881018046</v>
      </c>
      <c r="U127" s="17" cm="1">
        <f t="array" ref="U127">MMULT(
    MMULT(
        INDEX($X$5:$AM$77, MATCH(U$100,_xlfn.ANCHORARRAY( $W$5), 0), 0),
        $F$5:$U$20
    ),
    TRANSPOSE(
        INDEX($X$5:$AM$77, MATCH($A127,_xlfn.ANCHORARRAY( $W$5), 0), 0)
    )
)
/
(
    INDEX($AN$5:$AN$77, MATCH(U$100,_xlfn.ANCHORARRAY( $W$5), 0))
    *
    INDEX($AN$5:$AN$77, MATCH($A127,_xlfn.ANCHORARRAY( $W$5), 0))
)</f>
        <v>0.93827549196858584</v>
      </c>
      <c r="V127" s="17" cm="1">
        <f t="array" ref="V127">MMULT(
    MMULT(
        INDEX($X$5:$AM$77, MATCH(V$100,_xlfn.ANCHORARRAY( $W$5), 0), 0),
        $F$5:$U$20
    ),
    TRANSPOSE(
        INDEX($X$5:$AM$77, MATCH($A127,_xlfn.ANCHORARRAY( $W$5), 0), 0)
    )
)
/
(
    INDEX($AN$5:$AN$77, MATCH(V$100,_xlfn.ANCHORARRAY( $W$5), 0))
    *
    INDEX($AN$5:$AN$77, MATCH($A127,_xlfn.ANCHORARRAY( $W$5), 0))
)</f>
        <v>0.69304140010702697</v>
      </c>
      <c r="W127" s="17" cm="1">
        <f t="array" ref="W127">MMULT(
    MMULT(
        INDEX($X$5:$AM$77, MATCH(W$100,_xlfn.ANCHORARRAY( $W$5), 0), 0),
        $F$5:$U$20
    ),
    TRANSPOSE(
        INDEX($X$5:$AM$77, MATCH($A127,_xlfn.ANCHORARRAY( $W$5), 0), 0)
    )
)
/
(
    INDEX($AN$5:$AN$77, MATCH(W$100,_xlfn.ANCHORARRAY( $W$5), 0))
    *
    INDEX($AN$5:$AN$77, MATCH($A127,_xlfn.ANCHORARRAY( $W$5), 0))
)</f>
        <v>0.71143559976801096</v>
      </c>
      <c r="X127" s="17" cm="1">
        <f t="array" ref="X127">MMULT(
    MMULT(
        INDEX($X$5:$AM$77, MATCH(X$100,_xlfn.ANCHORARRAY( $W$5), 0), 0),
        $F$5:$U$20
    ),
    TRANSPOSE(
        INDEX($X$5:$AM$77, MATCH($A127,_xlfn.ANCHORARRAY( $W$5), 0), 0)
    )
)
/
(
    INDEX($AN$5:$AN$77, MATCH(X$100,_xlfn.ANCHORARRAY( $W$5), 0))
    *
    INDEX($AN$5:$AN$77, MATCH($A127,_xlfn.ANCHORARRAY( $W$5), 0))
)</f>
        <v>0.91274889889631328</v>
      </c>
      <c r="Y127" s="17" cm="1">
        <f t="array" ref="Y127">MMULT(
    MMULT(
        INDEX($X$5:$AM$77, MATCH(Y$100,_xlfn.ANCHORARRAY( $W$5), 0), 0),
        $F$5:$U$20
    ),
    TRANSPOSE(
        INDEX($X$5:$AM$77, MATCH($A127,_xlfn.ANCHORARRAY( $W$5), 0), 0)
    )
)
/
(
    INDEX($AN$5:$AN$77, MATCH(Y$100,_xlfn.ANCHORARRAY( $W$5), 0))
    *
    INDEX($AN$5:$AN$77, MATCH($A127,_xlfn.ANCHORARRAY( $W$5), 0))
)</f>
        <v>0.79983460287471164</v>
      </c>
      <c r="Z127" s="17" cm="1">
        <f t="array" ref="Z127">MMULT(
    MMULT(
        INDEX($X$5:$AM$77, MATCH(Z$100,_xlfn.ANCHORARRAY( $W$5), 0), 0),
        $F$5:$U$20
    ),
    TRANSPOSE(
        INDEX($X$5:$AM$77, MATCH($A127,_xlfn.ANCHORARRAY( $W$5), 0), 0)
    )
)
/
(
    INDEX($AN$5:$AN$77, MATCH(Z$100,_xlfn.ANCHORARRAY( $W$5), 0))
    *
    INDEX($AN$5:$AN$77, MATCH($A127,_xlfn.ANCHORARRAY( $W$5), 0))
)</f>
        <v>0.92429231630905939</v>
      </c>
      <c r="AA127" s="17" cm="1">
        <f t="array" ref="AA127">MMULT(
    MMULT(
        INDEX($X$5:$AM$77, MATCH(AA$100,_xlfn.ANCHORARRAY( $W$5), 0), 0),
        $F$5:$U$20
    ),
    TRANSPOSE(
        INDEX($X$5:$AM$77, MATCH($A127,_xlfn.ANCHORARRAY( $W$5), 0), 0)
    )
)
/
(
    INDEX($AN$5:$AN$77, MATCH(AA$100,_xlfn.ANCHORARRAY( $W$5), 0))
    *
    INDEX($AN$5:$AN$77, MATCH($A127,_xlfn.ANCHORARRAY( $W$5), 0))
)</f>
        <v>0.91597645230375646</v>
      </c>
      <c r="AB127" s="17" cm="1">
        <f t="array" ref="AB127">MMULT(
    MMULT(
        INDEX($X$5:$AM$77, MATCH(AB$100,_xlfn.ANCHORARRAY( $W$5), 0), 0),
        $F$5:$U$20
    ),
    TRANSPOSE(
        INDEX($X$5:$AM$77, MATCH($A127,_xlfn.ANCHORARRAY( $W$5), 0), 0)
    )
)
/
(
    INDEX($AN$5:$AN$77, MATCH(AB$100,_xlfn.ANCHORARRAY( $W$5), 0))
    *
    INDEX($AN$5:$AN$77, MATCH($A127,_xlfn.ANCHORARRAY( $W$5), 0))
)</f>
        <v>0.99999999999999978</v>
      </c>
      <c r="AC127" s="17" cm="1">
        <f t="array" ref="AC127">MMULT(
    MMULT(
        INDEX($X$5:$AM$77, MATCH(AC$100,_xlfn.ANCHORARRAY( $W$5), 0), 0),
        $F$5:$U$20
    ),
    TRANSPOSE(
        INDEX($X$5:$AM$77, MATCH($A127,_xlfn.ANCHORARRAY( $W$5), 0), 0)
    )
)
/
(
    INDEX($AN$5:$AN$77, MATCH(AC$100,_xlfn.ANCHORARRAY( $W$5), 0))
    *
    INDEX($AN$5:$AN$77, MATCH($A127,_xlfn.ANCHORARRAY( $W$5), 0))
)</f>
        <v>0.88653277860305535</v>
      </c>
      <c r="AD127" s="17" cm="1">
        <f t="array" ref="AD127">MMULT(
    MMULT(
        INDEX($X$5:$AM$77, MATCH(AD$100,_xlfn.ANCHORARRAY( $W$5), 0), 0),
        $F$5:$U$20
    ),
    TRANSPOSE(
        INDEX($X$5:$AM$77, MATCH($A127,_xlfn.ANCHORARRAY( $W$5), 0), 0)
    )
)
/
(
    INDEX($AN$5:$AN$77, MATCH(AD$100,_xlfn.ANCHORARRAY( $W$5), 0))
    *
    INDEX($AN$5:$AN$77, MATCH($A127,_xlfn.ANCHORARRAY( $W$5), 0))
)</f>
        <v>0.91600005769640747</v>
      </c>
      <c r="AE127" s="17" cm="1">
        <f t="array" ref="AE127">MMULT(
    MMULT(
        INDEX($X$5:$AM$77, MATCH(AE$100,_xlfn.ANCHORARRAY( $W$5), 0), 0),
        $F$5:$U$20
    ),
    TRANSPOSE(
        INDEX($X$5:$AM$77, MATCH($A127,_xlfn.ANCHORARRAY( $W$5), 0), 0)
    )
)
/
(
    INDEX($AN$5:$AN$77, MATCH(AE$100,_xlfn.ANCHORARRAY( $W$5), 0))
    *
    INDEX($AN$5:$AN$77, MATCH($A127,_xlfn.ANCHORARRAY( $W$5), 0))
)</f>
        <v>0.84696417418663272</v>
      </c>
      <c r="AF127" s="17" cm="1">
        <f t="array" ref="AF127">MMULT(
    MMULT(
        INDEX($X$5:$AM$77, MATCH(AF$100,_xlfn.ANCHORARRAY( $W$5), 0), 0),
        $F$5:$U$20
    ),
    TRANSPOSE(
        INDEX($X$5:$AM$77, MATCH($A127,_xlfn.ANCHORARRAY( $W$5), 0), 0)
    )
)
/
(
    INDEX($AN$5:$AN$77, MATCH(AF$100,_xlfn.ANCHORARRAY( $W$5), 0))
    *
    INDEX($AN$5:$AN$77, MATCH($A127,_xlfn.ANCHORARRAY( $W$5), 0))
)</f>
        <v>0.87957719584449501</v>
      </c>
      <c r="AG127" s="17" cm="1">
        <f t="array" ref="AG127">MMULT(
    MMULT(
        INDEX($X$5:$AM$77, MATCH(AG$100,_xlfn.ANCHORARRAY( $W$5), 0), 0),
        $F$5:$U$20
    ),
    TRANSPOSE(
        INDEX($X$5:$AM$77, MATCH($A127,_xlfn.ANCHORARRAY( $W$5), 0), 0)
    )
)
/
(
    INDEX($AN$5:$AN$77, MATCH(AG$100,_xlfn.ANCHORARRAY( $W$5), 0))
    *
    INDEX($AN$5:$AN$77, MATCH($A127,_xlfn.ANCHORARRAY( $W$5), 0))
)</f>
        <v>0.86578654176286252</v>
      </c>
      <c r="AH127" s="17" cm="1">
        <f t="array" ref="AH127">MMULT(
    MMULT(
        INDEX($X$5:$AM$77, MATCH(AH$100,_xlfn.ANCHORARRAY( $W$5), 0), 0),
        $F$5:$U$20
    ),
    TRANSPOSE(
        INDEX($X$5:$AM$77, MATCH($A127,_xlfn.ANCHORARRAY( $W$5), 0), 0)
    )
)
/
(
    INDEX($AN$5:$AN$77, MATCH(AH$100,_xlfn.ANCHORARRAY( $W$5), 0))
    *
    INDEX($AN$5:$AN$77, MATCH($A127,_xlfn.ANCHORARRAY( $W$5), 0))
)</f>
        <v>0.67051554417253068</v>
      </c>
      <c r="AI127" s="17" cm="1">
        <f t="array" ref="AI127">MMULT(
    MMULT(
        INDEX($X$5:$AM$77, MATCH(AI$100,_xlfn.ANCHORARRAY( $W$5), 0), 0),
        $F$5:$U$20
    ),
    TRANSPOSE(
        INDEX($X$5:$AM$77, MATCH($A127,_xlfn.ANCHORARRAY( $W$5), 0), 0)
    )
)
/
(
    INDEX($AN$5:$AN$77, MATCH(AI$100,_xlfn.ANCHORARRAY( $W$5), 0))
    *
    INDEX($AN$5:$AN$77, MATCH($A127,_xlfn.ANCHORARRAY( $W$5), 0))
)</f>
        <v>0.90771973147409102</v>
      </c>
      <c r="AJ127" s="17" cm="1">
        <f t="array" ref="AJ127">MMULT(
    MMULT(
        INDEX($X$5:$AM$77, MATCH(AJ$100,_xlfn.ANCHORARRAY( $W$5), 0), 0),
        $F$5:$U$20
    ),
    TRANSPOSE(
        INDEX($X$5:$AM$77, MATCH($A127,_xlfn.ANCHORARRAY( $W$5), 0), 0)
    )
)
/
(
    INDEX($AN$5:$AN$77, MATCH(AJ$100,_xlfn.ANCHORARRAY( $W$5), 0))
    *
    INDEX($AN$5:$AN$77, MATCH($A127,_xlfn.ANCHORARRAY( $W$5), 0))
)</f>
        <v>0.92835407021573135</v>
      </c>
      <c r="AK127" s="17" cm="1">
        <f t="array" ref="AK127">MMULT(
    MMULT(
        INDEX($X$5:$AM$77, MATCH(AK$100,_xlfn.ANCHORARRAY( $W$5), 0), 0),
        $F$5:$U$20
    ),
    TRANSPOSE(
        INDEX($X$5:$AM$77, MATCH($A127,_xlfn.ANCHORARRAY( $W$5), 0), 0)
    )
)
/
(
    INDEX($AN$5:$AN$77, MATCH(AK$100,_xlfn.ANCHORARRAY( $W$5), 0))
    *
    INDEX($AN$5:$AN$77, MATCH($A127,_xlfn.ANCHORARRAY( $W$5), 0))
)</f>
        <v>0.91899015145462282</v>
      </c>
      <c r="AL127" s="17" cm="1">
        <f t="array" ref="AL127">MMULT(
    MMULT(
        INDEX($X$5:$AM$77, MATCH(AL$100,_xlfn.ANCHORARRAY( $W$5), 0), 0),
        $F$5:$U$20
    ),
    TRANSPOSE(
        INDEX($X$5:$AM$77, MATCH($A127,_xlfn.ANCHORARRAY( $W$5), 0), 0)
    )
)
/
(
    INDEX($AN$5:$AN$77, MATCH(AL$100,_xlfn.ANCHORARRAY( $W$5), 0))
    *
    INDEX($AN$5:$AN$77, MATCH($A127,_xlfn.ANCHORARRAY( $W$5), 0))
)</f>
        <v>0.87281934903847103</v>
      </c>
      <c r="AM127" s="17" cm="1">
        <f t="array" ref="AM127">MMULT(
    MMULT(
        INDEX($X$5:$AM$77, MATCH(AM$100,_xlfn.ANCHORARRAY( $W$5), 0), 0),
        $F$5:$U$20
    ),
    TRANSPOSE(
        INDEX($X$5:$AM$77, MATCH($A127,_xlfn.ANCHORARRAY( $W$5), 0), 0)
    )
)
/
(
    INDEX($AN$5:$AN$77, MATCH(AM$100,_xlfn.ANCHORARRAY( $W$5), 0))
    *
    INDEX($AN$5:$AN$77, MATCH($A127,_xlfn.ANCHORARRAY( $W$5), 0))
)</f>
        <v>0.8551713492856039</v>
      </c>
      <c r="AN127" s="17" cm="1">
        <f t="array" ref="AN127">MMULT(
    MMULT(
        INDEX($X$5:$AM$77, MATCH(AN$100,_xlfn.ANCHORARRAY( $W$5), 0), 0),
        $F$5:$U$20
    ),
    TRANSPOSE(
        INDEX($X$5:$AM$77, MATCH($A127,_xlfn.ANCHORARRAY( $W$5), 0), 0)
    )
)
/
(
    INDEX($AN$5:$AN$77, MATCH(AN$100,_xlfn.ANCHORARRAY( $W$5), 0))
    *
    INDEX($AN$5:$AN$77, MATCH($A127,_xlfn.ANCHORARRAY( $W$5), 0))
)</f>
        <v>0.75465381359563077</v>
      </c>
      <c r="AO127" s="17" cm="1">
        <f t="array" ref="AO127">MMULT(
    MMULT(
        INDEX($X$5:$AM$77, MATCH(AO$100,_xlfn.ANCHORARRAY( $W$5), 0), 0),
        $F$5:$U$20
    ),
    TRANSPOSE(
        INDEX($X$5:$AM$77, MATCH($A127,_xlfn.ANCHORARRAY( $W$5), 0), 0)
    )
)
/
(
    INDEX($AN$5:$AN$77, MATCH(AO$100,_xlfn.ANCHORARRAY( $W$5), 0))
    *
    INDEX($AN$5:$AN$77, MATCH($A127,_xlfn.ANCHORARRAY( $W$5), 0))
)</f>
        <v>0.77630088034978284</v>
      </c>
      <c r="AP127" s="17" cm="1">
        <f t="array" ref="AP127">MMULT(
    MMULT(
        INDEX($X$5:$AM$77, MATCH(AP$100,_xlfn.ANCHORARRAY( $W$5), 0), 0),
        $F$5:$U$20
    ),
    TRANSPOSE(
        INDEX($X$5:$AM$77, MATCH($A127,_xlfn.ANCHORARRAY( $W$5), 0), 0)
    )
)
/
(
    INDEX($AN$5:$AN$77, MATCH(AP$100,_xlfn.ANCHORARRAY( $W$5), 0))
    *
    INDEX($AN$5:$AN$77, MATCH($A127,_xlfn.ANCHORARRAY( $W$5), 0))
)</f>
        <v>0.79678217275130059</v>
      </c>
      <c r="AQ127" s="17" cm="1">
        <f t="array" ref="AQ127">MMULT(
    MMULT(
        INDEX($X$5:$AM$77, MATCH(AQ$100,_xlfn.ANCHORARRAY( $W$5), 0), 0),
        $F$5:$U$20
    ),
    TRANSPOSE(
        INDEX($X$5:$AM$77, MATCH($A127,_xlfn.ANCHORARRAY( $W$5), 0), 0)
    )
)
/
(
    INDEX($AN$5:$AN$77, MATCH(AQ$100,_xlfn.ANCHORARRAY( $W$5), 0))
    *
    INDEX($AN$5:$AN$77, MATCH($A127,_xlfn.ANCHORARRAY( $W$5), 0))
)</f>
        <v>0.76861058808642113</v>
      </c>
      <c r="AR127" s="17" cm="1">
        <f t="array" ref="AR127">MMULT(
    MMULT(
        INDEX($X$5:$AM$77, MATCH(AR$100,_xlfn.ANCHORARRAY( $W$5), 0), 0),
        $F$5:$U$20
    ),
    TRANSPOSE(
        INDEX($X$5:$AM$77, MATCH($A127,_xlfn.ANCHORARRAY( $W$5), 0), 0)
    )
)
/
(
    INDEX($AN$5:$AN$77, MATCH(AR$100,_xlfn.ANCHORARRAY( $W$5), 0))
    *
    INDEX($AN$5:$AN$77, MATCH($A127,_xlfn.ANCHORARRAY( $W$5), 0))
)</f>
        <v>0.92993189022161049</v>
      </c>
      <c r="AS127" s="17" cm="1">
        <f t="array" ref="AS127">MMULT(
    MMULT(
        INDEX($X$5:$AM$77, MATCH(AS$100,_xlfn.ANCHORARRAY( $W$5), 0), 0),
        $F$5:$U$20
    ),
    TRANSPOSE(
        INDEX($X$5:$AM$77, MATCH($A127,_xlfn.ANCHORARRAY( $W$5), 0), 0)
    )
)
/
(
    INDEX($AN$5:$AN$77, MATCH(AS$100,_xlfn.ANCHORARRAY( $W$5), 0))
    *
    INDEX($AN$5:$AN$77, MATCH($A127,_xlfn.ANCHORARRAY( $W$5), 0))
)</f>
        <v>0.90885915586646471</v>
      </c>
      <c r="AT127" s="17" cm="1">
        <f t="array" ref="AT127">MMULT(
    MMULT(
        INDEX($X$5:$AM$77, MATCH(AT$100,_xlfn.ANCHORARRAY( $W$5), 0), 0),
        $F$5:$U$20
    ),
    TRANSPOSE(
        INDEX($X$5:$AM$77, MATCH($A127,_xlfn.ANCHORARRAY( $W$5), 0), 0)
    )
)
/
(
    INDEX($AN$5:$AN$77, MATCH(AT$100,_xlfn.ANCHORARRAY( $W$5), 0))
    *
    INDEX($AN$5:$AN$77, MATCH($A127,_xlfn.ANCHORARRAY( $W$5), 0))
)</f>
        <v>0.83741305311118674</v>
      </c>
      <c r="AU127" s="17" cm="1">
        <f t="array" ref="AU127">MMULT(
    MMULT(
        INDEX($X$5:$AM$77, MATCH(AU$100,_xlfn.ANCHORARRAY( $W$5), 0), 0),
        $F$5:$U$20
    ),
    TRANSPOSE(
        INDEX($X$5:$AM$77, MATCH($A127,_xlfn.ANCHORARRAY( $W$5), 0), 0)
    )
)
/
(
    INDEX($AN$5:$AN$77, MATCH(AU$100,_xlfn.ANCHORARRAY( $W$5), 0))
    *
    INDEX($AN$5:$AN$77, MATCH($A127,_xlfn.ANCHORARRAY( $W$5), 0))
)</f>
        <v>0.91983186220120294</v>
      </c>
      <c r="AV127" s="17" cm="1">
        <f t="array" ref="AV127">MMULT(
    MMULT(
        INDEX($X$5:$AM$77, MATCH(AV$100,_xlfn.ANCHORARRAY( $W$5), 0), 0),
        $F$5:$U$20
    ),
    TRANSPOSE(
        INDEX($X$5:$AM$77, MATCH($A127,_xlfn.ANCHORARRAY( $W$5), 0), 0)
    )
)
/
(
    INDEX($AN$5:$AN$77, MATCH(AV$100,_xlfn.ANCHORARRAY( $W$5), 0))
    *
    INDEX($AN$5:$AN$77, MATCH($A127,_xlfn.ANCHORARRAY( $W$5), 0))
)</f>
        <v>0.9322267852417111</v>
      </c>
      <c r="AW127" s="17" cm="1">
        <f t="array" ref="AW127">MMULT(
    MMULT(
        INDEX($X$5:$AM$77, MATCH(AW$100,_xlfn.ANCHORARRAY( $W$5), 0), 0),
        $F$5:$U$20
    ),
    TRANSPOSE(
        INDEX($X$5:$AM$77, MATCH($A127,_xlfn.ANCHORARRAY( $W$5), 0), 0)
    )
)
/
(
    INDEX($AN$5:$AN$77, MATCH(AW$100,_xlfn.ANCHORARRAY( $W$5), 0))
    *
    INDEX($AN$5:$AN$77, MATCH($A127,_xlfn.ANCHORARRAY( $W$5), 0))
)</f>
        <v>0.84708311135818637</v>
      </c>
      <c r="AX127" s="17" cm="1">
        <f t="array" ref="AX127">MMULT(
    MMULT(
        INDEX($X$5:$AM$77, MATCH(AX$100,_xlfn.ANCHORARRAY( $W$5), 0), 0),
        $F$5:$U$20
    ),
    TRANSPOSE(
        INDEX($X$5:$AM$77, MATCH($A127,_xlfn.ANCHORARRAY( $W$5), 0), 0)
    )
)
/
(
    INDEX($AN$5:$AN$77, MATCH(AX$100,_xlfn.ANCHORARRAY( $W$5), 0))
    *
    INDEX($AN$5:$AN$77, MATCH($A127,_xlfn.ANCHORARRAY( $W$5), 0))
)</f>
        <v>0.61331992387551193</v>
      </c>
      <c r="AY127" s="17" cm="1">
        <f t="array" ref="AY127">MMULT(
    MMULT(
        INDEX($X$5:$AM$77, MATCH(AY$100,_xlfn.ANCHORARRAY( $W$5), 0), 0),
        $F$5:$U$20
    ),
    TRANSPOSE(
        INDEX($X$5:$AM$77, MATCH($A127,_xlfn.ANCHORARRAY( $W$5), 0), 0)
    )
)
/
(
    INDEX($AN$5:$AN$77, MATCH(AY$100,_xlfn.ANCHORARRAY( $W$5), 0))
    *
    INDEX($AN$5:$AN$77, MATCH($A127,_xlfn.ANCHORARRAY( $W$5), 0))
)</f>
        <v>0.65222083416042786</v>
      </c>
      <c r="AZ127" s="17" cm="1">
        <f t="array" ref="AZ127">MMULT(
    MMULT(
        INDEX($X$5:$AM$77, MATCH(AZ$100,_xlfn.ANCHORARRAY( $W$5), 0), 0),
        $F$5:$U$20
    ),
    TRANSPOSE(
        INDEX($X$5:$AM$77, MATCH($A127,_xlfn.ANCHORARRAY( $W$5), 0), 0)
    )
)
/
(
    INDEX($AN$5:$AN$77, MATCH(AZ$100,_xlfn.ANCHORARRAY( $W$5), 0))
    *
    INDEX($AN$5:$AN$77, MATCH($A127,_xlfn.ANCHORARRAY( $W$5), 0))
)</f>
        <v>0.91528123203212663</v>
      </c>
      <c r="BA127" s="17" cm="1">
        <f t="array" ref="BA127">MMULT(
    MMULT(
        INDEX($X$5:$AM$77, MATCH(BA$100,_xlfn.ANCHORARRAY( $W$5), 0), 0),
        $F$5:$U$20
    ),
    TRANSPOSE(
        INDEX($X$5:$AM$77, MATCH($A127,_xlfn.ANCHORARRAY( $W$5), 0), 0)
    )
)
/
(
    INDEX($AN$5:$AN$77, MATCH(BA$100,_xlfn.ANCHORARRAY( $W$5), 0))
    *
    INDEX($AN$5:$AN$77, MATCH($A127,_xlfn.ANCHORARRAY( $W$5), 0))
)</f>
        <v>0.93276663013424788</v>
      </c>
      <c r="BB127" s="17" cm="1">
        <f t="array" ref="BB127">MMULT(
    MMULT(
        INDEX($X$5:$AM$77, MATCH(BB$100,_xlfn.ANCHORARRAY( $W$5), 0), 0),
        $F$5:$U$20
    ),
    TRANSPOSE(
        INDEX($X$5:$AM$77, MATCH($A127,_xlfn.ANCHORARRAY( $W$5), 0), 0)
    )
)
/
(
    INDEX($AN$5:$AN$77, MATCH(BB$100,_xlfn.ANCHORARRAY( $W$5), 0))
    *
    INDEX($AN$5:$AN$77, MATCH($A127,_xlfn.ANCHORARRAY( $W$5), 0))
)</f>
        <v>0.91522287679954073</v>
      </c>
      <c r="BC127" s="17" cm="1">
        <f t="array" ref="BC127">MMULT(
    MMULT(
        INDEX($X$5:$AM$77, MATCH(BC$100,_xlfn.ANCHORARRAY( $W$5), 0), 0),
        $F$5:$U$20
    ),
    TRANSPOSE(
        INDEX($X$5:$AM$77, MATCH($A127,_xlfn.ANCHORARRAY( $W$5), 0), 0)
    )
)
/
(
    INDEX($AN$5:$AN$77, MATCH(BC$100,_xlfn.ANCHORARRAY( $W$5), 0))
    *
    INDEX($AN$5:$AN$77, MATCH($A127,_xlfn.ANCHORARRAY( $W$5), 0))
)</f>
        <v>0.843960955214483</v>
      </c>
      <c r="BD127" s="17" cm="1">
        <f t="array" ref="BD127">MMULT(
    MMULT(
        INDEX($X$5:$AM$77, MATCH(BD$100,_xlfn.ANCHORARRAY( $W$5), 0), 0),
        $F$5:$U$20
    ),
    TRANSPOSE(
        INDEX($X$5:$AM$77, MATCH($A127,_xlfn.ANCHORARRAY( $W$5), 0), 0)
    )
)
/
(
    INDEX($AN$5:$AN$77, MATCH(BD$100,_xlfn.ANCHORARRAY( $W$5), 0))
    *
    INDEX($AN$5:$AN$77, MATCH($A127,_xlfn.ANCHORARRAY( $W$5), 0))
)</f>
        <v>0.68189874658324812</v>
      </c>
      <c r="BE127" s="17" cm="1">
        <f t="array" ref="BE127">MMULT(
    MMULT(
        INDEX($X$5:$AM$77, MATCH(BE$100,_xlfn.ANCHORARRAY( $W$5), 0), 0),
        $F$5:$U$20
    ),
    TRANSPOSE(
        INDEX($X$5:$AM$77, MATCH($A127,_xlfn.ANCHORARRAY( $W$5), 0), 0)
    )
)
/
(
    INDEX($AN$5:$AN$77, MATCH(BE$100,_xlfn.ANCHORARRAY( $W$5), 0))
    *
    INDEX($AN$5:$AN$77, MATCH($A127,_xlfn.ANCHORARRAY( $W$5), 0))
)</f>
        <v>0.84951231482984202</v>
      </c>
      <c r="BF127" s="17" cm="1">
        <f t="array" ref="BF127">MMULT(
    MMULT(
        INDEX($X$5:$AM$77, MATCH(BF$100,_xlfn.ANCHORARRAY( $W$5), 0), 0),
        $F$5:$U$20
    ),
    TRANSPOSE(
        INDEX($X$5:$AM$77, MATCH($A127,_xlfn.ANCHORARRAY( $W$5), 0), 0)
    )
)
/
(
    INDEX($AN$5:$AN$77, MATCH(BF$100,_xlfn.ANCHORARRAY( $W$5), 0))
    *
    INDEX($AN$5:$AN$77, MATCH($A127,_xlfn.ANCHORARRAY( $W$5), 0))
)</f>
        <v>0.89841562213935067</v>
      </c>
      <c r="BG127" s="17" cm="1">
        <f t="array" ref="BG127">MMULT(
    MMULT(
        INDEX($X$5:$AM$77, MATCH(BG$100,_xlfn.ANCHORARRAY( $W$5), 0), 0),
        $F$5:$U$20
    ),
    TRANSPOSE(
        INDEX($X$5:$AM$77, MATCH($A127,_xlfn.ANCHORARRAY( $W$5), 0), 0)
    )
)
/
(
    INDEX($AN$5:$AN$77, MATCH(BG$100,_xlfn.ANCHORARRAY( $W$5), 0))
    *
    INDEX($AN$5:$AN$77, MATCH($A127,_xlfn.ANCHORARRAY( $W$5), 0))
)</f>
        <v>0.92872962351376409</v>
      </c>
      <c r="BH127" s="17" cm="1">
        <f t="array" ref="BH127">MMULT(
    MMULT(
        INDEX($X$5:$AM$77, MATCH(BH$100,_xlfn.ANCHORARRAY( $W$5), 0), 0),
        $F$5:$U$20
    ),
    TRANSPOSE(
        INDEX($X$5:$AM$77, MATCH($A127,_xlfn.ANCHORARRAY( $W$5), 0), 0)
    )
)
/
(
    INDEX($AN$5:$AN$77, MATCH(BH$100,_xlfn.ANCHORARRAY( $W$5), 0))
    *
    INDEX($AN$5:$AN$77, MATCH($A127,_xlfn.ANCHORARRAY( $W$5), 0))
)</f>
        <v>0.78168179072164512</v>
      </c>
      <c r="BI127" s="17" cm="1">
        <f t="array" ref="BI127">MMULT(
    MMULT(
        INDEX($X$5:$AM$77, MATCH(BI$100,_xlfn.ANCHORARRAY( $W$5), 0), 0),
        $F$5:$U$20
    ),
    TRANSPOSE(
        INDEX($X$5:$AM$77, MATCH($A127,_xlfn.ANCHORARRAY( $W$5), 0), 0)
    )
)
/
(
    INDEX($AN$5:$AN$77, MATCH(BI$100,_xlfn.ANCHORARRAY( $W$5), 0))
    *
    INDEX($AN$5:$AN$77, MATCH($A127,_xlfn.ANCHORARRAY( $W$5), 0))
)</f>
        <v>0.7684916966941614</v>
      </c>
      <c r="BJ127" s="17" cm="1">
        <f t="array" ref="BJ127">MMULT(
    MMULT(
        INDEX($X$5:$AM$77, MATCH(BJ$100,_xlfn.ANCHORARRAY( $W$5), 0), 0),
        $F$5:$U$20
    ),
    TRANSPOSE(
        INDEX($X$5:$AM$77, MATCH($A127,_xlfn.ANCHORARRAY( $W$5), 0), 0)
    )
)
/
(
    INDEX($AN$5:$AN$77, MATCH(BJ$100,_xlfn.ANCHORARRAY( $W$5), 0))
    *
    INDEX($AN$5:$AN$77, MATCH($A127,_xlfn.ANCHORARRAY( $W$5), 0))
)</f>
        <v>0.84388295149369108</v>
      </c>
      <c r="BK127" s="17" cm="1">
        <f t="array" ref="BK127">MMULT(
    MMULT(
        INDEX($X$5:$AM$77, MATCH(BK$100,_xlfn.ANCHORARRAY( $W$5), 0), 0),
        $F$5:$U$20
    ),
    TRANSPOSE(
        INDEX($X$5:$AM$77, MATCH($A127,_xlfn.ANCHORARRAY( $W$5), 0), 0)
    )
)
/
(
    INDEX($AN$5:$AN$77, MATCH(BK$100,_xlfn.ANCHORARRAY( $W$5), 0))
    *
    INDEX($AN$5:$AN$77, MATCH($A127,_xlfn.ANCHORARRAY( $W$5), 0))
)</f>
        <v>0.68100697516231534</v>
      </c>
      <c r="BL127" s="17" cm="1">
        <f t="array" ref="BL127">MMULT(
    MMULT(
        INDEX($X$5:$AM$77, MATCH(BL$100,_xlfn.ANCHORARRAY( $W$5), 0), 0),
        $F$5:$U$20
    ),
    TRANSPOSE(
        INDEX($X$5:$AM$77, MATCH($A127,_xlfn.ANCHORARRAY( $W$5), 0), 0)
    )
)
/
(
    INDEX($AN$5:$AN$77, MATCH(BL$100,_xlfn.ANCHORARRAY( $W$5), 0))
    *
    INDEX($AN$5:$AN$77, MATCH($A127,_xlfn.ANCHORARRAY( $W$5), 0))
)</f>
        <v>0.65533841244964297</v>
      </c>
      <c r="BM127" s="17" cm="1">
        <f t="array" ref="BM127">MMULT(
    MMULT(
        INDEX($X$5:$AM$77, MATCH(BM$100,_xlfn.ANCHORARRAY( $W$5), 0), 0),
        $F$5:$U$20
    ),
    TRANSPOSE(
        INDEX($X$5:$AM$77, MATCH($A127,_xlfn.ANCHORARRAY( $W$5), 0), 0)
    )
)
/
(
    INDEX($AN$5:$AN$77, MATCH(BM$100,_xlfn.ANCHORARRAY( $W$5), 0))
    *
    INDEX($AN$5:$AN$77, MATCH($A127,_xlfn.ANCHORARRAY( $W$5), 0))
)</f>
        <v>0.75363342642572395</v>
      </c>
      <c r="BN127" s="17" cm="1">
        <f t="array" ref="BN127">MMULT(
    MMULT(
        INDEX($X$5:$AM$77, MATCH(BN$100,_xlfn.ANCHORARRAY( $W$5), 0), 0),
        $F$5:$U$20
    ),
    TRANSPOSE(
        INDEX($X$5:$AM$77, MATCH($A127,_xlfn.ANCHORARRAY( $W$5), 0), 0)
    )
)
/
(
    INDEX($AN$5:$AN$77, MATCH(BN$100,_xlfn.ANCHORARRAY( $W$5), 0))
    *
    INDEX($AN$5:$AN$77, MATCH($A127,_xlfn.ANCHORARRAY( $W$5), 0))
)</f>
        <v>0.85075403980328435</v>
      </c>
      <c r="BO127" s="17" cm="1">
        <f t="array" ref="BO127">MMULT(
    MMULT(
        INDEX($X$5:$AM$77, MATCH(BO$100,_xlfn.ANCHORARRAY( $W$5), 0), 0),
        $F$5:$U$20
    ),
    TRANSPOSE(
        INDEX($X$5:$AM$77, MATCH($A127,_xlfn.ANCHORARRAY( $W$5), 0), 0)
    )
)
/
(
    INDEX($AN$5:$AN$77, MATCH(BO$100,_xlfn.ANCHORARRAY( $W$5), 0))
    *
    INDEX($AN$5:$AN$77, MATCH($A127,_xlfn.ANCHORARRAY( $W$5), 0))
)</f>
        <v>0.90003526950429902</v>
      </c>
      <c r="BP127" s="17" cm="1">
        <f t="array" ref="BP127">MMULT(
    MMULT(
        INDEX($X$5:$AM$77, MATCH(BP$100,_xlfn.ANCHORARRAY( $W$5), 0), 0),
        $F$5:$U$20
    ),
    TRANSPOSE(
        INDEX($X$5:$AM$77, MATCH($A127,_xlfn.ANCHORARRAY( $W$5), 0), 0)
    )
)
/
(
    INDEX($AN$5:$AN$77, MATCH(BP$100,_xlfn.ANCHORARRAY( $W$5), 0))
    *
    INDEX($AN$5:$AN$77, MATCH($A127,_xlfn.ANCHORARRAY( $W$5), 0))
)</f>
        <v>0.86659024059132317</v>
      </c>
      <c r="BQ127" s="17" cm="1">
        <f t="array" ref="BQ127">MMULT(
    MMULT(
        INDEX($X$5:$AM$77, MATCH(BQ$100,_xlfn.ANCHORARRAY( $W$5), 0), 0),
        $F$5:$U$20
    ),
    TRANSPOSE(
        INDEX($X$5:$AM$77, MATCH($A127,_xlfn.ANCHORARRAY( $W$5), 0), 0)
    )
)
/
(
    INDEX($AN$5:$AN$77, MATCH(BQ$100,_xlfn.ANCHORARRAY( $W$5), 0))
    *
    INDEX($AN$5:$AN$77, MATCH($A127,_xlfn.ANCHORARRAY( $W$5), 0))
)</f>
        <v>0.75281343091409703</v>
      </c>
      <c r="BR127" s="17" cm="1">
        <f t="array" ref="BR127">MMULT(
    MMULT(
        INDEX($X$5:$AM$77, MATCH(BR$100,_xlfn.ANCHORARRAY( $W$5), 0), 0),
        $F$5:$U$20
    ),
    TRANSPOSE(
        INDEX($X$5:$AM$77, MATCH($A127,_xlfn.ANCHORARRAY( $W$5), 0), 0)
    )
)
/
(
    INDEX($AN$5:$AN$77, MATCH(BR$100,_xlfn.ANCHORARRAY( $W$5), 0))
    *
    INDEX($AN$5:$AN$77, MATCH($A127,_xlfn.ANCHORARRAY( $W$5), 0))
)</f>
        <v>0.92977853718771242</v>
      </c>
      <c r="BS127" s="17" cm="1">
        <f t="array" ref="BS127">MMULT(
    MMULT(
        INDEX($X$5:$AM$77, MATCH(BS$100,_xlfn.ANCHORARRAY( $W$5), 0), 0),
        $F$5:$U$20
    ),
    TRANSPOSE(
        INDEX($X$5:$AM$77, MATCH($A127,_xlfn.ANCHORARRAY( $W$5), 0), 0)
    )
)
/
(
    INDEX($AN$5:$AN$77, MATCH(BS$100,_xlfn.ANCHORARRAY( $W$5), 0))
    *
    INDEX($AN$5:$AN$77, MATCH($A127,_xlfn.ANCHORARRAY( $W$5), 0))
)</f>
        <v>0.88311416925815889</v>
      </c>
      <c r="BT127" s="17" cm="1">
        <f t="array" ref="BT127">MMULT(
    MMULT(
        INDEX($X$5:$AM$77, MATCH(BT$100,_xlfn.ANCHORARRAY( $W$5), 0), 0),
        $F$5:$U$20
    ),
    TRANSPOSE(
        INDEX($X$5:$AM$77, MATCH($A127,_xlfn.ANCHORARRAY( $W$5), 0), 0)
    )
)
/
(
    INDEX($AN$5:$AN$77, MATCH(BT$100,_xlfn.ANCHORARRAY( $W$5), 0))
    *
    INDEX($AN$5:$AN$77, MATCH($A127,_xlfn.ANCHORARRAY( $W$5), 0))
)</f>
        <v>0.91121394374848641</v>
      </c>
      <c r="BU127" s="17" cm="1">
        <f t="array" ref="BU127">MMULT(
    MMULT(
        INDEX($X$5:$AM$77, MATCH(BU$100,_xlfn.ANCHORARRAY( $W$5), 0), 0),
        $F$5:$U$20
    ),
    TRANSPOSE(
        INDEX($X$5:$AM$77, MATCH($A127,_xlfn.ANCHORARRAY( $W$5), 0), 0)
    )
)
/
(
    INDEX($AN$5:$AN$77, MATCH(BU$100,_xlfn.ANCHORARRAY( $W$5), 0))
    *
    INDEX($AN$5:$AN$77, MATCH($A127,_xlfn.ANCHORARRAY( $W$5), 0))
)</f>
        <v>0.79409984189187077</v>
      </c>
      <c r="BV127" s="17" cm="1">
        <f t="array" ref="BV127">MMULT(
    MMULT(
        INDEX($X$5:$AM$77, MATCH(BV$100,_xlfn.ANCHORARRAY( $W$5), 0), 0),
        $F$5:$U$20
    ),
    TRANSPOSE(
        INDEX($X$5:$AM$77, MATCH($A127,_xlfn.ANCHORARRAY( $W$5), 0), 0)
    )
)
/
(
    INDEX($AN$5:$AN$77, MATCH(BV$100,_xlfn.ANCHORARRAY( $W$5), 0))
    *
    INDEX($AN$5:$AN$77, MATCH($A127,_xlfn.ANCHORARRAY( $W$5), 0))
)</f>
        <v>0.77633867244487786</v>
      </c>
    </row>
    <row r="128" spans="1:74" x14ac:dyDescent="0.3">
      <c r="A128" s="7" t="str">
        <v>Bummer, Aaron</v>
      </c>
      <c r="B128" s="17" cm="1">
        <f t="array" ref="B128">MMULT(
    MMULT(
        INDEX($X$5:$AM$77, MATCH(B$100,_xlfn.ANCHORARRAY( $W$5), 0), 0),
        $F$5:$U$20
    ),
    TRANSPOSE(
        INDEX($X$5:$AM$77, MATCH($A128,_xlfn.ANCHORARRAY( $W$5), 0), 0)
    )
)
/
(
    INDEX($AN$5:$AN$77, MATCH(B$100,_xlfn.ANCHORARRAY( $W$5), 0))
    *
    INDEX($AN$5:$AN$77, MATCH($A128,_xlfn.ANCHORARRAY( $W$5), 0))
)</f>
        <v>0.86207341824437134</v>
      </c>
      <c r="C128" s="17" cm="1">
        <f t="array" ref="C128">MMULT(
    MMULT(
        INDEX($X$5:$AM$77, MATCH(C$100,_xlfn.ANCHORARRAY( $W$5), 0), 0),
        $F$5:$U$20
    ),
    TRANSPOSE(
        INDEX($X$5:$AM$77, MATCH($A128,_xlfn.ANCHORARRAY( $W$5), 0), 0)
    )
)
/
(
    INDEX($AN$5:$AN$77, MATCH(C$100,_xlfn.ANCHORARRAY( $W$5), 0))
    *
    INDEX($AN$5:$AN$77, MATCH($A128,_xlfn.ANCHORARRAY( $W$5), 0))
)</f>
        <v>0.75677740421873052</v>
      </c>
      <c r="D128" s="17" cm="1">
        <f t="array" ref="D128">MMULT(
    MMULT(
        INDEX($X$5:$AM$77, MATCH(D$100,_xlfn.ANCHORARRAY( $W$5), 0), 0),
        $F$5:$U$20
    ),
    TRANSPOSE(
        INDEX($X$5:$AM$77, MATCH($A128,_xlfn.ANCHORARRAY( $W$5), 0), 0)
    )
)
/
(
    INDEX($AN$5:$AN$77, MATCH(D$100,_xlfn.ANCHORARRAY( $W$5), 0))
    *
    INDEX($AN$5:$AN$77, MATCH($A128,_xlfn.ANCHORARRAY( $W$5), 0))
)</f>
        <v>0.75829171223805258</v>
      </c>
      <c r="E128" s="17" cm="1">
        <f t="array" ref="E128">MMULT(
    MMULT(
        INDEX($X$5:$AM$77, MATCH(E$100,_xlfn.ANCHORARRAY( $W$5), 0), 0),
        $F$5:$U$20
    ),
    TRANSPOSE(
        INDEX($X$5:$AM$77, MATCH($A128,_xlfn.ANCHORARRAY( $W$5), 0), 0)
    )
)
/
(
    INDEX($AN$5:$AN$77, MATCH(E$100,_xlfn.ANCHORARRAY( $W$5), 0))
    *
    INDEX($AN$5:$AN$77, MATCH($A128,_xlfn.ANCHORARRAY( $W$5), 0))
)</f>
        <v>0.8509899055393535</v>
      </c>
      <c r="F128" s="17" cm="1">
        <f t="array" ref="F128">MMULT(
    MMULT(
        INDEX($X$5:$AM$77, MATCH(F$100,_xlfn.ANCHORARRAY( $W$5), 0), 0),
        $F$5:$U$20
    ),
    TRANSPOSE(
        INDEX($X$5:$AM$77, MATCH($A128,_xlfn.ANCHORARRAY( $W$5), 0), 0)
    )
)
/
(
    INDEX($AN$5:$AN$77, MATCH(F$100,_xlfn.ANCHORARRAY( $W$5), 0))
    *
    INDEX($AN$5:$AN$77, MATCH($A128,_xlfn.ANCHORARRAY( $W$5), 0))
)</f>
        <v>0.73547135013528264</v>
      </c>
      <c r="G128" s="17" cm="1">
        <f t="array" ref="G128">MMULT(
    MMULT(
        INDEX($X$5:$AM$77, MATCH(G$100,_xlfn.ANCHORARRAY( $W$5), 0), 0),
        $F$5:$U$20
    ),
    TRANSPOSE(
        INDEX($X$5:$AM$77, MATCH($A128,_xlfn.ANCHORARRAY( $W$5), 0), 0)
    )
)
/
(
    INDEX($AN$5:$AN$77, MATCH(G$100,_xlfn.ANCHORARRAY( $W$5), 0))
    *
    INDEX($AN$5:$AN$77, MATCH($A128,_xlfn.ANCHORARRAY( $W$5), 0))
)</f>
        <v>0.62906590437027143</v>
      </c>
      <c r="H128" s="17" cm="1">
        <f t="array" ref="H128">MMULT(
    MMULT(
        INDEX($X$5:$AM$77, MATCH(H$100,_xlfn.ANCHORARRAY( $W$5), 0), 0),
        $F$5:$U$20
    ),
    TRANSPOSE(
        INDEX($X$5:$AM$77, MATCH($A128,_xlfn.ANCHORARRAY( $W$5), 0), 0)
    )
)
/
(
    INDEX($AN$5:$AN$77, MATCH(H$100,_xlfn.ANCHORARRAY( $W$5), 0))
    *
    INDEX($AN$5:$AN$77, MATCH($A128,_xlfn.ANCHORARRAY( $W$5), 0))
)</f>
        <v>0.68127502921345773</v>
      </c>
      <c r="I128" s="17" cm="1">
        <f t="array" ref="I128">MMULT(
    MMULT(
        INDEX($X$5:$AM$77, MATCH(I$100,_xlfn.ANCHORARRAY( $W$5), 0), 0),
        $F$5:$U$20
    ),
    TRANSPOSE(
        INDEX($X$5:$AM$77, MATCH($A128,_xlfn.ANCHORARRAY( $W$5), 0), 0)
    )
)
/
(
    INDEX($AN$5:$AN$77, MATCH(I$100,_xlfn.ANCHORARRAY( $W$5), 0))
    *
    INDEX($AN$5:$AN$77, MATCH($A128,_xlfn.ANCHORARRAY( $W$5), 0))
)</f>
        <v>0.80350486500745488</v>
      </c>
      <c r="J128" s="17" cm="1">
        <f t="array" ref="J128">MMULT(
    MMULT(
        INDEX($X$5:$AM$77, MATCH(J$100,_xlfn.ANCHORARRAY( $W$5), 0), 0),
        $F$5:$U$20
    ),
    TRANSPOSE(
        INDEX($X$5:$AM$77, MATCH($A128,_xlfn.ANCHORARRAY( $W$5), 0), 0)
    )
)
/
(
    INDEX($AN$5:$AN$77, MATCH(J$100,_xlfn.ANCHORARRAY( $W$5), 0))
    *
    INDEX($AN$5:$AN$77, MATCH($A128,_xlfn.ANCHORARRAY( $W$5), 0))
)</f>
        <v>0.83969640063204742</v>
      </c>
      <c r="K128" s="17" cm="1">
        <f t="array" ref="K128">MMULT(
    MMULT(
        INDEX($X$5:$AM$77, MATCH(K$100,_xlfn.ANCHORARRAY( $W$5), 0), 0),
        $F$5:$U$20
    ),
    TRANSPOSE(
        INDEX($X$5:$AM$77, MATCH($A128,_xlfn.ANCHORARRAY( $W$5), 0), 0)
    )
)
/
(
    INDEX($AN$5:$AN$77, MATCH(K$100,_xlfn.ANCHORARRAY( $W$5), 0))
    *
    INDEX($AN$5:$AN$77, MATCH($A128,_xlfn.ANCHORARRAY( $W$5), 0))
)</f>
        <v>0.86016260260711208</v>
      </c>
      <c r="L128" s="17" cm="1">
        <f t="array" ref="L128">MMULT(
    MMULT(
        INDEX($X$5:$AM$77, MATCH(L$100,_xlfn.ANCHORARRAY( $W$5), 0), 0),
        $F$5:$U$20
    ),
    TRANSPOSE(
        INDEX($X$5:$AM$77, MATCH($A128,_xlfn.ANCHORARRAY( $W$5), 0), 0)
    )
)
/
(
    INDEX($AN$5:$AN$77, MATCH(L$100,_xlfn.ANCHORARRAY( $W$5), 0))
    *
    INDEX($AN$5:$AN$77, MATCH($A128,_xlfn.ANCHORARRAY( $W$5), 0))
)</f>
        <v>0.74763771317107608</v>
      </c>
      <c r="M128" s="17" cm="1">
        <f t="array" ref="M128">MMULT(
    MMULT(
        INDEX($X$5:$AM$77, MATCH(M$100,_xlfn.ANCHORARRAY( $W$5), 0), 0),
        $F$5:$U$20
    ),
    TRANSPOSE(
        INDEX($X$5:$AM$77, MATCH($A128,_xlfn.ANCHORARRAY( $W$5), 0), 0)
    )
)
/
(
    INDEX($AN$5:$AN$77, MATCH(M$100,_xlfn.ANCHORARRAY( $W$5), 0))
    *
    INDEX($AN$5:$AN$77, MATCH($A128,_xlfn.ANCHORARRAY( $W$5), 0))
)</f>
        <v>0.71774769361439028</v>
      </c>
      <c r="N128" s="17" cm="1">
        <f t="array" ref="N128">MMULT(
    MMULT(
        INDEX($X$5:$AM$77, MATCH(N$100,_xlfn.ANCHORARRAY( $W$5), 0), 0),
        $F$5:$U$20
    ),
    TRANSPOSE(
        INDEX($X$5:$AM$77, MATCH($A128,_xlfn.ANCHORARRAY( $W$5), 0), 0)
    )
)
/
(
    INDEX($AN$5:$AN$77, MATCH(N$100,_xlfn.ANCHORARRAY( $W$5), 0))
    *
    INDEX($AN$5:$AN$77, MATCH($A128,_xlfn.ANCHORARRAY( $W$5), 0))
)</f>
        <v>0.72096460552528885</v>
      </c>
      <c r="O128" s="17" cm="1">
        <f t="array" ref="O128">MMULT(
    MMULT(
        INDEX($X$5:$AM$77, MATCH(O$100,_xlfn.ANCHORARRAY( $W$5), 0), 0),
        $F$5:$U$20
    ),
    TRANSPOSE(
        INDEX($X$5:$AM$77, MATCH($A128,_xlfn.ANCHORARRAY( $W$5), 0), 0)
    )
)
/
(
    INDEX($AN$5:$AN$77, MATCH(O$100,_xlfn.ANCHORARRAY( $W$5), 0))
    *
    INDEX($AN$5:$AN$77, MATCH($A128,_xlfn.ANCHORARRAY( $W$5), 0))
)</f>
        <v>0.65837768190056756</v>
      </c>
      <c r="P128" s="17" cm="1">
        <f t="array" ref="P128">MMULT(
    MMULT(
        INDEX($X$5:$AM$77, MATCH(P$100,_xlfn.ANCHORARRAY( $W$5), 0), 0),
        $F$5:$U$20
    ),
    TRANSPOSE(
        INDEX($X$5:$AM$77, MATCH($A128,_xlfn.ANCHORARRAY( $W$5), 0), 0)
    )
)
/
(
    INDEX($AN$5:$AN$77, MATCH(P$100,_xlfn.ANCHORARRAY( $W$5), 0))
    *
    INDEX($AN$5:$AN$77, MATCH($A128,_xlfn.ANCHORARRAY( $W$5), 0))
)</f>
        <v>0.81866712110628315</v>
      </c>
      <c r="Q128" s="17" cm="1">
        <f t="array" ref="Q128">MMULT(
    MMULT(
        INDEX($X$5:$AM$77, MATCH(Q$100,_xlfn.ANCHORARRAY( $W$5), 0), 0),
        $F$5:$U$20
    ),
    TRANSPOSE(
        INDEX($X$5:$AM$77, MATCH($A128,_xlfn.ANCHORARRAY( $W$5), 0), 0)
    )
)
/
(
    INDEX($AN$5:$AN$77, MATCH(Q$100,_xlfn.ANCHORARRAY( $W$5), 0))
    *
    INDEX($AN$5:$AN$77, MATCH($A128,_xlfn.ANCHORARRAY( $W$5), 0))
)</f>
        <v>0.75033563387706059</v>
      </c>
      <c r="R128" s="17" cm="1">
        <f t="array" ref="R128">MMULT(
    MMULT(
        INDEX($X$5:$AM$77, MATCH(R$100,_xlfn.ANCHORARRAY( $W$5), 0), 0),
        $F$5:$U$20
    ),
    TRANSPOSE(
        INDEX($X$5:$AM$77, MATCH($A128,_xlfn.ANCHORARRAY( $W$5), 0), 0)
    )
)
/
(
    INDEX($AN$5:$AN$77, MATCH(R$100,_xlfn.ANCHORARRAY( $W$5), 0))
    *
    INDEX($AN$5:$AN$77, MATCH($A128,_xlfn.ANCHORARRAY( $W$5), 0))
)</f>
        <v>0.75369796388907928</v>
      </c>
      <c r="S128" s="17" cm="1">
        <f t="array" ref="S128">MMULT(
    MMULT(
        INDEX($X$5:$AM$77, MATCH(S$100,_xlfn.ANCHORARRAY( $W$5), 0), 0),
        $F$5:$U$20
    ),
    TRANSPOSE(
        INDEX($X$5:$AM$77, MATCH($A128,_xlfn.ANCHORARRAY( $W$5), 0), 0)
    )
)
/
(
    INDEX($AN$5:$AN$77, MATCH(S$100,_xlfn.ANCHORARRAY( $W$5), 0))
    *
    INDEX($AN$5:$AN$77, MATCH($A128,_xlfn.ANCHORARRAY( $W$5), 0))
)</f>
        <v>0.75637971870343335</v>
      </c>
      <c r="T128" s="17" cm="1">
        <f t="array" ref="T128">MMULT(
    MMULT(
        INDEX($X$5:$AM$77, MATCH(T$100,_xlfn.ANCHORARRAY( $W$5), 0), 0),
        $F$5:$U$20
    ),
    TRANSPOSE(
        INDEX($X$5:$AM$77, MATCH($A128,_xlfn.ANCHORARRAY( $W$5), 0), 0)
    )
)
/
(
    INDEX($AN$5:$AN$77, MATCH(T$100,_xlfn.ANCHORARRAY( $W$5), 0))
    *
    INDEX($AN$5:$AN$77, MATCH($A128,_xlfn.ANCHORARRAY( $W$5), 0))
)</f>
        <v>0.52776637290040274</v>
      </c>
      <c r="U128" s="17" cm="1">
        <f t="array" ref="U128">MMULT(
    MMULT(
        INDEX($X$5:$AM$77, MATCH(U$100,_xlfn.ANCHORARRAY( $W$5), 0), 0),
        $F$5:$U$20
    ),
    TRANSPOSE(
        INDEX($X$5:$AM$77, MATCH($A128,_xlfn.ANCHORARRAY( $W$5), 0), 0)
    )
)
/
(
    INDEX($AN$5:$AN$77, MATCH(U$100,_xlfn.ANCHORARRAY( $W$5), 0))
    *
    INDEX($AN$5:$AN$77, MATCH($A128,_xlfn.ANCHORARRAY( $W$5), 0))
)</f>
        <v>0.79136153889120897</v>
      </c>
      <c r="V128" s="17" cm="1">
        <f t="array" ref="V128">MMULT(
    MMULT(
        INDEX($X$5:$AM$77, MATCH(V$100,_xlfn.ANCHORARRAY( $W$5), 0), 0),
        $F$5:$U$20
    ),
    TRANSPOSE(
        INDEX($X$5:$AM$77, MATCH($A128,_xlfn.ANCHORARRAY( $W$5), 0), 0)
    )
)
/
(
    INDEX($AN$5:$AN$77, MATCH(V$100,_xlfn.ANCHORARRAY( $W$5), 0))
    *
    INDEX($AN$5:$AN$77, MATCH($A128,_xlfn.ANCHORARRAY( $W$5), 0))
)</f>
        <v>0.76458943741497076</v>
      </c>
      <c r="W128" s="17" cm="1">
        <f t="array" ref="W128">MMULT(
    MMULT(
        INDEX($X$5:$AM$77, MATCH(W$100,_xlfn.ANCHORARRAY( $W$5), 0), 0),
        $F$5:$U$20
    ),
    TRANSPOSE(
        INDEX($X$5:$AM$77, MATCH($A128,_xlfn.ANCHORARRAY( $W$5), 0), 0)
    )
)
/
(
    INDEX($AN$5:$AN$77, MATCH(W$100,_xlfn.ANCHORARRAY( $W$5), 0))
    *
    INDEX($AN$5:$AN$77, MATCH($A128,_xlfn.ANCHORARRAY( $W$5), 0))
)</f>
        <v>0.81151441827820492</v>
      </c>
      <c r="X128" s="17" cm="1">
        <f t="array" ref="X128">MMULT(
    MMULT(
        INDEX($X$5:$AM$77, MATCH(X$100,_xlfn.ANCHORARRAY( $W$5), 0), 0),
        $F$5:$U$20
    ),
    TRANSPOSE(
        INDEX($X$5:$AM$77, MATCH($A128,_xlfn.ANCHORARRAY( $W$5), 0), 0)
    )
)
/
(
    INDEX($AN$5:$AN$77, MATCH(X$100,_xlfn.ANCHORARRAY( $W$5), 0))
    *
    INDEX($AN$5:$AN$77, MATCH($A128,_xlfn.ANCHORARRAY( $W$5), 0))
)</f>
        <v>0.71879717779746077</v>
      </c>
      <c r="Y128" s="17" cm="1">
        <f t="array" ref="Y128">MMULT(
    MMULT(
        INDEX($X$5:$AM$77, MATCH(Y$100,_xlfn.ANCHORARRAY( $W$5), 0), 0),
        $F$5:$U$20
    ),
    TRANSPOSE(
        INDEX($X$5:$AM$77, MATCH($A128,_xlfn.ANCHORARRAY( $W$5), 0), 0)
    )
)
/
(
    INDEX($AN$5:$AN$77, MATCH(Y$100,_xlfn.ANCHORARRAY( $W$5), 0))
    *
    INDEX($AN$5:$AN$77, MATCH($A128,_xlfn.ANCHORARRAY( $W$5), 0))
)</f>
        <v>0.79334326046922432</v>
      </c>
      <c r="Z128" s="17" cm="1">
        <f t="array" ref="Z128">MMULT(
    MMULT(
        INDEX($X$5:$AM$77, MATCH(Z$100,_xlfn.ANCHORARRAY( $W$5), 0), 0),
        $F$5:$U$20
    ),
    TRANSPOSE(
        INDEX($X$5:$AM$77, MATCH($A128,_xlfn.ANCHORARRAY( $W$5), 0), 0)
    )
)
/
(
    INDEX($AN$5:$AN$77, MATCH(Z$100,_xlfn.ANCHORARRAY( $W$5), 0))
    *
    INDEX($AN$5:$AN$77, MATCH($A128,_xlfn.ANCHORARRAY( $W$5), 0))
)</f>
        <v>0.73721844226401401</v>
      </c>
      <c r="AA128" s="17" cm="1">
        <f t="array" ref="AA128">MMULT(
    MMULT(
        INDEX($X$5:$AM$77, MATCH(AA$100,_xlfn.ANCHORARRAY( $W$5), 0), 0),
        $F$5:$U$20
    ),
    TRANSPOSE(
        INDEX($X$5:$AM$77, MATCH($A128,_xlfn.ANCHORARRAY( $W$5), 0), 0)
    )
)
/
(
    INDEX($AN$5:$AN$77, MATCH(AA$100,_xlfn.ANCHORARRAY( $W$5), 0))
    *
    INDEX($AN$5:$AN$77, MATCH($A128,_xlfn.ANCHORARRAY( $W$5), 0))
)</f>
        <v>0.76171639591940843</v>
      </c>
      <c r="AB128" s="17" cm="1">
        <f t="array" ref="AB128">MMULT(
    MMULT(
        INDEX($X$5:$AM$77, MATCH(AB$100,_xlfn.ANCHORARRAY( $W$5), 0), 0),
        $F$5:$U$20
    ),
    TRANSPOSE(
        INDEX($X$5:$AM$77, MATCH($A128,_xlfn.ANCHORARRAY( $W$5), 0), 0)
    )
)
/
(
    INDEX($AN$5:$AN$77, MATCH(AB$100,_xlfn.ANCHORARRAY( $W$5), 0))
    *
    INDEX($AN$5:$AN$77, MATCH($A128,_xlfn.ANCHORARRAY( $W$5), 0))
)</f>
        <v>0.88653277860305557</v>
      </c>
      <c r="AC128" s="17" cm="1">
        <f t="array" ref="AC128">MMULT(
    MMULT(
        INDEX($X$5:$AM$77, MATCH(AC$100,_xlfn.ANCHORARRAY( $W$5), 0), 0),
        $F$5:$U$20
    ),
    TRANSPOSE(
        INDEX($X$5:$AM$77, MATCH($A128,_xlfn.ANCHORARRAY( $W$5), 0), 0)
    )
)
/
(
    INDEX($AN$5:$AN$77, MATCH(AC$100,_xlfn.ANCHORARRAY( $W$5), 0))
    *
    INDEX($AN$5:$AN$77, MATCH($A128,_xlfn.ANCHORARRAY( $W$5), 0))
)</f>
        <v>1.0000000000000002</v>
      </c>
      <c r="AD128" s="17" cm="1">
        <f t="array" ref="AD128">MMULT(
    MMULT(
        INDEX($X$5:$AM$77, MATCH(AD$100,_xlfn.ANCHORARRAY( $W$5), 0), 0),
        $F$5:$U$20
    ),
    TRANSPOSE(
        INDEX($X$5:$AM$77, MATCH($A128,_xlfn.ANCHORARRAY( $W$5), 0), 0)
    )
)
/
(
    INDEX($AN$5:$AN$77, MATCH(AD$100,_xlfn.ANCHORARRAY( $W$5), 0))
    *
    INDEX($AN$5:$AN$77, MATCH($A128,_xlfn.ANCHORARRAY( $W$5), 0))
)</f>
        <v>0.75214224263985008</v>
      </c>
      <c r="AE128" s="17" cm="1">
        <f t="array" ref="AE128">MMULT(
    MMULT(
        INDEX($X$5:$AM$77, MATCH(AE$100,_xlfn.ANCHORARRAY( $W$5), 0), 0),
        $F$5:$U$20
    ),
    TRANSPOSE(
        INDEX($X$5:$AM$77, MATCH($A128,_xlfn.ANCHORARRAY( $W$5), 0), 0)
    )
)
/
(
    INDEX($AN$5:$AN$77, MATCH(AE$100,_xlfn.ANCHORARRAY( $W$5), 0))
    *
    INDEX($AN$5:$AN$77, MATCH($A128,_xlfn.ANCHORARRAY( $W$5), 0))
)</f>
        <v>0.7102144770421509</v>
      </c>
      <c r="AF128" s="17" cm="1">
        <f t="array" ref="AF128">MMULT(
    MMULT(
        INDEX($X$5:$AM$77, MATCH(AF$100,_xlfn.ANCHORARRAY( $W$5), 0), 0),
        $F$5:$U$20
    ),
    TRANSPOSE(
        INDEX($X$5:$AM$77, MATCH($A128,_xlfn.ANCHORARRAY( $W$5), 0), 0)
    )
)
/
(
    INDEX($AN$5:$AN$77, MATCH(AF$100,_xlfn.ANCHORARRAY( $W$5), 0))
    *
    INDEX($AN$5:$AN$77, MATCH($A128,_xlfn.ANCHORARRAY( $W$5), 0))
)</f>
        <v>0.85139959240958751</v>
      </c>
      <c r="AG128" s="17" cm="1">
        <f t="array" ref="AG128">MMULT(
    MMULT(
        INDEX($X$5:$AM$77, MATCH(AG$100,_xlfn.ANCHORARRAY( $W$5), 0), 0),
        $F$5:$U$20
    ),
    TRANSPOSE(
        INDEX($X$5:$AM$77, MATCH($A128,_xlfn.ANCHORARRAY( $W$5), 0), 0)
    )
)
/
(
    INDEX($AN$5:$AN$77, MATCH(AG$100,_xlfn.ANCHORARRAY( $W$5), 0))
    *
    INDEX($AN$5:$AN$77, MATCH($A128,_xlfn.ANCHORARRAY( $W$5), 0))
)</f>
        <v>0.80737770313633461</v>
      </c>
      <c r="AH128" s="17" cm="1">
        <f t="array" ref="AH128">MMULT(
    MMULT(
        INDEX($X$5:$AM$77, MATCH(AH$100,_xlfn.ANCHORARRAY( $W$5), 0), 0),
        $F$5:$U$20
    ),
    TRANSPOSE(
        INDEX($X$5:$AM$77, MATCH($A128,_xlfn.ANCHORARRAY( $W$5), 0), 0)
    )
)
/
(
    INDEX($AN$5:$AN$77, MATCH(AH$100,_xlfn.ANCHORARRAY( $W$5), 0))
    *
    INDEX($AN$5:$AN$77, MATCH($A128,_xlfn.ANCHORARRAY( $W$5), 0))
)</f>
        <v>0.51840546562362366</v>
      </c>
      <c r="AI128" s="17" cm="1">
        <f t="array" ref="AI128">MMULT(
    MMULT(
        INDEX($X$5:$AM$77, MATCH(AI$100,_xlfn.ANCHORARRAY( $W$5), 0), 0),
        $F$5:$U$20
    ),
    TRANSPOSE(
        INDEX($X$5:$AM$77, MATCH($A128,_xlfn.ANCHORARRAY( $W$5), 0), 0)
    )
)
/
(
    INDEX($AN$5:$AN$77, MATCH(AI$100,_xlfn.ANCHORARRAY( $W$5), 0))
    *
    INDEX($AN$5:$AN$77, MATCH($A128,_xlfn.ANCHORARRAY( $W$5), 0))
)</f>
        <v>0.78735055422845546</v>
      </c>
      <c r="AJ128" s="17" cm="1">
        <f t="array" ref="AJ128">MMULT(
    MMULT(
        INDEX($X$5:$AM$77, MATCH(AJ$100,_xlfn.ANCHORARRAY( $W$5), 0), 0),
        $F$5:$U$20
    ),
    TRANSPOSE(
        INDEX($X$5:$AM$77, MATCH($A128,_xlfn.ANCHORARRAY( $W$5), 0), 0)
    )
)
/
(
    INDEX($AN$5:$AN$77, MATCH(AJ$100,_xlfn.ANCHORARRAY( $W$5), 0))
    *
    INDEX($AN$5:$AN$77, MATCH($A128,_xlfn.ANCHORARRAY( $W$5), 0))
)</f>
        <v>0.79033728343486342</v>
      </c>
      <c r="AK128" s="17" cm="1">
        <f t="array" ref="AK128">MMULT(
    MMULT(
        INDEX($X$5:$AM$77, MATCH(AK$100,_xlfn.ANCHORARRAY( $W$5), 0), 0),
        $F$5:$U$20
    ),
    TRANSPOSE(
        INDEX($X$5:$AM$77, MATCH($A128,_xlfn.ANCHORARRAY( $W$5), 0), 0)
    )
)
/
(
    INDEX($AN$5:$AN$77, MATCH(AK$100,_xlfn.ANCHORARRAY( $W$5), 0))
    *
    INDEX($AN$5:$AN$77, MATCH($A128,_xlfn.ANCHORARRAY( $W$5), 0))
)</f>
        <v>0.81196098279987416</v>
      </c>
      <c r="AL128" s="17" cm="1">
        <f t="array" ref="AL128">MMULT(
    MMULT(
        INDEX($X$5:$AM$77, MATCH(AL$100,_xlfn.ANCHORARRAY( $W$5), 0), 0),
        $F$5:$U$20
    ),
    TRANSPOSE(
        INDEX($X$5:$AM$77, MATCH($A128,_xlfn.ANCHORARRAY( $W$5), 0), 0)
    )
)
/
(
    INDEX($AN$5:$AN$77, MATCH(AL$100,_xlfn.ANCHORARRAY( $W$5), 0))
    *
    INDEX($AN$5:$AN$77, MATCH($A128,_xlfn.ANCHORARRAY( $W$5), 0))
)</f>
        <v>0.69192920313950546</v>
      </c>
      <c r="AM128" s="17" cm="1">
        <f t="array" ref="AM128">MMULT(
    MMULT(
        INDEX($X$5:$AM$77, MATCH(AM$100,_xlfn.ANCHORARRAY( $W$5), 0), 0),
        $F$5:$U$20
    ),
    TRANSPOSE(
        INDEX($X$5:$AM$77, MATCH($A128,_xlfn.ANCHORARRAY( $W$5), 0), 0)
    )
)
/
(
    INDEX($AN$5:$AN$77, MATCH(AM$100,_xlfn.ANCHORARRAY( $W$5), 0))
    *
    INDEX($AN$5:$AN$77, MATCH($A128,_xlfn.ANCHORARRAY( $W$5), 0))
)</f>
        <v>0.9012955312152896</v>
      </c>
      <c r="AN128" s="17" cm="1">
        <f t="array" ref="AN128">MMULT(
    MMULT(
        INDEX($X$5:$AM$77, MATCH(AN$100,_xlfn.ANCHORARRAY( $W$5), 0), 0),
        $F$5:$U$20
    ),
    TRANSPOSE(
        INDEX($X$5:$AM$77, MATCH($A128,_xlfn.ANCHORARRAY( $W$5), 0), 0)
    )
)
/
(
    INDEX($AN$5:$AN$77, MATCH(AN$100,_xlfn.ANCHORARRAY( $W$5), 0))
    *
    INDEX($AN$5:$AN$77, MATCH($A128,_xlfn.ANCHORARRAY( $W$5), 0))
)</f>
        <v>0.58989555749180311</v>
      </c>
      <c r="AO128" s="17" cm="1">
        <f t="array" ref="AO128">MMULT(
    MMULT(
        INDEX($X$5:$AM$77, MATCH(AO$100,_xlfn.ANCHORARRAY( $W$5), 0), 0),
        $F$5:$U$20
    ),
    TRANSPOSE(
        INDEX($X$5:$AM$77, MATCH($A128,_xlfn.ANCHORARRAY( $W$5), 0), 0)
    )
)
/
(
    INDEX($AN$5:$AN$77, MATCH(AO$100,_xlfn.ANCHORARRAY( $W$5), 0))
    *
    INDEX($AN$5:$AN$77, MATCH($A128,_xlfn.ANCHORARRAY( $W$5), 0))
)</f>
        <v>0.74865877629057531</v>
      </c>
      <c r="AP128" s="17" cm="1">
        <f t="array" ref="AP128">MMULT(
    MMULT(
        INDEX($X$5:$AM$77, MATCH(AP$100,_xlfn.ANCHORARRAY( $W$5), 0), 0),
        $F$5:$U$20
    ),
    TRANSPOSE(
        INDEX($X$5:$AM$77, MATCH($A128,_xlfn.ANCHORARRAY( $W$5), 0), 0)
    )
)
/
(
    INDEX($AN$5:$AN$77, MATCH(AP$100,_xlfn.ANCHORARRAY( $W$5), 0))
    *
    INDEX($AN$5:$AN$77, MATCH($A128,_xlfn.ANCHORARRAY( $W$5), 0))
)</f>
        <v>0.71090602585929896</v>
      </c>
      <c r="AQ128" s="17" cm="1">
        <f t="array" ref="AQ128">MMULT(
    MMULT(
        INDEX($X$5:$AM$77, MATCH(AQ$100,_xlfn.ANCHORARRAY( $W$5), 0), 0),
        $F$5:$U$20
    ),
    TRANSPOSE(
        INDEX($X$5:$AM$77, MATCH($A128,_xlfn.ANCHORARRAY( $W$5), 0), 0)
    )
)
/
(
    INDEX($AN$5:$AN$77, MATCH(AQ$100,_xlfn.ANCHORARRAY( $W$5), 0))
    *
    INDEX($AN$5:$AN$77, MATCH($A128,_xlfn.ANCHORARRAY( $W$5), 0))
)</f>
        <v>0.73535137720056043</v>
      </c>
      <c r="AR128" s="17" cm="1">
        <f t="array" ref="AR128">MMULT(
    MMULT(
        INDEX($X$5:$AM$77, MATCH(AR$100,_xlfn.ANCHORARRAY( $W$5), 0), 0),
        $F$5:$U$20
    ),
    TRANSPOSE(
        INDEX($X$5:$AM$77, MATCH($A128,_xlfn.ANCHORARRAY( $W$5), 0), 0)
    )
)
/
(
    INDEX($AN$5:$AN$77, MATCH(AR$100,_xlfn.ANCHORARRAY( $W$5), 0))
    *
    INDEX($AN$5:$AN$77, MATCH($A128,_xlfn.ANCHORARRAY( $W$5), 0))
)</f>
        <v>0.80484862402453206</v>
      </c>
      <c r="AS128" s="17" cm="1">
        <f t="array" ref="AS128">MMULT(
    MMULT(
        INDEX($X$5:$AM$77, MATCH(AS$100,_xlfn.ANCHORARRAY( $W$5), 0), 0),
        $F$5:$U$20
    ),
    TRANSPOSE(
        INDEX($X$5:$AM$77, MATCH($A128,_xlfn.ANCHORARRAY( $W$5), 0), 0)
    )
)
/
(
    INDEX($AN$5:$AN$77, MATCH(AS$100,_xlfn.ANCHORARRAY( $W$5), 0))
    *
    INDEX($AN$5:$AN$77, MATCH($A128,_xlfn.ANCHORARRAY( $W$5), 0))
)</f>
        <v>0.6875475588105342</v>
      </c>
      <c r="AT128" s="17" cm="1">
        <f t="array" ref="AT128">MMULT(
    MMULT(
        INDEX($X$5:$AM$77, MATCH(AT$100,_xlfn.ANCHORARRAY( $W$5), 0), 0),
        $F$5:$U$20
    ),
    TRANSPOSE(
        INDEX($X$5:$AM$77, MATCH($A128,_xlfn.ANCHORARRAY( $W$5), 0), 0)
    )
)
/
(
    INDEX($AN$5:$AN$77, MATCH(AT$100,_xlfn.ANCHORARRAY( $W$5), 0))
    *
    INDEX($AN$5:$AN$77, MATCH($A128,_xlfn.ANCHORARRAY( $W$5), 0))
)</f>
        <v>0.75069528696696697</v>
      </c>
      <c r="AU128" s="17" cm="1">
        <f t="array" ref="AU128">MMULT(
    MMULT(
        INDEX($X$5:$AM$77, MATCH(AU$100,_xlfn.ANCHORARRAY( $W$5), 0), 0),
        $F$5:$U$20
    ),
    TRANSPOSE(
        INDEX($X$5:$AM$77, MATCH($A128,_xlfn.ANCHORARRAY( $W$5), 0), 0)
    )
)
/
(
    INDEX($AN$5:$AN$77, MATCH(AU$100,_xlfn.ANCHORARRAY( $W$5), 0))
    *
    INDEX($AN$5:$AN$77, MATCH($A128,_xlfn.ANCHORARRAY( $W$5), 0))
)</f>
        <v>0.70953885359028523</v>
      </c>
      <c r="AV128" s="17" cm="1">
        <f t="array" ref="AV128">MMULT(
    MMULT(
        INDEX($X$5:$AM$77, MATCH(AV$100,_xlfn.ANCHORARRAY( $W$5), 0), 0),
        $F$5:$U$20
    ),
    TRANSPOSE(
        INDEX($X$5:$AM$77, MATCH($A128,_xlfn.ANCHORARRAY( $W$5), 0), 0)
    )
)
/
(
    INDEX($AN$5:$AN$77, MATCH(AV$100,_xlfn.ANCHORARRAY( $W$5), 0))
    *
    INDEX($AN$5:$AN$77, MATCH($A128,_xlfn.ANCHORARRAY( $W$5), 0))
)</f>
        <v>0.76881243261204157</v>
      </c>
      <c r="AW128" s="17" cm="1">
        <f t="array" ref="AW128">MMULT(
    MMULT(
        INDEX($X$5:$AM$77, MATCH(AW$100,_xlfn.ANCHORARRAY( $W$5), 0), 0),
        $F$5:$U$20
    ),
    TRANSPOSE(
        INDEX($X$5:$AM$77, MATCH($A128,_xlfn.ANCHORARRAY( $W$5), 0), 0)
    )
)
/
(
    INDEX($AN$5:$AN$77, MATCH(AW$100,_xlfn.ANCHORARRAY( $W$5), 0))
    *
    INDEX($AN$5:$AN$77, MATCH($A128,_xlfn.ANCHORARRAY( $W$5), 0))
)</f>
        <v>0.79889249437152576</v>
      </c>
      <c r="AX128" s="17" cm="1">
        <f t="array" ref="AX128">MMULT(
    MMULT(
        INDEX($X$5:$AM$77, MATCH(AX$100,_xlfn.ANCHORARRAY( $W$5), 0), 0),
        $F$5:$U$20
    ),
    TRANSPOSE(
        INDEX($X$5:$AM$77, MATCH($A128,_xlfn.ANCHORARRAY( $W$5), 0), 0)
    )
)
/
(
    INDEX($AN$5:$AN$77, MATCH(AX$100,_xlfn.ANCHORARRAY( $W$5), 0))
    *
    INDEX($AN$5:$AN$77, MATCH($A128,_xlfn.ANCHORARRAY( $W$5), 0))
)</f>
        <v>0.64358737973646751</v>
      </c>
      <c r="AY128" s="17" cm="1">
        <f t="array" ref="AY128">MMULT(
    MMULT(
        INDEX($X$5:$AM$77, MATCH(AY$100,_xlfn.ANCHORARRAY( $W$5), 0), 0),
        $F$5:$U$20
    ),
    TRANSPOSE(
        INDEX($X$5:$AM$77, MATCH($A128,_xlfn.ANCHORARRAY( $W$5), 0), 0)
    )
)
/
(
    INDEX($AN$5:$AN$77, MATCH(AY$100,_xlfn.ANCHORARRAY( $W$5), 0))
    *
    INDEX($AN$5:$AN$77, MATCH($A128,_xlfn.ANCHORARRAY( $W$5), 0))
)</f>
        <v>0.48680441381397754</v>
      </c>
      <c r="AZ128" s="17" cm="1">
        <f t="array" ref="AZ128">MMULT(
    MMULT(
        INDEX($X$5:$AM$77, MATCH(AZ$100,_xlfn.ANCHORARRAY( $W$5), 0), 0),
        $F$5:$U$20
    ),
    TRANSPOSE(
        INDEX($X$5:$AM$77, MATCH($A128,_xlfn.ANCHORARRAY( $W$5), 0), 0)
    )
)
/
(
    INDEX($AN$5:$AN$77, MATCH(AZ$100,_xlfn.ANCHORARRAY( $W$5), 0))
    *
    INDEX($AN$5:$AN$77, MATCH($A128,_xlfn.ANCHORARRAY( $W$5), 0))
)</f>
        <v>0.74169236830429808</v>
      </c>
      <c r="BA128" s="17" cm="1">
        <f t="array" ref="BA128">MMULT(
    MMULT(
        INDEX($X$5:$AM$77, MATCH(BA$100,_xlfn.ANCHORARRAY( $W$5), 0), 0),
        $F$5:$U$20
    ),
    TRANSPOSE(
        INDEX($X$5:$AM$77, MATCH($A128,_xlfn.ANCHORARRAY( $W$5), 0), 0)
    )
)
/
(
    INDEX($AN$5:$AN$77, MATCH(BA$100,_xlfn.ANCHORARRAY( $W$5), 0))
    *
    INDEX($AN$5:$AN$77, MATCH($A128,_xlfn.ANCHORARRAY( $W$5), 0))
)</f>
        <v>0.78317971293423827</v>
      </c>
      <c r="BB128" s="17" cm="1">
        <f t="array" ref="BB128">MMULT(
    MMULT(
        INDEX($X$5:$AM$77, MATCH(BB$100,_xlfn.ANCHORARRAY( $W$5), 0), 0),
        $F$5:$U$20
    ),
    TRANSPOSE(
        INDEX($X$5:$AM$77, MATCH($A128,_xlfn.ANCHORARRAY( $W$5), 0), 0)
    )
)
/
(
    INDEX($AN$5:$AN$77, MATCH(BB$100,_xlfn.ANCHORARRAY( $W$5), 0))
    *
    INDEX($AN$5:$AN$77, MATCH($A128,_xlfn.ANCHORARRAY( $W$5), 0))
)</f>
        <v>0.86665915428918916</v>
      </c>
      <c r="BC128" s="17" cm="1">
        <f t="array" ref="BC128">MMULT(
    MMULT(
        INDEX($X$5:$AM$77, MATCH(BC$100,_xlfn.ANCHORARRAY( $W$5), 0), 0),
        $F$5:$U$20
    ),
    TRANSPOSE(
        INDEX($X$5:$AM$77, MATCH($A128,_xlfn.ANCHORARRAY( $W$5), 0), 0)
    )
)
/
(
    INDEX($AN$5:$AN$77, MATCH(BC$100,_xlfn.ANCHORARRAY( $W$5), 0))
    *
    INDEX($AN$5:$AN$77, MATCH($A128,_xlfn.ANCHORARRAY( $W$5), 0))
)</f>
        <v>0.68741346782454515</v>
      </c>
      <c r="BD128" s="17" cm="1">
        <f t="array" ref="BD128">MMULT(
    MMULT(
        INDEX($X$5:$AM$77, MATCH(BD$100,_xlfn.ANCHORARRAY( $W$5), 0), 0),
        $F$5:$U$20
    ),
    TRANSPOSE(
        INDEX($X$5:$AM$77, MATCH($A128,_xlfn.ANCHORARRAY( $W$5), 0), 0)
    )
)
/
(
    INDEX($AN$5:$AN$77, MATCH(BD$100,_xlfn.ANCHORARRAY( $W$5), 0))
    *
    INDEX($AN$5:$AN$77, MATCH($A128,_xlfn.ANCHORARRAY( $W$5), 0))
)</f>
        <v>0.71490771842347534</v>
      </c>
      <c r="BE128" s="17" cm="1">
        <f t="array" ref="BE128">MMULT(
    MMULT(
        INDEX($X$5:$AM$77, MATCH(BE$100,_xlfn.ANCHORARRAY( $W$5), 0), 0),
        $F$5:$U$20
    ),
    TRANSPOSE(
        INDEX($X$5:$AM$77, MATCH($A128,_xlfn.ANCHORARRAY( $W$5), 0), 0)
    )
)
/
(
    INDEX($AN$5:$AN$77, MATCH(BE$100,_xlfn.ANCHORARRAY( $W$5), 0))
    *
    INDEX($AN$5:$AN$77, MATCH($A128,_xlfn.ANCHORARRAY( $W$5), 0))
)</f>
        <v>0.87862423401185474</v>
      </c>
      <c r="BF128" s="17" cm="1">
        <f t="array" ref="BF128">MMULT(
    MMULT(
        INDEX($X$5:$AM$77, MATCH(BF$100,_xlfn.ANCHORARRAY( $W$5), 0), 0),
        $F$5:$U$20
    ),
    TRANSPOSE(
        INDEX($X$5:$AM$77, MATCH($A128,_xlfn.ANCHORARRAY( $W$5), 0), 0)
    )
)
/
(
    INDEX($AN$5:$AN$77, MATCH(BF$100,_xlfn.ANCHORARRAY( $W$5), 0))
    *
    INDEX($AN$5:$AN$77, MATCH($A128,_xlfn.ANCHORARRAY( $W$5), 0))
)</f>
        <v>0.82032332765590699</v>
      </c>
      <c r="BG128" s="17" cm="1">
        <f t="array" ref="BG128">MMULT(
    MMULT(
        INDEX($X$5:$AM$77, MATCH(BG$100,_xlfn.ANCHORARRAY( $W$5), 0), 0),
        $F$5:$U$20
    ),
    TRANSPOSE(
        INDEX($X$5:$AM$77, MATCH($A128,_xlfn.ANCHORARRAY( $W$5), 0), 0)
    )
)
/
(
    INDEX($AN$5:$AN$77, MATCH(BG$100,_xlfn.ANCHORARRAY( $W$5), 0))
    *
    INDEX($AN$5:$AN$77, MATCH($A128,_xlfn.ANCHORARRAY( $W$5), 0))
)</f>
        <v>0.79128382874780456</v>
      </c>
      <c r="BH128" s="17" cm="1">
        <f t="array" ref="BH128">MMULT(
    MMULT(
        INDEX($X$5:$AM$77, MATCH(BH$100,_xlfn.ANCHORARRAY( $W$5), 0), 0),
        $F$5:$U$20
    ),
    TRANSPOSE(
        INDEX($X$5:$AM$77, MATCH($A128,_xlfn.ANCHORARRAY( $W$5), 0), 0)
    )
)
/
(
    INDEX($AN$5:$AN$77, MATCH(BH$100,_xlfn.ANCHORARRAY( $W$5), 0))
    *
    INDEX($AN$5:$AN$77, MATCH($A128,_xlfn.ANCHORARRAY( $W$5), 0))
)</f>
        <v>0.70841389732905113</v>
      </c>
      <c r="BI128" s="17" cm="1">
        <f t="array" ref="BI128">MMULT(
    MMULT(
        INDEX($X$5:$AM$77, MATCH(BI$100,_xlfn.ANCHORARRAY( $W$5), 0), 0),
        $F$5:$U$20
    ),
    TRANSPOSE(
        INDEX($X$5:$AM$77, MATCH($A128,_xlfn.ANCHORARRAY( $W$5), 0), 0)
    )
)
/
(
    INDEX($AN$5:$AN$77, MATCH(BI$100,_xlfn.ANCHORARRAY( $W$5), 0))
    *
    INDEX($AN$5:$AN$77, MATCH($A128,_xlfn.ANCHORARRAY( $W$5), 0))
)</f>
        <v>0.68494840775713017</v>
      </c>
      <c r="BJ128" s="17" cm="1">
        <f t="array" ref="BJ128">MMULT(
    MMULT(
        INDEX($X$5:$AM$77, MATCH(BJ$100,_xlfn.ANCHORARRAY( $W$5), 0), 0),
        $F$5:$U$20
    ),
    TRANSPOSE(
        INDEX($X$5:$AM$77, MATCH($A128,_xlfn.ANCHORARRAY( $W$5), 0), 0)
    )
)
/
(
    INDEX($AN$5:$AN$77, MATCH(BJ$100,_xlfn.ANCHORARRAY( $W$5), 0))
    *
    INDEX($AN$5:$AN$77, MATCH($A128,_xlfn.ANCHORARRAY( $W$5), 0))
)</f>
        <v>0.71145720197620643</v>
      </c>
      <c r="BK128" s="17" cm="1">
        <f t="array" ref="BK128">MMULT(
    MMULT(
        INDEX($X$5:$AM$77, MATCH(BK$100,_xlfn.ANCHORARRAY( $W$5), 0), 0),
        $F$5:$U$20
    ),
    TRANSPOSE(
        INDEX($X$5:$AM$77, MATCH($A128,_xlfn.ANCHORARRAY( $W$5), 0), 0)
    )
)
/
(
    INDEX($AN$5:$AN$77, MATCH(BK$100,_xlfn.ANCHORARRAY( $W$5), 0))
    *
    INDEX($AN$5:$AN$77, MATCH($A128,_xlfn.ANCHORARRAY( $W$5), 0))
)</f>
        <v>0.69308431596568409</v>
      </c>
      <c r="BL128" s="17" cm="1">
        <f t="array" ref="BL128">MMULT(
    MMULT(
        INDEX($X$5:$AM$77, MATCH(BL$100,_xlfn.ANCHORARRAY( $W$5), 0), 0),
        $F$5:$U$20
    ),
    TRANSPOSE(
        INDEX($X$5:$AM$77, MATCH($A128,_xlfn.ANCHORARRAY( $W$5), 0), 0)
    )
)
/
(
    INDEX($AN$5:$AN$77, MATCH(BL$100,_xlfn.ANCHORARRAY( $W$5), 0))
    *
    INDEX($AN$5:$AN$77, MATCH($A128,_xlfn.ANCHORARRAY( $W$5), 0))
)</f>
        <v>0.51490401606359859</v>
      </c>
      <c r="BM128" s="17" cm="1">
        <f t="array" ref="BM128">MMULT(
    MMULT(
        INDEX($X$5:$AM$77, MATCH(BM$100,_xlfn.ANCHORARRAY( $W$5), 0), 0),
        $F$5:$U$20
    ),
    TRANSPOSE(
        INDEX($X$5:$AM$77, MATCH($A128,_xlfn.ANCHORARRAY( $W$5), 0), 0)
    )
)
/
(
    INDEX($AN$5:$AN$77, MATCH(BM$100,_xlfn.ANCHORARRAY( $W$5), 0))
    *
    INDEX($AN$5:$AN$77, MATCH($A128,_xlfn.ANCHORARRAY( $W$5), 0))
)</f>
        <v>0.83795367304100765</v>
      </c>
      <c r="BN128" s="17" cm="1">
        <f t="array" ref="BN128">MMULT(
    MMULT(
        INDEX($X$5:$AM$77, MATCH(BN$100,_xlfn.ANCHORARRAY( $W$5), 0), 0),
        $F$5:$U$20
    ),
    TRANSPOSE(
        INDEX($X$5:$AM$77, MATCH($A128,_xlfn.ANCHORARRAY( $W$5), 0), 0)
    )
)
/
(
    INDEX($AN$5:$AN$77, MATCH(BN$100,_xlfn.ANCHORARRAY( $W$5), 0))
    *
    INDEX($AN$5:$AN$77, MATCH($A128,_xlfn.ANCHORARRAY( $W$5), 0))
)</f>
        <v>0.85148062551439962</v>
      </c>
      <c r="BO128" s="17" cm="1">
        <f t="array" ref="BO128">MMULT(
    MMULT(
        INDEX($X$5:$AM$77, MATCH(BO$100,_xlfn.ANCHORARRAY( $W$5), 0), 0),
        $F$5:$U$20
    ),
    TRANSPOSE(
        INDEX($X$5:$AM$77, MATCH($A128,_xlfn.ANCHORARRAY( $W$5), 0), 0)
    )
)
/
(
    INDEX($AN$5:$AN$77, MATCH(BO$100,_xlfn.ANCHORARRAY( $W$5), 0))
    *
    INDEX($AN$5:$AN$77, MATCH($A128,_xlfn.ANCHORARRAY( $W$5), 0))
)</f>
        <v>0.70363574764272008</v>
      </c>
      <c r="BP128" s="17" cm="1">
        <f t="array" ref="BP128">MMULT(
    MMULT(
        INDEX($X$5:$AM$77, MATCH(BP$100,_xlfn.ANCHORARRAY( $W$5), 0), 0),
        $F$5:$U$20
    ),
    TRANSPOSE(
        INDEX($X$5:$AM$77, MATCH($A128,_xlfn.ANCHORARRAY( $W$5), 0), 0)
    )
)
/
(
    INDEX($AN$5:$AN$77, MATCH(BP$100,_xlfn.ANCHORARRAY( $W$5), 0))
    *
    INDEX($AN$5:$AN$77, MATCH($A128,_xlfn.ANCHORARRAY( $W$5), 0))
)</f>
        <v>0.85454178606820763</v>
      </c>
      <c r="BQ128" s="17" cm="1">
        <f t="array" ref="BQ128">MMULT(
    MMULT(
        INDEX($X$5:$AM$77, MATCH(BQ$100,_xlfn.ANCHORARRAY( $W$5), 0), 0),
        $F$5:$U$20
    ),
    TRANSPOSE(
        INDEX($X$5:$AM$77, MATCH($A128,_xlfn.ANCHORARRAY( $W$5), 0), 0)
    )
)
/
(
    INDEX($AN$5:$AN$77, MATCH(BQ$100,_xlfn.ANCHORARRAY( $W$5), 0))
    *
    INDEX($AN$5:$AN$77, MATCH($A128,_xlfn.ANCHORARRAY( $W$5), 0))
)</f>
        <v>0.85650475217723265</v>
      </c>
      <c r="BR128" s="17" cm="1">
        <f t="array" ref="BR128">MMULT(
    MMULT(
        INDEX($X$5:$AM$77, MATCH(BR$100,_xlfn.ANCHORARRAY( $W$5), 0), 0),
        $F$5:$U$20
    ),
    TRANSPOSE(
        INDEX($X$5:$AM$77, MATCH($A128,_xlfn.ANCHORARRAY( $W$5), 0), 0)
    )
)
/
(
    INDEX($AN$5:$AN$77, MATCH(BR$100,_xlfn.ANCHORARRAY( $W$5), 0))
    *
    INDEX($AN$5:$AN$77, MATCH($A128,_xlfn.ANCHORARRAY( $W$5), 0))
)</f>
        <v>0.79740295010315831</v>
      </c>
      <c r="BS128" s="17" cm="1">
        <f t="array" ref="BS128">MMULT(
    MMULT(
        INDEX($X$5:$AM$77, MATCH(BS$100,_xlfn.ANCHORARRAY( $W$5), 0), 0),
        $F$5:$U$20
    ),
    TRANSPOSE(
        INDEX($X$5:$AM$77, MATCH($A128,_xlfn.ANCHORARRAY( $W$5), 0), 0)
    )
)
/
(
    INDEX($AN$5:$AN$77, MATCH(BS$100,_xlfn.ANCHORARRAY( $W$5), 0))
    *
    INDEX($AN$5:$AN$77, MATCH($A128,_xlfn.ANCHORARRAY( $W$5), 0))
)</f>
        <v>0.67746554547108651</v>
      </c>
      <c r="BT128" s="17" cm="1">
        <f t="array" ref="BT128">MMULT(
    MMULT(
        INDEX($X$5:$AM$77, MATCH(BT$100,_xlfn.ANCHORARRAY( $W$5), 0), 0),
        $F$5:$U$20
    ),
    TRANSPOSE(
        INDEX($X$5:$AM$77, MATCH($A128,_xlfn.ANCHORARRAY( $W$5), 0), 0)
    )
)
/
(
    INDEX($AN$5:$AN$77, MATCH(BT$100,_xlfn.ANCHORARRAY( $W$5), 0))
    *
    INDEX($AN$5:$AN$77, MATCH($A128,_xlfn.ANCHORARRAY( $W$5), 0))
)</f>
        <v>0.78124835310737306</v>
      </c>
      <c r="BU128" s="17" cm="1">
        <f t="array" ref="BU128">MMULT(
    MMULT(
        INDEX($X$5:$AM$77, MATCH(BU$100,_xlfn.ANCHORARRAY( $W$5), 0), 0),
        $F$5:$U$20
    ),
    TRANSPOSE(
        INDEX($X$5:$AM$77, MATCH($A128,_xlfn.ANCHORARRAY( $W$5), 0), 0)
    )
)
/
(
    INDEX($AN$5:$AN$77, MATCH(BU$100,_xlfn.ANCHORARRAY( $W$5), 0))
    *
    INDEX($AN$5:$AN$77, MATCH($A128,_xlfn.ANCHORARRAY( $W$5), 0))
)</f>
        <v>0.72168771629416495</v>
      </c>
      <c r="BV128" s="17" cm="1">
        <f t="array" ref="BV128">MMULT(
    MMULT(
        INDEX($X$5:$AM$77, MATCH(BV$100,_xlfn.ANCHORARRAY( $W$5), 0), 0),
        $F$5:$U$20
    ),
    TRANSPOSE(
        INDEX($X$5:$AM$77, MATCH($A128,_xlfn.ANCHORARRAY( $W$5), 0), 0)
    )
)
/
(
    INDEX($AN$5:$AN$77, MATCH(BV$100,_xlfn.ANCHORARRAY( $W$5), 0))
    *
    INDEX($AN$5:$AN$77, MATCH($A128,_xlfn.ANCHORARRAY( $W$5), 0))
)</f>
        <v>0.5751073665920442</v>
      </c>
    </row>
    <row r="129" spans="1:74" x14ac:dyDescent="0.3">
      <c r="A129" s="7" t="str">
        <v>Tonkin, Michael</v>
      </c>
      <c r="B129" s="17" cm="1">
        <f t="array" ref="B129">MMULT(
    MMULT(
        INDEX($X$5:$AM$77, MATCH(B$100,_xlfn.ANCHORARRAY( $W$5), 0), 0),
        $F$5:$U$20
    ),
    TRANSPOSE(
        INDEX($X$5:$AM$77, MATCH($A129,_xlfn.ANCHORARRAY( $W$5), 0), 0)
    )
)
/
(
    INDEX($AN$5:$AN$77, MATCH(B$100,_xlfn.ANCHORARRAY( $W$5), 0))
    *
    INDEX($AN$5:$AN$77, MATCH($A129,_xlfn.ANCHORARRAY( $W$5), 0))
)</f>
        <v>0.86235755168411121</v>
      </c>
      <c r="C129" s="17" cm="1">
        <f t="array" ref="C129">MMULT(
    MMULT(
        INDEX($X$5:$AM$77, MATCH(C$100,_xlfn.ANCHORARRAY( $W$5), 0), 0),
        $F$5:$U$20
    ),
    TRANSPOSE(
        INDEX($X$5:$AM$77, MATCH($A129,_xlfn.ANCHORARRAY( $W$5), 0), 0)
    )
)
/
(
    INDEX($AN$5:$AN$77, MATCH(C$100,_xlfn.ANCHORARRAY( $W$5), 0))
    *
    INDEX($AN$5:$AN$77, MATCH($A129,_xlfn.ANCHORARRAY( $W$5), 0))
)</f>
        <v>0.62090309388497777</v>
      </c>
      <c r="D129" s="17" cm="1">
        <f t="array" ref="D129">MMULT(
    MMULT(
        INDEX($X$5:$AM$77, MATCH(D$100,_xlfn.ANCHORARRAY( $W$5), 0), 0),
        $F$5:$U$20
    ),
    TRANSPOSE(
        INDEX($X$5:$AM$77, MATCH($A129,_xlfn.ANCHORARRAY( $W$5), 0), 0)
    )
)
/
(
    INDEX($AN$5:$AN$77, MATCH(D$100,_xlfn.ANCHORARRAY( $W$5), 0))
    *
    INDEX($AN$5:$AN$77, MATCH($A129,_xlfn.ANCHORARRAY( $W$5), 0))
)</f>
        <v>0.99388207418583974</v>
      </c>
      <c r="E129" s="17" cm="1">
        <f t="array" ref="E129">MMULT(
    MMULT(
        INDEX($X$5:$AM$77, MATCH(E$100,_xlfn.ANCHORARRAY( $W$5), 0), 0),
        $F$5:$U$20
    ),
    TRANSPOSE(
        INDEX($X$5:$AM$77, MATCH($A129,_xlfn.ANCHORARRAY( $W$5), 0), 0)
    )
)
/
(
    INDEX($AN$5:$AN$77, MATCH(E$100,_xlfn.ANCHORARRAY( $W$5), 0))
    *
    INDEX($AN$5:$AN$77, MATCH($A129,_xlfn.ANCHORARRAY( $W$5), 0))
)</f>
        <v>0.85524141607211812</v>
      </c>
      <c r="F129" s="17" cm="1">
        <f t="array" ref="F129">MMULT(
    MMULT(
        INDEX($X$5:$AM$77, MATCH(F$100,_xlfn.ANCHORARRAY( $W$5), 0), 0),
        $F$5:$U$20
    ),
    TRANSPOSE(
        INDEX($X$5:$AM$77, MATCH($A129,_xlfn.ANCHORARRAY( $W$5), 0), 0)
    )
)
/
(
    INDEX($AN$5:$AN$77, MATCH(F$100,_xlfn.ANCHORARRAY( $W$5), 0))
    *
    INDEX($AN$5:$AN$77, MATCH($A129,_xlfn.ANCHORARRAY( $W$5), 0))
)</f>
        <v>0.95710121735653608</v>
      </c>
      <c r="G129" s="17" cm="1">
        <f t="array" ref="G129">MMULT(
    MMULT(
        INDEX($X$5:$AM$77, MATCH(G$100,_xlfn.ANCHORARRAY( $W$5), 0), 0),
        $F$5:$U$20
    ),
    TRANSPOSE(
        INDEX($X$5:$AM$77, MATCH($A129,_xlfn.ANCHORARRAY( $W$5), 0), 0)
    )
)
/
(
    INDEX($AN$5:$AN$77, MATCH(G$100,_xlfn.ANCHORARRAY( $W$5), 0))
    *
    INDEX($AN$5:$AN$77, MATCH($A129,_xlfn.ANCHORARRAY( $W$5), 0))
)</f>
        <v>0.66985022956890639</v>
      </c>
      <c r="H129" s="17" cm="1">
        <f t="array" ref="H129">MMULT(
    MMULT(
        INDEX($X$5:$AM$77, MATCH(H$100,_xlfn.ANCHORARRAY( $W$5), 0), 0),
        $F$5:$U$20
    ),
    TRANSPOSE(
        INDEX($X$5:$AM$77, MATCH($A129,_xlfn.ANCHORARRAY( $W$5), 0), 0)
    )
)
/
(
    INDEX($AN$5:$AN$77, MATCH(H$100,_xlfn.ANCHORARRAY( $W$5), 0))
    *
    INDEX($AN$5:$AN$77, MATCH($A129,_xlfn.ANCHORARRAY( $W$5), 0))
)</f>
        <v>0.77490626668414653</v>
      </c>
      <c r="I129" s="17" cm="1">
        <f t="array" ref="I129">MMULT(
    MMULT(
        INDEX($X$5:$AM$77, MATCH(I$100,_xlfn.ANCHORARRAY( $W$5), 0), 0),
        $F$5:$U$20
    ),
    TRANSPOSE(
        INDEX($X$5:$AM$77, MATCH($A129,_xlfn.ANCHORARRAY( $W$5), 0), 0)
    )
)
/
(
    INDEX($AN$5:$AN$77, MATCH(I$100,_xlfn.ANCHORARRAY( $W$5), 0))
    *
    INDEX($AN$5:$AN$77, MATCH($A129,_xlfn.ANCHORARRAY( $W$5), 0))
)</f>
        <v>0.69642847512191985</v>
      </c>
      <c r="J129" s="17" cm="1">
        <f t="array" ref="J129">MMULT(
    MMULT(
        INDEX($X$5:$AM$77, MATCH(J$100,_xlfn.ANCHORARRAY( $W$5), 0), 0),
        $F$5:$U$20
    ),
    TRANSPOSE(
        INDEX($X$5:$AM$77, MATCH($A129,_xlfn.ANCHORARRAY( $W$5), 0), 0)
    )
)
/
(
    INDEX($AN$5:$AN$77, MATCH(J$100,_xlfn.ANCHORARRAY( $W$5), 0))
    *
    INDEX($AN$5:$AN$77, MATCH($A129,_xlfn.ANCHORARRAY( $W$5), 0))
)</f>
        <v>0.89623560403675639</v>
      </c>
      <c r="K129" s="17" cm="1">
        <f t="array" ref="K129">MMULT(
    MMULT(
        INDEX($X$5:$AM$77, MATCH(K$100,_xlfn.ANCHORARRAY( $W$5), 0), 0),
        $F$5:$U$20
    ),
    TRANSPOSE(
        INDEX($X$5:$AM$77, MATCH($A129,_xlfn.ANCHORARRAY( $W$5), 0), 0)
    )
)
/
(
    INDEX($AN$5:$AN$77, MATCH(K$100,_xlfn.ANCHORARRAY( $W$5), 0))
    *
    INDEX($AN$5:$AN$77, MATCH($A129,_xlfn.ANCHORARRAY( $W$5), 0))
)</f>
        <v>0.86455123738454154</v>
      </c>
      <c r="L129" s="17" cm="1">
        <f t="array" ref="L129">MMULT(
    MMULT(
        INDEX($X$5:$AM$77, MATCH(L$100,_xlfn.ANCHORARRAY( $W$5), 0), 0),
        $F$5:$U$20
    ),
    TRANSPOSE(
        INDEX($X$5:$AM$77, MATCH($A129,_xlfn.ANCHORARRAY( $W$5), 0), 0)
    )
)
/
(
    INDEX($AN$5:$AN$77, MATCH(L$100,_xlfn.ANCHORARRAY( $W$5), 0))
    *
    INDEX($AN$5:$AN$77, MATCH($A129,_xlfn.ANCHORARRAY( $W$5), 0))
)</f>
        <v>0.64503735537768125</v>
      </c>
      <c r="M129" s="17" cm="1">
        <f t="array" ref="M129">MMULT(
    MMULT(
        INDEX($X$5:$AM$77, MATCH(M$100,_xlfn.ANCHORARRAY( $W$5), 0), 0),
        $F$5:$U$20
    ),
    TRANSPOSE(
        INDEX($X$5:$AM$77, MATCH($A129,_xlfn.ANCHORARRAY( $W$5), 0), 0)
    )
)
/
(
    INDEX($AN$5:$AN$77, MATCH(M$100,_xlfn.ANCHORARRAY( $W$5), 0))
    *
    INDEX($AN$5:$AN$77, MATCH($A129,_xlfn.ANCHORARRAY( $W$5), 0))
)</f>
        <v>0.80656779586147653</v>
      </c>
      <c r="N129" s="17" cm="1">
        <f t="array" ref="N129">MMULT(
    MMULT(
        INDEX($X$5:$AM$77, MATCH(N$100,_xlfn.ANCHORARRAY( $W$5), 0), 0),
        $F$5:$U$20
    ),
    TRANSPOSE(
        INDEX($X$5:$AM$77, MATCH($A129,_xlfn.ANCHORARRAY( $W$5), 0), 0)
    )
)
/
(
    INDEX($AN$5:$AN$77, MATCH(N$100,_xlfn.ANCHORARRAY( $W$5), 0))
    *
    INDEX($AN$5:$AN$77, MATCH($A129,_xlfn.ANCHORARRAY( $W$5), 0))
)</f>
        <v>0.90618703815486101</v>
      </c>
      <c r="O129" s="17" cm="1">
        <f t="array" ref="O129">MMULT(
    MMULT(
        INDEX($X$5:$AM$77, MATCH(O$100,_xlfn.ANCHORARRAY( $W$5), 0), 0),
        $F$5:$U$20
    ),
    TRANSPOSE(
        INDEX($X$5:$AM$77, MATCH($A129,_xlfn.ANCHORARRAY( $W$5), 0), 0)
    )
)
/
(
    INDEX($AN$5:$AN$77, MATCH(O$100,_xlfn.ANCHORARRAY( $W$5), 0))
    *
    INDEX($AN$5:$AN$77, MATCH($A129,_xlfn.ANCHORARRAY( $W$5), 0))
)</f>
        <v>0.90548539672658213</v>
      </c>
      <c r="P129" s="17" cm="1">
        <f t="array" ref="P129">MMULT(
    MMULT(
        INDEX($X$5:$AM$77, MATCH(P$100,_xlfn.ANCHORARRAY( $W$5), 0), 0),
        $F$5:$U$20
    ),
    TRANSPOSE(
        INDEX($X$5:$AM$77, MATCH($A129,_xlfn.ANCHORARRAY( $W$5), 0), 0)
    )
)
/
(
    INDEX($AN$5:$AN$77, MATCH(P$100,_xlfn.ANCHORARRAY( $W$5), 0))
    *
    INDEX($AN$5:$AN$77, MATCH($A129,_xlfn.ANCHORARRAY( $W$5), 0))
)</f>
        <v>0.93677813448320113</v>
      </c>
      <c r="Q129" s="17" cm="1">
        <f t="array" ref="Q129">MMULT(
    MMULT(
        INDEX($X$5:$AM$77, MATCH(Q$100,_xlfn.ANCHORARRAY( $W$5), 0), 0),
        $F$5:$U$20
    ),
    TRANSPOSE(
        INDEX($X$5:$AM$77, MATCH($A129,_xlfn.ANCHORARRAY( $W$5), 0), 0)
    )
)
/
(
    INDEX($AN$5:$AN$77, MATCH(Q$100,_xlfn.ANCHORARRAY( $W$5), 0))
    *
    INDEX($AN$5:$AN$77, MATCH($A129,_xlfn.ANCHORARRAY( $W$5), 0))
)</f>
        <v>0.68635228766505019</v>
      </c>
      <c r="R129" s="17" cm="1">
        <f t="array" ref="R129">MMULT(
    MMULT(
        INDEX($X$5:$AM$77, MATCH(R$100,_xlfn.ANCHORARRAY( $W$5), 0), 0),
        $F$5:$U$20
    ),
    TRANSPOSE(
        INDEX($X$5:$AM$77, MATCH($A129,_xlfn.ANCHORARRAY( $W$5), 0), 0)
    )
)
/
(
    INDEX($AN$5:$AN$77, MATCH(R$100,_xlfn.ANCHORARRAY( $W$5), 0))
    *
    INDEX($AN$5:$AN$77, MATCH($A129,_xlfn.ANCHORARRAY( $W$5), 0))
)</f>
        <v>0.9744121947936828</v>
      </c>
      <c r="S129" s="17" cm="1">
        <f t="array" ref="S129">MMULT(
    MMULT(
        INDEX($X$5:$AM$77, MATCH(S$100,_xlfn.ANCHORARRAY( $W$5), 0), 0),
        $F$5:$U$20
    ),
    TRANSPOSE(
        INDEX($X$5:$AM$77, MATCH($A129,_xlfn.ANCHORARRAY( $W$5), 0), 0)
    )
)
/
(
    INDEX($AN$5:$AN$77, MATCH(S$100,_xlfn.ANCHORARRAY( $W$5), 0))
    *
    INDEX($AN$5:$AN$77, MATCH($A129,_xlfn.ANCHORARRAY( $W$5), 0))
)</f>
        <v>0.85063560539556293</v>
      </c>
      <c r="T129" s="17" cm="1">
        <f t="array" ref="T129">MMULT(
    MMULT(
        INDEX($X$5:$AM$77, MATCH(T$100,_xlfn.ANCHORARRAY( $W$5), 0), 0),
        $F$5:$U$20
    ),
    TRANSPOSE(
        INDEX($X$5:$AM$77, MATCH($A129,_xlfn.ANCHORARRAY( $W$5), 0), 0)
    )
)
/
(
    INDEX($AN$5:$AN$77, MATCH(T$100,_xlfn.ANCHORARRAY( $W$5), 0))
    *
    INDEX($AN$5:$AN$77, MATCH($A129,_xlfn.ANCHORARRAY( $W$5), 0))
)</f>
        <v>0.29695500227432314</v>
      </c>
      <c r="U129" s="17" cm="1">
        <f t="array" ref="U129">MMULT(
    MMULT(
        INDEX($X$5:$AM$77, MATCH(U$100,_xlfn.ANCHORARRAY( $W$5), 0), 0),
        $F$5:$U$20
    ),
    TRANSPOSE(
        INDEX($X$5:$AM$77, MATCH($A129,_xlfn.ANCHORARRAY( $W$5), 0), 0)
    )
)
/
(
    INDEX($AN$5:$AN$77, MATCH(U$100,_xlfn.ANCHORARRAY( $W$5), 0))
    *
    INDEX($AN$5:$AN$77, MATCH($A129,_xlfn.ANCHORARRAY( $W$5), 0))
)</f>
        <v>0.97904375872022764</v>
      </c>
      <c r="V129" s="17" cm="1">
        <f t="array" ref="V129">MMULT(
    MMULT(
        INDEX($X$5:$AM$77, MATCH(V$100,_xlfn.ANCHORARRAY( $W$5), 0), 0),
        $F$5:$U$20
    ),
    TRANSPOSE(
        INDEX($X$5:$AM$77, MATCH($A129,_xlfn.ANCHORARRAY( $W$5), 0), 0)
    )
)
/
(
    INDEX($AN$5:$AN$77, MATCH(V$100,_xlfn.ANCHORARRAY( $W$5), 0))
    *
    INDEX($AN$5:$AN$77, MATCH($A129,_xlfn.ANCHORARRAY( $W$5), 0))
)</f>
        <v>0.49644855176939551</v>
      </c>
      <c r="W129" s="17" cm="1">
        <f t="array" ref="W129">MMULT(
    MMULT(
        INDEX($X$5:$AM$77, MATCH(W$100,_xlfn.ANCHORARRAY( $W$5), 0), 0),
        $F$5:$U$20
    ),
    TRANSPOSE(
        INDEX($X$5:$AM$77, MATCH($A129,_xlfn.ANCHORARRAY( $W$5), 0), 0)
    )
)
/
(
    INDEX($AN$5:$AN$77, MATCH(W$100,_xlfn.ANCHORARRAY( $W$5), 0))
    *
    INDEX($AN$5:$AN$77, MATCH($A129,_xlfn.ANCHORARRAY( $W$5), 0))
)</f>
        <v>0.70433770976950671</v>
      </c>
      <c r="X129" s="17" cm="1">
        <f t="array" ref="X129">MMULT(
    MMULT(
        INDEX($X$5:$AM$77, MATCH(X$100,_xlfn.ANCHORARRAY( $W$5), 0), 0),
        $F$5:$U$20
    ),
    TRANSPOSE(
        INDEX($X$5:$AM$77, MATCH($A129,_xlfn.ANCHORARRAY( $W$5), 0), 0)
    )
)
/
(
    INDEX($AN$5:$AN$77, MATCH(X$100,_xlfn.ANCHORARRAY( $W$5), 0))
    *
    INDEX($AN$5:$AN$77, MATCH($A129,_xlfn.ANCHORARRAY( $W$5), 0))
)</f>
        <v>0.9654782427235219</v>
      </c>
      <c r="Y129" s="17" cm="1">
        <f t="array" ref="Y129">MMULT(
    MMULT(
        INDEX($X$5:$AM$77, MATCH(Y$100,_xlfn.ANCHORARRAY( $W$5), 0), 0),
        $F$5:$U$20
    ),
    TRANSPOSE(
        INDEX($X$5:$AM$77, MATCH($A129,_xlfn.ANCHORARRAY( $W$5), 0), 0)
    )
)
/
(
    INDEX($AN$5:$AN$77, MATCH(Y$100,_xlfn.ANCHORARRAY( $W$5), 0))
    *
    INDEX($AN$5:$AN$77, MATCH($A129,_xlfn.ANCHORARRAY( $W$5), 0))
)</f>
        <v>0.60853824374905341</v>
      </c>
      <c r="Z129" s="17" cm="1">
        <f t="array" ref="Z129">MMULT(
    MMULT(
        INDEX($X$5:$AM$77, MATCH(Z$100,_xlfn.ANCHORARRAY( $W$5), 0), 0),
        $F$5:$U$20
    ),
    TRANSPOSE(
        INDEX($X$5:$AM$77, MATCH($A129,_xlfn.ANCHORARRAY( $W$5), 0), 0)
    )
)
/
(
    INDEX($AN$5:$AN$77, MATCH(Z$100,_xlfn.ANCHORARRAY( $W$5), 0))
    *
    INDEX($AN$5:$AN$77, MATCH($A129,_xlfn.ANCHORARRAY( $W$5), 0))
)</f>
        <v>0.99236778440226547</v>
      </c>
      <c r="AA129" s="17" cm="1">
        <f t="array" ref="AA129">MMULT(
    MMULT(
        INDEX($X$5:$AM$77, MATCH(AA$100,_xlfn.ANCHORARRAY( $W$5), 0), 0),
        $F$5:$U$20
    ),
    TRANSPOSE(
        INDEX($X$5:$AM$77, MATCH($A129,_xlfn.ANCHORARRAY( $W$5), 0), 0)
    )
)
/
(
    INDEX($AN$5:$AN$77, MATCH(AA$100,_xlfn.ANCHORARRAY( $W$5), 0))
    *
    INDEX($AN$5:$AN$77, MATCH($A129,_xlfn.ANCHORARRAY( $W$5), 0))
)</f>
        <v>0.96346960174281771</v>
      </c>
      <c r="AB129" s="17" cm="1">
        <f t="array" ref="AB129">MMULT(
    MMULT(
        INDEX($X$5:$AM$77, MATCH(AB$100,_xlfn.ANCHORARRAY( $W$5), 0), 0),
        $F$5:$U$20
    ),
    TRANSPOSE(
        INDEX($X$5:$AM$77, MATCH($A129,_xlfn.ANCHORARRAY( $W$5), 0), 0)
    )
)
/
(
    INDEX($AN$5:$AN$77, MATCH(AB$100,_xlfn.ANCHORARRAY( $W$5), 0))
    *
    INDEX($AN$5:$AN$77, MATCH($A129,_xlfn.ANCHORARRAY( $W$5), 0))
)</f>
        <v>0.91600005769640747</v>
      </c>
      <c r="AC129" s="17" cm="1">
        <f t="array" ref="AC129">MMULT(
    MMULT(
        INDEX($X$5:$AM$77, MATCH(AC$100,_xlfn.ANCHORARRAY( $W$5), 0), 0),
        $F$5:$U$20
    ),
    TRANSPOSE(
        INDEX($X$5:$AM$77, MATCH($A129,_xlfn.ANCHORARRAY( $W$5), 0), 0)
    )
)
/
(
    INDEX($AN$5:$AN$77, MATCH(AC$100,_xlfn.ANCHORARRAY( $W$5), 0))
    *
    INDEX($AN$5:$AN$77, MATCH($A129,_xlfn.ANCHORARRAY( $W$5), 0))
)</f>
        <v>0.75214224263985008</v>
      </c>
      <c r="AD129" s="17" cm="1">
        <f t="array" ref="AD129">MMULT(
    MMULT(
        INDEX($X$5:$AM$77, MATCH(AD$100,_xlfn.ANCHORARRAY( $W$5), 0), 0),
        $F$5:$U$20
    ),
    TRANSPOSE(
        INDEX($X$5:$AM$77, MATCH($A129,_xlfn.ANCHORARRAY( $W$5), 0), 0)
    )
)
/
(
    INDEX($AN$5:$AN$77, MATCH(AD$100,_xlfn.ANCHORARRAY( $W$5), 0))
    *
    INDEX($AN$5:$AN$77, MATCH($A129,_xlfn.ANCHORARRAY( $W$5), 0))
)</f>
        <v>0.99999999999999978</v>
      </c>
      <c r="AE129" s="17" cm="1">
        <f t="array" ref="AE129">MMULT(
    MMULT(
        INDEX($X$5:$AM$77, MATCH(AE$100,_xlfn.ANCHORARRAY( $W$5), 0), 0),
        $F$5:$U$20
    ),
    TRANSPOSE(
        INDEX($X$5:$AM$77, MATCH($A129,_xlfn.ANCHORARRAY( $W$5), 0), 0)
    )
)
/
(
    INDEX($AN$5:$AN$77, MATCH(AE$100,_xlfn.ANCHORARRAY( $W$5), 0))
    *
    INDEX($AN$5:$AN$77, MATCH($A129,_xlfn.ANCHORARRAY( $W$5), 0))
)</f>
        <v>0.82417242004111868</v>
      </c>
      <c r="AF129" s="17" cm="1">
        <f t="array" ref="AF129">MMULT(
    MMULT(
        INDEX($X$5:$AM$77, MATCH(AF$100,_xlfn.ANCHORARRAY( $W$5), 0), 0),
        $F$5:$U$20
    ),
    TRANSPOSE(
        INDEX($X$5:$AM$77, MATCH($A129,_xlfn.ANCHORARRAY( $W$5), 0), 0)
    )
)
/
(
    INDEX($AN$5:$AN$77, MATCH(AF$100,_xlfn.ANCHORARRAY( $W$5), 0))
    *
    INDEX($AN$5:$AN$77, MATCH($A129,_xlfn.ANCHORARRAY( $W$5), 0))
)</f>
        <v>0.75489399038688354</v>
      </c>
      <c r="AG129" s="17" cm="1">
        <f t="array" ref="AG129">MMULT(
    MMULT(
        INDEX($X$5:$AM$77, MATCH(AG$100,_xlfn.ANCHORARRAY( $W$5), 0), 0),
        $F$5:$U$20
    ),
    TRANSPOSE(
        INDEX($X$5:$AM$77, MATCH($A129,_xlfn.ANCHORARRAY( $W$5), 0), 0)
    )
)
/
(
    INDEX($AN$5:$AN$77, MATCH(AG$100,_xlfn.ANCHORARRAY( $W$5), 0))
    *
    INDEX($AN$5:$AN$77, MATCH($A129,_xlfn.ANCHORARRAY( $W$5), 0))
)</f>
        <v>0.85035268654557217</v>
      </c>
      <c r="AH129" s="17" cm="1">
        <f t="array" ref="AH129">MMULT(
    MMULT(
        INDEX($X$5:$AM$77, MATCH(AH$100,_xlfn.ANCHORARRAY( $W$5), 0), 0),
        $F$5:$U$20
    ),
    TRANSPOSE(
        INDEX($X$5:$AM$77, MATCH($A129,_xlfn.ANCHORARRAY( $W$5), 0), 0)
    )
)
/
(
    INDEX($AN$5:$AN$77, MATCH(AH$100,_xlfn.ANCHORARRAY( $W$5), 0))
    *
    INDEX($AN$5:$AN$77, MATCH($A129,_xlfn.ANCHORARRAY( $W$5), 0))
)</f>
        <v>0.65589163553808416</v>
      </c>
      <c r="AI129" s="17" cm="1">
        <f t="array" ref="AI129">MMULT(
    MMULT(
        INDEX($X$5:$AM$77, MATCH(AI$100,_xlfn.ANCHORARRAY( $W$5), 0), 0),
        $F$5:$U$20
    ),
    TRANSPOSE(
        INDEX($X$5:$AM$77, MATCH($A129,_xlfn.ANCHORARRAY( $W$5), 0), 0)
    )
)
/
(
    INDEX($AN$5:$AN$77, MATCH(AI$100,_xlfn.ANCHORARRAY( $W$5), 0))
    *
    INDEX($AN$5:$AN$77, MATCH($A129,_xlfn.ANCHORARRAY( $W$5), 0))
)</f>
        <v>0.86917546895264342</v>
      </c>
      <c r="AJ129" s="17" cm="1">
        <f t="array" ref="AJ129">MMULT(
    MMULT(
        INDEX($X$5:$AM$77, MATCH(AJ$100,_xlfn.ANCHORARRAY( $W$5), 0), 0),
        $F$5:$U$20
    ),
    TRANSPOSE(
        INDEX($X$5:$AM$77, MATCH($A129,_xlfn.ANCHORARRAY( $W$5), 0), 0)
    )
)
/
(
    INDEX($AN$5:$AN$77, MATCH(AJ$100,_xlfn.ANCHORARRAY( $W$5), 0))
    *
    INDEX($AN$5:$AN$77, MATCH($A129,_xlfn.ANCHORARRAY( $W$5), 0))
)</f>
        <v>0.93466154179676242</v>
      </c>
      <c r="AK129" s="17" cm="1">
        <f t="array" ref="AK129">MMULT(
    MMULT(
        INDEX($X$5:$AM$77, MATCH(AK$100,_xlfn.ANCHORARRAY( $W$5), 0), 0),
        $F$5:$U$20
    ),
    TRANSPOSE(
        INDEX($X$5:$AM$77, MATCH($A129,_xlfn.ANCHORARRAY( $W$5), 0), 0)
    )
)
/
(
    INDEX($AN$5:$AN$77, MATCH(AK$100,_xlfn.ANCHORARRAY( $W$5), 0))
    *
    INDEX($AN$5:$AN$77, MATCH($A129,_xlfn.ANCHORARRAY( $W$5), 0))
)</f>
        <v>0.87310078761264387</v>
      </c>
      <c r="AL129" s="17" cm="1">
        <f t="array" ref="AL129">MMULT(
    MMULT(
        INDEX($X$5:$AM$77, MATCH(AL$100,_xlfn.ANCHORARRAY( $W$5), 0), 0),
        $F$5:$U$20
    ),
    TRANSPOSE(
        INDEX($X$5:$AM$77, MATCH($A129,_xlfn.ANCHORARRAY( $W$5), 0), 0)
    )
)
/
(
    INDEX($AN$5:$AN$77, MATCH(AL$100,_xlfn.ANCHORARRAY( $W$5), 0))
    *
    INDEX($AN$5:$AN$77, MATCH($A129,_xlfn.ANCHORARRAY( $W$5), 0))
)</f>
        <v>0.94548446392138208</v>
      </c>
      <c r="AM129" s="17" cm="1">
        <f t="array" ref="AM129">MMULT(
    MMULT(
        INDEX($X$5:$AM$77, MATCH(AM$100,_xlfn.ANCHORARRAY( $W$5), 0), 0),
        $F$5:$U$20
    ),
    TRANSPOSE(
        INDEX($X$5:$AM$77, MATCH($A129,_xlfn.ANCHORARRAY( $W$5), 0), 0)
    )
)
/
(
    INDEX($AN$5:$AN$77, MATCH(AM$100,_xlfn.ANCHORARRAY( $W$5), 0))
    *
    INDEX($AN$5:$AN$77, MATCH($A129,_xlfn.ANCHORARRAY( $W$5), 0))
)</f>
        <v>0.73716518866516278</v>
      </c>
      <c r="AN129" s="17" cm="1">
        <f t="array" ref="AN129">MMULT(
    MMULT(
        INDEX($X$5:$AM$77, MATCH(AN$100,_xlfn.ANCHORARRAY( $W$5), 0), 0),
        $F$5:$U$20
    ),
    TRANSPOSE(
        INDEX($X$5:$AM$77, MATCH($A129,_xlfn.ANCHORARRAY( $W$5), 0), 0)
    )
)
/
(
    INDEX($AN$5:$AN$77, MATCH(AN$100,_xlfn.ANCHORARRAY( $W$5), 0))
    *
    INDEX($AN$5:$AN$77, MATCH($A129,_xlfn.ANCHORARRAY( $W$5), 0))
)</f>
        <v>0.72270829151960236</v>
      </c>
      <c r="AO129" s="17" cm="1">
        <f t="array" ref="AO129">MMULT(
    MMULT(
        INDEX($X$5:$AM$77, MATCH(AO$100,_xlfn.ANCHORARRAY( $W$5), 0), 0),
        $F$5:$U$20
    ),
    TRANSPOSE(
        INDEX($X$5:$AM$77, MATCH($A129,_xlfn.ANCHORARRAY( $W$5), 0), 0)
    )
)
/
(
    INDEX($AN$5:$AN$77, MATCH(AO$100,_xlfn.ANCHORARRAY( $W$5), 0))
    *
    INDEX($AN$5:$AN$77, MATCH($A129,_xlfn.ANCHORARRAY( $W$5), 0))
)</f>
        <v>0.70584507738490165</v>
      </c>
      <c r="AP129" s="17" cm="1">
        <f t="array" ref="AP129">MMULT(
    MMULT(
        INDEX($X$5:$AM$77, MATCH(AP$100,_xlfn.ANCHORARRAY( $W$5), 0), 0),
        $F$5:$U$20
    ),
    TRANSPOSE(
        INDEX($X$5:$AM$77, MATCH($A129,_xlfn.ANCHORARRAY( $W$5), 0), 0)
    )
)
/
(
    INDEX($AN$5:$AN$77, MATCH(AP$100,_xlfn.ANCHORARRAY( $W$5), 0))
    *
    INDEX($AN$5:$AN$77, MATCH($A129,_xlfn.ANCHORARRAY( $W$5), 0))
)</f>
        <v>0.63832783501400725</v>
      </c>
      <c r="AQ129" s="17" cm="1">
        <f t="array" ref="AQ129">MMULT(
    MMULT(
        INDEX($X$5:$AM$77, MATCH(AQ$100,_xlfn.ANCHORARRAY( $W$5), 0), 0),
        $F$5:$U$20
    ),
    TRANSPOSE(
        INDEX($X$5:$AM$77, MATCH($A129,_xlfn.ANCHORARRAY( $W$5), 0), 0)
    )
)
/
(
    INDEX($AN$5:$AN$77, MATCH(AQ$100,_xlfn.ANCHORARRAY( $W$5), 0))
    *
    INDEX($AN$5:$AN$77, MATCH($A129,_xlfn.ANCHORARRAY( $W$5), 0))
)</f>
        <v>0.75112948703910642</v>
      </c>
      <c r="AR129" s="17" cm="1">
        <f t="array" ref="AR129">MMULT(
    MMULT(
        INDEX($X$5:$AM$77, MATCH(AR$100,_xlfn.ANCHORARRAY( $W$5), 0), 0),
        $F$5:$U$20
    ),
    TRANSPOSE(
        INDEX($X$5:$AM$77, MATCH($A129,_xlfn.ANCHORARRAY( $W$5), 0), 0)
    )
)
/
(
    INDEX($AN$5:$AN$77, MATCH(AR$100,_xlfn.ANCHORARRAY( $W$5), 0))
    *
    INDEX($AN$5:$AN$77, MATCH($A129,_xlfn.ANCHORARRAY( $W$5), 0))
)</f>
        <v>0.92980094911955924</v>
      </c>
      <c r="AS129" s="17" cm="1">
        <f t="array" ref="AS129">MMULT(
    MMULT(
        INDEX($X$5:$AM$77, MATCH(AS$100,_xlfn.ANCHORARRAY( $W$5), 0), 0),
        $F$5:$U$20
    ),
    TRANSPOSE(
        INDEX($X$5:$AM$77, MATCH($A129,_xlfn.ANCHORARRAY( $W$5), 0), 0)
    )
)
/
(
    INDEX($AN$5:$AN$77, MATCH(AS$100,_xlfn.ANCHORARRAY( $W$5), 0))
    *
    INDEX($AN$5:$AN$77, MATCH($A129,_xlfn.ANCHORARRAY( $W$5), 0))
)</f>
        <v>0.91907705839804388</v>
      </c>
      <c r="AT129" s="17" cm="1">
        <f t="array" ref="AT129">MMULT(
    MMULT(
        INDEX($X$5:$AM$77, MATCH(AT$100,_xlfn.ANCHORARRAY( $W$5), 0), 0),
        $F$5:$U$20
    ),
    TRANSPOSE(
        INDEX($X$5:$AM$77, MATCH($A129,_xlfn.ANCHORARRAY( $W$5), 0), 0)
    )
)
/
(
    INDEX($AN$5:$AN$77, MATCH(AT$100,_xlfn.ANCHORARRAY( $W$5), 0))
    *
    INDEX($AN$5:$AN$77, MATCH($A129,_xlfn.ANCHORARRAY( $W$5), 0))
)</f>
        <v>0.7735255352022774</v>
      </c>
      <c r="AU129" s="17" cm="1">
        <f t="array" ref="AU129">MMULT(
    MMULT(
        INDEX($X$5:$AM$77, MATCH(AU$100,_xlfn.ANCHORARRAY( $W$5), 0), 0),
        $F$5:$U$20
    ),
    TRANSPOSE(
        INDEX($X$5:$AM$77, MATCH($A129,_xlfn.ANCHORARRAY( $W$5), 0), 0)
    )
)
/
(
    INDEX($AN$5:$AN$77, MATCH(AU$100,_xlfn.ANCHORARRAY( $W$5), 0))
    *
    INDEX($AN$5:$AN$77, MATCH($A129,_xlfn.ANCHORARRAY( $W$5), 0))
)</f>
        <v>0.95808062972326258</v>
      </c>
      <c r="AV129" s="17" cm="1">
        <f t="array" ref="AV129">MMULT(
    MMULT(
        INDEX($X$5:$AM$77, MATCH(AV$100,_xlfn.ANCHORARRAY( $W$5), 0), 0),
        $F$5:$U$20
    ),
    TRANSPOSE(
        INDEX($X$5:$AM$77, MATCH($A129,_xlfn.ANCHORARRAY( $W$5), 0), 0)
    )
)
/
(
    INDEX($AN$5:$AN$77, MATCH(AV$100,_xlfn.ANCHORARRAY( $W$5), 0))
    *
    INDEX($AN$5:$AN$77, MATCH($A129,_xlfn.ANCHORARRAY( $W$5), 0))
)</f>
        <v>0.98161312417242741</v>
      </c>
      <c r="AW129" s="17" cm="1">
        <f t="array" ref="AW129">MMULT(
    MMULT(
        INDEX($X$5:$AM$77, MATCH(AW$100,_xlfn.ANCHORARRAY( $W$5), 0), 0),
        $F$5:$U$20
    ),
    TRANSPOSE(
        INDEX($X$5:$AM$77, MATCH($A129,_xlfn.ANCHORARRAY( $W$5), 0), 0)
    )
)
/
(
    INDEX($AN$5:$AN$77, MATCH(AW$100,_xlfn.ANCHORARRAY( $W$5), 0))
    *
    INDEX($AN$5:$AN$77, MATCH($A129,_xlfn.ANCHORARRAY( $W$5), 0))
)</f>
        <v>0.72580467211130928</v>
      </c>
      <c r="AX129" s="17" cm="1">
        <f t="array" ref="AX129">MMULT(
    MMULT(
        INDEX($X$5:$AM$77, MATCH(AX$100,_xlfn.ANCHORARRAY( $W$5), 0), 0),
        $F$5:$U$20
    ),
    TRANSPOSE(
        INDEX($X$5:$AM$77, MATCH($A129,_xlfn.ANCHORARRAY( $W$5), 0), 0)
    )
)
/
(
    INDEX($AN$5:$AN$77, MATCH(AX$100,_xlfn.ANCHORARRAY( $W$5), 0))
    *
    INDEX($AN$5:$AN$77, MATCH($A129,_xlfn.ANCHORARRAY( $W$5), 0))
)</f>
        <v>0.51446870122115729</v>
      </c>
      <c r="AY129" s="17" cm="1">
        <f t="array" ref="AY129">MMULT(
    MMULT(
        INDEX($X$5:$AM$77, MATCH(AY$100,_xlfn.ANCHORARRAY( $W$5), 0), 0),
        $F$5:$U$20
    ),
    TRANSPOSE(
        INDEX($X$5:$AM$77, MATCH($A129,_xlfn.ANCHORARRAY( $W$5), 0), 0)
    )
)
/
(
    INDEX($AN$5:$AN$77, MATCH(AY$100,_xlfn.ANCHORARRAY( $W$5), 0))
    *
    INDEX($AN$5:$AN$77, MATCH($A129,_xlfn.ANCHORARRAY( $W$5), 0))
)</f>
        <v>0.61032071220865924</v>
      </c>
      <c r="AZ129" s="17" cm="1">
        <f t="array" ref="AZ129">MMULT(
    MMULT(
        INDEX($X$5:$AM$77, MATCH(AZ$100,_xlfn.ANCHORARRAY( $W$5), 0), 0),
        $F$5:$U$20
    ),
    TRANSPOSE(
        INDEX($X$5:$AM$77, MATCH($A129,_xlfn.ANCHORARRAY( $W$5), 0), 0)
    )
)
/
(
    INDEX($AN$5:$AN$77, MATCH(AZ$100,_xlfn.ANCHORARRAY( $W$5), 0))
    *
    INDEX($AN$5:$AN$77, MATCH($A129,_xlfn.ANCHORARRAY( $W$5), 0))
)</f>
        <v>0.99625243537385644</v>
      </c>
      <c r="BA129" s="17" cm="1">
        <f t="array" ref="BA129">MMULT(
    MMULT(
        INDEX($X$5:$AM$77, MATCH(BA$100,_xlfn.ANCHORARRAY( $W$5), 0), 0),
        $F$5:$U$20
    ),
    TRANSPOSE(
        INDEX($X$5:$AM$77, MATCH($A129,_xlfn.ANCHORARRAY( $W$5), 0), 0)
    )
)
/
(
    INDEX($AN$5:$AN$77, MATCH(BA$100,_xlfn.ANCHORARRAY( $W$5), 0))
    *
    INDEX($AN$5:$AN$77, MATCH($A129,_xlfn.ANCHORARRAY( $W$5), 0))
)</f>
        <v>0.98087575071276456</v>
      </c>
      <c r="BB129" s="17" cm="1">
        <f t="array" ref="BB129">MMULT(
    MMULT(
        INDEX($X$5:$AM$77, MATCH(BB$100,_xlfn.ANCHORARRAY( $W$5), 0), 0),
        $F$5:$U$20
    ),
    TRANSPOSE(
        INDEX($X$5:$AM$77, MATCH($A129,_xlfn.ANCHORARRAY( $W$5), 0), 0)
    )
)
/
(
    INDEX($AN$5:$AN$77, MATCH(BB$100,_xlfn.ANCHORARRAY( $W$5), 0))
    *
    INDEX($AN$5:$AN$77, MATCH($A129,_xlfn.ANCHORARRAY( $W$5), 0))
)</f>
        <v>0.78333304193753117</v>
      </c>
      <c r="BC129" s="17" cm="1">
        <f t="array" ref="BC129">MMULT(
    MMULT(
        INDEX($X$5:$AM$77, MATCH(BC$100,_xlfn.ANCHORARRAY( $W$5), 0), 0),
        $F$5:$U$20
    ),
    TRANSPOSE(
        INDEX($X$5:$AM$77, MATCH($A129,_xlfn.ANCHORARRAY( $W$5), 0), 0)
    )
)
/
(
    INDEX($AN$5:$AN$77, MATCH(BC$100,_xlfn.ANCHORARRAY( $W$5), 0))
    *
    INDEX($AN$5:$AN$77, MATCH($A129,_xlfn.ANCHORARRAY( $W$5), 0))
)</f>
        <v>0.79793202279965969</v>
      </c>
      <c r="BD129" s="17" cm="1">
        <f t="array" ref="BD129">MMULT(
    MMULT(
        INDEX($X$5:$AM$77, MATCH(BD$100,_xlfn.ANCHORARRAY( $W$5), 0), 0),
        $F$5:$U$20
    ),
    TRANSPOSE(
        INDEX($X$5:$AM$77, MATCH($A129,_xlfn.ANCHORARRAY( $W$5), 0), 0)
    )
)
/
(
    INDEX($AN$5:$AN$77, MATCH(BD$100,_xlfn.ANCHORARRAY( $W$5), 0))
    *
    INDEX($AN$5:$AN$77, MATCH($A129,_xlfn.ANCHORARRAY( $W$5), 0))
)</f>
        <v>0.58166711479576738</v>
      </c>
      <c r="BE129" s="17" cm="1">
        <f t="array" ref="BE129">MMULT(
    MMULT(
        INDEX($X$5:$AM$77, MATCH(BE$100,_xlfn.ANCHORARRAY( $W$5), 0), 0),
        $F$5:$U$20
    ),
    TRANSPOSE(
        INDEX($X$5:$AM$77, MATCH($A129,_xlfn.ANCHORARRAY( $W$5), 0), 0)
    )
)
/
(
    INDEX($AN$5:$AN$77, MATCH(BE$100,_xlfn.ANCHORARRAY( $W$5), 0))
    *
    INDEX($AN$5:$AN$77, MATCH($A129,_xlfn.ANCHORARRAY( $W$5), 0))
)</f>
        <v>0.72212908567550371</v>
      </c>
      <c r="BF129" s="17" cm="1">
        <f t="array" ref="BF129">MMULT(
    MMULT(
        INDEX($X$5:$AM$77, MATCH(BF$100,_xlfn.ANCHORARRAY( $W$5), 0), 0),
        $F$5:$U$20
    ),
    TRANSPOSE(
        INDEX($X$5:$AM$77, MATCH($A129,_xlfn.ANCHORARRAY( $W$5), 0), 0)
    )
)
/
(
    INDEX($AN$5:$AN$77, MATCH(BF$100,_xlfn.ANCHORARRAY( $W$5), 0))
    *
    INDEX($AN$5:$AN$77, MATCH($A129,_xlfn.ANCHORARRAY( $W$5), 0))
)</f>
        <v>0.88814096876382587</v>
      </c>
      <c r="BG129" s="17" cm="1">
        <f t="array" ref="BG129">MMULT(
    MMULT(
        INDEX($X$5:$AM$77, MATCH(BG$100,_xlfn.ANCHORARRAY( $W$5), 0), 0),
        $F$5:$U$20
    ),
    TRANSPOSE(
        INDEX($X$5:$AM$77, MATCH($A129,_xlfn.ANCHORARRAY( $W$5), 0), 0)
    )
)
/
(
    INDEX($AN$5:$AN$77, MATCH(BG$100,_xlfn.ANCHORARRAY( $W$5), 0))
    *
    INDEX($AN$5:$AN$77, MATCH($A129,_xlfn.ANCHORARRAY( $W$5), 0))
)</f>
        <v>0.91625198534819174</v>
      </c>
      <c r="BH129" s="17" cm="1">
        <f t="array" ref="BH129">MMULT(
    MMULT(
        INDEX($X$5:$AM$77, MATCH(BH$100,_xlfn.ANCHORARRAY( $W$5), 0), 0),
        $F$5:$U$20
    ),
    TRANSPOSE(
        INDEX($X$5:$AM$77, MATCH($A129,_xlfn.ANCHORARRAY( $W$5), 0), 0)
    )
)
/
(
    INDEX($AN$5:$AN$77, MATCH(BH$100,_xlfn.ANCHORARRAY( $W$5), 0))
    *
    INDEX($AN$5:$AN$77, MATCH($A129,_xlfn.ANCHORARRAY( $W$5), 0))
)</f>
        <v>0.72531852770864691</v>
      </c>
      <c r="BI129" s="17" cm="1">
        <f t="array" ref="BI129">MMULT(
    MMULT(
        INDEX($X$5:$AM$77, MATCH(BI$100,_xlfn.ANCHORARRAY( $W$5), 0), 0),
        $F$5:$U$20
    ),
    TRANSPOSE(
        INDEX($X$5:$AM$77, MATCH($A129,_xlfn.ANCHORARRAY( $W$5), 0), 0)
    )
)
/
(
    INDEX($AN$5:$AN$77, MATCH(BI$100,_xlfn.ANCHORARRAY( $W$5), 0))
    *
    INDEX($AN$5:$AN$77, MATCH($A129,_xlfn.ANCHORARRAY( $W$5), 0))
)</f>
        <v>0.58173406397978888</v>
      </c>
      <c r="BJ129" s="17" cm="1">
        <f t="array" ref="BJ129">MMULT(
    MMULT(
        INDEX($X$5:$AM$77, MATCH(BJ$100,_xlfn.ANCHORARRAY( $W$5), 0), 0),
        $F$5:$U$20
    ),
    TRANSPOSE(
        INDEX($X$5:$AM$77, MATCH($A129,_xlfn.ANCHORARRAY( $W$5), 0), 0)
    )
)
/
(
    INDEX($AN$5:$AN$77, MATCH(BJ$100,_xlfn.ANCHORARRAY( $W$5), 0))
    *
    INDEX($AN$5:$AN$77, MATCH($A129,_xlfn.ANCHORARRAY( $W$5), 0))
)</f>
        <v>0.92714345813614085</v>
      </c>
      <c r="BK129" s="17" cm="1">
        <f t="array" ref="BK129">MMULT(
    MMULT(
        INDEX($X$5:$AM$77, MATCH(BK$100,_xlfn.ANCHORARRAY( $W$5), 0), 0),
        $F$5:$U$20
    ),
    TRANSPOSE(
        INDEX($X$5:$AM$77, MATCH($A129,_xlfn.ANCHORARRAY( $W$5), 0), 0)
    )
)
/
(
    INDEX($AN$5:$AN$77, MATCH(BK$100,_xlfn.ANCHORARRAY( $W$5), 0))
    *
    INDEX($AN$5:$AN$77, MATCH($A129,_xlfn.ANCHORARRAY( $W$5), 0))
)</f>
        <v>0.59971269079755452</v>
      </c>
      <c r="BL129" s="17" cm="1">
        <f t="array" ref="BL129">MMULT(
    MMULT(
        INDEX($X$5:$AM$77, MATCH(BL$100,_xlfn.ANCHORARRAY( $W$5), 0), 0),
        $F$5:$U$20
    ),
    TRANSPOSE(
        INDEX($X$5:$AM$77, MATCH($A129,_xlfn.ANCHORARRAY( $W$5), 0), 0)
    )
)
/
(
    INDEX($AN$5:$AN$77, MATCH(BL$100,_xlfn.ANCHORARRAY( $W$5), 0))
    *
    INDEX($AN$5:$AN$77, MATCH($A129,_xlfn.ANCHORARRAY( $W$5), 0))
)</f>
        <v>0.67263208901058169</v>
      </c>
      <c r="BM129" s="17" cm="1">
        <f t="array" ref="BM129">MMULT(
    MMULT(
        INDEX($X$5:$AM$77, MATCH(BM$100,_xlfn.ANCHORARRAY( $W$5), 0), 0),
        $F$5:$U$20
    ),
    TRANSPOSE(
        INDEX($X$5:$AM$77, MATCH($A129,_xlfn.ANCHORARRAY( $W$5), 0), 0)
    )
)
/
(
    INDEX($AN$5:$AN$77, MATCH(BM$100,_xlfn.ANCHORARRAY( $W$5), 0))
    *
    INDEX($AN$5:$AN$77, MATCH($A129,_xlfn.ANCHORARRAY( $W$5), 0))
)</f>
        <v>0.78683109375771798</v>
      </c>
      <c r="BN129" s="17" cm="1">
        <f t="array" ref="BN129">MMULT(
    MMULT(
        INDEX($X$5:$AM$77, MATCH(BN$100,_xlfn.ANCHORARRAY( $W$5), 0), 0),
        $F$5:$U$20
    ),
    TRANSPOSE(
        INDEX($X$5:$AM$77, MATCH($A129,_xlfn.ANCHORARRAY( $W$5), 0), 0)
    )
)
/
(
    INDEX($AN$5:$AN$77, MATCH(BN$100,_xlfn.ANCHORARRAY( $W$5), 0))
    *
    INDEX($AN$5:$AN$77, MATCH($A129,_xlfn.ANCHORARRAY( $W$5), 0))
)</f>
        <v>0.7215212567427427</v>
      </c>
      <c r="BO129" s="17" cm="1">
        <f t="array" ref="BO129">MMULT(
    MMULT(
        INDEX($X$5:$AM$77, MATCH(BO$100,_xlfn.ANCHORARRAY( $W$5), 0), 0),
        $F$5:$U$20
    ),
    TRANSPOSE(
        INDEX($X$5:$AM$77, MATCH($A129,_xlfn.ANCHORARRAY( $W$5), 0), 0)
    )
)
/
(
    INDEX($AN$5:$AN$77, MATCH(BO$100,_xlfn.ANCHORARRAY( $W$5), 0))
    *
    INDEX($AN$5:$AN$77, MATCH($A129,_xlfn.ANCHORARRAY( $W$5), 0))
)</f>
        <v>0.8664618551273906</v>
      </c>
      <c r="BP129" s="17" cm="1">
        <f t="array" ref="BP129">MMULT(
    MMULT(
        INDEX($X$5:$AM$77, MATCH(BP$100,_xlfn.ANCHORARRAY( $W$5), 0), 0),
        $F$5:$U$20
    ),
    TRANSPOSE(
        INDEX($X$5:$AM$77, MATCH($A129,_xlfn.ANCHORARRAY( $W$5), 0), 0)
    )
)
/
(
    INDEX($AN$5:$AN$77, MATCH(BP$100,_xlfn.ANCHORARRAY( $W$5), 0))
    *
    INDEX($AN$5:$AN$77, MATCH($A129,_xlfn.ANCHORARRAY( $W$5), 0))
)</f>
        <v>0.91262148440491631</v>
      </c>
      <c r="BQ129" s="17" cm="1">
        <f t="array" ref="BQ129">MMULT(
    MMULT(
        INDEX($X$5:$AM$77, MATCH(BQ$100,_xlfn.ANCHORARRAY( $W$5), 0), 0),
        $F$5:$U$20
    ),
    TRANSPOSE(
        INDEX($X$5:$AM$77, MATCH($A129,_xlfn.ANCHORARRAY( $W$5), 0), 0)
    )
)
/
(
    INDEX($AN$5:$AN$77, MATCH(BQ$100,_xlfn.ANCHORARRAY( $W$5), 0))
    *
    INDEX($AN$5:$AN$77, MATCH($A129,_xlfn.ANCHORARRAY( $W$5), 0))
)</f>
        <v>0.69852264533720665</v>
      </c>
      <c r="BR129" s="17" cm="1">
        <f t="array" ref="BR129">MMULT(
    MMULT(
        INDEX($X$5:$AM$77, MATCH(BR$100,_xlfn.ANCHORARRAY( $W$5), 0), 0),
        $F$5:$U$20
    ),
    TRANSPOSE(
        INDEX($X$5:$AM$77, MATCH($A129,_xlfn.ANCHORARRAY( $W$5), 0), 0)
    )
)
/
(
    INDEX($AN$5:$AN$77, MATCH(BR$100,_xlfn.ANCHORARRAY( $W$5), 0))
    *
    INDEX($AN$5:$AN$77, MATCH($A129,_xlfn.ANCHORARRAY( $W$5), 0))
)</f>
        <v>0.77319093503214442</v>
      </c>
      <c r="BS129" s="17" cm="1">
        <f t="array" ref="BS129">MMULT(
    MMULT(
        INDEX($X$5:$AM$77, MATCH(BS$100,_xlfn.ANCHORARRAY( $W$5), 0), 0),
        $F$5:$U$20
    ),
    TRANSPOSE(
        INDEX($X$5:$AM$77, MATCH($A129,_xlfn.ANCHORARRAY( $W$5), 0), 0)
    )
)
/
(
    INDEX($AN$5:$AN$77, MATCH(BS$100,_xlfn.ANCHORARRAY( $W$5), 0))
    *
    INDEX($AN$5:$AN$77, MATCH($A129,_xlfn.ANCHORARRAY( $W$5), 0))
)</f>
        <v>0.92111606314109984</v>
      </c>
      <c r="BT129" s="17" cm="1">
        <f t="array" ref="BT129">MMULT(
    MMULT(
        INDEX($X$5:$AM$77, MATCH(BT$100,_xlfn.ANCHORARRAY( $W$5), 0), 0),
        $F$5:$U$20
    ),
    TRANSPOSE(
        INDEX($X$5:$AM$77, MATCH($A129,_xlfn.ANCHORARRAY( $W$5), 0), 0)
    )
)
/
(
    INDEX($AN$5:$AN$77, MATCH(BT$100,_xlfn.ANCHORARRAY( $W$5), 0))
    *
    INDEX($AN$5:$AN$77, MATCH($A129,_xlfn.ANCHORARRAY( $W$5), 0))
)</f>
        <v>0.95518298532786949</v>
      </c>
      <c r="BU129" s="17" cm="1">
        <f t="array" ref="BU129">MMULT(
    MMULT(
        INDEX($X$5:$AM$77, MATCH(BU$100,_xlfn.ANCHORARRAY( $W$5), 0), 0),
        $F$5:$U$20
    ),
    TRANSPOSE(
        INDEX($X$5:$AM$77, MATCH($A129,_xlfn.ANCHORARRAY( $W$5), 0), 0)
    )
)
/
(
    INDEX($AN$5:$AN$77, MATCH(BU$100,_xlfn.ANCHORARRAY( $W$5), 0))
    *
    INDEX($AN$5:$AN$77, MATCH($A129,_xlfn.ANCHORARRAY( $W$5), 0))
)</f>
        <v>0.74543233882568205</v>
      </c>
      <c r="BV129" s="17" cm="1">
        <f t="array" ref="BV129">MMULT(
    MMULT(
        INDEX($X$5:$AM$77, MATCH(BV$100,_xlfn.ANCHORARRAY( $W$5), 0), 0),
        $F$5:$U$20
    ),
    TRANSPOSE(
        INDEX($X$5:$AM$77, MATCH($A129,_xlfn.ANCHORARRAY( $W$5), 0), 0)
    )
)
/
(
    INDEX($AN$5:$AN$77, MATCH(BV$100,_xlfn.ANCHORARRAY( $W$5), 0))
    *
    INDEX($AN$5:$AN$77, MATCH($A129,_xlfn.ANCHORARRAY( $W$5), 0))
)</f>
        <v>0.72260915446528073</v>
      </c>
    </row>
    <row r="130" spans="1:74" x14ac:dyDescent="0.3">
      <c r="A130" s="7" t="str">
        <v>Smith-Shawver, AJ</v>
      </c>
      <c r="B130" s="17" cm="1">
        <f t="array" ref="B130">MMULT(
    MMULT(
        INDEX($X$5:$AM$77, MATCH(B$100,_xlfn.ANCHORARRAY( $W$5), 0), 0),
        $F$5:$U$20
    ),
    TRANSPOSE(
        INDEX($X$5:$AM$77, MATCH($A130,_xlfn.ANCHORARRAY( $W$5), 0), 0)
    )
)
/
(
    INDEX($AN$5:$AN$77, MATCH(B$100,_xlfn.ANCHORARRAY( $W$5), 0))
    *
    INDEX($AN$5:$AN$77, MATCH($A130,_xlfn.ANCHORARRAY( $W$5), 0))
)</f>
        <v>0.9208760095617321</v>
      </c>
      <c r="C130" s="17" cm="1">
        <f t="array" ref="C130">MMULT(
    MMULT(
        INDEX($X$5:$AM$77, MATCH(C$100,_xlfn.ANCHORARRAY( $W$5), 0), 0),
        $F$5:$U$20
    ),
    TRANSPOSE(
        INDEX($X$5:$AM$77, MATCH($A130,_xlfn.ANCHORARRAY( $W$5), 0), 0)
    )
)
/
(
    INDEX($AN$5:$AN$77, MATCH(C$100,_xlfn.ANCHORARRAY( $W$5), 0))
    *
    INDEX($AN$5:$AN$77, MATCH($A130,_xlfn.ANCHORARRAY( $W$5), 0))
)</f>
        <v>0.83028407187574405</v>
      </c>
      <c r="D130" s="17" cm="1">
        <f t="array" ref="D130">MMULT(
    MMULT(
        INDEX($X$5:$AM$77, MATCH(D$100,_xlfn.ANCHORARRAY( $W$5), 0), 0),
        $F$5:$U$20
    ),
    TRANSPOSE(
        INDEX($X$5:$AM$77, MATCH($A130,_xlfn.ANCHORARRAY( $W$5), 0), 0)
    )
)
/
(
    INDEX($AN$5:$AN$77, MATCH(D$100,_xlfn.ANCHORARRAY( $W$5), 0))
    *
    INDEX($AN$5:$AN$77, MATCH($A130,_xlfn.ANCHORARRAY( $W$5), 0))
)</f>
        <v>0.8725826263903329</v>
      </c>
      <c r="E130" s="17" cm="1">
        <f t="array" ref="E130">MMULT(
    MMULT(
        INDEX($X$5:$AM$77, MATCH(E$100,_xlfn.ANCHORARRAY( $W$5), 0), 0),
        $F$5:$U$20
    ),
    TRANSPOSE(
        INDEX($X$5:$AM$77, MATCH($A130,_xlfn.ANCHORARRAY( $W$5), 0), 0)
    )
)
/
(
    INDEX($AN$5:$AN$77, MATCH(E$100,_xlfn.ANCHORARRAY( $W$5), 0))
    *
    INDEX($AN$5:$AN$77, MATCH($A130,_xlfn.ANCHORARRAY( $W$5), 0))
)</f>
        <v>0.73656607292676723</v>
      </c>
      <c r="F130" s="17" cm="1">
        <f t="array" ref="F130">MMULT(
    MMULT(
        INDEX($X$5:$AM$77, MATCH(F$100,_xlfn.ANCHORARRAY( $W$5), 0), 0),
        $F$5:$U$20
    ),
    TRANSPOSE(
        INDEX($X$5:$AM$77, MATCH($A130,_xlfn.ANCHORARRAY( $W$5), 0), 0)
    )
)
/
(
    INDEX($AN$5:$AN$77, MATCH(F$100,_xlfn.ANCHORARRAY( $W$5), 0))
    *
    INDEX($AN$5:$AN$77, MATCH($A130,_xlfn.ANCHORARRAY( $W$5), 0))
)</f>
        <v>0.78242501499176353</v>
      </c>
      <c r="G130" s="17" cm="1">
        <f t="array" ref="G130">MMULT(
    MMULT(
        INDEX($X$5:$AM$77, MATCH(G$100,_xlfn.ANCHORARRAY( $W$5), 0), 0),
        $F$5:$U$20
    ),
    TRANSPOSE(
        INDEX($X$5:$AM$77, MATCH($A130,_xlfn.ANCHORARRAY( $W$5), 0), 0)
    )
)
/
(
    INDEX($AN$5:$AN$77, MATCH(G$100,_xlfn.ANCHORARRAY( $W$5), 0))
    *
    INDEX($AN$5:$AN$77, MATCH($A130,_xlfn.ANCHORARRAY( $W$5), 0))
)</f>
        <v>0.91890898340683447</v>
      </c>
      <c r="H130" s="17" cm="1">
        <f t="array" ref="H130">MMULT(
    MMULT(
        INDEX($X$5:$AM$77, MATCH(H$100,_xlfn.ANCHORARRAY( $W$5), 0), 0),
        $F$5:$U$20
    ),
    TRANSPOSE(
        INDEX($X$5:$AM$77, MATCH($A130,_xlfn.ANCHORARRAY( $W$5), 0), 0)
    )
)
/
(
    INDEX($AN$5:$AN$77, MATCH(H$100,_xlfn.ANCHORARRAY( $W$5), 0))
    *
    INDEX($AN$5:$AN$77, MATCH($A130,_xlfn.ANCHORARRAY( $W$5), 0))
)</f>
        <v>0.8460446836399107</v>
      </c>
      <c r="I130" s="17" cm="1">
        <f t="array" ref="I130">MMULT(
    MMULT(
        INDEX($X$5:$AM$77, MATCH(I$100,_xlfn.ANCHORARRAY( $W$5), 0), 0),
        $F$5:$U$20
    ),
    TRANSPOSE(
        INDEX($X$5:$AM$77, MATCH($A130,_xlfn.ANCHORARRAY( $W$5), 0), 0)
    )
)
/
(
    INDEX($AN$5:$AN$77, MATCH(I$100,_xlfn.ANCHORARRAY( $W$5), 0))
    *
    INDEX($AN$5:$AN$77, MATCH($A130,_xlfn.ANCHORARRAY( $W$5), 0))
)</f>
        <v>0.80560895277692124</v>
      </c>
      <c r="J130" s="17" cm="1">
        <f t="array" ref="J130">MMULT(
    MMULT(
        INDEX($X$5:$AM$77, MATCH(J$100,_xlfn.ANCHORARRAY( $W$5), 0), 0),
        $F$5:$U$20
    ),
    TRANSPOSE(
        INDEX($X$5:$AM$77, MATCH($A130,_xlfn.ANCHORARRAY( $W$5), 0), 0)
    )
)
/
(
    INDEX($AN$5:$AN$77, MATCH(J$100,_xlfn.ANCHORARRAY( $W$5), 0))
    *
    INDEX($AN$5:$AN$77, MATCH($A130,_xlfn.ANCHORARRAY( $W$5), 0))
)</f>
        <v>0.94211042017345137</v>
      </c>
      <c r="K130" s="17" cm="1">
        <f t="array" ref="K130">MMULT(
    MMULT(
        INDEX($X$5:$AM$77, MATCH(K$100,_xlfn.ANCHORARRAY( $W$5), 0), 0),
        $F$5:$U$20
    ),
    TRANSPOSE(
        INDEX($X$5:$AM$77, MATCH($A130,_xlfn.ANCHORARRAY( $W$5), 0), 0)
    )
)
/
(
    INDEX($AN$5:$AN$77, MATCH(K$100,_xlfn.ANCHORARRAY( $W$5), 0))
    *
    INDEX($AN$5:$AN$77, MATCH($A130,_xlfn.ANCHORARRAY( $W$5), 0))
)</f>
        <v>0.80270358297066535</v>
      </c>
      <c r="L130" s="17" cm="1">
        <f t="array" ref="L130">MMULT(
    MMULT(
        INDEX($X$5:$AM$77, MATCH(L$100,_xlfn.ANCHORARRAY( $W$5), 0), 0),
        $F$5:$U$20
    ),
    TRANSPOSE(
        INDEX($X$5:$AM$77, MATCH($A130,_xlfn.ANCHORARRAY( $W$5), 0), 0)
    )
)
/
(
    INDEX($AN$5:$AN$77, MATCH(L$100,_xlfn.ANCHORARRAY( $W$5), 0))
    *
    INDEX($AN$5:$AN$77, MATCH($A130,_xlfn.ANCHORARRAY( $W$5), 0))
)</f>
        <v>0.710250775921626</v>
      </c>
      <c r="M130" s="17" cm="1">
        <f t="array" ref="M130">MMULT(
    MMULT(
        INDEX($X$5:$AM$77, MATCH(M$100,_xlfn.ANCHORARRAY( $W$5), 0), 0),
        $F$5:$U$20
    ),
    TRANSPOSE(
        INDEX($X$5:$AM$77, MATCH($A130,_xlfn.ANCHORARRAY( $W$5), 0), 0)
    )
)
/
(
    INDEX($AN$5:$AN$77, MATCH(M$100,_xlfn.ANCHORARRAY( $W$5), 0))
    *
    INDEX($AN$5:$AN$77, MATCH($A130,_xlfn.ANCHORARRAY( $W$5), 0))
)</f>
        <v>0.88507963539355383</v>
      </c>
      <c r="N130" s="17" cm="1">
        <f t="array" ref="N130">MMULT(
    MMULT(
        INDEX($X$5:$AM$77, MATCH(N$100,_xlfn.ANCHORARRAY( $W$5), 0), 0),
        $F$5:$U$20
    ),
    TRANSPOSE(
        INDEX($X$5:$AM$77, MATCH($A130,_xlfn.ANCHORARRAY( $W$5), 0), 0)
    )
)
/
(
    INDEX($AN$5:$AN$77, MATCH(N$100,_xlfn.ANCHORARRAY( $W$5), 0))
    *
    INDEX($AN$5:$AN$77, MATCH($A130,_xlfn.ANCHORARRAY( $W$5), 0))
)</f>
        <v>0.68724870422335504</v>
      </c>
      <c r="O130" s="17" cm="1">
        <f t="array" ref="O130">MMULT(
    MMULT(
        INDEX($X$5:$AM$77, MATCH(O$100,_xlfn.ANCHORARRAY( $W$5), 0), 0),
        $F$5:$U$20
    ),
    TRANSPOSE(
        INDEX($X$5:$AM$77, MATCH($A130,_xlfn.ANCHORARRAY( $W$5), 0), 0)
    )
)
/
(
    INDEX($AN$5:$AN$77, MATCH(O$100,_xlfn.ANCHORARRAY( $W$5), 0))
    *
    INDEX($AN$5:$AN$77, MATCH($A130,_xlfn.ANCHORARRAY( $W$5), 0))
)</f>
        <v>0.68721174677641195</v>
      </c>
      <c r="P130" s="17" cm="1">
        <f t="array" ref="P130">MMULT(
    MMULT(
        INDEX($X$5:$AM$77, MATCH(P$100,_xlfn.ANCHORARRAY( $W$5), 0), 0),
        $F$5:$U$20
    ),
    TRANSPOSE(
        INDEX($X$5:$AM$77, MATCH($A130,_xlfn.ANCHORARRAY( $W$5), 0), 0)
    )
)
/
(
    INDEX($AN$5:$AN$77, MATCH(P$100,_xlfn.ANCHORARRAY( $W$5), 0))
    *
    INDEX($AN$5:$AN$77, MATCH($A130,_xlfn.ANCHORARRAY( $W$5), 0))
)</f>
        <v>0.81921475146872014</v>
      </c>
      <c r="Q130" s="17" cm="1">
        <f t="array" ref="Q130">MMULT(
    MMULT(
        INDEX($X$5:$AM$77, MATCH(Q$100,_xlfn.ANCHORARRAY( $W$5), 0), 0),
        $F$5:$U$20
    ),
    TRANSPOSE(
        INDEX($X$5:$AM$77, MATCH($A130,_xlfn.ANCHORARRAY( $W$5), 0), 0)
    )
)
/
(
    INDEX($AN$5:$AN$77, MATCH(Q$100,_xlfn.ANCHORARRAY( $W$5), 0))
    *
    INDEX($AN$5:$AN$77, MATCH($A130,_xlfn.ANCHORARRAY( $W$5), 0))
)</f>
        <v>0.79781323436605978</v>
      </c>
      <c r="R130" s="17" cm="1">
        <f t="array" ref="R130">MMULT(
    MMULT(
        INDEX($X$5:$AM$77, MATCH(R$100,_xlfn.ANCHORARRAY( $W$5), 0), 0),
        $F$5:$U$20
    ),
    TRANSPOSE(
        INDEX($X$5:$AM$77, MATCH($A130,_xlfn.ANCHORARRAY( $W$5), 0), 0)
    )
)
/
(
    INDEX($AN$5:$AN$77, MATCH(R$100,_xlfn.ANCHORARRAY( $W$5), 0))
    *
    INDEX($AN$5:$AN$77, MATCH($A130,_xlfn.ANCHORARRAY( $W$5), 0))
)</f>
        <v>0.87696674046460354</v>
      </c>
      <c r="S130" s="17" cm="1">
        <f t="array" ref="S130">MMULT(
    MMULT(
        INDEX($X$5:$AM$77, MATCH(S$100,_xlfn.ANCHORARRAY( $W$5), 0), 0),
        $F$5:$U$20
    ),
    TRANSPOSE(
        INDEX($X$5:$AM$77, MATCH($A130,_xlfn.ANCHORARRAY( $W$5), 0), 0)
    )
)
/
(
    INDEX($AN$5:$AN$77, MATCH(S$100,_xlfn.ANCHORARRAY( $W$5), 0))
    *
    INDEX($AN$5:$AN$77, MATCH($A130,_xlfn.ANCHORARRAY( $W$5), 0))
)</f>
        <v>0.92494423334106701</v>
      </c>
      <c r="T130" s="17" cm="1">
        <f t="array" ref="T130">MMULT(
    MMULT(
        INDEX($X$5:$AM$77, MATCH(T$100,_xlfn.ANCHORARRAY( $W$5), 0), 0),
        $F$5:$U$20
    ),
    TRANSPOSE(
        INDEX($X$5:$AM$77, MATCH($A130,_xlfn.ANCHORARRAY( $W$5), 0), 0)
    )
)
/
(
    INDEX($AN$5:$AN$77, MATCH(T$100,_xlfn.ANCHORARRAY( $W$5), 0))
    *
    INDEX($AN$5:$AN$77, MATCH($A130,_xlfn.ANCHORARRAY( $W$5), 0))
)</f>
        <v>0.52991650133478763</v>
      </c>
      <c r="U130" s="17" cm="1">
        <f t="array" ref="U130">MMULT(
    MMULT(
        INDEX($X$5:$AM$77, MATCH(U$100,_xlfn.ANCHORARRAY( $W$5), 0), 0),
        $F$5:$U$20
    ),
    TRANSPOSE(
        INDEX($X$5:$AM$77, MATCH($A130,_xlfn.ANCHORARRAY( $W$5), 0), 0)
    )
)
/
(
    INDEX($AN$5:$AN$77, MATCH(U$100,_xlfn.ANCHORARRAY( $W$5), 0))
    *
    INDEX($AN$5:$AN$77, MATCH($A130,_xlfn.ANCHORARRAY( $W$5), 0))
)</f>
        <v>0.89070576028488935</v>
      </c>
      <c r="V130" s="17" cm="1">
        <f t="array" ref="V130">MMULT(
    MMULT(
        INDEX($X$5:$AM$77, MATCH(V$100,_xlfn.ANCHORARRAY( $W$5), 0), 0),
        $F$5:$U$20
    ),
    TRANSPOSE(
        INDEX($X$5:$AM$77, MATCH($A130,_xlfn.ANCHORARRAY( $W$5), 0), 0)
    )
)
/
(
    INDEX($AN$5:$AN$77, MATCH(V$100,_xlfn.ANCHORARRAY( $W$5), 0))
    *
    INDEX($AN$5:$AN$77, MATCH($A130,_xlfn.ANCHORARRAY( $W$5), 0))
)</f>
        <v>0.60666003925599288</v>
      </c>
      <c r="W130" s="17" cm="1">
        <f t="array" ref="W130">MMULT(
    MMULT(
        INDEX($X$5:$AM$77, MATCH(W$100,_xlfn.ANCHORARRAY( $W$5), 0), 0),
        $F$5:$U$20
    ),
    TRANSPOSE(
        INDEX($X$5:$AM$77, MATCH($A130,_xlfn.ANCHORARRAY( $W$5), 0), 0)
    )
)
/
(
    INDEX($AN$5:$AN$77, MATCH(W$100,_xlfn.ANCHORARRAY( $W$5), 0))
    *
    INDEX($AN$5:$AN$77, MATCH($A130,_xlfn.ANCHORARRAY( $W$5), 0))
)</f>
        <v>0.54114877992611121</v>
      </c>
      <c r="X130" s="17" cm="1">
        <f t="array" ref="X130">MMULT(
    MMULT(
        INDEX($X$5:$AM$77, MATCH(X$100,_xlfn.ANCHORARRAY( $W$5), 0), 0),
        $F$5:$U$20
    ),
    TRANSPOSE(
        INDEX($X$5:$AM$77, MATCH($A130,_xlfn.ANCHORARRAY( $W$5), 0), 0)
    )
)
/
(
    INDEX($AN$5:$AN$77, MATCH(X$100,_xlfn.ANCHORARRAY( $W$5), 0))
    *
    INDEX($AN$5:$AN$77, MATCH($A130,_xlfn.ANCHORARRAY( $W$5), 0))
)</f>
        <v>0.76142488995410285</v>
      </c>
      <c r="Y130" s="17" cm="1">
        <f t="array" ref="Y130">MMULT(
    MMULT(
        INDEX($X$5:$AM$77, MATCH(Y$100,_xlfn.ANCHORARRAY( $W$5), 0), 0),
        $F$5:$U$20
    ),
    TRANSPOSE(
        INDEX($X$5:$AM$77, MATCH($A130,_xlfn.ANCHORARRAY( $W$5), 0), 0)
    )
)
/
(
    INDEX($AN$5:$AN$77, MATCH(Y$100,_xlfn.ANCHORARRAY( $W$5), 0))
    *
    INDEX($AN$5:$AN$77, MATCH($A130,_xlfn.ANCHORARRAY( $W$5), 0))
)</f>
        <v>0.87975227444561321</v>
      </c>
      <c r="Z130" s="17" cm="1">
        <f t="array" ref="Z130">MMULT(
    MMULT(
        INDEX($X$5:$AM$77, MATCH(Z$100,_xlfn.ANCHORARRAY( $W$5), 0), 0),
        $F$5:$U$20
    ),
    TRANSPOSE(
        INDEX($X$5:$AM$77, MATCH($A130,_xlfn.ANCHORARRAY( $W$5), 0), 0)
    )
)
/
(
    INDEX($AN$5:$AN$77, MATCH(Z$100,_xlfn.ANCHORARRAY( $W$5), 0))
    *
    INDEX($AN$5:$AN$77, MATCH($A130,_xlfn.ANCHORARRAY( $W$5), 0))
)</f>
        <v>0.81671399135446077</v>
      </c>
      <c r="AA130" s="17" cm="1">
        <f t="array" ref="AA130">MMULT(
    MMULT(
        INDEX($X$5:$AM$77, MATCH(AA$100,_xlfn.ANCHORARRAY( $W$5), 0), 0),
        $F$5:$U$20
    ),
    TRANSPOSE(
        INDEX($X$5:$AM$77, MATCH($A130,_xlfn.ANCHORARRAY( $W$5), 0), 0)
    )
)
/
(
    INDEX($AN$5:$AN$77, MATCH(AA$100,_xlfn.ANCHORARRAY( $W$5), 0))
    *
    INDEX($AN$5:$AN$77, MATCH($A130,_xlfn.ANCHORARRAY( $W$5), 0))
)</f>
        <v>0.77571101220510408</v>
      </c>
      <c r="AB130" s="17" cm="1">
        <f t="array" ref="AB130">MMULT(
    MMULT(
        INDEX($X$5:$AM$77, MATCH(AB$100,_xlfn.ANCHORARRAY( $W$5), 0), 0),
        $F$5:$U$20
    ),
    TRANSPOSE(
        INDEX($X$5:$AM$77, MATCH($A130,_xlfn.ANCHORARRAY( $W$5), 0), 0)
    )
)
/
(
    INDEX($AN$5:$AN$77, MATCH(AB$100,_xlfn.ANCHORARRAY( $W$5), 0))
    *
    INDEX($AN$5:$AN$77, MATCH($A130,_xlfn.ANCHORARRAY( $W$5), 0))
)</f>
        <v>0.84696417418663295</v>
      </c>
      <c r="AC130" s="17" cm="1">
        <f t="array" ref="AC130">MMULT(
    MMULT(
        INDEX($X$5:$AM$77, MATCH(AC$100,_xlfn.ANCHORARRAY( $W$5), 0), 0),
        $F$5:$U$20
    ),
    TRANSPOSE(
        INDEX($X$5:$AM$77, MATCH($A130,_xlfn.ANCHORARRAY( $W$5), 0), 0)
    )
)
/
(
    INDEX($AN$5:$AN$77, MATCH(AC$100,_xlfn.ANCHORARRAY( $W$5), 0))
    *
    INDEX($AN$5:$AN$77, MATCH($A130,_xlfn.ANCHORARRAY( $W$5), 0))
)</f>
        <v>0.7102144770421509</v>
      </c>
      <c r="AD130" s="17" cm="1">
        <f t="array" ref="AD130">MMULT(
    MMULT(
        INDEX($X$5:$AM$77, MATCH(AD$100,_xlfn.ANCHORARRAY( $W$5), 0), 0),
        $F$5:$U$20
    ),
    TRANSPOSE(
        INDEX($X$5:$AM$77, MATCH($A130,_xlfn.ANCHORARRAY( $W$5), 0), 0)
    )
)
/
(
    INDEX($AN$5:$AN$77, MATCH(AD$100,_xlfn.ANCHORARRAY( $W$5), 0))
    *
    INDEX($AN$5:$AN$77, MATCH($A130,_xlfn.ANCHORARRAY( $W$5), 0))
)</f>
        <v>0.82417242004111846</v>
      </c>
      <c r="AE130" s="17" cm="1">
        <f t="array" ref="AE130">MMULT(
    MMULT(
        INDEX($X$5:$AM$77, MATCH(AE$100,_xlfn.ANCHORARRAY( $W$5), 0), 0),
        $F$5:$U$20
    ),
    TRANSPOSE(
        INDEX($X$5:$AM$77, MATCH($A130,_xlfn.ANCHORARRAY( $W$5), 0), 0)
    )
)
/
(
    INDEX($AN$5:$AN$77, MATCH(AE$100,_xlfn.ANCHORARRAY( $W$5), 0))
    *
    INDEX($AN$5:$AN$77, MATCH($A130,_xlfn.ANCHORARRAY( $W$5), 0))
)</f>
        <v>1.0000000000000002</v>
      </c>
      <c r="AF130" s="17" cm="1">
        <f t="array" ref="AF130">MMULT(
    MMULT(
        INDEX($X$5:$AM$77, MATCH(AF$100,_xlfn.ANCHORARRAY( $W$5), 0), 0),
        $F$5:$U$20
    ),
    TRANSPOSE(
        INDEX($X$5:$AM$77, MATCH($A130,_xlfn.ANCHORARRAY( $W$5), 0), 0)
    )
)
/
(
    INDEX($AN$5:$AN$77, MATCH(AF$100,_xlfn.ANCHORARRAY( $W$5), 0))
    *
    INDEX($AN$5:$AN$77, MATCH($A130,_xlfn.ANCHORARRAY( $W$5), 0))
)</f>
        <v>0.88698215200339936</v>
      </c>
      <c r="AG130" s="17" cm="1">
        <f t="array" ref="AG130">MMULT(
    MMULT(
        INDEX($X$5:$AM$77, MATCH(AG$100,_xlfn.ANCHORARRAY( $W$5), 0), 0),
        $F$5:$U$20
    ),
    TRANSPOSE(
        INDEX($X$5:$AM$77, MATCH($A130,_xlfn.ANCHORARRAY( $W$5), 0), 0)
    )
)
/
(
    INDEX($AN$5:$AN$77, MATCH(AG$100,_xlfn.ANCHORARRAY( $W$5), 0))
    *
    INDEX($AN$5:$AN$77, MATCH($A130,_xlfn.ANCHORARRAY( $W$5), 0))
)</f>
        <v>0.91643294649607299</v>
      </c>
      <c r="AH130" s="17" cm="1">
        <f t="array" ref="AH130">MMULT(
    MMULT(
        INDEX($X$5:$AM$77, MATCH(AH$100,_xlfn.ANCHORARRAY( $W$5), 0), 0),
        $F$5:$U$20
    ),
    TRANSPOSE(
        INDEX($X$5:$AM$77, MATCH($A130,_xlfn.ANCHORARRAY( $W$5), 0), 0)
    )
)
/
(
    INDEX($AN$5:$AN$77, MATCH(AH$100,_xlfn.ANCHORARRAY( $W$5), 0))
    *
    INDEX($AN$5:$AN$77, MATCH($A130,_xlfn.ANCHORARRAY( $W$5), 0))
)</f>
        <v>0.92268241261583628</v>
      </c>
      <c r="AI130" s="17" cm="1">
        <f t="array" ref="AI130">MMULT(
    MMULT(
        INDEX($X$5:$AM$77, MATCH(AI$100,_xlfn.ANCHORARRAY( $W$5), 0), 0),
        $F$5:$U$20
    ),
    TRANSPOSE(
        INDEX($X$5:$AM$77, MATCH($A130,_xlfn.ANCHORARRAY( $W$5), 0), 0)
    )
)
/
(
    INDEX($AN$5:$AN$77, MATCH(AI$100,_xlfn.ANCHORARRAY( $W$5), 0))
    *
    INDEX($AN$5:$AN$77, MATCH($A130,_xlfn.ANCHORARRAY( $W$5), 0))
)</f>
        <v>0.93296147657259576</v>
      </c>
      <c r="AJ130" s="17" cm="1">
        <f t="array" ref="AJ130">MMULT(
    MMULT(
        INDEX($X$5:$AM$77, MATCH(AJ$100,_xlfn.ANCHORARRAY( $W$5), 0), 0),
        $F$5:$U$20
    ),
    TRANSPOSE(
        INDEX($X$5:$AM$77, MATCH($A130,_xlfn.ANCHORARRAY( $W$5), 0), 0)
    )
)
/
(
    INDEX($AN$5:$AN$77, MATCH(AJ$100,_xlfn.ANCHORARRAY( $W$5), 0))
    *
    INDEX($AN$5:$AN$77, MATCH($A130,_xlfn.ANCHORARRAY( $W$5), 0))
)</f>
        <v>0.83577503053314328</v>
      </c>
      <c r="AK130" s="17" cm="1">
        <f t="array" ref="AK130">MMULT(
    MMULT(
        INDEX($X$5:$AM$77, MATCH(AK$100,_xlfn.ANCHORARRAY( $W$5), 0), 0),
        $F$5:$U$20
    ),
    TRANSPOSE(
        INDEX($X$5:$AM$77, MATCH($A130,_xlfn.ANCHORARRAY( $W$5), 0), 0)
    )
)
/
(
    INDEX($AN$5:$AN$77, MATCH(AK$100,_xlfn.ANCHORARRAY( $W$5), 0))
    *
    INDEX($AN$5:$AN$77, MATCH($A130,_xlfn.ANCHORARRAY( $W$5), 0))
)</f>
        <v>0.83216003607517897</v>
      </c>
      <c r="AL130" s="17" cm="1">
        <f t="array" ref="AL130">MMULT(
    MMULT(
        INDEX($X$5:$AM$77, MATCH(AL$100,_xlfn.ANCHORARRAY( $W$5), 0), 0),
        $F$5:$U$20
    ),
    TRANSPOSE(
        INDEX($X$5:$AM$77, MATCH($A130,_xlfn.ANCHORARRAY( $W$5), 0), 0)
    )
)
/
(
    INDEX($AN$5:$AN$77, MATCH(AL$100,_xlfn.ANCHORARRAY( $W$5), 0))
    *
    INDEX($AN$5:$AN$77, MATCH($A130,_xlfn.ANCHORARRAY( $W$5), 0))
)</f>
        <v>0.68298767047826092</v>
      </c>
      <c r="AM130" s="17" cm="1">
        <f t="array" ref="AM130">MMULT(
    MMULT(
        INDEX($X$5:$AM$77, MATCH(AM$100,_xlfn.ANCHORARRAY( $W$5), 0), 0),
        $F$5:$U$20
    ),
    TRANSPOSE(
        INDEX($X$5:$AM$77, MATCH($A130,_xlfn.ANCHORARRAY( $W$5), 0), 0)
    )
)
/
(
    INDEX($AN$5:$AN$77, MATCH(AM$100,_xlfn.ANCHORARRAY( $W$5), 0))
    *
    INDEX($AN$5:$AN$77, MATCH($A130,_xlfn.ANCHORARRAY( $W$5), 0))
)</f>
        <v>0.68576061559787538</v>
      </c>
      <c r="AN130" s="17" cm="1">
        <f t="array" ref="AN130">MMULT(
    MMULT(
        INDEX($X$5:$AM$77, MATCH(AN$100,_xlfn.ANCHORARRAY( $W$5), 0), 0),
        $F$5:$U$20
    ),
    TRANSPOSE(
        INDEX($X$5:$AM$77, MATCH($A130,_xlfn.ANCHORARRAY( $W$5), 0), 0)
    )
)
/
(
    INDEX($AN$5:$AN$77, MATCH(AN$100,_xlfn.ANCHORARRAY( $W$5), 0))
    *
    INDEX($AN$5:$AN$77, MATCH($A130,_xlfn.ANCHORARRAY( $W$5), 0))
)</f>
        <v>0.90964212780054532</v>
      </c>
      <c r="AO130" s="17" cm="1">
        <f t="array" ref="AO130">MMULT(
    MMULT(
        INDEX($X$5:$AM$77, MATCH(AO$100,_xlfn.ANCHORARRAY( $W$5), 0), 0),
        $F$5:$U$20
    ),
    TRANSPOSE(
        INDEX($X$5:$AM$77, MATCH($A130,_xlfn.ANCHORARRAY( $W$5), 0), 0)
    )
)
/
(
    INDEX($AN$5:$AN$77, MATCH(AO$100,_xlfn.ANCHORARRAY( $W$5), 0))
    *
    INDEX($AN$5:$AN$77, MATCH($A130,_xlfn.ANCHORARRAY( $W$5), 0))
)</f>
        <v>0.65764523903785466</v>
      </c>
      <c r="AP130" s="17" cm="1">
        <f t="array" ref="AP130">MMULT(
    MMULT(
        INDEX($X$5:$AM$77, MATCH(AP$100,_xlfn.ANCHORARRAY( $W$5), 0), 0),
        $F$5:$U$20
    ),
    TRANSPOSE(
        INDEX($X$5:$AM$77, MATCH($A130,_xlfn.ANCHORARRAY( $W$5), 0), 0)
    )
)
/
(
    INDEX($AN$5:$AN$77, MATCH(AP$100,_xlfn.ANCHORARRAY( $W$5), 0))
    *
    INDEX($AN$5:$AN$77, MATCH($A130,_xlfn.ANCHORARRAY( $W$5), 0))
)</f>
        <v>0.86616690197004487</v>
      </c>
      <c r="AQ130" s="17" cm="1">
        <f t="array" ref="AQ130">MMULT(
    MMULT(
        INDEX($X$5:$AM$77, MATCH(AQ$100,_xlfn.ANCHORARRAY( $W$5), 0), 0),
        $F$5:$U$20
    ),
    TRANSPOSE(
        INDEX($X$5:$AM$77, MATCH($A130,_xlfn.ANCHORARRAY( $W$5), 0), 0)
    )
)
/
(
    INDEX($AN$5:$AN$77, MATCH(AQ$100,_xlfn.ANCHORARRAY( $W$5), 0))
    *
    INDEX($AN$5:$AN$77, MATCH($A130,_xlfn.ANCHORARRAY( $W$5), 0))
)</f>
        <v>0.87447768975195883</v>
      </c>
      <c r="AR130" s="17" cm="1">
        <f t="array" ref="AR130">MMULT(
    MMULT(
        INDEX($X$5:$AM$77, MATCH(AR$100,_xlfn.ANCHORARRAY( $W$5), 0), 0),
        $F$5:$U$20
    ),
    TRANSPOSE(
        INDEX($X$5:$AM$77, MATCH($A130,_xlfn.ANCHORARRAY( $W$5), 0), 0)
    )
)
/
(
    INDEX($AN$5:$AN$77, MATCH(AR$100,_xlfn.ANCHORARRAY( $W$5), 0))
    *
    INDEX($AN$5:$AN$77, MATCH($A130,_xlfn.ANCHORARRAY( $W$5), 0))
)</f>
        <v>0.85421142041059916</v>
      </c>
      <c r="AS130" s="17" cm="1">
        <f t="array" ref="AS130">MMULT(
    MMULT(
        INDEX($X$5:$AM$77, MATCH(AS$100,_xlfn.ANCHORARRAY( $W$5), 0), 0),
        $F$5:$U$20
    ),
    TRANSPOSE(
        INDEX($X$5:$AM$77, MATCH($A130,_xlfn.ANCHORARRAY( $W$5), 0), 0)
    )
)
/
(
    INDEX($AN$5:$AN$77, MATCH(AS$100,_xlfn.ANCHORARRAY( $W$5), 0))
    *
    INDEX($AN$5:$AN$77, MATCH($A130,_xlfn.ANCHORARRAY( $W$5), 0))
)</f>
        <v>0.85641656656743592</v>
      </c>
      <c r="AT130" s="17" cm="1">
        <f t="array" ref="AT130">MMULT(
    MMULT(
        INDEX($X$5:$AM$77, MATCH(AT$100,_xlfn.ANCHORARRAY( $W$5), 0), 0),
        $F$5:$U$20
    ),
    TRANSPOSE(
        INDEX($X$5:$AM$77, MATCH($A130,_xlfn.ANCHORARRAY( $W$5), 0), 0)
    )
)
/
(
    INDEX($AN$5:$AN$77, MATCH(AT$100,_xlfn.ANCHORARRAY( $W$5), 0))
    *
    INDEX($AN$5:$AN$77, MATCH($A130,_xlfn.ANCHORARRAY( $W$5), 0))
)</f>
        <v>0.90233995092277552</v>
      </c>
      <c r="AU130" s="17" cm="1">
        <f t="array" ref="AU130">MMULT(
    MMULT(
        INDEX($X$5:$AM$77, MATCH(AU$100,_xlfn.ANCHORARRAY( $W$5), 0), 0),
        $F$5:$U$20
    ),
    TRANSPOSE(
        INDEX($X$5:$AM$77, MATCH($A130,_xlfn.ANCHORARRAY( $W$5), 0), 0)
    )
)
/
(
    INDEX($AN$5:$AN$77, MATCH(AU$100,_xlfn.ANCHORARRAY( $W$5), 0))
    *
    INDEX($AN$5:$AN$77, MATCH($A130,_xlfn.ANCHORARRAY( $W$5), 0))
)</f>
        <v>0.81604384250623374</v>
      </c>
      <c r="AV130" s="17" cm="1">
        <f t="array" ref="AV130">MMULT(
    MMULT(
        INDEX($X$5:$AM$77, MATCH(AV$100,_xlfn.ANCHORARRAY( $W$5), 0), 0),
        $F$5:$U$20
    ),
    TRANSPOSE(
        INDEX($X$5:$AM$77, MATCH($A130,_xlfn.ANCHORARRAY( $W$5), 0), 0)
    )
)
/
(
    INDEX($AN$5:$AN$77, MATCH(AV$100,_xlfn.ANCHORARRAY( $W$5), 0))
    *
    INDEX($AN$5:$AN$77, MATCH($A130,_xlfn.ANCHORARRAY( $W$5), 0))
)</f>
        <v>0.76042226293087256</v>
      </c>
      <c r="AW130" s="17" cm="1">
        <f t="array" ref="AW130">MMULT(
    MMULT(
        INDEX($X$5:$AM$77, MATCH(AW$100,_xlfn.ANCHORARRAY( $W$5), 0), 0),
        $F$5:$U$20
    ),
    TRANSPOSE(
        INDEX($X$5:$AM$77, MATCH($A130,_xlfn.ANCHORARRAY( $W$5), 0), 0)
    )
)
/
(
    INDEX($AN$5:$AN$77, MATCH(AW$100,_xlfn.ANCHORARRAY( $W$5), 0))
    *
    INDEX($AN$5:$AN$77, MATCH($A130,_xlfn.ANCHORARRAY( $W$5), 0))
)</f>
        <v>0.7944568134915394</v>
      </c>
      <c r="AX130" s="17" cm="1">
        <f t="array" ref="AX130">MMULT(
    MMULT(
        INDEX($X$5:$AM$77, MATCH(AX$100,_xlfn.ANCHORARRAY( $W$5), 0), 0),
        $F$5:$U$20
    ),
    TRANSPOSE(
        INDEX($X$5:$AM$77, MATCH($A130,_xlfn.ANCHORARRAY( $W$5), 0), 0)
    )
)
/
(
    INDEX($AN$5:$AN$77, MATCH(AX$100,_xlfn.ANCHORARRAY( $W$5), 0))
    *
    INDEX($AN$5:$AN$77, MATCH($A130,_xlfn.ANCHORARRAY( $W$5), 0))
)</f>
        <v>0.62762720138488182</v>
      </c>
      <c r="AY130" s="17" cm="1">
        <f t="array" ref="AY130">MMULT(
    MMULT(
        INDEX($X$5:$AM$77, MATCH(AY$100,_xlfn.ANCHORARRAY( $W$5), 0), 0),
        $F$5:$U$20
    ),
    TRANSPOSE(
        INDEX($X$5:$AM$77, MATCH($A130,_xlfn.ANCHORARRAY( $W$5), 0), 0)
    )
)
/
(
    INDEX($AN$5:$AN$77, MATCH(AY$100,_xlfn.ANCHORARRAY( $W$5), 0))
    *
    INDEX($AN$5:$AN$77, MATCH($A130,_xlfn.ANCHORARRAY( $W$5), 0))
)</f>
        <v>0.88755007304075562</v>
      </c>
      <c r="AZ130" s="17" cm="1">
        <f t="array" ref="AZ130">MMULT(
    MMULT(
        INDEX($X$5:$AM$77, MATCH(AZ$100,_xlfn.ANCHORARRAY( $W$5), 0), 0),
        $F$5:$U$20
    ),
    TRANSPOSE(
        INDEX($X$5:$AM$77, MATCH($A130,_xlfn.ANCHORARRAY( $W$5), 0), 0)
    )
)
/
(
    INDEX($AN$5:$AN$77, MATCH(AZ$100,_xlfn.ANCHORARRAY( $W$5), 0))
    *
    INDEX($AN$5:$AN$77, MATCH($A130,_xlfn.ANCHORARRAY( $W$5), 0))
)</f>
        <v>0.7961994327528642</v>
      </c>
      <c r="BA130" s="17" cm="1">
        <f t="array" ref="BA130">MMULT(
    MMULT(
        INDEX($X$5:$AM$77, MATCH(BA$100,_xlfn.ANCHORARRAY( $W$5), 0), 0),
        $F$5:$U$20
    ),
    TRANSPOSE(
        INDEX($X$5:$AM$77, MATCH($A130,_xlfn.ANCHORARRAY( $W$5), 0), 0)
    )
)
/
(
    INDEX($AN$5:$AN$77, MATCH(BA$100,_xlfn.ANCHORARRAY( $W$5), 0))
    *
    INDEX($AN$5:$AN$77, MATCH($A130,_xlfn.ANCHORARRAY( $W$5), 0))
)</f>
        <v>0.83227893347369686</v>
      </c>
      <c r="BB130" s="17" cm="1">
        <f t="array" ref="BB130">MMULT(
    MMULT(
        INDEX($X$5:$AM$77, MATCH(BB$100,_xlfn.ANCHORARRAY( $W$5), 0), 0),
        $F$5:$U$20
    ),
    TRANSPOSE(
        INDEX($X$5:$AM$77, MATCH($A130,_xlfn.ANCHORARRAY( $W$5), 0), 0)
    )
)
/
(
    INDEX($AN$5:$AN$77, MATCH(BB$100,_xlfn.ANCHORARRAY( $W$5), 0))
    *
    INDEX($AN$5:$AN$77, MATCH($A130,_xlfn.ANCHORARRAY( $W$5), 0))
)</f>
        <v>0.62411666973407853</v>
      </c>
      <c r="BC130" s="17" cm="1">
        <f t="array" ref="BC130">MMULT(
    MMULT(
        INDEX($X$5:$AM$77, MATCH(BC$100,_xlfn.ANCHORARRAY( $W$5), 0), 0),
        $F$5:$U$20
    ),
    TRANSPOSE(
        INDEX($X$5:$AM$77, MATCH($A130,_xlfn.ANCHORARRAY( $W$5), 0), 0)
    )
)
/
(
    INDEX($AN$5:$AN$77, MATCH(BC$100,_xlfn.ANCHORARRAY( $W$5), 0))
    *
    INDEX($AN$5:$AN$77, MATCH($A130,_xlfn.ANCHORARRAY( $W$5), 0))
)</f>
        <v>0.89494447136198152</v>
      </c>
      <c r="BD130" s="17" cm="1">
        <f t="array" ref="BD130">MMULT(
    MMULT(
        INDEX($X$5:$AM$77, MATCH(BD$100,_xlfn.ANCHORARRAY( $W$5), 0), 0),
        $F$5:$U$20
    ),
    TRANSPOSE(
        INDEX($X$5:$AM$77, MATCH($A130,_xlfn.ANCHORARRAY( $W$5), 0), 0)
    )
)
/
(
    INDEX($AN$5:$AN$77, MATCH(BD$100,_xlfn.ANCHORARRAY( $W$5), 0))
    *
    INDEX($AN$5:$AN$77, MATCH($A130,_xlfn.ANCHORARRAY( $W$5), 0))
)</f>
        <v>0.76687578422155034</v>
      </c>
      <c r="BE130" s="17" cm="1">
        <f t="array" ref="BE130">MMULT(
    MMULT(
        INDEX($X$5:$AM$77, MATCH(BE$100,_xlfn.ANCHORARRAY( $W$5), 0), 0),
        $F$5:$U$20
    ),
    TRANSPOSE(
        INDEX($X$5:$AM$77, MATCH($A130,_xlfn.ANCHORARRAY( $W$5), 0), 0)
    )
)
/
(
    INDEX($AN$5:$AN$77, MATCH(BE$100,_xlfn.ANCHORARRAY( $W$5), 0))
    *
    INDEX($AN$5:$AN$77, MATCH($A130,_xlfn.ANCHORARRAY( $W$5), 0))
)</f>
        <v>0.70315418436744981</v>
      </c>
      <c r="BF130" s="17" cm="1">
        <f t="array" ref="BF130">MMULT(
    MMULT(
        INDEX($X$5:$AM$77, MATCH(BF$100,_xlfn.ANCHORARRAY( $W$5), 0), 0),
        $F$5:$U$20
    ),
    TRANSPOSE(
        INDEX($X$5:$AM$77, MATCH($A130,_xlfn.ANCHORARRAY( $W$5), 0), 0)
    )
)
/
(
    INDEX($AN$5:$AN$77, MATCH(BF$100,_xlfn.ANCHORARRAY( $W$5), 0))
    *
    INDEX($AN$5:$AN$77, MATCH($A130,_xlfn.ANCHORARRAY( $W$5), 0))
)</f>
        <v>0.88641025954117536</v>
      </c>
      <c r="BG130" s="17" cm="1">
        <f t="array" ref="BG130">MMULT(
    MMULT(
        INDEX($X$5:$AM$77, MATCH(BG$100,_xlfn.ANCHORARRAY( $W$5), 0), 0),
        $F$5:$U$20
    ),
    TRANSPOSE(
        INDEX($X$5:$AM$77, MATCH($A130,_xlfn.ANCHORARRAY( $W$5), 0), 0)
    )
)
/
(
    INDEX($AN$5:$AN$77, MATCH(BG$100,_xlfn.ANCHORARRAY( $W$5), 0))
    *
    INDEX($AN$5:$AN$77, MATCH($A130,_xlfn.ANCHORARRAY( $W$5), 0))
)</f>
        <v>0.87441946362568301</v>
      </c>
      <c r="BH130" s="17" cm="1">
        <f t="array" ref="BH130">MMULT(
    MMULT(
        INDEX($X$5:$AM$77, MATCH(BH$100,_xlfn.ANCHORARRAY( $W$5), 0), 0),
        $F$5:$U$20
    ),
    TRANSPOSE(
        INDEX($X$5:$AM$77, MATCH($A130,_xlfn.ANCHORARRAY( $W$5), 0), 0)
    )
)
/
(
    INDEX($AN$5:$AN$77, MATCH(BH$100,_xlfn.ANCHORARRAY( $W$5), 0))
    *
    INDEX($AN$5:$AN$77, MATCH($A130,_xlfn.ANCHORARRAY( $W$5), 0))
)</f>
        <v>0.92428322420807452</v>
      </c>
      <c r="BI130" s="17" cm="1">
        <f t="array" ref="BI130">MMULT(
    MMULT(
        INDEX($X$5:$AM$77, MATCH(BI$100,_xlfn.ANCHORARRAY( $W$5), 0), 0),
        $F$5:$U$20
    ),
    TRANSPOSE(
        INDEX($X$5:$AM$77, MATCH($A130,_xlfn.ANCHORARRAY( $W$5), 0), 0)
    )
)
/
(
    INDEX($AN$5:$AN$77, MATCH(BI$100,_xlfn.ANCHORARRAY( $W$5), 0))
    *
    INDEX($AN$5:$AN$77, MATCH($A130,_xlfn.ANCHORARRAY( $W$5), 0))
)</f>
        <v>0.76867313230043066</v>
      </c>
      <c r="BJ130" s="17" cm="1">
        <f t="array" ref="BJ130">MMULT(
    MMULT(
        INDEX($X$5:$AM$77, MATCH(BJ$100,_xlfn.ANCHORARRAY( $W$5), 0), 0),
        $F$5:$U$20
    ),
    TRANSPOSE(
        INDEX($X$5:$AM$77, MATCH($A130,_xlfn.ANCHORARRAY( $W$5), 0), 0)
    )
)
/
(
    INDEX($AN$5:$AN$77, MATCH(BJ$100,_xlfn.ANCHORARRAY( $W$5), 0))
    *
    INDEX($AN$5:$AN$77, MATCH($A130,_xlfn.ANCHORARRAY( $W$5), 0))
)</f>
        <v>0.87531489279159169</v>
      </c>
      <c r="BK130" s="17" cm="1">
        <f t="array" ref="BK130">MMULT(
    MMULT(
        INDEX($X$5:$AM$77, MATCH(BK$100,_xlfn.ANCHORARRAY( $W$5), 0), 0),
        $F$5:$U$20
    ),
    TRANSPOSE(
        INDEX($X$5:$AM$77, MATCH($A130,_xlfn.ANCHORARRAY( $W$5), 0), 0)
    )
)
/
(
    INDEX($AN$5:$AN$77, MATCH(BK$100,_xlfn.ANCHORARRAY( $W$5), 0))
    *
    INDEX($AN$5:$AN$77, MATCH($A130,_xlfn.ANCHORARRAY( $W$5), 0))
)</f>
        <v>0.80743448908660809</v>
      </c>
      <c r="BL130" s="17" cm="1">
        <f t="array" ref="BL130">MMULT(
    MMULT(
        INDEX($X$5:$AM$77, MATCH(BL$100,_xlfn.ANCHORARRAY( $W$5), 0), 0),
        $F$5:$U$20
    ),
    TRANSPOSE(
        INDEX($X$5:$AM$77, MATCH($A130,_xlfn.ANCHORARRAY( $W$5), 0), 0)
    )
)
/
(
    INDEX($AN$5:$AN$77, MATCH(BL$100,_xlfn.ANCHORARRAY( $W$5), 0))
    *
    INDEX($AN$5:$AN$77, MATCH($A130,_xlfn.ANCHORARRAY( $W$5), 0))
)</f>
        <v>0.38014770415435678</v>
      </c>
      <c r="BM130" s="17" cm="1">
        <f t="array" ref="BM130">MMULT(
    MMULT(
        INDEX($X$5:$AM$77, MATCH(BM$100,_xlfn.ANCHORARRAY( $W$5), 0), 0),
        $F$5:$U$20
    ),
    TRANSPOSE(
        INDEX($X$5:$AM$77, MATCH($A130,_xlfn.ANCHORARRAY( $W$5), 0), 0)
    )
)
/
(
    INDEX($AN$5:$AN$77, MATCH(BM$100,_xlfn.ANCHORARRAY( $W$5), 0))
    *
    INDEX($AN$5:$AN$77, MATCH($A130,_xlfn.ANCHORARRAY( $W$5), 0))
)</f>
        <v>0.58456258809270345</v>
      </c>
      <c r="BN130" s="17" cm="1">
        <f t="array" ref="BN130">MMULT(
    MMULT(
        INDEX($X$5:$AM$77, MATCH(BN$100,_xlfn.ANCHORARRAY( $W$5), 0), 0),
        $F$5:$U$20
    ),
    TRANSPOSE(
        INDEX($X$5:$AM$77, MATCH($A130,_xlfn.ANCHORARRAY( $W$5), 0), 0)
    )
)
/
(
    INDEX($AN$5:$AN$77, MATCH(BN$100,_xlfn.ANCHORARRAY( $W$5), 0))
    *
    INDEX($AN$5:$AN$77, MATCH($A130,_xlfn.ANCHORARRAY( $W$5), 0))
)</f>
        <v>0.73681369609951231</v>
      </c>
      <c r="BO130" s="17" cm="1">
        <f t="array" ref="BO130">MMULT(
    MMULT(
        INDEX($X$5:$AM$77, MATCH(BO$100,_xlfn.ANCHORARRAY( $W$5), 0), 0),
        $F$5:$U$20
    ),
    TRANSPOSE(
        INDEX($X$5:$AM$77, MATCH($A130,_xlfn.ANCHORARRAY( $W$5), 0), 0)
    )
)
/
(
    INDEX($AN$5:$AN$77, MATCH(BO$100,_xlfn.ANCHORARRAY( $W$5), 0))
    *
    INDEX($AN$5:$AN$77, MATCH($A130,_xlfn.ANCHORARRAY( $W$5), 0))
)</f>
        <v>0.89578205409859424</v>
      </c>
      <c r="BP130" s="17" cm="1">
        <f t="array" ref="BP130">MMULT(
    MMULT(
        INDEX($X$5:$AM$77, MATCH(BP$100,_xlfn.ANCHORARRAY( $W$5), 0), 0),
        $F$5:$U$20
    ),
    TRANSPOSE(
        INDEX($X$5:$AM$77, MATCH($A130,_xlfn.ANCHORARRAY( $W$5), 0), 0)
    )
)
/
(
    INDEX($AN$5:$AN$77, MATCH(BP$100,_xlfn.ANCHORARRAY( $W$5), 0))
    *
    INDEX($AN$5:$AN$77, MATCH($A130,_xlfn.ANCHORARRAY( $W$5), 0))
)</f>
        <v>0.8794788919571801</v>
      </c>
      <c r="BQ130" s="17" cm="1">
        <f t="array" ref="BQ130">MMULT(
    MMULT(
        INDEX($X$5:$AM$77, MATCH(BQ$100,_xlfn.ANCHORARRAY( $W$5), 0), 0),
        $F$5:$U$20
    ),
    TRANSPOSE(
        INDEX($X$5:$AM$77, MATCH($A130,_xlfn.ANCHORARRAY( $W$5), 0), 0)
    )
)
/
(
    INDEX($AN$5:$AN$77, MATCH(BQ$100,_xlfn.ANCHORARRAY( $W$5), 0))
    *
    INDEX($AN$5:$AN$77, MATCH($A130,_xlfn.ANCHORARRAY( $W$5), 0))
)</f>
        <v>0.61464823328367546</v>
      </c>
      <c r="BR130" s="17" cm="1">
        <f t="array" ref="BR130">MMULT(
    MMULT(
        INDEX($X$5:$AM$77, MATCH(BR$100,_xlfn.ANCHORARRAY( $W$5), 0), 0),
        $F$5:$U$20
    ),
    TRANSPOSE(
        INDEX($X$5:$AM$77, MATCH($A130,_xlfn.ANCHORARRAY( $W$5), 0), 0)
    )
)
/
(
    INDEX($AN$5:$AN$77, MATCH(BR$100,_xlfn.ANCHORARRAY( $W$5), 0))
    *
    INDEX($AN$5:$AN$77, MATCH($A130,_xlfn.ANCHORARRAY( $W$5), 0))
)</f>
        <v>0.86720926558498979</v>
      </c>
      <c r="BS130" s="17" cm="1">
        <f t="array" ref="BS130">MMULT(
    MMULT(
        INDEX($X$5:$AM$77, MATCH(BS$100,_xlfn.ANCHORARRAY( $W$5), 0), 0),
        $F$5:$U$20
    ),
    TRANSPOSE(
        INDEX($X$5:$AM$77, MATCH($A130,_xlfn.ANCHORARRAY( $W$5), 0), 0)
    )
)
/
(
    INDEX($AN$5:$AN$77, MATCH(BS$100,_xlfn.ANCHORARRAY( $W$5), 0))
    *
    INDEX($AN$5:$AN$77, MATCH($A130,_xlfn.ANCHORARRAY( $W$5), 0))
)</f>
        <v>0.81182260020847219</v>
      </c>
      <c r="BT130" s="17" cm="1">
        <f t="array" ref="BT130">MMULT(
    MMULT(
        INDEX($X$5:$AM$77, MATCH(BT$100,_xlfn.ANCHORARRAY( $W$5), 0), 0),
        $F$5:$U$20
    ),
    TRANSPOSE(
        INDEX($X$5:$AM$77, MATCH($A130,_xlfn.ANCHORARRAY( $W$5), 0), 0)
    )
)
/
(
    INDEX($AN$5:$AN$77, MATCH(BT$100,_xlfn.ANCHORARRAY( $W$5), 0))
    *
    INDEX($AN$5:$AN$77, MATCH($A130,_xlfn.ANCHORARRAY( $W$5), 0))
)</f>
        <v>0.85112838268608992</v>
      </c>
      <c r="BU130" s="17" cm="1">
        <f t="array" ref="BU130">MMULT(
    MMULT(
        INDEX($X$5:$AM$77, MATCH(BU$100,_xlfn.ANCHORARRAY( $W$5), 0), 0),
        $F$5:$U$20
    ),
    TRANSPOSE(
        INDEX($X$5:$AM$77, MATCH($A130,_xlfn.ANCHORARRAY( $W$5), 0), 0)
    )
)
/
(
    INDEX($AN$5:$AN$77, MATCH(BU$100,_xlfn.ANCHORARRAY( $W$5), 0))
    *
    INDEX($AN$5:$AN$77, MATCH($A130,_xlfn.ANCHORARRAY( $W$5), 0))
)</f>
        <v>0.92518491415660908</v>
      </c>
      <c r="BV130" s="17" cm="1">
        <f t="array" ref="BV130">MMULT(
    MMULT(
        INDEX($X$5:$AM$77, MATCH(BV$100,_xlfn.ANCHORARRAY( $W$5), 0), 0),
        $F$5:$U$20
    ),
    TRANSPOSE(
        INDEX($X$5:$AM$77, MATCH($A130,_xlfn.ANCHORARRAY( $W$5), 0), 0)
    )
)
/
(
    INDEX($AN$5:$AN$77, MATCH(BV$100,_xlfn.ANCHORARRAY( $W$5), 0))
    *
    INDEX($AN$5:$AN$77, MATCH($A130,_xlfn.ANCHORARRAY( $W$5), 0))
)</f>
        <v>0.88145660319792496</v>
      </c>
    </row>
    <row r="131" spans="1:74" x14ac:dyDescent="0.3">
      <c r="A131" s="7" t="str">
        <v>Stephens, Jackson</v>
      </c>
      <c r="B131" s="17" cm="1">
        <f t="array" ref="B131">MMULT(
    MMULT(
        INDEX($X$5:$AM$77, MATCH(B$100,_xlfn.ANCHORARRAY( $W$5), 0), 0),
        $F$5:$U$20
    ),
    TRANSPOSE(
        INDEX($X$5:$AM$77, MATCH($A131,_xlfn.ANCHORARRAY( $W$5), 0), 0)
    )
)
/
(
    INDEX($AN$5:$AN$77, MATCH(B$100,_xlfn.ANCHORARRAY( $W$5), 0))
    *
    INDEX($AN$5:$AN$77, MATCH($A131,_xlfn.ANCHORARRAY( $W$5), 0))
)</f>
        <v>0.9728271407520287</v>
      </c>
      <c r="C131" s="17" cm="1">
        <f t="array" ref="C131">MMULT(
    MMULT(
        INDEX($X$5:$AM$77, MATCH(C$100,_xlfn.ANCHORARRAY( $W$5), 0), 0),
        $F$5:$U$20
    ),
    TRANSPOSE(
        INDEX($X$5:$AM$77, MATCH($A131,_xlfn.ANCHORARRAY( $W$5), 0), 0)
    )
)
/
(
    INDEX($AN$5:$AN$77, MATCH(C$100,_xlfn.ANCHORARRAY( $W$5), 0))
    *
    INDEX($AN$5:$AN$77, MATCH($A131,_xlfn.ANCHORARRAY( $W$5), 0))
)</f>
        <v>0.96164605517734969</v>
      </c>
      <c r="D131" s="17" cm="1">
        <f t="array" ref="D131">MMULT(
    MMULT(
        INDEX($X$5:$AM$77, MATCH(D$100,_xlfn.ANCHORARRAY( $W$5), 0), 0),
        $F$5:$U$20
    ),
    TRANSPOSE(
        INDEX($X$5:$AM$77, MATCH($A131,_xlfn.ANCHORARRAY( $W$5), 0), 0)
    )
)
/
(
    INDEX($AN$5:$AN$77, MATCH(D$100,_xlfn.ANCHORARRAY( $W$5), 0))
    *
    INDEX($AN$5:$AN$77, MATCH($A131,_xlfn.ANCHORARRAY( $W$5), 0))
)</f>
        <v>0.80169440014253768</v>
      </c>
      <c r="E131" s="17" cm="1">
        <f t="array" ref="E131">MMULT(
    MMULT(
        INDEX($X$5:$AM$77, MATCH(E$100,_xlfn.ANCHORARRAY( $W$5), 0), 0),
        $F$5:$U$20
    ),
    TRANSPOSE(
        INDEX($X$5:$AM$77, MATCH($A131,_xlfn.ANCHORARRAY( $W$5), 0), 0)
    )
)
/
(
    INDEX($AN$5:$AN$77, MATCH(E$100,_xlfn.ANCHORARRAY( $W$5), 0))
    *
    INDEX($AN$5:$AN$77, MATCH($A131,_xlfn.ANCHORARRAY( $W$5), 0))
)</f>
        <v>0.76969180825258565</v>
      </c>
      <c r="F131" s="17" cm="1">
        <f t="array" ref="F131">MMULT(
    MMULT(
        INDEX($X$5:$AM$77, MATCH(F$100,_xlfn.ANCHORARRAY( $W$5), 0), 0),
        $F$5:$U$20
    ),
    TRANSPOSE(
        INDEX($X$5:$AM$77, MATCH($A131,_xlfn.ANCHORARRAY( $W$5), 0), 0)
    )
)
/
(
    INDEX($AN$5:$AN$77, MATCH(F$100,_xlfn.ANCHORARRAY( $W$5), 0))
    *
    INDEX($AN$5:$AN$77, MATCH($A131,_xlfn.ANCHORARRAY( $W$5), 0))
)</f>
        <v>0.69141556382335256</v>
      </c>
      <c r="G131" s="17" cm="1">
        <f t="array" ref="G131">MMULT(
    MMULT(
        INDEX($X$5:$AM$77, MATCH(G$100,_xlfn.ANCHORARRAY( $W$5), 0), 0),
        $F$5:$U$20
    ),
    TRANSPOSE(
        INDEX($X$5:$AM$77, MATCH($A131,_xlfn.ANCHORARRAY( $W$5), 0), 0)
    )
)
/
(
    INDEX($AN$5:$AN$77, MATCH(G$100,_xlfn.ANCHORARRAY( $W$5), 0))
    *
    INDEX($AN$5:$AN$77, MATCH($A131,_xlfn.ANCHORARRAY( $W$5), 0))
)</f>
        <v>0.87684628670805254</v>
      </c>
      <c r="H131" s="17" cm="1">
        <f t="array" ref="H131">MMULT(
    MMULT(
        INDEX($X$5:$AM$77, MATCH(H$100,_xlfn.ANCHORARRAY( $W$5), 0), 0),
        $F$5:$U$20
    ),
    TRANSPOSE(
        INDEX($X$5:$AM$77, MATCH($A131,_xlfn.ANCHORARRAY( $W$5), 0), 0)
    )
)
/
(
    INDEX($AN$5:$AN$77, MATCH(H$100,_xlfn.ANCHORARRAY( $W$5), 0))
    *
    INDEX($AN$5:$AN$77, MATCH($A131,_xlfn.ANCHORARRAY( $W$5), 0))
)</f>
        <v>0.84335091641647686</v>
      </c>
      <c r="I131" s="17" cm="1">
        <f t="array" ref="I131">MMULT(
    MMULT(
        INDEX($X$5:$AM$77, MATCH(I$100,_xlfn.ANCHORARRAY( $W$5), 0), 0),
        $F$5:$U$20
    ),
    TRANSPOSE(
        INDEX($X$5:$AM$77, MATCH($A131,_xlfn.ANCHORARRAY( $W$5), 0), 0)
    )
)
/
(
    INDEX($AN$5:$AN$77, MATCH(I$100,_xlfn.ANCHORARRAY( $W$5), 0))
    *
    INDEX($AN$5:$AN$77, MATCH($A131,_xlfn.ANCHORARRAY( $W$5), 0))
)</f>
        <v>0.89870795241210311</v>
      </c>
      <c r="J131" s="17" cm="1">
        <f t="array" ref="J131">MMULT(
    MMULT(
        INDEX($X$5:$AM$77, MATCH(J$100,_xlfn.ANCHORARRAY( $W$5), 0), 0),
        $F$5:$U$20
    ),
    TRANSPOSE(
        INDEX($X$5:$AM$77, MATCH($A131,_xlfn.ANCHORARRAY( $W$5), 0), 0)
    )
)
/
(
    INDEX($AN$5:$AN$77, MATCH(J$100,_xlfn.ANCHORARRAY( $W$5), 0))
    *
    INDEX($AN$5:$AN$77, MATCH($A131,_xlfn.ANCHORARRAY( $W$5), 0))
)</f>
        <v>0.92104904652858643</v>
      </c>
      <c r="K131" s="17" cm="1">
        <f t="array" ref="K131">MMULT(
    MMULT(
        INDEX($X$5:$AM$77, MATCH(K$100,_xlfn.ANCHORARRAY( $W$5), 0), 0),
        $F$5:$U$20
    ),
    TRANSPOSE(
        INDEX($X$5:$AM$77, MATCH($A131,_xlfn.ANCHORARRAY( $W$5), 0), 0)
    )
)
/
(
    INDEX($AN$5:$AN$77, MATCH(K$100,_xlfn.ANCHORARRAY( $W$5), 0))
    *
    INDEX($AN$5:$AN$77, MATCH($A131,_xlfn.ANCHORARRAY( $W$5), 0))
)</f>
        <v>0.8409850830944442</v>
      </c>
      <c r="L131" s="17" cm="1">
        <f t="array" ref="L131">MMULT(
    MMULT(
        INDEX($X$5:$AM$77, MATCH(L$100,_xlfn.ANCHORARRAY( $W$5), 0), 0),
        $F$5:$U$20
    ),
    TRANSPOSE(
        INDEX($X$5:$AM$77, MATCH($A131,_xlfn.ANCHORARRAY( $W$5), 0), 0)
    )
)
/
(
    INDEX($AN$5:$AN$77, MATCH(L$100,_xlfn.ANCHORARRAY( $W$5), 0))
    *
    INDEX($AN$5:$AN$77, MATCH($A131,_xlfn.ANCHORARRAY( $W$5), 0))
)</f>
        <v>0.8194146323589715</v>
      </c>
      <c r="M131" s="17" cm="1">
        <f t="array" ref="M131">MMULT(
    MMULT(
        INDEX($X$5:$AM$77, MATCH(M$100,_xlfn.ANCHORARRAY( $W$5), 0), 0),
        $F$5:$U$20
    ),
    TRANSPOSE(
        INDEX($X$5:$AM$77, MATCH($A131,_xlfn.ANCHORARRAY( $W$5), 0), 0)
    )
)
/
(
    INDEX($AN$5:$AN$77, MATCH(M$100,_xlfn.ANCHORARRAY( $W$5), 0))
    *
    INDEX($AN$5:$AN$77, MATCH($A131,_xlfn.ANCHORARRAY( $W$5), 0))
)</f>
        <v>0.8210019589595231</v>
      </c>
      <c r="N131" s="17" cm="1">
        <f t="array" ref="N131">MMULT(
    MMULT(
        INDEX($X$5:$AM$77, MATCH(N$100,_xlfn.ANCHORARRAY( $W$5), 0), 0),
        $F$5:$U$20
    ),
    TRANSPOSE(
        INDEX($X$5:$AM$77, MATCH($A131,_xlfn.ANCHORARRAY( $W$5), 0), 0)
    )
)
/
(
    INDEX($AN$5:$AN$77, MATCH(N$100,_xlfn.ANCHORARRAY( $W$5), 0))
    *
    INDEX($AN$5:$AN$77, MATCH($A131,_xlfn.ANCHORARRAY( $W$5), 0))
)</f>
        <v>0.64101114375111101</v>
      </c>
      <c r="O131" s="17" cm="1">
        <f t="array" ref="O131">MMULT(
    MMULT(
        INDEX($X$5:$AM$77, MATCH(O$100,_xlfn.ANCHORARRAY( $W$5), 0), 0),
        $F$5:$U$20
    ),
    TRANSPOSE(
        INDEX($X$5:$AM$77, MATCH($A131,_xlfn.ANCHORARRAY( $W$5), 0), 0)
    )
)
/
(
    INDEX($AN$5:$AN$77, MATCH(O$100,_xlfn.ANCHORARRAY( $W$5), 0))
    *
    INDEX($AN$5:$AN$77, MATCH($A131,_xlfn.ANCHORARRAY( $W$5), 0))
)</f>
        <v>0.57189955912614621</v>
      </c>
      <c r="P131" s="17" cm="1">
        <f t="array" ref="P131">MMULT(
    MMULT(
        INDEX($X$5:$AM$77, MATCH(P$100,_xlfn.ANCHORARRAY( $W$5), 0), 0),
        $F$5:$U$20
    ),
    TRANSPOSE(
        INDEX($X$5:$AM$77, MATCH($A131,_xlfn.ANCHORARRAY( $W$5), 0), 0)
    )
)
/
(
    INDEX($AN$5:$AN$77, MATCH(P$100,_xlfn.ANCHORARRAY( $W$5), 0))
    *
    INDEX($AN$5:$AN$77, MATCH($A131,_xlfn.ANCHORARRAY( $W$5), 0))
)</f>
        <v>0.82506987440789348</v>
      </c>
      <c r="Q131" s="17" cm="1">
        <f t="array" ref="Q131">MMULT(
    MMULT(
        INDEX($X$5:$AM$77, MATCH(Q$100,_xlfn.ANCHORARRAY( $W$5), 0), 0),
        $F$5:$U$20
    ),
    TRANSPOSE(
        INDEX($X$5:$AM$77, MATCH($A131,_xlfn.ANCHORARRAY( $W$5), 0), 0)
    )
)
/
(
    INDEX($AN$5:$AN$77, MATCH(Q$100,_xlfn.ANCHORARRAY( $W$5), 0))
    *
    INDEX($AN$5:$AN$77, MATCH($A131,_xlfn.ANCHORARRAY( $W$5), 0))
)</f>
        <v>0.90759413894742302</v>
      </c>
      <c r="R131" s="17" cm="1">
        <f t="array" ref="R131">MMULT(
    MMULT(
        INDEX($X$5:$AM$77, MATCH(R$100,_xlfn.ANCHORARRAY( $W$5), 0), 0),
        $F$5:$U$20
    ),
    TRANSPOSE(
        INDEX($X$5:$AM$77, MATCH($A131,_xlfn.ANCHORARRAY( $W$5), 0), 0)
    )
)
/
(
    INDEX($AN$5:$AN$77, MATCH(R$100,_xlfn.ANCHORARRAY( $W$5), 0))
    *
    INDEX($AN$5:$AN$77, MATCH($A131,_xlfn.ANCHORARRAY( $W$5), 0))
)</f>
        <v>0.83302286141787307</v>
      </c>
      <c r="S131" s="17" cm="1">
        <f t="array" ref="S131">MMULT(
    MMULT(
        INDEX($X$5:$AM$77, MATCH(S$100,_xlfn.ANCHORARRAY( $W$5), 0), 0),
        $F$5:$U$20
    ),
    TRANSPOSE(
        INDEX($X$5:$AM$77, MATCH($A131,_xlfn.ANCHORARRAY( $W$5), 0), 0)
    )
)
/
(
    INDEX($AN$5:$AN$77, MATCH(S$100,_xlfn.ANCHORARRAY( $W$5), 0))
    *
    INDEX($AN$5:$AN$77, MATCH($A131,_xlfn.ANCHORARRAY( $W$5), 0))
)</f>
        <v>0.94160056598363218</v>
      </c>
      <c r="T131" s="17" cm="1">
        <f t="array" ref="T131">MMULT(
    MMULT(
        INDEX($X$5:$AM$77, MATCH(T$100,_xlfn.ANCHORARRAY( $W$5), 0), 0),
        $F$5:$U$20
    ),
    TRANSPOSE(
        INDEX($X$5:$AM$77, MATCH($A131,_xlfn.ANCHORARRAY( $W$5), 0), 0)
    )
)
/
(
    INDEX($AN$5:$AN$77, MATCH(T$100,_xlfn.ANCHORARRAY( $W$5), 0))
    *
    INDEX($AN$5:$AN$77, MATCH($A131,_xlfn.ANCHORARRAY( $W$5), 0))
)</f>
        <v>0.70912960873133679</v>
      </c>
      <c r="U131" s="17" cm="1">
        <f t="array" ref="U131">MMULT(
    MMULT(
        INDEX($X$5:$AM$77, MATCH(U$100,_xlfn.ANCHORARRAY( $W$5), 0), 0),
        $F$5:$U$20
    ),
    TRANSPOSE(
        INDEX($X$5:$AM$77, MATCH($A131,_xlfn.ANCHORARRAY( $W$5), 0), 0)
    )
)
/
(
    INDEX($AN$5:$AN$77, MATCH(U$100,_xlfn.ANCHORARRAY( $W$5), 0))
    *
    INDEX($AN$5:$AN$77, MATCH($A131,_xlfn.ANCHORARRAY( $W$5), 0))
)</f>
        <v>0.85311963672643476</v>
      </c>
      <c r="V131" s="17" cm="1">
        <f t="array" ref="V131">MMULT(
    MMULT(
        INDEX($X$5:$AM$77, MATCH(V$100,_xlfn.ANCHORARRAY( $W$5), 0), 0),
        $F$5:$U$20
    ),
    TRANSPOSE(
        INDEX($X$5:$AM$77, MATCH($A131,_xlfn.ANCHORARRAY( $W$5), 0), 0)
    )
)
/
(
    INDEX($AN$5:$AN$77, MATCH(V$100,_xlfn.ANCHORARRAY( $W$5), 0))
    *
    INDEX($AN$5:$AN$77, MATCH($A131,_xlfn.ANCHORARRAY( $W$5), 0))
)</f>
        <v>0.827141126389762</v>
      </c>
      <c r="W131" s="17" cm="1">
        <f t="array" ref="W131">MMULT(
    MMULT(
        INDEX($X$5:$AM$77, MATCH(W$100,_xlfn.ANCHORARRAY( $W$5), 0), 0),
        $F$5:$U$20
    ),
    TRANSPOSE(
        INDEX($X$5:$AM$77, MATCH($A131,_xlfn.ANCHORARRAY( $W$5), 0), 0)
    )
)
/
(
    INDEX($AN$5:$AN$77, MATCH(W$100,_xlfn.ANCHORARRAY( $W$5), 0))
    *
    INDEX($AN$5:$AN$77, MATCH($A131,_xlfn.ANCHORARRAY( $W$5), 0))
)</f>
        <v>0.56380260464359111</v>
      </c>
      <c r="X131" s="17" cm="1">
        <f t="array" ref="X131">MMULT(
    MMULT(
        INDEX($X$5:$AM$77, MATCH(X$100,_xlfn.ANCHORARRAY( $W$5), 0), 0),
        $F$5:$U$20
    ),
    TRANSPOSE(
        INDEX($X$5:$AM$77, MATCH($A131,_xlfn.ANCHORARRAY( $W$5), 0), 0)
    )
)
/
(
    INDEX($AN$5:$AN$77, MATCH(X$100,_xlfn.ANCHORARRAY( $W$5), 0))
    *
    INDEX($AN$5:$AN$77, MATCH($A131,_xlfn.ANCHORARRAY( $W$5), 0))
)</f>
        <v>0.66707715744658103</v>
      </c>
      <c r="Y131" s="17" cm="1">
        <f t="array" ref="Y131">MMULT(
    MMULT(
        INDEX($X$5:$AM$77, MATCH(Y$100,_xlfn.ANCHORARRAY( $W$5), 0), 0),
        $F$5:$U$20
    ),
    TRANSPOSE(
        INDEX($X$5:$AM$77, MATCH($A131,_xlfn.ANCHORARRAY( $W$5), 0), 0)
    )
)
/
(
    INDEX($AN$5:$AN$77, MATCH(Y$100,_xlfn.ANCHORARRAY( $W$5), 0))
    *
    INDEX($AN$5:$AN$77, MATCH($A131,_xlfn.ANCHORARRAY( $W$5), 0))
)</f>
        <v>0.93950998944111563</v>
      </c>
      <c r="Z131" s="17" cm="1">
        <f t="array" ref="Z131">MMULT(
    MMULT(
        INDEX($X$5:$AM$77, MATCH(Z$100,_xlfn.ANCHORARRAY( $W$5), 0), 0),
        $F$5:$U$20
    ),
    TRANSPOSE(
        INDEX($X$5:$AM$77, MATCH($A131,_xlfn.ANCHORARRAY( $W$5), 0), 0)
    )
)
/
(
    INDEX($AN$5:$AN$77, MATCH(Z$100,_xlfn.ANCHORARRAY( $W$5), 0))
    *
    INDEX($AN$5:$AN$77, MATCH($A131,_xlfn.ANCHORARRAY( $W$5), 0))
)</f>
        <v>0.72907889786978919</v>
      </c>
      <c r="AA131" s="17" cm="1">
        <f t="array" ref="AA131">MMULT(
    MMULT(
        INDEX($X$5:$AM$77, MATCH(AA$100,_xlfn.ANCHORARRAY( $W$5), 0), 0),
        $F$5:$U$20
    ),
    TRANSPOSE(
        INDEX($X$5:$AM$77, MATCH($A131,_xlfn.ANCHORARRAY( $W$5), 0), 0)
    )
)
/
(
    INDEX($AN$5:$AN$77, MATCH(AA$100,_xlfn.ANCHORARRAY( $W$5), 0))
    *
    INDEX($AN$5:$AN$77, MATCH($A131,_xlfn.ANCHORARRAY( $W$5), 0))
)</f>
        <v>0.72931282913956563</v>
      </c>
      <c r="AB131" s="17" cm="1">
        <f t="array" ref="AB131">MMULT(
    MMULT(
        INDEX($X$5:$AM$77, MATCH(AB$100,_xlfn.ANCHORARRAY( $W$5), 0), 0),
        $F$5:$U$20
    ),
    TRANSPOSE(
        INDEX($X$5:$AM$77, MATCH($A131,_xlfn.ANCHORARRAY( $W$5), 0), 0)
    )
)
/
(
    INDEX($AN$5:$AN$77, MATCH(AB$100,_xlfn.ANCHORARRAY( $W$5), 0))
    *
    INDEX($AN$5:$AN$77, MATCH($A131,_xlfn.ANCHORARRAY( $W$5), 0))
)</f>
        <v>0.87957719584449501</v>
      </c>
      <c r="AC131" s="17" cm="1">
        <f t="array" ref="AC131">MMULT(
    MMULT(
        INDEX($X$5:$AM$77, MATCH(AC$100,_xlfn.ANCHORARRAY( $W$5), 0), 0),
        $F$5:$U$20
    ),
    TRANSPOSE(
        INDEX($X$5:$AM$77, MATCH($A131,_xlfn.ANCHORARRAY( $W$5), 0), 0)
    )
)
/
(
    INDEX($AN$5:$AN$77, MATCH(AC$100,_xlfn.ANCHORARRAY( $W$5), 0))
    *
    INDEX($AN$5:$AN$77, MATCH($A131,_xlfn.ANCHORARRAY( $W$5), 0))
)</f>
        <v>0.85139959240958751</v>
      </c>
      <c r="AD131" s="17" cm="1">
        <f t="array" ref="AD131">MMULT(
    MMULT(
        INDEX($X$5:$AM$77, MATCH(AD$100,_xlfn.ANCHORARRAY( $W$5), 0), 0),
        $F$5:$U$20
    ),
    TRANSPOSE(
        INDEX($X$5:$AM$77, MATCH($A131,_xlfn.ANCHORARRAY( $W$5), 0), 0)
    )
)
/
(
    INDEX($AN$5:$AN$77, MATCH(AD$100,_xlfn.ANCHORARRAY( $W$5), 0))
    *
    INDEX($AN$5:$AN$77, MATCH($A131,_xlfn.ANCHORARRAY( $W$5), 0))
)</f>
        <v>0.75489399038688354</v>
      </c>
      <c r="AE131" s="17" cm="1">
        <f t="array" ref="AE131">MMULT(
    MMULT(
        INDEX($X$5:$AM$77, MATCH(AE$100,_xlfn.ANCHORARRAY( $W$5), 0), 0),
        $F$5:$U$20
    ),
    TRANSPOSE(
        INDEX($X$5:$AM$77, MATCH($A131,_xlfn.ANCHORARRAY( $W$5), 0), 0)
    )
)
/
(
    INDEX($AN$5:$AN$77, MATCH(AE$100,_xlfn.ANCHORARRAY( $W$5), 0))
    *
    INDEX($AN$5:$AN$77, MATCH($A131,_xlfn.ANCHORARRAY( $W$5), 0))
)</f>
        <v>0.88698215200339936</v>
      </c>
      <c r="AF131" s="17" cm="1">
        <f t="array" ref="AF131">MMULT(
    MMULT(
        INDEX($X$5:$AM$77, MATCH(AF$100,_xlfn.ANCHORARRAY( $W$5), 0), 0),
        $F$5:$U$20
    ),
    TRANSPOSE(
        INDEX($X$5:$AM$77, MATCH($A131,_xlfn.ANCHORARRAY( $W$5), 0), 0)
    )
)
/
(
    INDEX($AN$5:$AN$77, MATCH(AF$100,_xlfn.ANCHORARRAY( $W$5), 0))
    *
    INDEX($AN$5:$AN$77, MATCH($A131,_xlfn.ANCHORARRAY( $W$5), 0))
)</f>
        <v>0.99999999999999989</v>
      </c>
      <c r="AG131" s="17" cm="1">
        <f t="array" ref="AG131">MMULT(
    MMULT(
        INDEX($X$5:$AM$77, MATCH(AG$100,_xlfn.ANCHORARRAY( $W$5), 0), 0),
        $F$5:$U$20
    ),
    TRANSPOSE(
        INDEX($X$5:$AM$77, MATCH($A131,_xlfn.ANCHORARRAY( $W$5), 0), 0)
    )
)
/
(
    INDEX($AN$5:$AN$77, MATCH(AG$100,_xlfn.ANCHORARRAY( $W$5), 0))
    *
    INDEX($AN$5:$AN$77, MATCH($A131,_xlfn.ANCHORARRAY( $W$5), 0))
)</f>
        <v>0.89378197944668369</v>
      </c>
      <c r="AH131" s="17" cm="1">
        <f t="array" ref="AH131">MMULT(
    MMULT(
        INDEX($X$5:$AM$77, MATCH(AH$100,_xlfn.ANCHORARRAY( $W$5), 0), 0),
        $F$5:$U$20
    ),
    TRANSPOSE(
        INDEX($X$5:$AM$77, MATCH($A131,_xlfn.ANCHORARRAY( $W$5), 0), 0)
    )
)
/
(
    INDEX($AN$5:$AN$77, MATCH(AH$100,_xlfn.ANCHORARRAY( $W$5), 0))
    *
    INDEX($AN$5:$AN$77, MATCH($A131,_xlfn.ANCHORARRAY( $W$5), 0))
)</f>
        <v>0.705458073223031</v>
      </c>
      <c r="AI131" s="17" cm="1">
        <f t="array" ref="AI131">MMULT(
    MMULT(
        INDEX($X$5:$AM$77, MATCH(AI$100,_xlfn.ANCHORARRAY( $W$5), 0), 0),
        $F$5:$U$20
    ),
    TRANSPOSE(
        INDEX($X$5:$AM$77, MATCH($A131,_xlfn.ANCHORARRAY( $W$5), 0), 0)
    )
)
/
(
    INDEX($AN$5:$AN$77, MATCH(AI$100,_xlfn.ANCHORARRAY( $W$5), 0))
    *
    INDEX($AN$5:$AN$77, MATCH($A131,_xlfn.ANCHORARRAY( $W$5), 0))
)</f>
        <v>0.92940049490171894</v>
      </c>
      <c r="AJ131" s="17" cm="1">
        <f t="array" ref="AJ131">MMULT(
    MMULT(
        INDEX($X$5:$AM$77, MATCH(AJ$100,_xlfn.ANCHORARRAY( $W$5), 0), 0),
        $F$5:$U$20
    ),
    TRANSPOSE(
        INDEX($X$5:$AM$77, MATCH($A131,_xlfn.ANCHORARRAY( $W$5), 0), 0)
    )
)
/
(
    INDEX($AN$5:$AN$77, MATCH(AJ$100,_xlfn.ANCHORARRAY( $W$5), 0))
    *
    INDEX($AN$5:$AN$77, MATCH($A131,_xlfn.ANCHORARRAY( $W$5), 0))
)</f>
        <v>0.81174647275006673</v>
      </c>
      <c r="AK131" s="17" cm="1">
        <f t="array" ref="AK131">MMULT(
    MMULT(
        INDEX($X$5:$AM$77, MATCH(AK$100,_xlfn.ANCHORARRAY( $W$5), 0), 0),
        $F$5:$U$20
    ),
    TRANSPOSE(
        INDEX($X$5:$AM$77, MATCH($A131,_xlfn.ANCHORARRAY( $W$5), 0), 0)
    )
)
/
(
    INDEX($AN$5:$AN$77, MATCH(AK$100,_xlfn.ANCHORARRAY( $W$5), 0))
    *
    INDEX($AN$5:$AN$77, MATCH($A131,_xlfn.ANCHORARRAY( $W$5), 0))
)</f>
        <v>0.85542642683570314</v>
      </c>
      <c r="AL131" s="17" cm="1">
        <f t="array" ref="AL131">MMULT(
    MMULT(
        INDEX($X$5:$AM$77, MATCH(AL$100,_xlfn.ANCHORARRAY( $W$5), 0), 0),
        $F$5:$U$20
    ),
    TRANSPOSE(
        INDEX($X$5:$AM$77, MATCH($A131,_xlfn.ANCHORARRAY( $W$5), 0), 0)
    )
)
/
(
    INDEX($AN$5:$AN$77, MATCH(AL$100,_xlfn.ANCHORARRAY( $W$5), 0))
    *
    INDEX($AN$5:$AN$77, MATCH($A131,_xlfn.ANCHORARRAY( $W$5), 0))
)</f>
        <v>0.59835452989950377</v>
      </c>
      <c r="AM131" s="17" cm="1">
        <f t="array" ref="AM131">MMULT(
    MMULT(
        INDEX($X$5:$AM$77, MATCH(AM$100,_xlfn.ANCHORARRAY( $W$5), 0), 0),
        $F$5:$U$20
    ),
    TRANSPOSE(
        INDEX($X$5:$AM$77, MATCH($A131,_xlfn.ANCHORARRAY( $W$5), 0), 0)
    )
)
/
(
    INDEX($AN$5:$AN$77, MATCH(AM$100,_xlfn.ANCHORARRAY( $W$5), 0))
    *
    INDEX($AN$5:$AN$77, MATCH($A131,_xlfn.ANCHORARRAY( $W$5), 0))
)</f>
        <v>0.79262748678534833</v>
      </c>
      <c r="AN131" s="17" cm="1">
        <f t="array" ref="AN131">MMULT(
    MMULT(
        INDEX($X$5:$AM$77, MATCH(AN$100,_xlfn.ANCHORARRAY( $W$5), 0), 0),
        $F$5:$U$20
    ),
    TRANSPOSE(
        INDEX($X$5:$AM$77, MATCH($A131,_xlfn.ANCHORARRAY( $W$5), 0), 0)
    )
)
/
(
    INDEX($AN$5:$AN$77, MATCH(AN$100,_xlfn.ANCHORARRAY( $W$5), 0))
    *
    INDEX($AN$5:$AN$77, MATCH($A131,_xlfn.ANCHORARRAY( $W$5), 0))
)</f>
        <v>0.81946642866806174</v>
      </c>
      <c r="AO131" s="17" cm="1">
        <f t="array" ref="AO131">MMULT(
    MMULT(
        INDEX($X$5:$AM$77, MATCH(AO$100,_xlfn.ANCHORARRAY( $W$5), 0), 0),
        $F$5:$U$20
    ),
    TRANSPOSE(
        INDEX($X$5:$AM$77, MATCH($A131,_xlfn.ANCHORARRAY( $W$5), 0), 0)
    )
)
/
(
    INDEX($AN$5:$AN$77, MATCH(AO$100,_xlfn.ANCHORARRAY( $W$5), 0))
    *
    INDEX($AN$5:$AN$77, MATCH($A131,_xlfn.ANCHORARRAY( $W$5), 0))
)</f>
        <v>0.76196535045636959</v>
      </c>
      <c r="AP131" s="17" cm="1">
        <f t="array" ref="AP131">MMULT(
    MMULT(
        INDEX($X$5:$AM$77, MATCH(AP$100,_xlfn.ANCHORARRAY( $W$5), 0), 0),
        $F$5:$U$20
    ),
    TRANSPOSE(
        INDEX($X$5:$AM$77, MATCH($A131,_xlfn.ANCHORARRAY( $W$5), 0), 0)
    )
)
/
(
    INDEX($AN$5:$AN$77, MATCH(AP$100,_xlfn.ANCHORARRAY( $W$5), 0))
    *
    INDEX($AN$5:$AN$77, MATCH($A131,_xlfn.ANCHORARRAY( $W$5), 0))
)</f>
        <v>0.78525694547824587</v>
      </c>
      <c r="AQ131" s="17" cm="1">
        <f t="array" ref="AQ131">MMULT(
    MMULT(
        INDEX($X$5:$AM$77, MATCH(AQ$100,_xlfn.ANCHORARRAY( $W$5), 0), 0),
        $F$5:$U$20
    ),
    TRANSPOSE(
        INDEX($X$5:$AM$77, MATCH($A131,_xlfn.ANCHORARRAY( $W$5), 0), 0)
    )
)
/
(
    INDEX($AN$5:$AN$77, MATCH(AQ$100,_xlfn.ANCHORARRAY( $W$5), 0))
    *
    INDEX($AN$5:$AN$77, MATCH($A131,_xlfn.ANCHORARRAY( $W$5), 0))
)</f>
        <v>0.94685939868401447</v>
      </c>
      <c r="AR131" s="17" cm="1">
        <f t="array" ref="AR131">MMULT(
    MMULT(
        INDEX($X$5:$AM$77, MATCH(AR$100,_xlfn.ANCHORARRAY( $W$5), 0), 0),
        $F$5:$U$20
    ),
    TRANSPOSE(
        INDEX($X$5:$AM$77, MATCH($A131,_xlfn.ANCHORARRAY( $W$5), 0), 0)
    )
)
/
(
    INDEX($AN$5:$AN$77, MATCH(AR$100,_xlfn.ANCHORARRAY( $W$5), 0))
    *
    INDEX($AN$5:$AN$77, MATCH($A131,_xlfn.ANCHORARRAY( $W$5), 0))
)</f>
        <v>0.84602134264259499</v>
      </c>
      <c r="AS131" s="17" cm="1">
        <f t="array" ref="AS131">MMULT(
    MMULT(
        INDEX($X$5:$AM$77, MATCH(AS$100,_xlfn.ANCHORARRAY( $W$5), 0), 0),
        $F$5:$U$20
    ),
    TRANSPOSE(
        INDEX($X$5:$AM$77, MATCH($A131,_xlfn.ANCHORARRAY( $W$5), 0), 0)
    )
)
/
(
    INDEX($AN$5:$AN$77, MATCH(AS$100,_xlfn.ANCHORARRAY( $W$5), 0))
    *
    INDEX($AN$5:$AN$77, MATCH($A131,_xlfn.ANCHORARRAY( $W$5), 0))
)</f>
        <v>0.72684178296160651</v>
      </c>
      <c r="AT131" s="17" cm="1">
        <f t="array" ref="AT131">MMULT(
    MMULT(
        INDEX($X$5:$AM$77, MATCH(AT$100,_xlfn.ANCHORARRAY( $W$5), 0), 0),
        $F$5:$U$20
    ),
    TRANSPOSE(
        INDEX($X$5:$AM$77, MATCH($A131,_xlfn.ANCHORARRAY( $W$5), 0), 0)
    )
)
/
(
    INDEX($AN$5:$AN$77, MATCH(AT$100,_xlfn.ANCHORARRAY( $W$5), 0))
    *
    INDEX($AN$5:$AN$77, MATCH($A131,_xlfn.ANCHORARRAY( $W$5), 0))
)</f>
        <v>0.87280133422917605</v>
      </c>
      <c r="AU131" s="17" cm="1">
        <f t="array" ref="AU131">MMULT(
    MMULT(
        INDEX($X$5:$AM$77, MATCH(AU$100,_xlfn.ANCHORARRAY( $W$5), 0), 0),
        $F$5:$U$20
    ),
    TRANSPOSE(
        INDEX($X$5:$AM$77, MATCH($A131,_xlfn.ANCHORARRAY( $W$5), 0), 0)
    )
)
/
(
    INDEX($AN$5:$AN$77, MATCH(AU$100,_xlfn.ANCHORARRAY( $W$5), 0))
    *
    INDEX($AN$5:$AN$77, MATCH($A131,_xlfn.ANCHORARRAY( $W$5), 0))
)</f>
        <v>0.70157898157108844</v>
      </c>
      <c r="AV131" s="17" cm="1">
        <f t="array" ref="AV131">MMULT(
    MMULT(
        INDEX($X$5:$AM$77, MATCH(AV$100,_xlfn.ANCHORARRAY( $W$5), 0), 0),
        $F$5:$U$20
    ),
    TRANSPOSE(
        INDEX($X$5:$AM$77, MATCH($A131,_xlfn.ANCHORARRAY( $W$5), 0), 0)
    )
)
/
(
    INDEX($AN$5:$AN$77, MATCH(AV$100,_xlfn.ANCHORARRAY( $W$5), 0))
    *
    INDEX($AN$5:$AN$77, MATCH($A131,_xlfn.ANCHORARRAY( $W$5), 0))
)</f>
        <v>0.70879716441981455</v>
      </c>
      <c r="AW131" s="17" cm="1">
        <f t="array" ref="AW131">MMULT(
    MMULT(
        INDEX($X$5:$AM$77, MATCH(AW$100,_xlfn.ANCHORARRAY( $W$5), 0), 0),
        $F$5:$U$20
    ),
    TRANSPOSE(
        INDEX($X$5:$AM$77, MATCH($A131,_xlfn.ANCHORARRAY( $W$5), 0), 0)
    )
)
/
(
    INDEX($AN$5:$AN$77, MATCH(AW$100,_xlfn.ANCHORARRAY( $W$5), 0))
    *
    INDEX($AN$5:$AN$77, MATCH($A131,_xlfn.ANCHORARRAY( $W$5), 0))
)</f>
        <v>0.75300611882858925</v>
      </c>
      <c r="AX131" s="17" cm="1">
        <f t="array" ref="AX131">MMULT(
    MMULT(
        INDEX($X$5:$AM$77, MATCH(AX$100,_xlfn.ANCHORARRAY( $W$5), 0), 0),
        $F$5:$U$20
    ),
    TRANSPOSE(
        INDEX($X$5:$AM$77, MATCH($A131,_xlfn.ANCHORARRAY( $W$5), 0), 0)
    )
)
/
(
    INDEX($AN$5:$AN$77, MATCH(AX$100,_xlfn.ANCHORARRAY( $W$5), 0))
    *
    INDEX($AN$5:$AN$77, MATCH($A131,_xlfn.ANCHORARRAY( $W$5), 0))
)</f>
        <v>0.76378137920316813</v>
      </c>
      <c r="AY131" s="17" cm="1">
        <f t="array" ref="AY131">MMULT(
    MMULT(
        INDEX($X$5:$AM$77, MATCH(AY$100,_xlfn.ANCHORARRAY( $W$5), 0), 0),
        $F$5:$U$20
    ),
    TRANSPOSE(
        INDEX($X$5:$AM$77, MATCH($A131,_xlfn.ANCHORARRAY( $W$5), 0), 0)
    )
)
/
(
    INDEX($AN$5:$AN$77, MATCH(AY$100,_xlfn.ANCHORARRAY( $W$5), 0))
    *
    INDEX($AN$5:$AN$77, MATCH($A131,_xlfn.ANCHORARRAY( $W$5), 0))
)</f>
        <v>0.64052823844073647</v>
      </c>
      <c r="AZ131" s="17" cm="1">
        <f t="array" ref="AZ131">MMULT(
    MMULT(
        INDEX($X$5:$AM$77, MATCH(AZ$100,_xlfn.ANCHORARRAY( $W$5), 0), 0),
        $F$5:$U$20
    ),
    TRANSPOSE(
        INDEX($X$5:$AM$77, MATCH($A131,_xlfn.ANCHORARRAY( $W$5), 0), 0)
    )
)
/
(
    INDEX($AN$5:$AN$77, MATCH(AZ$100,_xlfn.ANCHORARRAY( $W$5), 0))
    *
    INDEX($AN$5:$AN$77, MATCH($A131,_xlfn.ANCHORARRAY( $W$5), 0))
)</f>
        <v>0.72321875343043929</v>
      </c>
      <c r="BA131" s="17" cm="1">
        <f t="array" ref="BA131">MMULT(
    MMULT(
        INDEX($X$5:$AM$77, MATCH(BA$100,_xlfn.ANCHORARRAY( $W$5), 0), 0),
        $F$5:$U$20
    ),
    TRANSPOSE(
        INDEX($X$5:$AM$77, MATCH($A131,_xlfn.ANCHORARRAY( $W$5), 0), 0)
    )
)
/
(
    INDEX($AN$5:$AN$77, MATCH(BA$100,_xlfn.ANCHORARRAY( $W$5), 0))
    *
    INDEX($AN$5:$AN$77, MATCH($A131,_xlfn.ANCHORARRAY( $W$5), 0))
)</f>
        <v>0.79234184853344969</v>
      </c>
      <c r="BB131" s="17" cm="1">
        <f t="array" ref="BB131">MMULT(
    MMULT(
        INDEX($X$5:$AM$77, MATCH(BB$100,_xlfn.ANCHORARRAY( $W$5), 0), 0),
        $F$5:$U$20
    ),
    TRANSPOSE(
        INDEX($X$5:$AM$77, MATCH($A131,_xlfn.ANCHORARRAY( $W$5), 0), 0)
    )
)
/
(
    INDEX($AN$5:$AN$77, MATCH(BB$100,_xlfn.ANCHORARRAY( $W$5), 0))
    *
    INDEX($AN$5:$AN$77, MATCH($A131,_xlfn.ANCHORARRAY( $W$5), 0))
)</f>
        <v>0.73853110377377196</v>
      </c>
      <c r="BC131" s="17" cm="1">
        <f t="array" ref="BC131">MMULT(
    MMULT(
        INDEX($X$5:$AM$77, MATCH(BC$100,_xlfn.ANCHORARRAY( $W$5), 0), 0),
        $F$5:$U$20
    ),
    TRANSPOSE(
        INDEX($X$5:$AM$77, MATCH($A131,_xlfn.ANCHORARRAY( $W$5), 0), 0)
    )
)
/
(
    INDEX($AN$5:$AN$77, MATCH(BC$100,_xlfn.ANCHORARRAY( $W$5), 0))
    *
    INDEX($AN$5:$AN$77, MATCH($A131,_xlfn.ANCHORARRAY( $W$5), 0))
)</f>
        <v>0.83685426603457758</v>
      </c>
      <c r="BD131" s="17" cm="1">
        <f t="array" ref="BD131">MMULT(
    MMULT(
        INDEX($X$5:$AM$77, MATCH(BD$100,_xlfn.ANCHORARRAY( $W$5), 0), 0),
        $F$5:$U$20
    ),
    TRANSPOSE(
        INDEX($X$5:$AM$77, MATCH($A131,_xlfn.ANCHORARRAY( $W$5), 0), 0)
    )
)
/
(
    INDEX($AN$5:$AN$77, MATCH(BD$100,_xlfn.ANCHORARRAY( $W$5), 0))
    *
    INDEX($AN$5:$AN$77, MATCH($A131,_xlfn.ANCHORARRAY( $W$5), 0))
)</f>
        <v>0.9145822814958352</v>
      </c>
      <c r="BE131" s="17" cm="1">
        <f t="array" ref="BE131">MMULT(
    MMULT(
        INDEX($X$5:$AM$77, MATCH(BE$100,_xlfn.ANCHORARRAY( $W$5), 0), 0),
        $F$5:$U$20
    ),
    TRANSPOSE(
        INDEX($X$5:$AM$77, MATCH($A131,_xlfn.ANCHORARRAY( $W$5), 0), 0)
    )
)
/
(
    INDEX($AN$5:$AN$77, MATCH(BE$100,_xlfn.ANCHORARRAY( $W$5), 0))
    *
    INDEX($AN$5:$AN$77, MATCH($A131,_xlfn.ANCHORARRAY( $W$5), 0))
)</f>
        <v>0.77333878220397145</v>
      </c>
      <c r="BF131" s="17" cm="1">
        <f t="array" ref="BF131">MMULT(
    MMULT(
        INDEX($X$5:$AM$77, MATCH(BF$100,_xlfn.ANCHORARRAY( $W$5), 0), 0),
        $F$5:$U$20
    ),
    TRANSPOSE(
        INDEX($X$5:$AM$77, MATCH($A131,_xlfn.ANCHORARRAY( $W$5), 0), 0)
    )
)
/
(
    INDEX($AN$5:$AN$77, MATCH(BF$100,_xlfn.ANCHORARRAY( $W$5), 0))
    *
    INDEX($AN$5:$AN$77, MATCH($A131,_xlfn.ANCHORARRAY( $W$5), 0))
)</f>
        <v>0.92895872409119007</v>
      </c>
      <c r="BG131" s="17" cm="1">
        <f t="array" ref="BG131">MMULT(
    MMULT(
        INDEX($X$5:$AM$77, MATCH(BG$100,_xlfn.ANCHORARRAY( $W$5), 0), 0),
        $F$5:$U$20
    ),
    TRANSPOSE(
        INDEX($X$5:$AM$77, MATCH($A131,_xlfn.ANCHORARRAY( $W$5), 0), 0)
    )
)
/
(
    INDEX($AN$5:$AN$77, MATCH(BG$100,_xlfn.ANCHORARRAY( $W$5), 0))
    *
    INDEX($AN$5:$AN$77, MATCH($A131,_xlfn.ANCHORARRAY( $W$5), 0))
)</f>
        <v>0.81648906475479543</v>
      </c>
      <c r="BH131" s="17" cm="1">
        <f t="array" ref="BH131">MMULT(
    MMULT(
        INDEX($X$5:$AM$77, MATCH(BH$100,_xlfn.ANCHORARRAY( $W$5), 0), 0),
        $F$5:$U$20
    ),
    TRANSPOSE(
        INDEX($X$5:$AM$77, MATCH($A131,_xlfn.ANCHORARRAY( $W$5), 0), 0)
    )
)
/
(
    INDEX($AN$5:$AN$77, MATCH(BH$100,_xlfn.ANCHORARRAY( $W$5), 0))
    *
    INDEX($AN$5:$AN$77, MATCH($A131,_xlfn.ANCHORARRAY( $W$5), 0))
)</f>
        <v>0.9511544356311028</v>
      </c>
      <c r="BI131" s="17" cm="1">
        <f t="array" ref="BI131">MMULT(
    MMULT(
        INDEX($X$5:$AM$77, MATCH(BI$100,_xlfn.ANCHORARRAY( $W$5), 0), 0),
        $F$5:$U$20
    ),
    TRANSPOSE(
        INDEX($X$5:$AM$77, MATCH($A131,_xlfn.ANCHORARRAY( $W$5), 0), 0)
    )
)
/
(
    INDEX($AN$5:$AN$77, MATCH(BI$100,_xlfn.ANCHORARRAY( $W$5), 0))
    *
    INDEX($AN$5:$AN$77, MATCH($A131,_xlfn.ANCHORARRAY( $W$5), 0))
)</f>
        <v>0.69450648407996984</v>
      </c>
      <c r="BJ131" s="17" cm="1">
        <f t="array" ref="BJ131">MMULT(
    MMULT(
        INDEX($X$5:$AM$77, MATCH(BJ$100,_xlfn.ANCHORARRAY( $W$5), 0), 0),
        $F$5:$U$20
    ),
    TRANSPOSE(
        INDEX($X$5:$AM$77, MATCH($A131,_xlfn.ANCHORARRAY( $W$5), 0), 0)
    )
)
/
(
    INDEX($AN$5:$AN$77, MATCH(BJ$100,_xlfn.ANCHORARRAY( $W$5), 0))
    *
    INDEX($AN$5:$AN$77, MATCH($A131,_xlfn.ANCHORARRAY( $W$5), 0))
)</f>
        <v>0.83479843234549655</v>
      </c>
      <c r="BK131" s="17" cm="1">
        <f t="array" ref="BK131">MMULT(
    MMULT(
        INDEX($X$5:$AM$77, MATCH(BK$100,_xlfn.ANCHORARRAY( $W$5), 0), 0),
        $F$5:$U$20
    ),
    TRANSPOSE(
        INDEX($X$5:$AM$77, MATCH($A131,_xlfn.ANCHORARRAY( $W$5), 0), 0)
    )
)
/
(
    INDEX($AN$5:$AN$77, MATCH(BK$100,_xlfn.ANCHORARRAY( $W$5), 0))
    *
    INDEX($AN$5:$AN$77, MATCH($A131,_xlfn.ANCHORARRAY( $W$5), 0))
)</f>
        <v>0.91292824013728768</v>
      </c>
      <c r="BL131" s="17" cm="1">
        <f t="array" ref="BL131">MMULT(
    MMULT(
        INDEX($X$5:$AM$77, MATCH(BL$100,_xlfn.ANCHORARRAY( $W$5), 0), 0),
        $F$5:$U$20
    ),
    TRANSPOSE(
        INDEX($X$5:$AM$77, MATCH($A131,_xlfn.ANCHORARRAY( $W$5), 0), 0)
    )
)
/
(
    INDEX($AN$5:$AN$77, MATCH(BL$100,_xlfn.ANCHORARRAY( $W$5), 0))
    *
    INDEX($AN$5:$AN$77, MATCH($A131,_xlfn.ANCHORARRAY( $W$5), 0))
)</f>
        <v>0.31908791487405336</v>
      </c>
      <c r="BM131" s="17" cm="1">
        <f t="array" ref="BM131">MMULT(
    MMULT(
        INDEX($X$5:$AM$77, MATCH(BM$100,_xlfn.ANCHORARRAY( $W$5), 0), 0),
        $F$5:$U$20
    ),
    TRANSPOSE(
        INDEX($X$5:$AM$77, MATCH($A131,_xlfn.ANCHORARRAY( $W$5), 0), 0)
    )
)
/
(
    INDEX($AN$5:$AN$77, MATCH(BM$100,_xlfn.ANCHORARRAY( $W$5), 0))
    *
    INDEX($AN$5:$AN$77, MATCH($A131,_xlfn.ANCHORARRAY( $W$5), 0))
)</f>
        <v>0.55223361060782905</v>
      </c>
      <c r="BN131" s="17" cm="1">
        <f t="array" ref="BN131">MMULT(
    MMULT(
        INDEX($X$5:$AM$77, MATCH(BN$100,_xlfn.ANCHORARRAY( $W$5), 0), 0),
        $F$5:$U$20
    ),
    TRANSPOSE(
        INDEX($X$5:$AM$77, MATCH($A131,_xlfn.ANCHORARRAY( $W$5), 0), 0)
    )
)
/
(
    INDEX($AN$5:$AN$77, MATCH(BN$100,_xlfn.ANCHORARRAY( $W$5), 0))
    *
    INDEX($AN$5:$AN$77, MATCH($A131,_xlfn.ANCHORARRAY( $W$5), 0))
)</f>
        <v>0.83305153552921141</v>
      </c>
      <c r="BO131" s="17" cm="1">
        <f t="array" ref="BO131">MMULT(
    MMULT(
        INDEX($X$5:$AM$77, MATCH(BO$100,_xlfn.ANCHORARRAY( $W$5), 0), 0),
        $F$5:$U$20
    ),
    TRANSPOSE(
        INDEX($X$5:$AM$77, MATCH($A131,_xlfn.ANCHORARRAY( $W$5), 0), 0)
    )
)
/
(
    INDEX($AN$5:$AN$77, MATCH(BO$100,_xlfn.ANCHORARRAY( $W$5), 0))
    *
    INDEX($AN$5:$AN$77, MATCH($A131,_xlfn.ANCHORARRAY( $W$5), 0))
)</f>
        <v>0.78895580468243953</v>
      </c>
      <c r="BP131" s="17" cm="1">
        <f t="array" ref="BP131">MMULT(
    MMULT(
        INDEX($X$5:$AM$77, MATCH(BP$100,_xlfn.ANCHORARRAY( $W$5), 0), 0),
        $F$5:$U$20
    ),
    TRANSPOSE(
        INDEX($X$5:$AM$77, MATCH($A131,_xlfn.ANCHORARRAY( $W$5), 0), 0)
    )
)
/
(
    INDEX($AN$5:$AN$77, MATCH(BP$100,_xlfn.ANCHORARRAY( $W$5), 0))
    *
    INDEX($AN$5:$AN$77, MATCH($A131,_xlfn.ANCHORARRAY( $W$5), 0))
)</f>
        <v>0.8521302123455412</v>
      </c>
      <c r="BQ131" s="17" cm="1">
        <f t="array" ref="BQ131">MMULT(
    MMULT(
        INDEX($X$5:$AM$77, MATCH(BQ$100,_xlfn.ANCHORARRAY( $W$5), 0), 0),
        $F$5:$U$20
    ),
    TRANSPOSE(
        INDEX($X$5:$AM$77, MATCH($A131,_xlfn.ANCHORARRAY( $W$5), 0), 0)
    )
)
/
(
    INDEX($AN$5:$AN$77, MATCH(BQ$100,_xlfn.ANCHORARRAY( $W$5), 0))
    *
    INDEX($AN$5:$AN$77, MATCH($A131,_xlfn.ANCHORARRAY( $W$5), 0))
)</f>
        <v>0.69635859770261643</v>
      </c>
      <c r="BR131" s="17" cm="1">
        <f t="array" ref="BR131">MMULT(
    MMULT(
        INDEX($X$5:$AM$77, MATCH(BR$100,_xlfn.ANCHORARRAY( $W$5), 0), 0),
        $F$5:$U$20
    ),
    TRANSPOSE(
        INDEX($X$5:$AM$77, MATCH($A131,_xlfn.ANCHORARRAY( $W$5), 0), 0)
    )
)
/
(
    INDEX($AN$5:$AN$77, MATCH(BR$100,_xlfn.ANCHORARRAY( $W$5), 0))
    *
    INDEX($AN$5:$AN$77, MATCH($A131,_xlfn.ANCHORARRAY( $W$5), 0))
)</f>
        <v>0.86715613259252144</v>
      </c>
      <c r="BS131" s="17" cm="1">
        <f t="array" ref="BS131">MMULT(
    MMULT(
        INDEX($X$5:$AM$77, MATCH(BS$100,_xlfn.ANCHORARRAY( $W$5), 0), 0),
        $F$5:$U$20
    ),
    TRANSPOSE(
        INDEX($X$5:$AM$77, MATCH($A131,_xlfn.ANCHORARRAY( $W$5), 0), 0)
    )
)
/
(
    INDEX($AN$5:$AN$77, MATCH(BS$100,_xlfn.ANCHORARRAY( $W$5), 0))
    *
    INDEX($AN$5:$AN$77, MATCH($A131,_xlfn.ANCHORARRAY( $W$5), 0))
)</f>
        <v>0.64008420061824678</v>
      </c>
      <c r="BT131" s="17" cm="1">
        <f t="array" ref="BT131">MMULT(
    MMULT(
        INDEX($X$5:$AM$77, MATCH(BT$100,_xlfn.ANCHORARRAY( $W$5), 0), 0),
        $F$5:$U$20
    ),
    TRANSPOSE(
        INDEX($X$5:$AM$77, MATCH($A131,_xlfn.ANCHORARRAY( $W$5), 0), 0)
    )
)
/
(
    INDEX($AN$5:$AN$77, MATCH(BT$100,_xlfn.ANCHORARRAY( $W$5), 0))
    *
    INDEX($AN$5:$AN$77, MATCH($A131,_xlfn.ANCHORARRAY( $W$5), 0))
)</f>
        <v>0.8294659686430359</v>
      </c>
      <c r="BU131" s="17" cm="1">
        <f t="array" ref="BU131">MMULT(
    MMULT(
        INDEX($X$5:$AM$77, MATCH(BU$100,_xlfn.ANCHORARRAY( $W$5), 0), 0),
        $F$5:$U$20
    ),
    TRANSPOSE(
        INDEX($X$5:$AM$77, MATCH($A131,_xlfn.ANCHORARRAY( $W$5), 0), 0)
    )
)
/
(
    INDEX($AN$5:$AN$77, MATCH(BU$100,_xlfn.ANCHORARRAY( $W$5), 0))
    *
    INDEX($AN$5:$AN$77, MATCH($A131,_xlfn.ANCHORARRAY( $W$5), 0))
)</f>
        <v>0.95477293800197294</v>
      </c>
      <c r="BV131" s="17" cm="1">
        <f t="array" ref="BV131">MMULT(
    MMULT(
        INDEX($X$5:$AM$77, MATCH(BV$100,_xlfn.ANCHORARRAY( $W$5), 0), 0),
        $F$5:$U$20
    ),
    TRANSPOSE(
        INDEX($X$5:$AM$77, MATCH($A131,_xlfn.ANCHORARRAY( $W$5), 0), 0)
    )
)
/
(
    INDEX($AN$5:$AN$77, MATCH(BV$100,_xlfn.ANCHORARRAY( $W$5), 0))
    *
    INDEX($AN$5:$AN$77, MATCH($A131,_xlfn.ANCHORARRAY( $W$5), 0))
)</f>
        <v>0.75416812172843128</v>
      </c>
    </row>
    <row r="132" spans="1:74" x14ac:dyDescent="0.3">
      <c r="A132" s="7" t="str">
        <v>Martin, Chris</v>
      </c>
      <c r="B132" s="17" cm="1">
        <f t="array" ref="B132">MMULT(
    MMULT(
        INDEX($X$5:$AM$77, MATCH(B$100,_xlfn.ANCHORARRAY( $W$5), 0), 0),
        $F$5:$U$20
    ),
    TRANSPOSE(
        INDEX($X$5:$AM$77, MATCH($A132,_xlfn.ANCHORARRAY( $W$5), 0), 0)
    )
)
/
(
    INDEX($AN$5:$AN$77, MATCH(B$100,_xlfn.ANCHORARRAY( $W$5), 0))
    *
    INDEX($AN$5:$AN$77, MATCH($A132,_xlfn.ANCHORARRAY( $W$5), 0))
)</f>
        <v>0.89558806517692857</v>
      </c>
      <c r="C132" s="17" cm="1">
        <f t="array" ref="C132">MMULT(
    MMULT(
        INDEX($X$5:$AM$77, MATCH(C$100,_xlfn.ANCHORARRAY( $W$5), 0), 0),
        $F$5:$U$20
    ),
    TRANSPOSE(
        INDEX($X$5:$AM$77, MATCH($A132,_xlfn.ANCHORARRAY( $W$5), 0), 0)
    )
)
/
(
    INDEX($AN$5:$AN$77, MATCH(C$100,_xlfn.ANCHORARRAY( $W$5), 0))
    *
    INDEX($AN$5:$AN$77, MATCH($A132,_xlfn.ANCHORARRAY( $W$5), 0))
)</f>
        <v>0.78721691733580257</v>
      </c>
      <c r="D132" s="17" cm="1">
        <f t="array" ref="D132">MMULT(
    MMULT(
        INDEX($X$5:$AM$77, MATCH(D$100,_xlfn.ANCHORARRAY( $W$5), 0), 0),
        $F$5:$U$20
    ),
    TRANSPOSE(
        INDEX($X$5:$AM$77, MATCH($A132,_xlfn.ANCHORARRAY( $W$5), 0), 0)
    )
)
/
(
    INDEX($AN$5:$AN$77, MATCH(D$100,_xlfn.ANCHORARRAY( $W$5), 0))
    *
    INDEX($AN$5:$AN$77, MATCH($A132,_xlfn.ANCHORARRAY( $W$5), 0))
)</f>
        <v>0.88088581784154119</v>
      </c>
      <c r="E132" s="17" cm="1">
        <f t="array" ref="E132">MMULT(
    MMULT(
        INDEX($X$5:$AM$77, MATCH(E$100,_xlfn.ANCHORARRAY( $W$5), 0), 0),
        $F$5:$U$20
    ),
    TRANSPOSE(
        INDEX($X$5:$AM$77, MATCH($A132,_xlfn.ANCHORARRAY( $W$5), 0), 0)
    )
)
/
(
    INDEX($AN$5:$AN$77, MATCH(E$100,_xlfn.ANCHORARRAY( $W$5), 0))
    *
    INDEX($AN$5:$AN$77, MATCH($A132,_xlfn.ANCHORARRAY( $W$5), 0))
)</f>
        <v>0.79917414974740975</v>
      </c>
      <c r="F132" s="17" cm="1">
        <f t="array" ref="F132">MMULT(
    MMULT(
        INDEX($X$5:$AM$77, MATCH(F$100,_xlfn.ANCHORARRAY( $W$5), 0), 0),
        $F$5:$U$20
    ),
    TRANSPOSE(
        INDEX($X$5:$AM$77, MATCH($A132,_xlfn.ANCHORARRAY( $W$5), 0), 0)
    )
)
/
(
    INDEX($AN$5:$AN$77, MATCH(F$100,_xlfn.ANCHORARRAY( $W$5), 0))
    *
    INDEX($AN$5:$AN$77, MATCH($A132,_xlfn.ANCHORARRAY( $W$5), 0))
)</f>
        <v>0.76365033326787768</v>
      </c>
      <c r="G132" s="17" cm="1">
        <f t="array" ref="G132">MMULT(
    MMULT(
        INDEX($X$5:$AM$77, MATCH(G$100,_xlfn.ANCHORARRAY( $W$5), 0), 0),
        $F$5:$U$20
    ),
    TRANSPOSE(
        INDEX($X$5:$AM$77, MATCH($A132,_xlfn.ANCHORARRAY( $W$5), 0), 0)
    )
)
/
(
    INDEX($AN$5:$AN$77, MATCH(G$100,_xlfn.ANCHORARRAY( $W$5), 0))
    *
    INDEX($AN$5:$AN$77, MATCH($A132,_xlfn.ANCHORARRAY( $W$5), 0))
)</f>
        <v>0.8289592504998412</v>
      </c>
      <c r="H132" s="17" cm="1">
        <f t="array" ref="H132">MMULT(
    MMULT(
        INDEX($X$5:$AM$77, MATCH(H$100,_xlfn.ANCHORARRAY( $W$5), 0), 0),
        $F$5:$U$20
    ),
    TRANSPOSE(
        INDEX($X$5:$AM$77, MATCH($A132,_xlfn.ANCHORARRAY( $W$5), 0), 0)
    )
)
/
(
    INDEX($AN$5:$AN$77, MATCH(H$100,_xlfn.ANCHORARRAY( $W$5), 0))
    *
    INDEX($AN$5:$AN$77, MATCH($A132,_xlfn.ANCHORARRAY( $W$5), 0))
)</f>
        <v>0.96039404239261761</v>
      </c>
      <c r="I132" s="17" cm="1">
        <f t="array" ref="I132">MMULT(
    MMULT(
        INDEX($X$5:$AM$77, MATCH(I$100,_xlfn.ANCHORARRAY( $W$5), 0), 0),
        $F$5:$U$20
    ),
    TRANSPOSE(
        INDEX($X$5:$AM$77, MATCH($A132,_xlfn.ANCHORARRAY( $W$5), 0), 0)
    )
)
/
(
    INDEX($AN$5:$AN$77, MATCH(I$100,_xlfn.ANCHORARRAY( $W$5), 0))
    *
    INDEX($AN$5:$AN$77, MATCH($A132,_xlfn.ANCHORARRAY( $W$5), 0))
)</f>
        <v>0.79033578853232278</v>
      </c>
      <c r="J132" s="17" cm="1">
        <f t="array" ref="J132">MMULT(
    MMULT(
        INDEX($X$5:$AM$77, MATCH(J$100,_xlfn.ANCHORARRAY( $W$5), 0), 0),
        $F$5:$U$20
    ),
    TRANSPOSE(
        INDEX($X$5:$AM$77, MATCH($A132,_xlfn.ANCHORARRAY( $W$5), 0), 0)
    )
)
/
(
    INDEX($AN$5:$AN$77, MATCH(J$100,_xlfn.ANCHORARRAY( $W$5), 0))
    *
    INDEX($AN$5:$AN$77, MATCH($A132,_xlfn.ANCHORARRAY( $W$5), 0))
)</f>
        <v>0.94892256537037178</v>
      </c>
      <c r="K132" s="17" cm="1">
        <f t="array" ref="K132">MMULT(
    MMULT(
        INDEX($X$5:$AM$77, MATCH(K$100,_xlfn.ANCHORARRAY( $W$5), 0), 0),
        $F$5:$U$20
    ),
    TRANSPOSE(
        INDEX($X$5:$AM$77, MATCH($A132,_xlfn.ANCHORARRAY( $W$5), 0), 0)
    )
)
/
(
    INDEX($AN$5:$AN$77, MATCH(K$100,_xlfn.ANCHORARRAY( $W$5), 0))
    *
    INDEX($AN$5:$AN$77, MATCH($A132,_xlfn.ANCHORARRAY( $W$5), 0))
)</f>
        <v>0.88073806660524112</v>
      </c>
      <c r="L132" s="17" cm="1">
        <f t="array" ref="L132">MMULT(
    MMULT(
        INDEX($X$5:$AM$77, MATCH(L$100,_xlfn.ANCHORARRAY( $W$5), 0), 0),
        $F$5:$U$20
    ),
    TRANSPOSE(
        INDEX($X$5:$AM$77, MATCH($A132,_xlfn.ANCHORARRAY( $W$5), 0), 0)
    )
)
/
(
    INDEX($AN$5:$AN$77, MATCH(L$100,_xlfn.ANCHORARRAY( $W$5), 0))
    *
    INDEX($AN$5:$AN$77, MATCH($A132,_xlfn.ANCHORARRAY( $W$5), 0))
)</f>
        <v>0.88483957775910427</v>
      </c>
      <c r="M132" s="17" cm="1">
        <f t="array" ref="M132">MMULT(
    MMULT(
        INDEX($X$5:$AM$77, MATCH(M$100,_xlfn.ANCHORARRAY( $W$5), 0), 0),
        $F$5:$U$20
    ),
    TRANSPOSE(
        INDEX($X$5:$AM$77, MATCH($A132,_xlfn.ANCHORARRAY( $W$5), 0), 0)
    )
)
/
(
    INDEX($AN$5:$AN$77, MATCH(M$100,_xlfn.ANCHORARRAY( $W$5), 0))
    *
    INDEX($AN$5:$AN$77, MATCH($A132,_xlfn.ANCHORARRAY( $W$5), 0))
)</f>
        <v>0.87779269838257779</v>
      </c>
      <c r="N132" s="17" cm="1">
        <f t="array" ref="N132">MMULT(
    MMULT(
        INDEX($X$5:$AM$77, MATCH(N$100,_xlfn.ANCHORARRAY( $W$5), 0), 0),
        $F$5:$U$20
    ),
    TRANSPOSE(
        INDEX($X$5:$AM$77, MATCH($A132,_xlfn.ANCHORARRAY( $W$5), 0), 0)
    )
)
/
(
    INDEX($AN$5:$AN$77, MATCH(N$100,_xlfn.ANCHORARRAY( $W$5), 0))
    *
    INDEX($AN$5:$AN$77, MATCH($A132,_xlfn.ANCHORARRAY( $W$5), 0))
)</f>
        <v>0.63405086448820869</v>
      </c>
      <c r="O132" s="17" cm="1">
        <f t="array" ref="O132">MMULT(
    MMULT(
        INDEX($X$5:$AM$77, MATCH(O$100,_xlfn.ANCHORARRAY( $W$5), 0), 0),
        $F$5:$U$20
    ),
    TRANSPOSE(
        INDEX($X$5:$AM$77, MATCH($A132,_xlfn.ANCHORARRAY( $W$5), 0), 0)
    )
)
/
(
    INDEX($AN$5:$AN$77, MATCH(O$100,_xlfn.ANCHORARRAY( $W$5), 0))
    *
    INDEX($AN$5:$AN$77, MATCH($A132,_xlfn.ANCHORARRAY( $W$5), 0))
)</f>
        <v>0.63830884777426822</v>
      </c>
      <c r="P132" s="17" cm="1">
        <f t="array" ref="P132">MMULT(
    MMULT(
        INDEX($X$5:$AM$77, MATCH(P$100,_xlfn.ANCHORARRAY( $W$5), 0), 0),
        $F$5:$U$20
    ),
    TRANSPOSE(
        INDEX($X$5:$AM$77, MATCH($A132,_xlfn.ANCHORARRAY( $W$5), 0), 0)
    )
)
/
(
    INDEX($AN$5:$AN$77, MATCH(P$100,_xlfn.ANCHORARRAY( $W$5), 0))
    *
    INDEX($AN$5:$AN$77, MATCH($A132,_xlfn.ANCHORARRAY( $W$5), 0))
)</f>
        <v>0.80875424058454026</v>
      </c>
      <c r="Q132" s="17" cm="1">
        <f t="array" ref="Q132">MMULT(
    MMULT(
        INDEX($X$5:$AM$77, MATCH(Q$100,_xlfn.ANCHORARRAY( $W$5), 0), 0),
        $F$5:$U$20
    ),
    TRANSPOSE(
        INDEX($X$5:$AM$77, MATCH($A132,_xlfn.ANCHORARRAY( $W$5), 0), 0)
    )
)
/
(
    INDEX($AN$5:$AN$77, MATCH(Q$100,_xlfn.ANCHORARRAY( $W$5), 0))
    *
    INDEX($AN$5:$AN$77, MATCH($A132,_xlfn.ANCHORARRAY( $W$5), 0))
)</f>
        <v>0.8983074006916224</v>
      </c>
      <c r="R132" s="17" cm="1">
        <f t="array" ref="R132">MMULT(
    MMULT(
        INDEX($X$5:$AM$77, MATCH(R$100,_xlfn.ANCHORARRAY( $W$5), 0), 0),
        $F$5:$U$20
    ),
    TRANSPOSE(
        INDEX($X$5:$AM$77, MATCH($A132,_xlfn.ANCHORARRAY( $W$5), 0), 0)
    )
)
/
(
    INDEX($AN$5:$AN$77, MATCH(R$100,_xlfn.ANCHORARRAY( $W$5), 0))
    *
    INDEX($AN$5:$AN$77, MATCH($A132,_xlfn.ANCHORARRAY( $W$5), 0))
)</f>
        <v>0.92232580317230972</v>
      </c>
      <c r="S132" s="17" cm="1">
        <f t="array" ref="S132">MMULT(
    MMULT(
        INDEX($X$5:$AM$77, MATCH(S$100,_xlfn.ANCHORARRAY( $W$5), 0), 0),
        $F$5:$U$20
    ),
    TRANSPOSE(
        INDEX($X$5:$AM$77, MATCH($A132,_xlfn.ANCHORARRAY( $W$5), 0), 0)
    )
)
/
(
    INDEX($AN$5:$AN$77, MATCH(S$100,_xlfn.ANCHORARRAY( $W$5), 0))
    *
    INDEX($AN$5:$AN$77, MATCH($A132,_xlfn.ANCHORARRAY( $W$5), 0))
)</f>
        <v>0.94899781858882715</v>
      </c>
      <c r="T132" s="17" cm="1">
        <f t="array" ref="T132">MMULT(
    MMULT(
        INDEX($X$5:$AM$77, MATCH(T$100,_xlfn.ANCHORARRAY( $W$5), 0), 0),
        $F$5:$U$20
    ),
    TRANSPOSE(
        INDEX($X$5:$AM$77, MATCH($A132,_xlfn.ANCHORARRAY( $W$5), 0), 0)
    )
)
/
(
    INDEX($AN$5:$AN$77, MATCH(T$100,_xlfn.ANCHORARRAY( $W$5), 0))
    *
    INDEX($AN$5:$AN$77, MATCH($A132,_xlfn.ANCHORARRAY( $W$5), 0))
)</f>
        <v>0.39118056740097407</v>
      </c>
      <c r="U132" s="17" cm="1">
        <f t="array" ref="U132">MMULT(
    MMULT(
        INDEX($X$5:$AM$77, MATCH(U$100,_xlfn.ANCHORARRAY( $W$5), 0), 0),
        $F$5:$U$20
    ),
    TRANSPOSE(
        INDEX($X$5:$AM$77, MATCH($A132,_xlfn.ANCHORARRAY( $W$5), 0), 0)
    )
)
/
(
    INDEX($AN$5:$AN$77, MATCH(U$100,_xlfn.ANCHORARRAY( $W$5), 0))
    *
    INDEX($AN$5:$AN$77, MATCH($A132,_xlfn.ANCHORARRAY( $W$5), 0))
)</f>
        <v>0.87756294820342995</v>
      </c>
      <c r="V132" s="17" cm="1">
        <f t="array" ref="V132">MMULT(
    MMULT(
        INDEX($X$5:$AM$77, MATCH(V$100,_xlfn.ANCHORARRAY( $W$5), 0), 0),
        $F$5:$U$20
    ),
    TRANSPOSE(
        INDEX($X$5:$AM$77, MATCH($A132,_xlfn.ANCHORARRAY( $W$5), 0), 0)
    )
)
/
(
    INDEX($AN$5:$AN$77, MATCH(V$100,_xlfn.ANCHORARRAY( $W$5), 0))
    *
    INDEX($AN$5:$AN$77, MATCH($A132,_xlfn.ANCHORARRAY( $W$5), 0))
)</f>
        <v>0.69018291533952791</v>
      </c>
      <c r="W132" s="17" cm="1">
        <f t="array" ref="W132">MMULT(
    MMULT(
        INDEX($X$5:$AM$77, MATCH(W$100,_xlfn.ANCHORARRAY( $W$5), 0), 0),
        $F$5:$U$20
    ),
    TRANSPOSE(
        INDEX($X$5:$AM$77, MATCH($A132,_xlfn.ANCHORARRAY( $W$5), 0), 0)
    )
)
/
(
    INDEX($AN$5:$AN$77, MATCH(W$100,_xlfn.ANCHORARRAY( $W$5), 0))
    *
    INDEX($AN$5:$AN$77, MATCH($A132,_xlfn.ANCHORARRAY( $W$5), 0))
)</f>
        <v>0.70337013878949617</v>
      </c>
      <c r="X132" s="17" cm="1">
        <f t="array" ref="X132">MMULT(
    MMULT(
        INDEX($X$5:$AM$77, MATCH(X$100,_xlfn.ANCHORARRAY( $W$5), 0), 0),
        $F$5:$U$20
    ),
    TRANSPOSE(
        INDEX($X$5:$AM$77, MATCH($A132,_xlfn.ANCHORARRAY( $W$5), 0), 0)
    )
)
/
(
    INDEX($AN$5:$AN$77, MATCH(X$100,_xlfn.ANCHORARRAY( $W$5), 0))
    *
    INDEX($AN$5:$AN$77, MATCH($A132,_xlfn.ANCHORARRAY( $W$5), 0))
)</f>
        <v>0.74457397609824583</v>
      </c>
      <c r="Y132" s="17" cm="1">
        <f t="array" ref="Y132">MMULT(
    MMULT(
        INDEX($X$5:$AM$77, MATCH(Y$100,_xlfn.ANCHORARRAY( $W$5), 0), 0),
        $F$5:$U$20
    ),
    TRANSPOSE(
        INDEX($X$5:$AM$77, MATCH($A132,_xlfn.ANCHORARRAY( $W$5), 0), 0)
    )
)
/
(
    INDEX($AN$5:$AN$77, MATCH(Y$100,_xlfn.ANCHORARRAY( $W$5), 0))
    *
    INDEX($AN$5:$AN$77, MATCH($A132,_xlfn.ANCHORARRAY( $W$5), 0))
)</f>
        <v>0.82691636325255768</v>
      </c>
      <c r="Z132" s="17" cm="1">
        <f t="array" ref="Z132">MMULT(
    MMULT(
        INDEX($X$5:$AM$77, MATCH(Z$100,_xlfn.ANCHORARRAY( $W$5), 0), 0),
        $F$5:$U$20
    ),
    TRANSPOSE(
        INDEX($X$5:$AM$77, MATCH($A132,_xlfn.ANCHORARRAY( $W$5), 0), 0)
    )
)
/
(
    INDEX($AN$5:$AN$77, MATCH(Z$100,_xlfn.ANCHORARRAY( $W$5), 0))
    *
    INDEX($AN$5:$AN$77, MATCH($A132,_xlfn.ANCHORARRAY( $W$5), 0))
)</f>
        <v>0.81720455708368656</v>
      </c>
      <c r="AA132" s="17" cm="1">
        <f t="array" ref="AA132">MMULT(
    MMULT(
        INDEX($X$5:$AM$77, MATCH(AA$100,_xlfn.ANCHORARRAY( $W$5), 0), 0),
        $F$5:$U$20
    ),
    TRANSPOSE(
        INDEX($X$5:$AM$77, MATCH($A132,_xlfn.ANCHORARRAY( $W$5), 0), 0)
    )
)
/
(
    INDEX($AN$5:$AN$77, MATCH(AA$100,_xlfn.ANCHORARRAY( $W$5), 0))
    *
    INDEX($AN$5:$AN$77, MATCH($A132,_xlfn.ANCHORARRAY( $W$5), 0))
)</f>
        <v>0.74623259733085634</v>
      </c>
      <c r="AB132" s="17" cm="1">
        <f t="array" ref="AB132">MMULT(
    MMULT(
        INDEX($X$5:$AM$77, MATCH(AB$100,_xlfn.ANCHORARRAY( $W$5), 0), 0),
        $F$5:$U$20
    ),
    TRANSPOSE(
        INDEX($X$5:$AM$77, MATCH($A132,_xlfn.ANCHORARRAY( $W$5), 0), 0)
    )
)
/
(
    INDEX($AN$5:$AN$77, MATCH(AB$100,_xlfn.ANCHORARRAY( $W$5), 0))
    *
    INDEX($AN$5:$AN$77, MATCH($A132,_xlfn.ANCHORARRAY( $W$5), 0))
)</f>
        <v>0.86578654176286274</v>
      </c>
      <c r="AC132" s="17" cm="1">
        <f t="array" ref="AC132">MMULT(
    MMULT(
        INDEX($X$5:$AM$77, MATCH(AC$100,_xlfn.ANCHORARRAY( $W$5), 0), 0),
        $F$5:$U$20
    ),
    TRANSPOSE(
        INDEX($X$5:$AM$77, MATCH($A132,_xlfn.ANCHORARRAY( $W$5), 0), 0)
    )
)
/
(
    INDEX($AN$5:$AN$77, MATCH(AC$100,_xlfn.ANCHORARRAY( $W$5), 0))
    *
    INDEX($AN$5:$AN$77, MATCH($A132,_xlfn.ANCHORARRAY( $W$5), 0))
)</f>
        <v>0.80737770313633461</v>
      </c>
      <c r="AD132" s="17" cm="1">
        <f t="array" ref="AD132">MMULT(
    MMULT(
        INDEX($X$5:$AM$77, MATCH(AD$100,_xlfn.ANCHORARRAY( $W$5), 0), 0),
        $F$5:$U$20
    ),
    TRANSPOSE(
        INDEX($X$5:$AM$77, MATCH($A132,_xlfn.ANCHORARRAY( $W$5), 0), 0)
    )
)
/
(
    INDEX($AN$5:$AN$77, MATCH(AD$100,_xlfn.ANCHORARRAY( $W$5), 0))
    *
    INDEX($AN$5:$AN$77, MATCH($A132,_xlfn.ANCHORARRAY( $W$5), 0))
)</f>
        <v>0.85035268654557217</v>
      </c>
      <c r="AE132" s="17" cm="1">
        <f t="array" ref="AE132">MMULT(
    MMULT(
        INDEX($X$5:$AM$77, MATCH(AE$100,_xlfn.ANCHORARRAY( $W$5), 0), 0),
        $F$5:$U$20
    ),
    TRANSPOSE(
        INDEX($X$5:$AM$77, MATCH($A132,_xlfn.ANCHORARRAY( $W$5), 0), 0)
    )
)
/
(
    INDEX($AN$5:$AN$77, MATCH(AE$100,_xlfn.ANCHORARRAY( $W$5), 0))
    *
    INDEX($AN$5:$AN$77, MATCH($A132,_xlfn.ANCHORARRAY( $W$5), 0))
)</f>
        <v>0.91643294649607299</v>
      </c>
      <c r="AF132" s="17" cm="1">
        <f t="array" ref="AF132">MMULT(
    MMULT(
        INDEX($X$5:$AM$77, MATCH(AF$100,_xlfn.ANCHORARRAY( $W$5), 0), 0),
        $F$5:$U$20
    ),
    TRANSPOSE(
        INDEX($X$5:$AM$77, MATCH($A132,_xlfn.ANCHORARRAY( $W$5), 0), 0)
    )
)
/
(
    INDEX($AN$5:$AN$77, MATCH(AF$100,_xlfn.ANCHORARRAY( $W$5), 0))
    *
    INDEX($AN$5:$AN$77, MATCH($A132,_xlfn.ANCHORARRAY( $W$5), 0))
)</f>
        <v>0.89378197944668347</v>
      </c>
      <c r="AG132" s="17" cm="1">
        <f t="array" ref="AG132">MMULT(
    MMULT(
        INDEX($X$5:$AM$77, MATCH(AG$100,_xlfn.ANCHORARRAY( $W$5), 0), 0),
        $F$5:$U$20
    ),
    TRANSPOSE(
        INDEX($X$5:$AM$77, MATCH($A132,_xlfn.ANCHORARRAY( $W$5), 0), 0)
    )
)
/
(
    INDEX($AN$5:$AN$77, MATCH(AG$100,_xlfn.ANCHORARRAY( $W$5), 0))
    *
    INDEX($AN$5:$AN$77, MATCH($A132,_xlfn.ANCHORARRAY( $W$5), 0))
)</f>
        <v>1.0000000000000002</v>
      </c>
      <c r="AH132" s="17" cm="1">
        <f t="array" ref="AH132">MMULT(
    MMULT(
        INDEX($X$5:$AM$77, MATCH(AH$100,_xlfn.ANCHORARRAY( $W$5), 0), 0),
        $F$5:$U$20
    ),
    TRANSPOSE(
        INDEX($X$5:$AM$77, MATCH($A132,_xlfn.ANCHORARRAY( $W$5), 0), 0)
    )
)
/
(
    INDEX($AN$5:$AN$77, MATCH(AH$100,_xlfn.ANCHORARRAY( $W$5), 0))
    *
    INDEX($AN$5:$AN$77, MATCH($A132,_xlfn.ANCHORARRAY( $W$5), 0))
)</f>
        <v>0.84375278951423027</v>
      </c>
      <c r="AI132" s="17" cm="1">
        <f t="array" ref="AI132">MMULT(
    MMULT(
        INDEX($X$5:$AM$77, MATCH(AI$100,_xlfn.ANCHORARRAY( $W$5), 0), 0),
        $F$5:$U$20
    ),
    TRANSPOSE(
        INDEX($X$5:$AM$77, MATCH($A132,_xlfn.ANCHORARRAY( $W$5), 0), 0)
    )
)
/
(
    INDEX($AN$5:$AN$77, MATCH(AI$100,_xlfn.ANCHORARRAY( $W$5), 0))
    *
    INDEX($AN$5:$AN$77, MATCH($A132,_xlfn.ANCHORARRAY( $W$5), 0))
)</f>
        <v>0.96256067189778638</v>
      </c>
      <c r="AJ132" s="17" cm="1">
        <f t="array" ref="AJ132">MMULT(
    MMULT(
        INDEX($X$5:$AM$77, MATCH(AJ$100,_xlfn.ANCHORARRAY( $W$5), 0), 0),
        $F$5:$U$20
    ),
    TRANSPOSE(
        INDEX($X$5:$AM$77, MATCH($A132,_xlfn.ANCHORARRAY( $W$5), 0), 0)
    )
)
/
(
    INDEX($AN$5:$AN$77, MATCH(AJ$100,_xlfn.ANCHORARRAY( $W$5), 0))
    *
    INDEX($AN$5:$AN$77, MATCH($A132,_xlfn.ANCHORARRAY( $W$5), 0))
)</f>
        <v>0.77168877645430844</v>
      </c>
      <c r="AK132" s="17" cm="1">
        <f t="array" ref="AK132">MMULT(
    MMULT(
        INDEX($X$5:$AM$77, MATCH(AK$100,_xlfn.ANCHORARRAY( $W$5), 0), 0),
        $F$5:$U$20
    ),
    TRANSPOSE(
        INDEX($X$5:$AM$77, MATCH($A132,_xlfn.ANCHORARRAY( $W$5), 0), 0)
    )
)
/
(
    INDEX($AN$5:$AN$77, MATCH(AK$100,_xlfn.ANCHORARRAY( $W$5), 0))
    *
    INDEX($AN$5:$AN$77, MATCH($A132,_xlfn.ANCHORARRAY( $W$5), 0))
)</f>
        <v>0.9508004463841131</v>
      </c>
      <c r="AL132" s="17" cm="1">
        <f t="array" ref="AL132">MMULT(
    MMULT(
        INDEX($X$5:$AM$77, MATCH(AL$100,_xlfn.ANCHORARRAY( $W$5), 0), 0),
        $F$5:$U$20
    ),
    TRANSPOSE(
        INDEX($X$5:$AM$77, MATCH($A132,_xlfn.ANCHORARRAY( $W$5), 0), 0)
    )
)
/
(
    INDEX($AN$5:$AN$77, MATCH(AL$100,_xlfn.ANCHORARRAY( $W$5), 0))
    *
    INDEX($AN$5:$AN$77, MATCH($A132,_xlfn.ANCHORARRAY( $W$5), 0))
)</f>
        <v>0.67297552455924969</v>
      </c>
      <c r="AM132" s="17" cm="1">
        <f t="array" ref="AM132">MMULT(
    MMULT(
        INDEX($X$5:$AM$77, MATCH(AM$100,_xlfn.ANCHORARRAY( $W$5), 0), 0),
        $F$5:$U$20
    ),
    TRANSPOSE(
        INDEX($X$5:$AM$77, MATCH($A132,_xlfn.ANCHORARRAY( $W$5), 0), 0)
    )
)
/
(
    INDEX($AN$5:$AN$77, MATCH(AM$100,_xlfn.ANCHORARRAY( $W$5), 0))
    *
    INDEX($AN$5:$AN$77, MATCH($A132,_xlfn.ANCHORARRAY( $W$5), 0))
)</f>
        <v>0.87967139663603844</v>
      </c>
      <c r="AN132" s="17" cm="1">
        <f t="array" ref="AN132">MMULT(
    MMULT(
        INDEX($X$5:$AM$77, MATCH(AN$100,_xlfn.ANCHORARRAY( $W$5), 0), 0),
        $F$5:$U$20
    ),
    TRANSPOSE(
        INDEX($X$5:$AM$77, MATCH($A132,_xlfn.ANCHORARRAY( $W$5), 0), 0)
    )
)
/
(
    INDEX($AN$5:$AN$77, MATCH(AN$100,_xlfn.ANCHORARRAY( $W$5), 0))
    *
    INDEX($AN$5:$AN$77, MATCH($A132,_xlfn.ANCHORARRAY( $W$5), 0))
)</f>
        <v>0.87179682514639334</v>
      </c>
      <c r="AO132" s="17" cm="1">
        <f t="array" ref="AO132">MMULT(
    MMULT(
        INDEX($X$5:$AM$77, MATCH(AO$100,_xlfn.ANCHORARRAY( $W$5), 0), 0),
        $F$5:$U$20
    ),
    TRANSPOSE(
        INDEX($X$5:$AM$77, MATCH($A132,_xlfn.ANCHORARRAY( $W$5), 0), 0)
    )
)
/
(
    INDEX($AN$5:$AN$77, MATCH(AO$100,_xlfn.ANCHORARRAY( $W$5), 0))
    *
    INDEX($AN$5:$AN$77, MATCH($A132,_xlfn.ANCHORARRAY( $W$5), 0))
)</f>
        <v>0.8643120139072954</v>
      </c>
      <c r="AP132" s="17" cm="1">
        <f t="array" ref="AP132">MMULT(
    MMULT(
        INDEX($X$5:$AM$77, MATCH(AP$100,_xlfn.ANCHORARRAY( $W$5), 0), 0),
        $F$5:$U$20
    ),
    TRANSPOSE(
        INDEX($X$5:$AM$77, MATCH($A132,_xlfn.ANCHORARRAY( $W$5), 0), 0)
    )
)
/
(
    INDEX($AN$5:$AN$77, MATCH(AP$100,_xlfn.ANCHORARRAY( $W$5), 0))
    *
    INDEX($AN$5:$AN$77, MATCH($A132,_xlfn.ANCHORARRAY( $W$5), 0))
)</f>
        <v>0.82044065493619012</v>
      </c>
      <c r="AQ132" s="17" cm="1">
        <f t="array" ref="AQ132">MMULT(
    MMULT(
        INDEX($X$5:$AM$77, MATCH(AQ$100,_xlfn.ANCHORARRAY( $W$5), 0), 0),
        $F$5:$U$20
    ),
    TRANSPOSE(
        INDEX($X$5:$AM$77, MATCH($A132,_xlfn.ANCHORARRAY( $W$5), 0), 0)
    )
)
/
(
    INDEX($AN$5:$AN$77, MATCH(AQ$100,_xlfn.ANCHORARRAY( $W$5), 0))
    *
    INDEX($AN$5:$AN$77, MATCH($A132,_xlfn.ANCHORARRAY( $W$5), 0))
)</f>
        <v>0.85978746837930342</v>
      </c>
      <c r="AR132" s="17" cm="1">
        <f t="array" ref="AR132">MMULT(
    MMULT(
        INDEX($X$5:$AM$77, MATCH(AR$100,_xlfn.ANCHORARRAY( $W$5), 0), 0),
        $F$5:$U$20
    ),
    TRANSPOSE(
        INDEX($X$5:$AM$77, MATCH($A132,_xlfn.ANCHORARRAY( $W$5), 0), 0)
    )
)
/
(
    INDEX($AN$5:$AN$77, MATCH(AR$100,_xlfn.ANCHORARRAY( $W$5), 0))
    *
    INDEX($AN$5:$AN$77, MATCH($A132,_xlfn.ANCHORARRAY( $W$5), 0))
)</f>
        <v>0.79406281792885192</v>
      </c>
      <c r="AS132" s="17" cm="1">
        <f t="array" ref="AS132">MMULT(
    MMULT(
        INDEX($X$5:$AM$77, MATCH(AS$100,_xlfn.ANCHORARRAY( $W$5), 0), 0),
        $F$5:$U$20
    ),
    TRANSPOSE(
        INDEX($X$5:$AM$77, MATCH($A132,_xlfn.ANCHORARRAY( $W$5), 0), 0)
    )
)
/
(
    INDEX($AN$5:$AN$77, MATCH(AS$100,_xlfn.ANCHORARRAY( $W$5), 0))
    *
    INDEX($AN$5:$AN$77, MATCH($A132,_xlfn.ANCHORARRAY( $W$5), 0))
)</f>
        <v>0.80432224655400097</v>
      </c>
      <c r="AT132" s="17" cm="1">
        <f t="array" ref="AT132">MMULT(
    MMULT(
        INDEX($X$5:$AM$77, MATCH(AT$100,_xlfn.ANCHORARRAY( $W$5), 0), 0),
        $F$5:$U$20
    ),
    TRANSPOSE(
        INDEX($X$5:$AM$77, MATCH($A132,_xlfn.ANCHORARRAY( $W$5), 0), 0)
    )
)
/
(
    INDEX($AN$5:$AN$77, MATCH(AT$100,_xlfn.ANCHORARRAY( $W$5), 0))
    *
    INDEX($AN$5:$AN$77, MATCH($A132,_xlfn.ANCHORARRAY( $W$5), 0))
)</f>
        <v>0.97698093913340978</v>
      </c>
      <c r="AU132" s="17" cm="1">
        <f t="array" ref="AU132">MMULT(
    MMULT(
        INDEX($X$5:$AM$77, MATCH(AU$100,_xlfn.ANCHORARRAY( $W$5), 0), 0),
        $F$5:$U$20
    ),
    TRANSPOSE(
        INDEX($X$5:$AM$77, MATCH($A132,_xlfn.ANCHORARRAY( $W$5), 0), 0)
    )
)
/
(
    INDEX($AN$5:$AN$77, MATCH(AU$100,_xlfn.ANCHORARRAY( $W$5), 0))
    *
    INDEX($AN$5:$AN$77, MATCH($A132,_xlfn.ANCHORARRAY( $W$5), 0))
)</f>
        <v>0.78145779651811087</v>
      </c>
      <c r="AV132" s="17" cm="1">
        <f t="array" ref="AV132">MMULT(
    MMULT(
        INDEX($X$5:$AM$77, MATCH(AV$100,_xlfn.ANCHORARRAY( $W$5), 0), 0),
        $F$5:$U$20
    ),
    TRANSPOSE(
        INDEX($X$5:$AM$77, MATCH($A132,_xlfn.ANCHORARRAY( $W$5), 0), 0)
    )
)
/
(
    INDEX($AN$5:$AN$77, MATCH(AV$100,_xlfn.ANCHORARRAY( $W$5), 0))
    *
    INDEX($AN$5:$AN$77, MATCH($A132,_xlfn.ANCHORARRAY( $W$5), 0))
)</f>
        <v>0.78504519354222291</v>
      </c>
      <c r="AW132" s="17" cm="1">
        <f t="array" ref="AW132">MMULT(
    MMULT(
        INDEX($X$5:$AM$77, MATCH(AW$100,_xlfn.ANCHORARRAY( $W$5), 0), 0),
        $F$5:$U$20
    ),
    TRANSPOSE(
        INDEX($X$5:$AM$77, MATCH($A132,_xlfn.ANCHORARRAY( $W$5), 0), 0)
    )
)
/
(
    INDEX($AN$5:$AN$77, MATCH(AW$100,_xlfn.ANCHORARRAY( $W$5), 0))
    *
    INDEX($AN$5:$AN$77, MATCH($A132,_xlfn.ANCHORARRAY( $W$5), 0))
)</f>
        <v>0.82224343695605107</v>
      </c>
      <c r="AX132" s="17" cm="1">
        <f t="array" ref="AX132">MMULT(
    MMULT(
        INDEX($X$5:$AM$77, MATCH(AX$100,_xlfn.ANCHORARRAY( $W$5), 0), 0),
        $F$5:$U$20
    ),
    TRANSPOSE(
        INDEX($X$5:$AM$77, MATCH($A132,_xlfn.ANCHORARRAY( $W$5), 0), 0)
    )
)
/
(
    INDEX($AN$5:$AN$77, MATCH(AX$100,_xlfn.ANCHORARRAY( $W$5), 0))
    *
    INDEX($AN$5:$AN$77, MATCH($A132,_xlfn.ANCHORARRAY( $W$5), 0))
)</f>
        <v>0.72829765984229067</v>
      </c>
      <c r="AY132" s="17" cm="1">
        <f t="array" ref="AY132">MMULT(
    MMULT(
        INDEX($X$5:$AM$77, MATCH(AY$100,_xlfn.ANCHORARRAY( $W$5), 0), 0),
        $F$5:$U$20
    ),
    TRANSPOSE(
        INDEX($X$5:$AM$77, MATCH($A132,_xlfn.ANCHORARRAY( $W$5), 0), 0)
    )
)
/
(
    INDEX($AN$5:$AN$77, MATCH(AY$100,_xlfn.ANCHORARRAY( $W$5), 0))
    *
    INDEX($AN$5:$AN$77, MATCH($A132,_xlfn.ANCHORARRAY( $W$5), 0))
)</f>
        <v>0.77449202304966158</v>
      </c>
      <c r="AZ132" s="17" cm="1">
        <f t="array" ref="AZ132">MMULT(
    MMULT(
        INDEX($X$5:$AM$77, MATCH(AZ$100,_xlfn.ANCHORARRAY( $W$5), 0), 0),
        $F$5:$U$20
    ),
    TRANSPOSE(
        INDEX($X$5:$AM$77, MATCH($A132,_xlfn.ANCHORARRAY( $W$5), 0), 0)
    )
)
/
(
    INDEX($AN$5:$AN$77, MATCH(AZ$100,_xlfn.ANCHORARRAY( $W$5), 0))
    *
    INDEX($AN$5:$AN$77, MATCH($A132,_xlfn.ANCHORARRAY( $W$5), 0))
)</f>
        <v>0.81382229156772012</v>
      </c>
      <c r="BA132" s="17" cm="1">
        <f t="array" ref="BA132">MMULT(
    MMULT(
        INDEX($X$5:$AM$77, MATCH(BA$100,_xlfn.ANCHORARRAY( $W$5), 0), 0),
        $F$5:$U$20
    ),
    TRANSPOSE(
        INDEX($X$5:$AM$77, MATCH($A132,_xlfn.ANCHORARRAY( $W$5), 0), 0)
    )
)
/
(
    INDEX($AN$5:$AN$77, MATCH(BA$100,_xlfn.ANCHORARRAY( $W$5), 0))
    *
    INDEX($AN$5:$AN$77, MATCH($A132,_xlfn.ANCHORARRAY( $W$5), 0))
)</f>
        <v>0.8136935510477461</v>
      </c>
      <c r="BB132" s="17" cm="1">
        <f t="array" ref="BB132">MMULT(
    MMULT(
        INDEX($X$5:$AM$77, MATCH(BB$100,_xlfn.ANCHORARRAY( $W$5), 0), 0),
        $F$5:$U$20
    ),
    TRANSPOSE(
        INDEX($X$5:$AM$77, MATCH($A132,_xlfn.ANCHORARRAY( $W$5), 0), 0)
    )
)
/
(
    INDEX($AN$5:$AN$77, MATCH(BB$100,_xlfn.ANCHORARRAY( $W$5), 0))
    *
    INDEX($AN$5:$AN$77, MATCH($A132,_xlfn.ANCHORARRAY( $W$5), 0))
)</f>
        <v>0.75120154468507672</v>
      </c>
      <c r="BC132" s="17" cm="1">
        <f t="array" ref="BC132">MMULT(
    MMULT(
        INDEX($X$5:$AM$77, MATCH(BC$100,_xlfn.ANCHORARRAY( $W$5), 0), 0),
        $F$5:$U$20
    ),
    TRANSPOSE(
        INDEX($X$5:$AM$77, MATCH($A132,_xlfn.ANCHORARRAY( $W$5), 0), 0)
    )
)
/
(
    INDEX($AN$5:$AN$77, MATCH(BC$100,_xlfn.ANCHORARRAY( $W$5), 0))
    *
    INDEX($AN$5:$AN$77, MATCH($A132,_xlfn.ANCHORARRAY( $W$5), 0))
)</f>
        <v>0.92418361228224633</v>
      </c>
      <c r="BD132" s="17" cm="1">
        <f t="array" ref="BD132">MMULT(
    MMULT(
        INDEX($X$5:$AM$77, MATCH(BD$100,_xlfn.ANCHORARRAY( $W$5), 0), 0),
        $F$5:$U$20
    ),
    TRANSPOSE(
        INDEX($X$5:$AM$77, MATCH($A132,_xlfn.ANCHORARRAY( $W$5), 0), 0)
    )
)
/
(
    INDEX($AN$5:$AN$77, MATCH(BD$100,_xlfn.ANCHORARRAY( $W$5), 0))
    *
    INDEX($AN$5:$AN$77, MATCH($A132,_xlfn.ANCHORARRAY( $W$5), 0))
)</f>
        <v>0.70229569574444084</v>
      </c>
      <c r="BE132" s="17" cm="1">
        <f t="array" ref="BE132">MMULT(
    MMULT(
        INDEX($X$5:$AM$77, MATCH(BE$100,_xlfn.ANCHORARRAY( $W$5), 0), 0),
        $F$5:$U$20
    ),
    TRANSPOSE(
        INDEX($X$5:$AM$77, MATCH($A132,_xlfn.ANCHORARRAY( $W$5), 0), 0)
    )
)
/
(
    INDEX($AN$5:$AN$77, MATCH(BE$100,_xlfn.ANCHORARRAY( $W$5), 0))
    *
    INDEX($AN$5:$AN$77, MATCH($A132,_xlfn.ANCHORARRAY( $W$5), 0))
)</f>
        <v>0.86875828150872769</v>
      </c>
      <c r="BF132" s="17" cm="1">
        <f t="array" ref="BF132">MMULT(
    MMULT(
        INDEX($X$5:$AM$77, MATCH(BF$100,_xlfn.ANCHORARRAY( $W$5), 0), 0),
        $F$5:$U$20
    ),
    TRANSPOSE(
        INDEX($X$5:$AM$77, MATCH($A132,_xlfn.ANCHORARRAY( $W$5), 0), 0)
    )
)
/
(
    INDEX($AN$5:$AN$77, MATCH(BF$100,_xlfn.ANCHORARRAY( $W$5), 0))
    *
    INDEX($AN$5:$AN$77, MATCH($A132,_xlfn.ANCHORARRAY( $W$5), 0))
)</f>
        <v>0.85292518418386254</v>
      </c>
      <c r="BG132" s="17" cm="1">
        <f t="array" ref="BG132">MMULT(
    MMULT(
        INDEX($X$5:$AM$77, MATCH(BG$100,_xlfn.ANCHORARRAY( $W$5), 0), 0),
        $F$5:$U$20
    ),
    TRANSPOSE(
        INDEX($X$5:$AM$77, MATCH($A132,_xlfn.ANCHORARRAY( $W$5), 0), 0)
    )
)
/
(
    INDEX($AN$5:$AN$77, MATCH(BG$100,_xlfn.ANCHORARRAY( $W$5), 0))
    *
    INDEX($AN$5:$AN$77, MATCH($A132,_xlfn.ANCHORARRAY( $W$5), 0))
)</f>
        <v>0.79464265474205953</v>
      </c>
      <c r="BH132" s="17" cm="1">
        <f t="array" ref="BH132">MMULT(
    MMULT(
        INDEX($X$5:$AM$77, MATCH(BH$100,_xlfn.ANCHORARRAY( $W$5), 0), 0),
        $F$5:$U$20
    ),
    TRANSPOSE(
        INDEX($X$5:$AM$77, MATCH($A132,_xlfn.ANCHORARRAY( $W$5), 0), 0)
    )
)
/
(
    INDEX($AN$5:$AN$77, MATCH(BH$100,_xlfn.ANCHORARRAY( $W$5), 0))
    *
    INDEX($AN$5:$AN$77, MATCH($A132,_xlfn.ANCHORARRAY( $W$5), 0))
)</f>
        <v>0.86363754536209569</v>
      </c>
      <c r="BI132" s="17" cm="1">
        <f t="array" ref="BI132">MMULT(
    MMULT(
        INDEX($X$5:$AM$77, MATCH(BI$100,_xlfn.ANCHORARRAY( $W$5), 0), 0),
        $F$5:$U$20
    ),
    TRANSPOSE(
        INDEX($X$5:$AM$77, MATCH($A132,_xlfn.ANCHORARRAY( $W$5), 0), 0)
    )
)
/
(
    INDEX($AN$5:$AN$77, MATCH(BI$100,_xlfn.ANCHORARRAY( $W$5), 0))
    *
    INDEX($AN$5:$AN$77, MATCH($A132,_xlfn.ANCHORARRAY( $W$5), 0))
)</f>
        <v>0.76187161951723681</v>
      </c>
      <c r="BJ132" s="17" cm="1">
        <f t="array" ref="BJ132">MMULT(
    MMULT(
        INDEX($X$5:$AM$77, MATCH(BJ$100,_xlfn.ANCHORARRAY( $W$5), 0), 0),
        $F$5:$U$20
    ),
    TRANSPOSE(
        INDEX($X$5:$AM$77, MATCH($A132,_xlfn.ANCHORARRAY( $W$5), 0), 0)
    )
)
/
(
    INDEX($AN$5:$AN$77, MATCH(BJ$100,_xlfn.ANCHORARRAY( $W$5), 0))
    *
    INDEX($AN$5:$AN$77, MATCH($A132,_xlfn.ANCHORARRAY( $W$5), 0))
)</f>
        <v>0.93726101179385213</v>
      </c>
      <c r="BK132" s="17" cm="1">
        <f t="array" ref="BK132">MMULT(
    MMULT(
        INDEX($X$5:$AM$77, MATCH(BK$100,_xlfn.ANCHORARRAY( $W$5), 0), 0),
        $F$5:$U$20
    ),
    TRANSPOSE(
        INDEX($X$5:$AM$77, MATCH($A132,_xlfn.ANCHORARRAY( $W$5), 0), 0)
    )
)
/
(
    INDEX($AN$5:$AN$77, MATCH(BK$100,_xlfn.ANCHORARRAY( $W$5), 0))
    *
    INDEX($AN$5:$AN$77, MATCH($A132,_xlfn.ANCHORARRAY( $W$5), 0))
)</f>
        <v>0.72767025860554224</v>
      </c>
      <c r="BL132" s="17" cm="1">
        <f t="array" ref="BL132">MMULT(
    MMULT(
        INDEX($X$5:$AM$77, MATCH(BL$100,_xlfn.ANCHORARRAY( $W$5), 0), 0),
        $F$5:$U$20
    ),
    TRANSPOSE(
        INDEX($X$5:$AM$77, MATCH($A132,_xlfn.ANCHORARRAY( $W$5), 0), 0)
    )
)
/
(
    INDEX($AN$5:$AN$77, MATCH(BL$100,_xlfn.ANCHORARRAY( $W$5), 0))
    *
    INDEX($AN$5:$AN$77, MATCH($A132,_xlfn.ANCHORARRAY( $W$5), 0))
)</f>
        <v>0.29130776567156574</v>
      </c>
      <c r="BM132" s="17" cm="1">
        <f t="array" ref="BM132">MMULT(
    MMULT(
        INDEX($X$5:$AM$77, MATCH(BM$100,_xlfn.ANCHORARRAY( $W$5), 0), 0),
        $F$5:$U$20
    ),
    TRANSPOSE(
        INDEX($X$5:$AM$77, MATCH($A132,_xlfn.ANCHORARRAY( $W$5), 0), 0)
    )
)
/
(
    INDEX($AN$5:$AN$77, MATCH(BM$100,_xlfn.ANCHORARRAY( $W$5), 0))
    *
    INDEX($AN$5:$AN$77, MATCH($A132,_xlfn.ANCHORARRAY( $W$5), 0))
)</f>
        <v>0.67219629660772207</v>
      </c>
      <c r="BN132" s="17" cm="1">
        <f t="array" ref="BN132">MMULT(
    MMULT(
        INDEX($X$5:$AM$77, MATCH(BN$100,_xlfn.ANCHORARRAY( $W$5), 0), 0),
        $F$5:$U$20
    ),
    TRANSPOSE(
        INDEX($X$5:$AM$77, MATCH($A132,_xlfn.ANCHORARRAY( $W$5), 0), 0)
    )
)
/
(
    INDEX($AN$5:$AN$77, MATCH(BN$100,_xlfn.ANCHORARRAY( $W$5), 0))
    *
    INDEX($AN$5:$AN$77, MATCH($A132,_xlfn.ANCHORARRAY( $W$5), 0))
)</f>
        <v>0.91134459589265882</v>
      </c>
      <c r="BO132" s="17" cm="1">
        <f t="array" ref="BO132">MMULT(
    MMULT(
        INDEX($X$5:$AM$77, MATCH(BO$100,_xlfn.ANCHORARRAY( $W$5), 0), 0),
        $F$5:$U$20
    ),
    TRANSPOSE(
        INDEX($X$5:$AM$77, MATCH($A132,_xlfn.ANCHORARRAY( $W$5), 0), 0)
    )
)
/
(
    INDEX($AN$5:$AN$77, MATCH(BO$100,_xlfn.ANCHORARRAY( $W$5), 0))
    *
    INDEX($AN$5:$AN$77, MATCH($A132,_xlfn.ANCHORARRAY( $W$5), 0))
)</f>
        <v>0.86011781589402736</v>
      </c>
      <c r="BP132" s="17" cm="1">
        <f t="array" ref="BP132">MMULT(
    MMULT(
        INDEX($X$5:$AM$77, MATCH(BP$100,_xlfn.ANCHORARRAY( $W$5), 0), 0),
        $F$5:$U$20
    ),
    TRANSPOSE(
        INDEX($X$5:$AM$77, MATCH($A132,_xlfn.ANCHORARRAY( $W$5), 0), 0)
    )
)
/
(
    INDEX($AN$5:$AN$77, MATCH(BP$100,_xlfn.ANCHORARRAY( $W$5), 0))
    *
    INDEX($AN$5:$AN$77, MATCH($A132,_xlfn.ANCHORARRAY( $W$5), 0))
)</f>
        <v>0.91492491716568192</v>
      </c>
      <c r="BQ132" s="17" cm="1">
        <f t="array" ref="BQ132">MMULT(
    MMULT(
        INDEX($X$5:$AM$77, MATCH(BQ$100,_xlfn.ANCHORARRAY( $W$5), 0), 0),
        $F$5:$U$20
    ),
    TRANSPOSE(
        INDEX($X$5:$AM$77, MATCH($A132,_xlfn.ANCHORARRAY( $W$5), 0), 0)
    )
)
/
(
    INDEX($AN$5:$AN$77, MATCH(BQ$100,_xlfn.ANCHORARRAY( $W$5), 0))
    *
    INDEX($AN$5:$AN$77, MATCH($A132,_xlfn.ANCHORARRAY( $W$5), 0))
)</f>
        <v>0.76510631408380625</v>
      </c>
      <c r="BR132" s="17" cm="1">
        <f t="array" ref="BR132">MMULT(
    MMULT(
        INDEX($X$5:$AM$77, MATCH(BR$100,_xlfn.ANCHORARRAY( $W$5), 0), 0),
        $F$5:$U$20
    ),
    TRANSPOSE(
        INDEX($X$5:$AM$77, MATCH($A132,_xlfn.ANCHORARRAY( $W$5), 0), 0)
    )
)
/
(
    INDEX($AN$5:$AN$77, MATCH(BR$100,_xlfn.ANCHORARRAY( $W$5), 0))
    *
    INDEX($AN$5:$AN$77, MATCH($A132,_xlfn.ANCHORARRAY( $W$5), 0))
)</f>
        <v>0.81283267156233607</v>
      </c>
      <c r="BS132" s="17" cm="1">
        <f t="array" ref="BS132">MMULT(
    MMULT(
        INDEX($X$5:$AM$77, MATCH(BS$100,_xlfn.ANCHORARRAY( $W$5), 0), 0),
        $F$5:$U$20
    ),
    TRANSPOSE(
        INDEX($X$5:$AM$77, MATCH($A132,_xlfn.ANCHORARRAY( $W$5), 0), 0)
    )
)
/
(
    INDEX($AN$5:$AN$77, MATCH(BS$100,_xlfn.ANCHORARRAY( $W$5), 0))
    *
    INDEX($AN$5:$AN$77, MATCH($A132,_xlfn.ANCHORARRAY( $W$5), 0))
)</f>
        <v>0.74409563018841118</v>
      </c>
      <c r="BT132" s="17" cm="1">
        <f t="array" ref="BT132">MMULT(
    MMULT(
        INDEX($X$5:$AM$77, MATCH(BT$100,_xlfn.ANCHORARRAY( $W$5), 0), 0),
        $F$5:$U$20
    ),
    TRANSPOSE(
        INDEX($X$5:$AM$77, MATCH($A132,_xlfn.ANCHORARRAY( $W$5), 0), 0)
    )
)
/
(
    INDEX($AN$5:$AN$77, MATCH(BT$100,_xlfn.ANCHORARRAY( $W$5), 0))
    *
    INDEX($AN$5:$AN$77, MATCH($A132,_xlfn.ANCHORARRAY( $W$5), 0))
)</f>
        <v>0.94339338669741113</v>
      </c>
      <c r="BU132" s="17" cm="1">
        <f t="array" ref="BU132">MMULT(
    MMULT(
        INDEX($X$5:$AM$77, MATCH(BU$100,_xlfn.ANCHORARRAY( $W$5), 0), 0),
        $F$5:$U$20
    ),
    TRANSPOSE(
        INDEX($X$5:$AM$77, MATCH($A132,_xlfn.ANCHORARRAY( $W$5), 0), 0)
    )
)
/
(
    INDEX($AN$5:$AN$77, MATCH(BU$100,_xlfn.ANCHORARRAY( $W$5), 0))
    *
    INDEX($AN$5:$AN$77, MATCH($A132,_xlfn.ANCHORARRAY( $W$5), 0))
)</f>
        <v>0.86636808159167555</v>
      </c>
      <c r="BV132" s="17" cm="1">
        <f t="array" ref="BV132">MMULT(
    MMULT(
        INDEX($X$5:$AM$77, MATCH(BV$100,_xlfn.ANCHORARRAY( $W$5), 0), 0),
        $F$5:$U$20
    ),
    TRANSPOSE(
        INDEX($X$5:$AM$77, MATCH($A132,_xlfn.ANCHORARRAY( $W$5), 0), 0)
    )
)
/
(
    INDEX($AN$5:$AN$77, MATCH(BV$100,_xlfn.ANCHORARRAY( $W$5), 0))
    *
    INDEX($AN$5:$AN$77, MATCH($A132,_xlfn.ANCHORARRAY( $W$5), 0))
)</f>
        <v>0.80523749486507556</v>
      </c>
    </row>
    <row r="133" spans="1:74" x14ac:dyDescent="0.3">
      <c r="A133" s="7" t="str">
        <v>Yates, Kirby</v>
      </c>
      <c r="B133" s="17" cm="1">
        <f t="array" ref="B133">MMULT(
    MMULT(
        INDEX($X$5:$AM$77, MATCH(B$100,_xlfn.ANCHORARRAY( $W$5), 0), 0),
        $F$5:$U$20
    ),
    TRANSPOSE(
        INDEX($X$5:$AM$77, MATCH($A133,_xlfn.ANCHORARRAY( $W$5), 0), 0)
    )
)
/
(
    INDEX($AN$5:$AN$77, MATCH(B$100,_xlfn.ANCHORARRAY( $W$5), 0))
    *
    INDEX($AN$5:$AN$77, MATCH($A133,_xlfn.ANCHORARRAY( $W$5), 0))
)</f>
        <v>0.71570163345791971</v>
      </c>
      <c r="C133" s="17" cm="1">
        <f t="array" ref="C133">MMULT(
    MMULT(
        INDEX($X$5:$AM$77, MATCH(C$100,_xlfn.ANCHORARRAY( $W$5), 0), 0),
        $F$5:$U$20
    ),
    TRANSPOSE(
        INDEX($X$5:$AM$77, MATCH($A133,_xlfn.ANCHORARRAY( $W$5), 0), 0)
    )
)
/
(
    INDEX($AN$5:$AN$77, MATCH(C$100,_xlfn.ANCHORARRAY( $W$5), 0))
    *
    INDEX($AN$5:$AN$77, MATCH($A133,_xlfn.ANCHORARRAY( $W$5), 0))
)</f>
        <v>0.6231610753914133</v>
      </c>
      <c r="D133" s="17" cm="1">
        <f t="array" ref="D133">MMULT(
    MMULT(
        INDEX($X$5:$AM$77, MATCH(D$100,_xlfn.ANCHORARRAY( $W$5), 0), 0),
        $F$5:$U$20
    ),
    TRANSPOSE(
        INDEX($X$5:$AM$77, MATCH($A133,_xlfn.ANCHORARRAY( $W$5), 0), 0)
    )
)
/
(
    INDEX($AN$5:$AN$77, MATCH(D$100,_xlfn.ANCHORARRAY( $W$5), 0))
    *
    INDEX($AN$5:$AN$77, MATCH($A133,_xlfn.ANCHORARRAY( $W$5), 0))
)</f>
        <v>0.7123125613955823</v>
      </c>
      <c r="E133" s="17" cm="1">
        <f t="array" ref="E133">MMULT(
    MMULT(
        INDEX($X$5:$AM$77, MATCH(E$100,_xlfn.ANCHORARRAY( $W$5), 0), 0),
        $F$5:$U$20
    ),
    TRANSPOSE(
        INDEX($X$5:$AM$77, MATCH($A133,_xlfn.ANCHORARRAY( $W$5), 0), 0)
    )
)
/
(
    INDEX($AN$5:$AN$77, MATCH(E$100,_xlfn.ANCHORARRAY( $W$5), 0))
    *
    INDEX($AN$5:$AN$77, MATCH($A133,_xlfn.ANCHORARRAY( $W$5), 0))
)</f>
        <v>0.60997088083467688</v>
      </c>
      <c r="F133" s="17" cm="1">
        <f t="array" ref="F133">MMULT(
    MMULT(
        INDEX($X$5:$AM$77, MATCH(F$100,_xlfn.ANCHORARRAY( $W$5), 0), 0),
        $F$5:$U$20
    ),
    TRANSPOSE(
        INDEX($X$5:$AM$77, MATCH($A133,_xlfn.ANCHORARRAY( $W$5), 0), 0)
    )
)
/
(
    INDEX($AN$5:$AN$77, MATCH(F$100,_xlfn.ANCHORARRAY( $W$5), 0))
    *
    INDEX($AN$5:$AN$77, MATCH($A133,_xlfn.ANCHORARRAY( $W$5), 0))
)</f>
        <v>0.62564446092449044</v>
      </c>
      <c r="G133" s="17" cm="1">
        <f t="array" ref="G133">MMULT(
    MMULT(
        INDEX($X$5:$AM$77, MATCH(G$100,_xlfn.ANCHORARRAY( $W$5), 0), 0),
        $F$5:$U$20
    ),
    TRANSPOSE(
        INDEX($X$5:$AM$77, MATCH($A133,_xlfn.ANCHORARRAY( $W$5), 0), 0)
    )
)
/
(
    INDEX($AN$5:$AN$77, MATCH(G$100,_xlfn.ANCHORARRAY( $W$5), 0))
    *
    INDEX($AN$5:$AN$77, MATCH($A133,_xlfn.ANCHORARRAY( $W$5), 0))
)</f>
        <v>0.83979270087046942</v>
      </c>
      <c r="H133" s="17" cm="1">
        <f t="array" ref="H133">MMULT(
    MMULT(
        INDEX($X$5:$AM$77, MATCH(H$100,_xlfn.ANCHORARRAY( $W$5), 0), 0),
        $F$5:$U$20
    ),
    TRANSPOSE(
        INDEX($X$5:$AM$77, MATCH($A133,_xlfn.ANCHORARRAY( $W$5), 0), 0)
    )
)
/
(
    INDEX($AN$5:$AN$77, MATCH(H$100,_xlfn.ANCHORARRAY( $W$5), 0))
    *
    INDEX($AN$5:$AN$77, MATCH($A133,_xlfn.ANCHORARRAY( $W$5), 0))
)</f>
        <v>0.79023212874745985</v>
      </c>
      <c r="I133" s="17" cm="1">
        <f t="array" ref="I133">MMULT(
    MMULT(
        INDEX($X$5:$AM$77, MATCH(I$100,_xlfn.ANCHORARRAY( $W$5), 0), 0),
        $F$5:$U$20
    ),
    TRANSPOSE(
        INDEX($X$5:$AM$77, MATCH($A133,_xlfn.ANCHORARRAY( $W$5), 0), 0)
    )
)
/
(
    INDEX($AN$5:$AN$77, MATCH(I$100,_xlfn.ANCHORARRAY( $W$5), 0))
    *
    INDEX($AN$5:$AN$77, MATCH($A133,_xlfn.ANCHORARRAY( $W$5), 0))
)</f>
        <v>0.64400777111328056</v>
      </c>
      <c r="J133" s="17" cm="1">
        <f t="array" ref="J133">MMULT(
    MMULT(
        INDEX($X$5:$AM$77, MATCH(J$100,_xlfn.ANCHORARRAY( $W$5), 0), 0),
        $F$5:$U$20
    ),
    TRANSPOSE(
        INDEX($X$5:$AM$77, MATCH($A133,_xlfn.ANCHORARRAY( $W$5), 0), 0)
    )
)
/
(
    INDEX($AN$5:$AN$77, MATCH(J$100,_xlfn.ANCHORARRAY( $W$5), 0))
    *
    INDEX($AN$5:$AN$77, MATCH($A133,_xlfn.ANCHORARRAY( $W$5), 0))
)</f>
        <v>0.80363664350202935</v>
      </c>
      <c r="K133" s="17" cm="1">
        <f t="array" ref="K133">MMULT(
    MMULT(
        INDEX($X$5:$AM$77, MATCH(K$100,_xlfn.ANCHORARRAY( $W$5), 0), 0),
        $F$5:$U$20
    ),
    TRANSPOSE(
        INDEX($X$5:$AM$77, MATCH($A133,_xlfn.ANCHORARRAY( $W$5), 0), 0)
    )
)
/
(
    INDEX($AN$5:$AN$77, MATCH(K$100,_xlfn.ANCHORARRAY( $W$5), 0))
    *
    INDEX($AN$5:$AN$77, MATCH($A133,_xlfn.ANCHORARRAY( $W$5), 0))
)</f>
        <v>0.6938887411979181</v>
      </c>
      <c r="L133" s="17" cm="1">
        <f t="array" ref="L133">MMULT(
    MMULT(
        INDEX($X$5:$AM$77, MATCH(L$100,_xlfn.ANCHORARRAY( $W$5), 0), 0),
        $F$5:$U$20
    ),
    TRANSPOSE(
        INDEX($X$5:$AM$77, MATCH($A133,_xlfn.ANCHORARRAY( $W$5), 0), 0)
    )
)
/
(
    INDEX($AN$5:$AN$77, MATCH(L$100,_xlfn.ANCHORARRAY( $W$5), 0))
    *
    INDEX($AN$5:$AN$77, MATCH($A133,_xlfn.ANCHORARRAY( $W$5), 0))
)</f>
        <v>0.64862516197189934</v>
      </c>
      <c r="M133" s="17" cm="1">
        <f t="array" ref="M133">MMULT(
    MMULT(
        INDEX($X$5:$AM$77, MATCH(M$100,_xlfn.ANCHORARRAY( $W$5), 0), 0),
        $F$5:$U$20
    ),
    TRANSPOSE(
        INDEX($X$5:$AM$77, MATCH($A133,_xlfn.ANCHORARRAY( $W$5), 0), 0)
    )
)
/
(
    INDEX($AN$5:$AN$77, MATCH(M$100,_xlfn.ANCHORARRAY( $W$5), 0))
    *
    INDEX($AN$5:$AN$77, MATCH($A133,_xlfn.ANCHORARRAY( $W$5), 0))
)</f>
        <v>0.83937259878214576</v>
      </c>
      <c r="N133" s="17" cm="1">
        <f t="array" ref="N133">MMULT(
    MMULT(
        INDEX($X$5:$AM$77, MATCH(N$100,_xlfn.ANCHORARRAY( $W$5), 0), 0),
        $F$5:$U$20
    ),
    TRANSPOSE(
        INDEX($X$5:$AM$77, MATCH($A133,_xlfn.ANCHORARRAY( $W$5), 0), 0)
    )
)
/
(
    INDEX($AN$5:$AN$77, MATCH(N$100,_xlfn.ANCHORARRAY( $W$5), 0))
    *
    INDEX($AN$5:$AN$77, MATCH($A133,_xlfn.ANCHORARRAY( $W$5), 0))
)</f>
        <v>0.44853733768758625</v>
      </c>
      <c r="O133" s="17" cm="1">
        <f t="array" ref="O133">MMULT(
    MMULT(
        INDEX($X$5:$AM$77, MATCH(O$100,_xlfn.ANCHORARRAY( $W$5), 0), 0),
        $F$5:$U$20
    ),
    TRANSPOSE(
        INDEX($X$5:$AM$77, MATCH($A133,_xlfn.ANCHORARRAY( $W$5), 0), 0)
    )
)
/
(
    INDEX($AN$5:$AN$77, MATCH(O$100,_xlfn.ANCHORARRAY( $W$5), 0))
    *
    INDEX($AN$5:$AN$77, MATCH($A133,_xlfn.ANCHORARRAY( $W$5), 0))
)</f>
        <v>0.52176272488535125</v>
      </c>
      <c r="P133" s="17" cm="1">
        <f t="array" ref="P133">MMULT(
    MMULT(
        INDEX($X$5:$AM$77, MATCH(P$100,_xlfn.ANCHORARRAY( $W$5), 0), 0),
        $F$5:$U$20
    ),
    TRANSPOSE(
        INDEX($X$5:$AM$77, MATCH($A133,_xlfn.ANCHORARRAY( $W$5), 0), 0)
    )
)
/
(
    INDEX($AN$5:$AN$77, MATCH(P$100,_xlfn.ANCHORARRAY( $W$5), 0))
    *
    INDEX($AN$5:$AN$77, MATCH($A133,_xlfn.ANCHORARRAY( $W$5), 0))
)</f>
        <v>0.58090591283716086</v>
      </c>
      <c r="Q133" s="17" cm="1">
        <f t="array" ref="Q133">MMULT(
    MMULT(
        INDEX($X$5:$AM$77, MATCH(Q$100,_xlfn.ANCHORARRAY( $W$5), 0), 0),
        $F$5:$U$20
    ),
    TRANSPOSE(
        INDEX($X$5:$AM$77, MATCH($A133,_xlfn.ANCHORARRAY( $W$5), 0), 0)
    )
)
/
(
    INDEX($AN$5:$AN$77, MATCH(Q$100,_xlfn.ANCHORARRAY( $W$5), 0))
    *
    INDEX($AN$5:$AN$77, MATCH($A133,_xlfn.ANCHORARRAY( $W$5), 0))
)</f>
        <v>0.6527667474255624</v>
      </c>
      <c r="R133" s="17" cm="1">
        <f t="array" ref="R133">MMULT(
    MMULT(
        INDEX($X$5:$AM$77, MATCH(R$100,_xlfn.ANCHORARRAY( $W$5), 0), 0),
        $F$5:$U$20
    ),
    TRANSPOSE(
        INDEX($X$5:$AM$77, MATCH($A133,_xlfn.ANCHORARRAY( $W$5), 0), 0)
    )
)
/
(
    INDEX($AN$5:$AN$77, MATCH(R$100,_xlfn.ANCHORARRAY( $W$5), 0))
    *
    INDEX($AN$5:$AN$77, MATCH($A133,_xlfn.ANCHORARRAY( $W$5), 0))
)</f>
        <v>0.72593495698990318</v>
      </c>
      <c r="S133" s="17" cm="1">
        <f t="array" ref="S133">MMULT(
    MMULT(
        INDEX($X$5:$AM$77, MATCH(S$100,_xlfn.ANCHORARRAY( $W$5), 0), 0),
        $F$5:$U$20
    ),
    TRANSPOSE(
        INDEX($X$5:$AM$77, MATCH($A133,_xlfn.ANCHORARRAY( $W$5), 0), 0)
    )
)
/
(
    INDEX($AN$5:$AN$77, MATCH(S$100,_xlfn.ANCHORARRAY( $W$5), 0))
    *
    INDEX($AN$5:$AN$77, MATCH($A133,_xlfn.ANCHORARRAY( $W$5), 0))
)</f>
        <v>0.77445426816120566</v>
      </c>
      <c r="T133" s="17" cm="1">
        <f t="array" ref="T133">MMULT(
    MMULT(
        INDEX($X$5:$AM$77, MATCH(T$100,_xlfn.ANCHORARRAY( $W$5), 0), 0),
        $F$5:$U$20
    ),
    TRANSPOSE(
        INDEX($X$5:$AM$77, MATCH($A133,_xlfn.ANCHORARRAY( $W$5), 0), 0)
    )
)
/
(
    INDEX($AN$5:$AN$77, MATCH(T$100,_xlfn.ANCHORARRAY( $W$5), 0))
    *
    INDEX($AN$5:$AN$77, MATCH($A133,_xlfn.ANCHORARRAY( $W$5), 0))
)</f>
        <v>0.26408923831953657</v>
      </c>
      <c r="U133" s="17" cm="1">
        <f t="array" ref="U133">MMULT(
    MMULT(
        INDEX($X$5:$AM$77, MATCH(U$100,_xlfn.ANCHORARRAY( $W$5), 0), 0),
        $F$5:$U$20
    ),
    TRANSPOSE(
        INDEX($X$5:$AM$77, MATCH($A133,_xlfn.ANCHORARRAY( $W$5), 0), 0)
    )
)
/
(
    INDEX($AN$5:$AN$77, MATCH(U$100,_xlfn.ANCHORARRAY( $W$5), 0))
    *
    INDEX($AN$5:$AN$77, MATCH($A133,_xlfn.ANCHORARRAY( $W$5), 0))
)</f>
        <v>0.69506434354097668</v>
      </c>
      <c r="V133" s="17" cm="1">
        <f t="array" ref="V133">MMULT(
    MMULT(
        INDEX($X$5:$AM$77, MATCH(V$100,_xlfn.ANCHORARRAY( $W$5), 0), 0),
        $F$5:$U$20
    ),
    TRANSPOSE(
        INDEX($X$5:$AM$77, MATCH($A133,_xlfn.ANCHORARRAY( $W$5), 0), 0)
    )
)
/
(
    INDEX($AN$5:$AN$77, MATCH(V$100,_xlfn.ANCHORARRAY( $W$5), 0))
    *
    INDEX($AN$5:$AN$77, MATCH($A133,_xlfn.ANCHORARRAY( $W$5), 0))
)</f>
        <v>0.44787270895614567</v>
      </c>
      <c r="W133" s="17" cm="1">
        <f t="array" ref="W133">MMULT(
    MMULT(
        INDEX($X$5:$AM$77, MATCH(W$100,_xlfn.ANCHORARRAY( $W$5), 0), 0),
        $F$5:$U$20
    ),
    TRANSPOSE(
        INDEX($X$5:$AM$77, MATCH($A133,_xlfn.ANCHORARRAY( $W$5), 0), 0)
    )
)
/
(
    INDEX($AN$5:$AN$77, MATCH(W$100,_xlfn.ANCHORARRAY( $W$5), 0))
    *
    INDEX($AN$5:$AN$77, MATCH($A133,_xlfn.ANCHORARRAY( $W$5), 0))
)</f>
        <v>0.40689982216797416</v>
      </c>
      <c r="X133" s="17" cm="1">
        <f t="array" ref="X133">MMULT(
    MMULT(
        INDEX($X$5:$AM$77, MATCH(X$100,_xlfn.ANCHORARRAY( $W$5), 0), 0),
        $F$5:$U$20
    ),
    TRANSPOSE(
        INDEX($X$5:$AM$77, MATCH($A133,_xlfn.ANCHORARRAY( $W$5), 0), 0)
    )
)
/
(
    INDEX($AN$5:$AN$77, MATCH(X$100,_xlfn.ANCHORARRAY( $W$5), 0))
    *
    INDEX($AN$5:$AN$77, MATCH($A133,_xlfn.ANCHORARRAY( $W$5), 0))
)</f>
        <v>0.59157387187376842</v>
      </c>
      <c r="Y133" s="17" cm="1">
        <f t="array" ref="Y133">MMULT(
    MMULT(
        INDEX($X$5:$AM$77, MATCH(Y$100,_xlfn.ANCHORARRAY( $W$5), 0), 0),
        $F$5:$U$20
    ),
    TRANSPOSE(
        INDEX($X$5:$AM$77, MATCH($A133,_xlfn.ANCHORARRAY( $W$5), 0), 0)
    )
)
/
(
    INDEX($AN$5:$AN$77, MATCH(Y$100,_xlfn.ANCHORARRAY( $W$5), 0))
    *
    INDEX($AN$5:$AN$77, MATCH($A133,_xlfn.ANCHORARRAY( $W$5), 0))
)</f>
        <v>0.77792270953833909</v>
      </c>
      <c r="Z133" s="17" cm="1">
        <f t="array" ref="Z133">MMULT(
    MMULT(
        INDEX($X$5:$AM$77, MATCH(Z$100,_xlfn.ANCHORARRAY( $W$5), 0), 0),
        $F$5:$U$20
    ),
    TRANSPOSE(
        INDEX($X$5:$AM$77, MATCH($A133,_xlfn.ANCHORARRAY( $W$5), 0), 0)
    )
)
/
(
    INDEX($AN$5:$AN$77, MATCH(Z$100,_xlfn.ANCHORARRAY( $W$5), 0))
    *
    INDEX($AN$5:$AN$77, MATCH($A133,_xlfn.ANCHORARRAY( $W$5), 0))
)</f>
        <v>0.65202522118795614</v>
      </c>
      <c r="AA133" s="17" cm="1">
        <f t="array" ref="AA133">MMULT(
    MMULT(
        INDEX($X$5:$AM$77, MATCH(AA$100,_xlfn.ANCHORARRAY( $W$5), 0), 0),
        $F$5:$U$20
    ),
    TRANSPOSE(
        INDEX($X$5:$AM$77, MATCH($A133,_xlfn.ANCHORARRAY( $W$5), 0), 0)
    )
)
/
(
    INDEX($AN$5:$AN$77, MATCH(AA$100,_xlfn.ANCHORARRAY( $W$5), 0))
    *
    INDEX($AN$5:$AN$77, MATCH($A133,_xlfn.ANCHORARRAY( $W$5), 0))
)</f>
        <v>0.55109613278732428</v>
      </c>
      <c r="AB133" s="17" cm="1">
        <f t="array" ref="AB133">MMULT(
    MMULT(
        INDEX($X$5:$AM$77, MATCH(AB$100,_xlfn.ANCHORARRAY( $W$5), 0), 0),
        $F$5:$U$20
    ),
    TRANSPOSE(
        INDEX($X$5:$AM$77, MATCH($A133,_xlfn.ANCHORARRAY( $W$5), 0), 0)
    )
)
/
(
    INDEX($AN$5:$AN$77, MATCH(AB$100,_xlfn.ANCHORARRAY( $W$5), 0))
    *
    INDEX($AN$5:$AN$77, MATCH($A133,_xlfn.ANCHORARRAY( $W$5), 0))
)</f>
        <v>0.67051554417253056</v>
      </c>
      <c r="AC133" s="17" cm="1">
        <f t="array" ref="AC133">MMULT(
    MMULT(
        INDEX($X$5:$AM$77, MATCH(AC$100,_xlfn.ANCHORARRAY( $W$5), 0), 0),
        $F$5:$U$20
    ),
    TRANSPOSE(
        INDEX($X$5:$AM$77, MATCH($A133,_xlfn.ANCHORARRAY( $W$5), 0), 0)
    )
)
/
(
    INDEX($AN$5:$AN$77, MATCH(AC$100,_xlfn.ANCHORARRAY( $W$5), 0))
    *
    INDEX($AN$5:$AN$77, MATCH($A133,_xlfn.ANCHORARRAY( $W$5), 0))
)</f>
        <v>0.51840546562362366</v>
      </c>
      <c r="AD133" s="17" cm="1">
        <f t="array" ref="AD133">MMULT(
    MMULT(
        INDEX($X$5:$AM$77, MATCH(AD$100,_xlfn.ANCHORARRAY( $W$5), 0), 0),
        $F$5:$U$20
    ),
    TRANSPOSE(
        INDEX($X$5:$AM$77, MATCH($A133,_xlfn.ANCHORARRAY( $W$5), 0), 0)
    )
)
/
(
    INDEX($AN$5:$AN$77, MATCH(AD$100,_xlfn.ANCHORARRAY( $W$5), 0))
    *
    INDEX($AN$5:$AN$77, MATCH($A133,_xlfn.ANCHORARRAY( $W$5), 0))
)</f>
        <v>0.65589163553808416</v>
      </c>
      <c r="AE133" s="17" cm="1">
        <f t="array" ref="AE133">MMULT(
    MMULT(
        INDEX($X$5:$AM$77, MATCH(AE$100,_xlfn.ANCHORARRAY( $W$5), 0), 0),
        $F$5:$U$20
    ),
    TRANSPOSE(
        INDEX($X$5:$AM$77, MATCH($A133,_xlfn.ANCHORARRAY( $W$5), 0), 0)
    )
)
/
(
    INDEX($AN$5:$AN$77, MATCH(AE$100,_xlfn.ANCHORARRAY( $W$5), 0))
    *
    INDEX($AN$5:$AN$77, MATCH($A133,_xlfn.ANCHORARRAY( $W$5), 0))
)</f>
        <v>0.92268241261583628</v>
      </c>
      <c r="AF133" s="17" cm="1">
        <f t="array" ref="AF133">MMULT(
    MMULT(
        INDEX($X$5:$AM$77, MATCH(AF$100,_xlfn.ANCHORARRAY( $W$5), 0), 0),
        $F$5:$U$20
    ),
    TRANSPOSE(
        INDEX($X$5:$AM$77, MATCH($A133,_xlfn.ANCHORARRAY( $W$5), 0), 0)
    )
)
/
(
    INDEX($AN$5:$AN$77, MATCH(AF$100,_xlfn.ANCHORARRAY( $W$5), 0))
    *
    INDEX($AN$5:$AN$77, MATCH($A133,_xlfn.ANCHORARRAY( $W$5), 0))
)</f>
        <v>0.70545807322303133</v>
      </c>
      <c r="AG133" s="17" cm="1">
        <f t="array" ref="AG133">MMULT(
    MMULT(
        INDEX($X$5:$AM$77, MATCH(AG$100,_xlfn.ANCHORARRAY( $W$5), 0), 0),
        $F$5:$U$20
    ),
    TRANSPOSE(
        INDEX($X$5:$AM$77, MATCH($A133,_xlfn.ANCHORARRAY( $W$5), 0), 0)
    )
)
/
(
    INDEX($AN$5:$AN$77, MATCH(AG$100,_xlfn.ANCHORARRAY( $W$5), 0))
    *
    INDEX($AN$5:$AN$77, MATCH($A133,_xlfn.ANCHORARRAY( $W$5), 0))
)</f>
        <v>0.84375278951423038</v>
      </c>
      <c r="AH133" s="17" cm="1">
        <f t="array" ref="AH133">MMULT(
    MMULT(
        INDEX($X$5:$AM$77, MATCH(AH$100,_xlfn.ANCHORARRAY( $W$5), 0), 0),
        $F$5:$U$20
    ),
    TRANSPOSE(
        INDEX($X$5:$AM$77, MATCH($A133,_xlfn.ANCHORARRAY( $W$5), 0), 0)
    )
)
/
(
    INDEX($AN$5:$AN$77, MATCH(AH$100,_xlfn.ANCHORARRAY( $W$5), 0))
    *
    INDEX($AN$5:$AN$77, MATCH($A133,_xlfn.ANCHORARRAY( $W$5), 0))
)</f>
        <v>0.99999999999999989</v>
      </c>
      <c r="AI133" s="17" cm="1">
        <f t="array" ref="AI133">MMULT(
    MMULT(
        INDEX($X$5:$AM$77, MATCH(AI$100,_xlfn.ANCHORARRAY( $W$5), 0), 0),
        $F$5:$U$20
    ),
    TRANSPOSE(
        INDEX($X$5:$AM$77, MATCH($A133,_xlfn.ANCHORARRAY( $W$5), 0), 0)
    )
)
/
(
    INDEX($AN$5:$AN$77, MATCH(AI$100,_xlfn.ANCHORARRAY( $W$5), 0))
    *
    INDEX($AN$5:$AN$77, MATCH($A133,_xlfn.ANCHORARRAY( $W$5), 0))
)</f>
        <v>0.8274085695533957</v>
      </c>
      <c r="AJ133" s="17" cm="1">
        <f t="array" ref="AJ133">MMULT(
    MMULT(
        INDEX($X$5:$AM$77, MATCH(AJ$100,_xlfn.ANCHORARRAY( $W$5), 0), 0),
        $F$5:$U$20
    ),
    TRANSPOSE(
        INDEX($X$5:$AM$77, MATCH($A133,_xlfn.ANCHORARRAY( $W$5), 0), 0)
    )
)
/
(
    INDEX($AN$5:$AN$77, MATCH(AJ$100,_xlfn.ANCHORARRAY( $W$5), 0))
    *
    INDEX($AN$5:$AN$77, MATCH($A133,_xlfn.ANCHORARRAY( $W$5), 0))
)</f>
        <v>0.5975715058085318</v>
      </c>
      <c r="AK133" s="17" cm="1">
        <f t="array" ref="AK133">MMULT(
    MMULT(
        INDEX($X$5:$AM$77, MATCH(AK$100,_xlfn.ANCHORARRAY( $W$5), 0), 0),
        $F$5:$U$20
    ),
    TRANSPOSE(
        INDEX($X$5:$AM$77, MATCH($A133,_xlfn.ANCHORARRAY( $W$5), 0), 0)
    )
)
/
(
    INDEX($AN$5:$AN$77, MATCH(AK$100,_xlfn.ANCHORARRAY( $W$5), 0))
    *
    INDEX($AN$5:$AN$77, MATCH($A133,_xlfn.ANCHORARRAY( $W$5), 0))
)</f>
        <v>0.7272830988559843</v>
      </c>
      <c r="AL133" s="17" cm="1">
        <f t="array" ref="AL133">MMULT(
    MMULT(
        INDEX($X$5:$AM$77, MATCH(AL$100,_xlfn.ANCHORARRAY( $W$5), 0), 0),
        $F$5:$U$20
    ),
    TRANSPOSE(
        INDEX($X$5:$AM$77, MATCH($A133,_xlfn.ANCHORARRAY( $W$5), 0), 0)
    )
)
/
(
    INDEX($AN$5:$AN$77, MATCH(AL$100,_xlfn.ANCHORARRAY( $W$5), 0))
    *
    INDEX($AN$5:$AN$77, MATCH($A133,_xlfn.ANCHORARRAY( $W$5), 0))
)</f>
        <v>0.49229349414969648</v>
      </c>
      <c r="AM133" s="17" cm="1">
        <f t="array" ref="AM133">MMULT(
    MMULT(
        INDEX($X$5:$AM$77, MATCH(AM$100,_xlfn.ANCHORARRAY( $W$5), 0), 0),
        $F$5:$U$20
    ),
    TRANSPOSE(
        INDEX($X$5:$AM$77, MATCH($A133,_xlfn.ANCHORARRAY( $W$5), 0), 0)
    )
)
/
(
    INDEX($AN$5:$AN$77, MATCH(AM$100,_xlfn.ANCHORARRAY( $W$5), 0))
    *
    INDEX($AN$5:$AN$77, MATCH($A133,_xlfn.ANCHORARRAY( $W$5), 0))
)</f>
        <v>0.59479930755375365</v>
      </c>
      <c r="AN133" s="17" cm="1">
        <f t="array" ref="AN133">MMULT(
    MMULT(
        INDEX($X$5:$AM$77, MATCH(AN$100,_xlfn.ANCHORARRAY( $W$5), 0), 0),
        $F$5:$U$20
    ),
    TRANSPOSE(
        INDEX($X$5:$AM$77, MATCH($A133,_xlfn.ANCHORARRAY( $W$5), 0), 0)
    )
)
/
(
    INDEX($AN$5:$AN$77, MATCH(AN$100,_xlfn.ANCHORARRAY( $W$5), 0))
    *
    INDEX($AN$5:$AN$77, MATCH($A133,_xlfn.ANCHORARRAY( $W$5), 0))
)</f>
        <v>0.88522385028826311</v>
      </c>
      <c r="AO133" s="17" cm="1">
        <f t="array" ref="AO133">MMULT(
    MMULT(
        INDEX($X$5:$AM$77, MATCH(AO$100,_xlfn.ANCHORARRAY( $W$5), 0), 0),
        $F$5:$U$20
    ),
    TRANSPOSE(
        INDEX($X$5:$AM$77, MATCH($A133,_xlfn.ANCHORARRAY( $W$5), 0), 0)
    )
)
/
(
    INDEX($AN$5:$AN$77, MATCH(AO$100,_xlfn.ANCHORARRAY( $W$5), 0))
    *
    INDEX($AN$5:$AN$77, MATCH($A133,_xlfn.ANCHORARRAY( $W$5), 0))
)</f>
        <v>0.56335649438860325</v>
      </c>
      <c r="AP133" s="17" cm="1">
        <f t="array" ref="AP133">MMULT(
    MMULT(
        INDEX($X$5:$AM$77, MATCH(AP$100,_xlfn.ANCHORARRAY( $W$5), 0), 0),
        $F$5:$U$20
    ),
    TRANSPOSE(
        INDEX($X$5:$AM$77, MATCH($A133,_xlfn.ANCHORARRAY( $W$5), 0), 0)
    )
)
/
(
    INDEX($AN$5:$AN$77, MATCH(AP$100,_xlfn.ANCHORARRAY( $W$5), 0))
    *
    INDEX($AN$5:$AN$77, MATCH($A133,_xlfn.ANCHORARRAY( $W$5), 0))
)</f>
        <v>0.85603133452464419</v>
      </c>
      <c r="AQ133" s="17" cm="1">
        <f t="array" ref="AQ133">MMULT(
    MMULT(
        INDEX($X$5:$AM$77, MATCH(AQ$100,_xlfn.ANCHORARRAY( $W$5), 0), 0),
        $F$5:$U$20
    ),
    TRANSPOSE(
        INDEX($X$5:$AM$77, MATCH($A133,_xlfn.ANCHORARRAY( $W$5), 0), 0)
    )
)
/
(
    INDEX($AN$5:$AN$77, MATCH(AQ$100,_xlfn.ANCHORARRAY( $W$5), 0))
    *
    INDEX($AN$5:$AN$77, MATCH($A133,_xlfn.ANCHORARRAY( $W$5), 0))
)</f>
        <v>0.67896240655618734</v>
      </c>
      <c r="AR133" s="17" cm="1">
        <f t="array" ref="AR133">MMULT(
    MMULT(
        INDEX($X$5:$AM$77, MATCH(AR$100,_xlfn.ANCHORARRAY( $W$5), 0), 0),
        $F$5:$U$20
    ),
    TRANSPOSE(
        INDEX($X$5:$AM$77, MATCH($A133,_xlfn.ANCHORARRAY( $W$5), 0), 0)
    )
)
/
(
    INDEX($AN$5:$AN$77, MATCH(AR$100,_xlfn.ANCHORARRAY( $W$5), 0))
    *
    INDEX($AN$5:$AN$77, MATCH($A133,_xlfn.ANCHORARRAY( $W$5), 0))
)</f>
        <v>0.61214174023132606</v>
      </c>
      <c r="AS133" s="17" cm="1">
        <f t="array" ref="AS133">MMULT(
    MMULT(
        INDEX($X$5:$AM$77, MATCH(AS$100,_xlfn.ANCHORARRAY( $W$5), 0), 0),
        $F$5:$U$20
    ),
    TRANSPOSE(
        INDEX($X$5:$AM$77, MATCH($A133,_xlfn.ANCHORARRAY( $W$5), 0), 0)
    )
)
/
(
    INDEX($AN$5:$AN$77, MATCH(AS$100,_xlfn.ANCHORARRAY( $W$5), 0))
    *
    INDEX($AN$5:$AN$77, MATCH($A133,_xlfn.ANCHORARRAY( $W$5), 0))
)</f>
        <v>0.74772771845890174</v>
      </c>
      <c r="AT133" s="17" cm="1">
        <f t="array" ref="AT133">MMULT(
    MMULT(
        INDEX($X$5:$AM$77, MATCH(AT$100,_xlfn.ANCHORARRAY( $W$5), 0), 0),
        $F$5:$U$20
    ),
    TRANSPOSE(
        INDEX($X$5:$AM$77, MATCH($A133,_xlfn.ANCHORARRAY( $W$5), 0), 0)
    )
)
/
(
    INDEX($AN$5:$AN$77, MATCH(AT$100,_xlfn.ANCHORARRAY( $W$5), 0))
    *
    INDEX($AN$5:$AN$77, MATCH($A133,_xlfn.ANCHORARRAY( $W$5), 0))
)</f>
        <v>0.87471722316626699</v>
      </c>
      <c r="AU133" s="17" cm="1">
        <f t="array" ref="AU133">MMULT(
    MMULT(
        INDEX($X$5:$AM$77, MATCH(AU$100,_xlfn.ANCHORARRAY( $W$5), 0), 0),
        $F$5:$U$20
    ),
    TRANSPOSE(
        INDEX($X$5:$AM$77, MATCH($A133,_xlfn.ANCHORARRAY( $W$5), 0), 0)
    )
)
/
(
    INDEX($AN$5:$AN$77, MATCH(AU$100,_xlfn.ANCHORARRAY( $W$5), 0))
    *
    INDEX($AN$5:$AN$77, MATCH($A133,_xlfn.ANCHORARRAY( $W$5), 0))
)</f>
        <v>0.67172969915988834</v>
      </c>
      <c r="AV133" s="17" cm="1">
        <f t="array" ref="AV133">MMULT(
    MMULT(
        INDEX($X$5:$AM$77, MATCH(AV$100,_xlfn.ANCHORARRAY( $W$5), 0), 0),
        $F$5:$U$20
    ),
    TRANSPOSE(
        INDEX($X$5:$AM$77, MATCH($A133,_xlfn.ANCHORARRAY( $W$5), 0), 0)
    )
)
/
(
    INDEX($AN$5:$AN$77, MATCH(AV$100,_xlfn.ANCHORARRAY( $W$5), 0))
    *
    INDEX($AN$5:$AN$77, MATCH($A133,_xlfn.ANCHORARRAY( $W$5), 0))
)</f>
        <v>0.57914266239648349</v>
      </c>
      <c r="AW133" s="17" cm="1">
        <f t="array" ref="AW133">MMULT(
    MMULT(
        INDEX($X$5:$AM$77, MATCH(AW$100,_xlfn.ANCHORARRAY( $W$5), 0), 0),
        $F$5:$U$20
    ),
    TRANSPOSE(
        INDEX($X$5:$AM$77, MATCH($A133,_xlfn.ANCHORARRAY( $W$5), 0), 0)
    )
)
/
(
    INDEX($AN$5:$AN$77, MATCH(AW$100,_xlfn.ANCHORARRAY( $W$5), 0))
    *
    INDEX($AN$5:$AN$77, MATCH($A133,_xlfn.ANCHORARRAY( $W$5), 0))
)</f>
        <v>0.76086711744342705</v>
      </c>
      <c r="AX133" s="17" cm="1">
        <f t="array" ref="AX133">MMULT(
    MMULT(
        INDEX($X$5:$AM$77, MATCH(AX$100,_xlfn.ANCHORARRAY( $W$5), 0), 0),
        $F$5:$U$20
    ),
    TRANSPOSE(
        INDEX($X$5:$AM$77, MATCH($A133,_xlfn.ANCHORARRAY( $W$5), 0), 0)
    )
)
/
(
    INDEX($AN$5:$AN$77, MATCH(AX$100,_xlfn.ANCHORARRAY( $W$5), 0))
    *
    INDEX($AN$5:$AN$77, MATCH($A133,_xlfn.ANCHORARRAY( $W$5), 0))
)</f>
        <v>0.48493308670305724</v>
      </c>
      <c r="AY133" s="17" cm="1">
        <f t="array" ref="AY133">MMULT(
    MMULT(
        INDEX($X$5:$AM$77, MATCH(AY$100,_xlfn.ANCHORARRAY( $W$5), 0), 0),
        $F$5:$U$20
    ),
    TRANSPOSE(
        INDEX($X$5:$AM$77, MATCH($A133,_xlfn.ANCHORARRAY( $W$5), 0), 0)
    )
)
/
(
    INDEX($AN$5:$AN$77, MATCH(AY$100,_xlfn.ANCHORARRAY( $W$5), 0))
    *
    INDEX($AN$5:$AN$77, MATCH($A133,_xlfn.ANCHORARRAY( $W$5), 0))
)</f>
        <v>0.98343368326484903</v>
      </c>
      <c r="AZ133" s="17" cm="1">
        <f t="array" ref="AZ133">MMULT(
    MMULT(
        INDEX($X$5:$AM$77, MATCH(AZ$100,_xlfn.ANCHORARRAY( $W$5), 0), 0),
        $F$5:$U$20
    ),
    TRANSPOSE(
        INDEX($X$5:$AM$77, MATCH($A133,_xlfn.ANCHORARRAY( $W$5), 0), 0)
    )
)
/
(
    INDEX($AN$5:$AN$77, MATCH(AZ$100,_xlfn.ANCHORARRAY( $W$5), 0))
    *
    INDEX($AN$5:$AN$77, MATCH($A133,_xlfn.ANCHORARRAY( $W$5), 0))
)</f>
        <v>0.62016630482929636</v>
      </c>
      <c r="BA133" s="17" cm="1">
        <f t="array" ref="BA133">MMULT(
    MMULT(
        INDEX($X$5:$AM$77, MATCH(BA$100,_xlfn.ANCHORARRAY( $W$5), 0), 0),
        $F$5:$U$20
    ),
    TRANSPOSE(
        INDEX($X$5:$AM$77, MATCH($A133,_xlfn.ANCHORARRAY( $W$5), 0), 0)
    )
)
/
(
    INDEX($AN$5:$AN$77, MATCH(BA$100,_xlfn.ANCHORARRAY( $W$5), 0))
    *
    INDEX($AN$5:$AN$77, MATCH($A133,_xlfn.ANCHORARRAY( $W$5), 0))
)</f>
        <v>0.61679986437559442</v>
      </c>
      <c r="BB133" s="17" cm="1">
        <f t="array" ref="BB133">MMULT(
    MMULT(
        INDEX($X$5:$AM$77, MATCH(BB$100,_xlfn.ANCHORARRAY( $W$5), 0), 0),
        $F$5:$U$20
    ),
    TRANSPOSE(
        INDEX($X$5:$AM$77, MATCH($A133,_xlfn.ANCHORARRAY( $W$5), 0), 0)
    )
)
/
(
    INDEX($AN$5:$AN$77, MATCH(BB$100,_xlfn.ANCHORARRAY( $W$5), 0))
    *
    INDEX($AN$5:$AN$77, MATCH($A133,_xlfn.ANCHORARRAY( $W$5), 0))
)</f>
        <v>0.48508116547226443</v>
      </c>
      <c r="BC133" s="17" cm="1">
        <f t="array" ref="BC133">MMULT(
    MMULT(
        INDEX($X$5:$AM$77, MATCH(BC$100,_xlfn.ANCHORARRAY( $W$5), 0), 0),
        $F$5:$U$20
    ),
    TRANSPOSE(
        INDEX($X$5:$AM$77, MATCH($A133,_xlfn.ANCHORARRAY( $W$5), 0), 0)
    )
)
/
(
    INDEX($AN$5:$AN$77, MATCH(BC$100,_xlfn.ANCHORARRAY( $W$5), 0))
    *
    INDEX($AN$5:$AN$77, MATCH($A133,_xlfn.ANCHORARRAY( $W$5), 0))
)</f>
        <v>0.84066157949765818</v>
      </c>
      <c r="BD133" s="17" cm="1">
        <f t="array" ref="BD133">MMULT(
    MMULT(
        INDEX($X$5:$AM$77, MATCH(BD$100,_xlfn.ANCHORARRAY( $W$5), 0), 0),
        $F$5:$U$20
    ),
    TRANSPOSE(
        INDEX($X$5:$AM$77, MATCH($A133,_xlfn.ANCHORARRAY( $W$5), 0), 0)
    )
)
/
(
    INDEX($AN$5:$AN$77, MATCH(BD$100,_xlfn.ANCHORARRAY( $W$5), 0))
    *
    INDEX($AN$5:$AN$77, MATCH($A133,_xlfn.ANCHORARRAY( $W$5), 0))
)</f>
        <v>0.52475291847622541</v>
      </c>
      <c r="BE133" s="17" cm="1">
        <f t="array" ref="BE133">MMULT(
    MMULT(
        INDEX($X$5:$AM$77, MATCH(BE$100,_xlfn.ANCHORARRAY( $W$5), 0), 0),
        $F$5:$U$20
    ),
    TRANSPOSE(
        INDEX($X$5:$AM$77, MATCH($A133,_xlfn.ANCHORARRAY( $W$5), 0), 0)
    )
)
/
(
    INDEX($AN$5:$AN$77, MATCH(BE$100,_xlfn.ANCHORARRAY( $W$5), 0))
    *
    INDEX($AN$5:$AN$77, MATCH($A133,_xlfn.ANCHORARRAY( $W$5), 0))
)</f>
        <v>0.63013528692885967</v>
      </c>
      <c r="BF133" s="17" cm="1">
        <f t="array" ref="BF133">MMULT(
    MMULT(
        INDEX($X$5:$AM$77, MATCH(BF$100,_xlfn.ANCHORARRAY( $W$5), 0), 0),
        $F$5:$U$20
    ),
    TRANSPOSE(
        INDEX($X$5:$AM$77, MATCH($A133,_xlfn.ANCHORARRAY( $W$5), 0), 0)
    )
)
/
(
    INDEX($AN$5:$AN$77, MATCH(BF$100,_xlfn.ANCHORARRAY( $W$5), 0))
    *
    INDEX($AN$5:$AN$77, MATCH($A133,_xlfn.ANCHORARRAY( $W$5), 0))
)</f>
        <v>0.64593372866231369</v>
      </c>
      <c r="BG133" s="17" cm="1">
        <f t="array" ref="BG133">MMULT(
    MMULT(
        INDEX($X$5:$AM$77, MATCH(BG$100,_xlfn.ANCHORARRAY( $W$5), 0), 0),
        $F$5:$U$20
    ),
    TRANSPOSE(
        INDEX($X$5:$AM$77, MATCH($A133,_xlfn.ANCHORARRAY( $W$5), 0), 0)
    )
)
/
(
    INDEX($AN$5:$AN$77, MATCH(BG$100,_xlfn.ANCHORARRAY( $W$5), 0))
    *
    INDEX($AN$5:$AN$77, MATCH($A133,_xlfn.ANCHORARRAY( $W$5), 0))
)</f>
        <v>0.67108429987759299</v>
      </c>
      <c r="BH133" s="17" cm="1">
        <f t="array" ref="BH133">MMULT(
    MMULT(
        INDEX($X$5:$AM$77, MATCH(BH$100,_xlfn.ANCHORARRAY( $W$5), 0), 0),
        $F$5:$U$20
    ),
    TRANSPOSE(
        INDEX($X$5:$AM$77, MATCH($A133,_xlfn.ANCHORARRAY( $W$5), 0), 0)
    )
)
/
(
    INDEX($AN$5:$AN$77, MATCH(BH$100,_xlfn.ANCHORARRAY( $W$5), 0))
    *
    INDEX($AN$5:$AN$77, MATCH($A133,_xlfn.ANCHORARRAY( $W$5), 0))
)</f>
        <v>0.76983271921163432</v>
      </c>
      <c r="BI133" s="17" cm="1">
        <f t="array" ref="BI133">MMULT(
    MMULT(
        INDEX($X$5:$AM$77, MATCH(BI$100,_xlfn.ANCHORARRAY( $W$5), 0), 0),
        $F$5:$U$20
    ),
    TRANSPOSE(
        INDEX($X$5:$AM$77, MATCH($A133,_xlfn.ANCHORARRAY( $W$5), 0), 0)
    )
)
/
(
    INDEX($AN$5:$AN$77, MATCH(BI$100,_xlfn.ANCHORARRAY( $W$5), 0))
    *
    INDEX($AN$5:$AN$77, MATCH($A133,_xlfn.ANCHORARRAY( $W$5), 0))
)</f>
        <v>0.82505228717916912</v>
      </c>
      <c r="BJ133" s="17" cm="1">
        <f t="array" ref="BJ133">MMULT(
    MMULT(
        INDEX($X$5:$AM$77, MATCH(BJ$100,_xlfn.ANCHORARRAY( $W$5), 0), 0),
        $F$5:$U$20
    ),
    TRANSPOSE(
        INDEX($X$5:$AM$77, MATCH($A133,_xlfn.ANCHORARRAY( $W$5), 0), 0)
    )
)
/
(
    INDEX($AN$5:$AN$77, MATCH(BJ$100,_xlfn.ANCHORARRAY( $W$5), 0))
    *
    INDEX($AN$5:$AN$77, MATCH($A133,_xlfn.ANCHORARRAY( $W$5), 0))
)</f>
        <v>0.75520027991487271</v>
      </c>
      <c r="BK133" s="17" cm="1">
        <f t="array" ref="BK133">MMULT(
    MMULT(
        INDEX($X$5:$AM$77, MATCH(BK$100,_xlfn.ANCHORARRAY( $W$5), 0), 0),
        $F$5:$U$20
    ),
    TRANSPOSE(
        INDEX($X$5:$AM$77, MATCH($A133,_xlfn.ANCHORARRAY( $W$5), 0), 0)
    )
)
/
(
    INDEX($AN$5:$AN$77, MATCH(BK$100,_xlfn.ANCHORARRAY( $W$5), 0))
    *
    INDEX($AN$5:$AN$77, MATCH($A133,_xlfn.ANCHORARRAY( $W$5), 0))
)</f>
        <v>0.58376521392470138</v>
      </c>
      <c r="BL133" s="17" cm="1">
        <f t="array" ref="BL133">MMULT(
    MMULT(
        INDEX($X$5:$AM$77, MATCH(BL$100,_xlfn.ANCHORARRAY( $W$5), 0), 0),
        $F$5:$U$20
    ),
    TRANSPOSE(
        INDEX($X$5:$AM$77, MATCH($A133,_xlfn.ANCHORARRAY( $W$5), 0), 0)
    )
)
/
(
    INDEX($AN$5:$AN$77, MATCH(BL$100,_xlfn.ANCHORARRAY( $W$5), 0))
    *
    INDEX($AN$5:$AN$77, MATCH($A133,_xlfn.ANCHORARRAY( $W$5), 0))
)</f>
        <v>0.15733906206527579</v>
      </c>
      <c r="BM133" s="17" cm="1">
        <f t="array" ref="BM133">MMULT(
    MMULT(
        INDEX($X$5:$AM$77, MATCH(BM$100,_xlfn.ANCHORARRAY( $W$5), 0), 0),
        $F$5:$U$20
    ),
    TRANSPOSE(
        INDEX($X$5:$AM$77, MATCH($A133,_xlfn.ANCHORARRAY( $W$5), 0), 0)
    )
)
/
(
    INDEX($AN$5:$AN$77, MATCH(BM$100,_xlfn.ANCHORARRAY( $W$5), 0))
    *
    INDEX($AN$5:$AN$77, MATCH($A133,_xlfn.ANCHORARRAY( $W$5), 0))
)</f>
        <v>0.4421054284002443</v>
      </c>
      <c r="BN133" s="17" cm="1">
        <f t="array" ref="BN133">MMULT(
    MMULT(
        INDEX($X$5:$AM$77, MATCH(BN$100,_xlfn.ANCHORARRAY( $W$5), 0), 0),
        $F$5:$U$20
    ),
    TRANSPOSE(
        INDEX($X$5:$AM$77, MATCH($A133,_xlfn.ANCHORARRAY( $W$5), 0), 0)
    )
)
/
(
    INDEX($AN$5:$AN$77, MATCH(BN$100,_xlfn.ANCHORARRAY( $W$5), 0))
    *
    INDEX($AN$5:$AN$77, MATCH($A133,_xlfn.ANCHORARRAY( $W$5), 0))
)</f>
        <v>0.67055517646786755</v>
      </c>
      <c r="BO133" s="17" cm="1">
        <f t="array" ref="BO133">MMULT(
    MMULT(
        INDEX($X$5:$AM$77, MATCH(BO$100,_xlfn.ANCHORARRAY( $W$5), 0), 0),
        $F$5:$U$20
    ),
    TRANSPOSE(
        INDEX($X$5:$AM$77, MATCH($A133,_xlfn.ANCHORARRAY( $W$5), 0), 0)
    )
)
/
(
    INDEX($AN$5:$AN$77, MATCH(BO$100,_xlfn.ANCHORARRAY( $W$5), 0))
    *
    INDEX($AN$5:$AN$77, MATCH($A133,_xlfn.ANCHORARRAY( $W$5), 0))
)</f>
        <v>0.82484998095745354</v>
      </c>
      <c r="BP133" s="17" cm="1">
        <f t="array" ref="BP133">MMULT(
    MMULT(
        INDEX($X$5:$AM$77, MATCH(BP$100,_xlfn.ANCHORARRAY( $W$5), 0), 0),
        $F$5:$U$20
    ),
    TRANSPOSE(
        INDEX($X$5:$AM$77, MATCH($A133,_xlfn.ANCHORARRAY( $W$5), 0), 0)
    )
)
/
(
    INDEX($AN$5:$AN$77, MATCH(BP$100,_xlfn.ANCHORARRAY( $W$5), 0))
    *
    INDEX($AN$5:$AN$77, MATCH($A133,_xlfn.ANCHORARRAY( $W$5), 0))
)</f>
        <v>0.7168480136475075</v>
      </c>
      <c r="BQ133" s="17" cm="1">
        <f t="array" ref="BQ133">MMULT(
    MMULT(
        INDEX($X$5:$AM$77, MATCH(BQ$100,_xlfn.ANCHORARRAY( $W$5), 0), 0),
        $F$5:$U$20
    ),
    TRANSPOSE(
        INDEX($X$5:$AM$77, MATCH($A133,_xlfn.ANCHORARRAY( $W$5), 0), 0)
    )
)
/
(
    INDEX($AN$5:$AN$77, MATCH(BQ$100,_xlfn.ANCHORARRAY( $W$5), 0))
    *
    INDEX($AN$5:$AN$77, MATCH($A133,_xlfn.ANCHORARRAY( $W$5), 0))
)</f>
        <v>0.44777927315434807</v>
      </c>
      <c r="BR133" s="17" cm="1">
        <f t="array" ref="BR133">MMULT(
    MMULT(
        INDEX($X$5:$AM$77, MATCH(BR$100,_xlfn.ANCHORARRAY( $W$5), 0), 0),
        $F$5:$U$20
    ),
    TRANSPOSE(
        INDEX($X$5:$AM$77, MATCH($A133,_xlfn.ANCHORARRAY( $W$5), 0), 0)
    )
)
/
(
    INDEX($AN$5:$AN$77, MATCH(BR$100,_xlfn.ANCHORARRAY( $W$5), 0))
    *
    INDEX($AN$5:$AN$77, MATCH($A133,_xlfn.ANCHORARRAY( $W$5), 0))
)</f>
        <v>0.74857254326100786</v>
      </c>
      <c r="BS133" s="17" cm="1">
        <f t="array" ref="BS133">MMULT(
    MMULT(
        INDEX($X$5:$AM$77, MATCH(BS$100,_xlfn.ANCHORARRAY( $W$5), 0), 0),
        $F$5:$U$20
    ),
    TRANSPOSE(
        INDEX($X$5:$AM$77, MATCH($A133,_xlfn.ANCHORARRAY( $W$5), 0), 0)
    )
)
/
(
    INDEX($AN$5:$AN$77, MATCH(BS$100,_xlfn.ANCHORARRAY( $W$5), 0))
    *
    INDEX($AN$5:$AN$77, MATCH($A133,_xlfn.ANCHORARRAY( $W$5), 0))
)</f>
        <v>0.70345400795817237</v>
      </c>
      <c r="BT133" s="17" cm="1">
        <f t="array" ref="BT133">MMULT(
    MMULT(
        INDEX($X$5:$AM$77, MATCH(BT$100,_xlfn.ANCHORARRAY( $W$5), 0), 0),
        $F$5:$U$20
    ),
    TRANSPOSE(
        INDEX($X$5:$AM$77, MATCH($A133,_xlfn.ANCHORARRAY( $W$5), 0), 0)
    )
)
/
(
    INDEX($AN$5:$AN$77, MATCH(BT$100,_xlfn.ANCHORARRAY( $W$5), 0))
    *
    INDEX($AN$5:$AN$77, MATCH($A133,_xlfn.ANCHORARRAY( $W$5), 0))
)</f>
        <v>0.71305688497780295</v>
      </c>
      <c r="BU133" s="17" cm="1">
        <f t="array" ref="BU133">MMULT(
    MMULT(
        INDEX($X$5:$AM$77, MATCH(BU$100,_xlfn.ANCHORARRAY( $W$5), 0), 0),
        $F$5:$U$20
    ),
    TRANSPOSE(
        INDEX($X$5:$AM$77, MATCH($A133,_xlfn.ANCHORARRAY( $W$5), 0), 0)
    )
)
/
(
    INDEX($AN$5:$AN$77, MATCH(BU$100,_xlfn.ANCHORARRAY( $W$5), 0))
    *
    INDEX($AN$5:$AN$77, MATCH($A133,_xlfn.ANCHORARRAY( $W$5), 0))
)</f>
        <v>0.75848805508983275</v>
      </c>
      <c r="BV133" s="17" cm="1">
        <f t="array" ref="BV133">MMULT(
    MMULT(
        INDEX($X$5:$AM$77, MATCH(BV$100,_xlfn.ANCHORARRAY( $W$5), 0), 0),
        $F$5:$U$20
    ),
    TRANSPOSE(
        INDEX($X$5:$AM$77, MATCH($A133,_xlfn.ANCHORARRAY( $W$5), 0), 0)
    )
)
/
(
    INDEX($AN$5:$AN$77, MATCH(BV$100,_xlfn.ANCHORARRAY( $W$5), 0))
    *
    INDEX($AN$5:$AN$77, MATCH($A133,_xlfn.ANCHORARRAY( $W$5), 0))
)</f>
        <v>0.86094167289022494</v>
      </c>
    </row>
    <row r="134" spans="1:74" x14ac:dyDescent="0.3">
      <c r="A134" s="7" t="str">
        <v>Wilson, Bryse</v>
      </c>
      <c r="B134" s="17" cm="1">
        <f t="array" ref="B134">MMULT(
    MMULT(
        INDEX($X$5:$AM$77, MATCH(B$100,_xlfn.ANCHORARRAY( $W$5), 0), 0),
        $F$5:$U$20
    ),
    TRANSPOSE(
        INDEX($X$5:$AM$77, MATCH($A134,_xlfn.ANCHORARRAY( $W$5), 0), 0)
    )
)
/
(
    INDEX($AN$5:$AN$77, MATCH(B$100,_xlfn.ANCHORARRAY( $W$5), 0))
    *
    INDEX($AN$5:$AN$77, MATCH($A134,_xlfn.ANCHORARRAY( $W$5), 0))
)</f>
        <v>0.93808009294535766</v>
      </c>
      <c r="C134" s="17" cm="1">
        <f t="array" ref="C134">MMULT(
    MMULT(
        INDEX($X$5:$AM$77, MATCH(C$100,_xlfn.ANCHORARRAY( $W$5), 0), 0),
        $F$5:$U$20
    ),
    TRANSPOSE(
        INDEX($X$5:$AM$77, MATCH($A134,_xlfn.ANCHORARRAY( $W$5), 0), 0)
    )
)
/
(
    INDEX($AN$5:$AN$77, MATCH(C$100,_xlfn.ANCHORARRAY( $W$5), 0))
    *
    INDEX($AN$5:$AN$77, MATCH($A134,_xlfn.ANCHORARRAY( $W$5), 0))
)</f>
        <v>0.82172320040268521</v>
      </c>
      <c r="D134" s="17" cm="1">
        <f t="array" ref="D134">MMULT(
    MMULT(
        INDEX($X$5:$AM$77, MATCH(D$100,_xlfn.ANCHORARRAY( $W$5), 0), 0),
        $F$5:$U$20
    ),
    TRANSPOSE(
        INDEX($X$5:$AM$77, MATCH($A134,_xlfn.ANCHORARRAY( $W$5), 0), 0)
    )
)
/
(
    INDEX($AN$5:$AN$77, MATCH(D$100,_xlfn.ANCHORARRAY( $W$5), 0))
    *
    INDEX($AN$5:$AN$77, MATCH($A134,_xlfn.ANCHORARRAY( $W$5), 0))
)</f>
        <v>0.91071401395868001</v>
      </c>
      <c r="E134" s="17" cm="1">
        <f t="array" ref="E134">MMULT(
    MMULT(
        INDEX($X$5:$AM$77, MATCH(E$100,_xlfn.ANCHORARRAY( $W$5), 0), 0),
        $F$5:$U$20
    ),
    TRANSPOSE(
        INDEX($X$5:$AM$77, MATCH($A134,_xlfn.ANCHORARRAY( $W$5), 0), 0)
    )
)
/
(
    INDEX($AN$5:$AN$77, MATCH(E$100,_xlfn.ANCHORARRAY( $W$5), 0))
    *
    INDEX($AN$5:$AN$77, MATCH($A134,_xlfn.ANCHORARRAY( $W$5), 0))
)</f>
        <v>0.83439898427424941</v>
      </c>
      <c r="F134" s="17" cm="1">
        <f t="array" ref="F134">MMULT(
    MMULT(
        INDEX($X$5:$AM$77, MATCH(F$100,_xlfn.ANCHORARRAY( $W$5), 0), 0),
        $F$5:$U$20
    ),
    TRANSPOSE(
        INDEX($X$5:$AM$77, MATCH($A134,_xlfn.ANCHORARRAY( $W$5), 0), 0)
    )
)
/
(
    INDEX($AN$5:$AN$77, MATCH(F$100,_xlfn.ANCHORARRAY( $W$5), 0))
    *
    INDEX($AN$5:$AN$77, MATCH($A134,_xlfn.ANCHORARRAY( $W$5), 0))
)</f>
        <v>0.80711458907950961</v>
      </c>
      <c r="G134" s="17" cm="1">
        <f t="array" ref="G134">MMULT(
    MMULT(
        INDEX($X$5:$AM$77, MATCH(G$100,_xlfn.ANCHORARRAY( $W$5), 0), 0),
        $F$5:$U$20
    ),
    TRANSPOSE(
        INDEX($X$5:$AM$77, MATCH($A134,_xlfn.ANCHORARRAY( $W$5), 0), 0)
    )
)
/
(
    INDEX($AN$5:$AN$77, MATCH(G$100,_xlfn.ANCHORARRAY( $W$5), 0))
    *
    INDEX($AN$5:$AN$77, MATCH($A134,_xlfn.ANCHORARRAY( $W$5), 0))
)</f>
        <v>0.9031266859639</v>
      </c>
      <c r="H134" s="17" cm="1">
        <f t="array" ref="H134">MMULT(
    MMULT(
        INDEX($X$5:$AM$77, MATCH(H$100,_xlfn.ANCHORARRAY( $W$5), 0), 0),
        $F$5:$U$20
    ),
    TRANSPOSE(
        INDEX($X$5:$AM$77, MATCH($A134,_xlfn.ANCHORARRAY( $W$5), 0), 0)
    )
)
/
(
    INDEX($AN$5:$AN$77, MATCH(H$100,_xlfn.ANCHORARRAY( $W$5), 0))
    *
    INDEX($AN$5:$AN$77, MATCH($A134,_xlfn.ANCHORARRAY( $W$5), 0))
)</f>
        <v>0.93044762443568241</v>
      </c>
      <c r="I134" s="17" cm="1">
        <f t="array" ref="I134">MMULT(
    MMULT(
        INDEX($X$5:$AM$77, MATCH(I$100,_xlfn.ANCHORARRAY( $W$5), 0), 0),
        $F$5:$U$20
    ),
    TRANSPOSE(
        INDEX($X$5:$AM$77, MATCH($A134,_xlfn.ANCHORARRAY( $W$5), 0), 0)
    )
)
/
(
    INDEX($AN$5:$AN$77, MATCH(I$100,_xlfn.ANCHORARRAY( $W$5), 0))
    *
    INDEX($AN$5:$AN$77, MATCH($A134,_xlfn.ANCHORARRAY( $W$5), 0))
)</f>
        <v>0.84119632558520208</v>
      </c>
      <c r="J134" s="17" cm="1">
        <f t="array" ref="J134">MMULT(
    MMULT(
        INDEX($X$5:$AM$77, MATCH(J$100,_xlfn.ANCHORARRAY( $W$5), 0), 0),
        $F$5:$U$20
    ),
    TRANSPOSE(
        INDEX($X$5:$AM$77, MATCH($A134,_xlfn.ANCHORARRAY( $W$5), 0), 0)
    )
)
/
(
    INDEX($AN$5:$AN$77, MATCH(J$100,_xlfn.ANCHORARRAY( $W$5), 0))
    *
    INDEX($AN$5:$AN$77, MATCH($A134,_xlfn.ANCHORARRAY( $W$5), 0))
)</f>
        <v>0.93918255497057779</v>
      </c>
      <c r="K134" s="17" cm="1">
        <f t="array" ref="K134">MMULT(
    MMULT(
        INDEX($X$5:$AM$77, MATCH(K$100,_xlfn.ANCHORARRAY( $W$5), 0), 0),
        $F$5:$U$20
    ),
    TRANSPOSE(
        INDEX($X$5:$AM$77, MATCH($A134,_xlfn.ANCHORARRAY( $W$5), 0), 0)
    )
)
/
(
    INDEX($AN$5:$AN$77, MATCH(K$100,_xlfn.ANCHORARRAY( $W$5), 0))
    *
    INDEX($AN$5:$AN$77, MATCH($A134,_xlfn.ANCHORARRAY( $W$5), 0))
)</f>
        <v>0.91227943026913449</v>
      </c>
      <c r="L134" s="17" cm="1">
        <f t="array" ref="L134">MMULT(
    MMULT(
        INDEX($X$5:$AM$77, MATCH(L$100,_xlfn.ANCHORARRAY( $W$5), 0), 0),
        $F$5:$U$20
    ),
    TRANSPOSE(
        INDEX($X$5:$AM$77, MATCH($A134,_xlfn.ANCHORARRAY( $W$5), 0), 0)
    )
)
/
(
    INDEX($AN$5:$AN$77, MATCH(L$100,_xlfn.ANCHORARRAY( $W$5), 0))
    *
    INDEX($AN$5:$AN$77, MATCH($A134,_xlfn.ANCHORARRAY( $W$5), 0))
)</f>
        <v>0.83133916641251426</v>
      </c>
      <c r="M134" s="17" cm="1">
        <f t="array" ref="M134">MMULT(
    MMULT(
        INDEX($X$5:$AM$77, MATCH(M$100,_xlfn.ANCHORARRAY( $W$5), 0), 0),
        $F$5:$U$20
    ),
    TRANSPOSE(
        INDEX($X$5:$AM$77, MATCH($A134,_xlfn.ANCHORARRAY( $W$5), 0), 0)
    )
)
/
(
    INDEX($AN$5:$AN$77, MATCH(M$100,_xlfn.ANCHORARRAY( $W$5), 0))
    *
    INDEX($AN$5:$AN$77, MATCH($A134,_xlfn.ANCHORARRAY( $W$5), 0))
)</f>
        <v>0.93967870171643086</v>
      </c>
      <c r="N134" s="17" cm="1">
        <f t="array" ref="N134">MMULT(
    MMULT(
        INDEX($X$5:$AM$77, MATCH(N$100,_xlfn.ANCHORARRAY( $W$5), 0), 0),
        $F$5:$U$20
    ),
    TRANSPOSE(
        INDEX($X$5:$AM$77, MATCH($A134,_xlfn.ANCHORARRAY( $W$5), 0), 0)
    )
)
/
(
    INDEX($AN$5:$AN$77, MATCH(N$100,_xlfn.ANCHORARRAY( $W$5), 0))
    *
    INDEX($AN$5:$AN$77, MATCH($A134,_xlfn.ANCHORARRAY( $W$5), 0))
)</f>
        <v>0.67232542968402742</v>
      </c>
      <c r="O134" s="17" cm="1">
        <f t="array" ref="O134">MMULT(
    MMULT(
        INDEX($X$5:$AM$77, MATCH(O$100,_xlfn.ANCHORARRAY( $W$5), 0), 0),
        $F$5:$U$20
    ),
    TRANSPOSE(
        INDEX($X$5:$AM$77, MATCH($A134,_xlfn.ANCHORARRAY( $W$5), 0), 0)
    )
)
/
(
    INDEX($AN$5:$AN$77, MATCH(O$100,_xlfn.ANCHORARRAY( $W$5), 0))
    *
    INDEX($AN$5:$AN$77, MATCH($A134,_xlfn.ANCHORARRAY( $W$5), 0))
)</f>
        <v>0.68527164932340512</v>
      </c>
      <c r="P134" s="17" cm="1">
        <f t="array" ref="P134">MMULT(
    MMULT(
        INDEX($X$5:$AM$77, MATCH(P$100,_xlfn.ANCHORARRAY( $W$5), 0), 0),
        $F$5:$U$20
    ),
    TRANSPOSE(
        INDEX($X$5:$AM$77, MATCH($A134,_xlfn.ANCHORARRAY( $W$5), 0), 0)
    )
)
/
(
    INDEX($AN$5:$AN$77, MATCH(P$100,_xlfn.ANCHORARRAY( $W$5), 0))
    *
    INDEX($AN$5:$AN$77, MATCH($A134,_xlfn.ANCHORARRAY( $W$5), 0))
)</f>
        <v>0.82414260398611894</v>
      </c>
      <c r="Q134" s="17" cm="1">
        <f t="array" ref="Q134">MMULT(
    MMULT(
        INDEX($X$5:$AM$77, MATCH(Q$100,_xlfn.ANCHORARRAY( $W$5), 0), 0),
        $F$5:$U$20
    ),
    TRANSPOSE(
        INDEX($X$5:$AM$77, MATCH($A134,_xlfn.ANCHORARRAY( $W$5), 0), 0)
    )
)
/
(
    INDEX($AN$5:$AN$77, MATCH(Q$100,_xlfn.ANCHORARRAY( $W$5), 0))
    *
    INDEX($AN$5:$AN$77, MATCH($A134,_xlfn.ANCHORARRAY( $W$5), 0))
)</f>
        <v>0.85300062990856773</v>
      </c>
      <c r="R134" s="17" cm="1">
        <f t="array" ref="R134">MMULT(
    MMULT(
        INDEX($X$5:$AM$77, MATCH(R$100,_xlfn.ANCHORARRAY( $W$5), 0), 0),
        $F$5:$U$20
    ),
    TRANSPOSE(
        INDEX($X$5:$AM$77, MATCH($A134,_xlfn.ANCHORARRAY( $W$5), 0), 0)
    )
)
/
(
    INDEX($AN$5:$AN$77, MATCH(R$100,_xlfn.ANCHORARRAY( $W$5), 0))
    *
    INDEX($AN$5:$AN$77, MATCH($A134,_xlfn.ANCHORARRAY( $W$5), 0))
)</f>
        <v>0.93554261506645087</v>
      </c>
      <c r="S134" s="17" cm="1">
        <f t="array" ref="S134">MMULT(
    MMULT(
        INDEX($X$5:$AM$77, MATCH(S$100,_xlfn.ANCHORARRAY( $W$5), 0), 0),
        $F$5:$U$20
    ),
    TRANSPOSE(
        INDEX($X$5:$AM$77, MATCH($A134,_xlfn.ANCHORARRAY( $W$5), 0), 0)
    )
)
/
(
    INDEX($AN$5:$AN$77, MATCH(S$100,_xlfn.ANCHORARRAY( $W$5), 0))
    *
    INDEX($AN$5:$AN$77, MATCH($A134,_xlfn.ANCHORARRAY( $W$5), 0))
)</f>
        <v>0.96453813561427681</v>
      </c>
      <c r="T134" s="17" cm="1">
        <f t="array" ref="T134">MMULT(
    MMULT(
        INDEX($X$5:$AM$77, MATCH(T$100,_xlfn.ANCHORARRAY( $W$5), 0), 0),
        $F$5:$U$20
    ),
    TRANSPOSE(
        INDEX($X$5:$AM$77, MATCH($A134,_xlfn.ANCHORARRAY( $W$5), 0), 0)
    )
)
/
(
    INDEX($AN$5:$AN$77, MATCH(T$100,_xlfn.ANCHORARRAY( $W$5), 0))
    *
    INDEX($AN$5:$AN$77, MATCH($A134,_xlfn.ANCHORARRAY( $W$5), 0))
)</f>
        <v>0.4362967192568204</v>
      </c>
      <c r="U134" s="17" cm="1">
        <f t="array" ref="U134">MMULT(
    MMULT(
        INDEX($X$5:$AM$77, MATCH(U$100,_xlfn.ANCHORARRAY( $W$5), 0), 0),
        $F$5:$U$20
    ),
    TRANSPOSE(
        INDEX($X$5:$AM$77, MATCH($A134,_xlfn.ANCHORARRAY( $W$5), 0), 0)
    )
)
/
(
    INDEX($AN$5:$AN$77, MATCH(U$100,_xlfn.ANCHORARRAY( $W$5), 0))
    *
    INDEX($AN$5:$AN$77, MATCH($A134,_xlfn.ANCHORARRAY( $W$5), 0))
)</f>
        <v>0.91179001979340146</v>
      </c>
      <c r="V134" s="17" cm="1">
        <f t="array" ref="V134">MMULT(
    MMULT(
        INDEX($X$5:$AM$77, MATCH(V$100,_xlfn.ANCHORARRAY( $W$5), 0), 0),
        $F$5:$U$20
    ),
    TRANSPOSE(
        INDEX($X$5:$AM$77, MATCH($A134,_xlfn.ANCHORARRAY( $W$5), 0), 0)
    )
)
/
(
    INDEX($AN$5:$AN$77, MATCH(V$100,_xlfn.ANCHORARRAY( $W$5), 0))
    *
    INDEX($AN$5:$AN$77, MATCH($A134,_xlfn.ANCHORARRAY( $W$5), 0))
)</f>
        <v>0.69009720757145654</v>
      </c>
      <c r="W134" s="17" cm="1">
        <f t="array" ref="W134">MMULT(
    MMULT(
        INDEX($X$5:$AM$77, MATCH(W$100,_xlfn.ANCHORARRAY( $W$5), 0), 0),
        $F$5:$U$20
    ),
    TRANSPOSE(
        INDEX($X$5:$AM$77, MATCH($A134,_xlfn.ANCHORARRAY( $W$5), 0), 0)
    )
)
/
(
    INDEX($AN$5:$AN$77, MATCH(W$100,_xlfn.ANCHORARRAY( $W$5), 0))
    *
    INDEX($AN$5:$AN$77, MATCH($A134,_xlfn.ANCHORARRAY( $W$5), 0))
)</f>
        <v>0.59103913326468971</v>
      </c>
      <c r="X134" s="17" cm="1">
        <f t="array" ref="X134">MMULT(
    MMULT(
        INDEX($X$5:$AM$77, MATCH(X$100,_xlfn.ANCHORARRAY( $W$5), 0), 0),
        $F$5:$U$20
    ),
    TRANSPOSE(
        INDEX($X$5:$AM$77, MATCH($A134,_xlfn.ANCHORARRAY( $W$5), 0), 0)
    )
)
/
(
    INDEX($AN$5:$AN$77, MATCH(X$100,_xlfn.ANCHORARRAY( $W$5), 0))
    *
    INDEX($AN$5:$AN$77, MATCH($A134,_xlfn.ANCHORARRAY( $W$5), 0))
)</f>
        <v>0.78188493961943017</v>
      </c>
      <c r="Y134" s="17" cm="1">
        <f t="array" ref="Y134">MMULT(
    MMULT(
        INDEX($X$5:$AM$77, MATCH(Y$100,_xlfn.ANCHORARRAY( $W$5), 0), 0),
        $F$5:$U$20
    ),
    TRANSPOSE(
        INDEX($X$5:$AM$77, MATCH($A134,_xlfn.ANCHORARRAY( $W$5), 0), 0)
    )
)
/
(
    INDEX($AN$5:$AN$77, MATCH(Y$100,_xlfn.ANCHORARRAY( $W$5), 0))
    *
    INDEX($AN$5:$AN$77, MATCH($A134,_xlfn.ANCHORARRAY( $W$5), 0))
)</f>
        <v>0.84073573503822829</v>
      </c>
      <c r="Z134" s="17" cm="1">
        <f t="array" ref="Z134">MMULT(
    MMULT(
        INDEX($X$5:$AM$77, MATCH(Z$100,_xlfn.ANCHORARRAY( $W$5), 0), 0),
        $F$5:$U$20
    ),
    TRANSPOSE(
        INDEX($X$5:$AM$77, MATCH($A134,_xlfn.ANCHORARRAY( $W$5), 0), 0)
    )
)
/
(
    INDEX($AN$5:$AN$77, MATCH(Z$100,_xlfn.ANCHORARRAY( $W$5), 0))
    *
    INDEX($AN$5:$AN$77, MATCH($A134,_xlfn.ANCHORARRAY( $W$5), 0))
)</f>
        <v>0.84849687473428648</v>
      </c>
      <c r="AA134" s="17" cm="1">
        <f t="array" ref="AA134">MMULT(
    MMULT(
        INDEX($X$5:$AM$77, MATCH(AA$100,_xlfn.ANCHORARRAY( $W$5), 0), 0),
        $F$5:$U$20
    ),
    TRANSPOSE(
        INDEX($X$5:$AM$77, MATCH($A134,_xlfn.ANCHORARRAY( $W$5), 0), 0)
    )
)
/
(
    INDEX($AN$5:$AN$77, MATCH(AA$100,_xlfn.ANCHORARRAY( $W$5), 0))
    *
    INDEX($AN$5:$AN$77, MATCH($A134,_xlfn.ANCHORARRAY( $W$5), 0))
)</f>
        <v>0.78031780952922281</v>
      </c>
      <c r="AB134" s="17" cm="1">
        <f t="array" ref="AB134">MMULT(
    MMULT(
        INDEX($X$5:$AM$77, MATCH(AB$100,_xlfn.ANCHORARRAY( $W$5), 0), 0),
        $F$5:$U$20
    ),
    TRANSPOSE(
        INDEX($X$5:$AM$77, MATCH($A134,_xlfn.ANCHORARRAY( $W$5), 0), 0)
    )
)
/
(
    INDEX($AN$5:$AN$77, MATCH(AB$100,_xlfn.ANCHORARRAY( $W$5), 0))
    *
    INDEX($AN$5:$AN$77, MATCH($A134,_xlfn.ANCHORARRAY( $W$5), 0))
)</f>
        <v>0.90771973147409113</v>
      </c>
      <c r="AC134" s="17" cm="1">
        <f t="array" ref="AC134">MMULT(
    MMULT(
        INDEX($X$5:$AM$77, MATCH(AC$100,_xlfn.ANCHORARRAY( $W$5), 0), 0),
        $F$5:$U$20
    ),
    TRANSPOSE(
        INDEX($X$5:$AM$77, MATCH($A134,_xlfn.ANCHORARRAY( $W$5), 0), 0)
    )
)
/
(
    INDEX($AN$5:$AN$77, MATCH(AC$100,_xlfn.ANCHORARRAY( $W$5), 0))
    *
    INDEX($AN$5:$AN$77, MATCH($A134,_xlfn.ANCHORARRAY( $W$5), 0))
)</f>
        <v>0.78735055422845557</v>
      </c>
      <c r="AD134" s="17" cm="1">
        <f t="array" ref="AD134">MMULT(
    MMULT(
        INDEX($X$5:$AM$77, MATCH(AD$100,_xlfn.ANCHORARRAY( $W$5), 0), 0),
        $F$5:$U$20
    ),
    TRANSPOSE(
        INDEX($X$5:$AM$77, MATCH($A134,_xlfn.ANCHORARRAY( $W$5), 0), 0)
    )
)
/
(
    INDEX($AN$5:$AN$77, MATCH(AD$100,_xlfn.ANCHORARRAY( $W$5), 0))
    *
    INDEX($AN$5:$AN$77, MATCH($A134,_xlfn.ANCHORARRAY( $W$5), 0))
)</f>
        <v>0.86917546895264342</v>
      </c>
      <c r="AE134" s="17" cm="1">
        <f t="array" ref="AE134">MMULT(
    MMULT(
        INDEX($X$5:$AM$77, MATCH(AE$100,_xlfn.ANCHORARRAY( $W$5), 0), 0),
        $F$5:$U$20
    ),
    TRANSPOSE(
        INDEX($X$5:$AM$77, MATCH($A134,_xlfn.ANCHORARRAY( $W$5), 0), 0)
    )
)
/
(
    INDEX($AN$5:$AN$77, MATCH(AE$100,_xlfn.ANCHORARRAY( $W$5), 0))
    *
    INDEX($AN$5:$AN$77, MATCH($A134,_xlfn.ANCHORARRAY( $W$5), 0))
)</f>
        <v>0.93296147657259587</v>
      </c>
      <c r="AF134" s="17" cm="1">
        <f t="array" ref="AF134">MMULT(
    MMULT(
        INDEX($X$5:$AM$77, MATCH(AF$100,_xlfn.ANCHORARRAY( $W$5), 0), 0),
        $F$5:$U$20
    ),
    TRANSPOSE(
        INDEX($X$5:$AM$77, MATCH($A134,_xlfn.ANCHORARRAY( $W$5), 0), 0)
    )
)
/
(
    INDEX($AN$5:$AN$77, MATCH(AF$100,_xlfn.ANCHORARRAY( $W$5), 0))
    *
    INDEX($AN$5:$AN$77, MATCH($A134,_xlfn.ANCHORARRAY( $W$5), 0))
)</f>
        <v>0.92940049490171894</v>
      </c>
      <c r="AG134" s="17" cm="1">
        <f t="array" ref="AG134">MMULT(
    MMULT(
        INDEX($X$5:$AM$77, MATCH(AG$100,_xlfn.ANCHORARRAY( $W$5), 0), 0),
        $F$5:$U$20
    ),
    TRANSPOSE(
        INDEX($X$5:$AM$77, MATCH($A134,_xlfn.ANCHORARRAY( $W$5), 0), 0)
    )
)
/
(
    INDEX($AN$5:$AN$77, MATCH(AG$100,_xlfn.ANCHORARRAY( $W$5), 0))
    *
    INDEX($AN$5:$AN$77, MATCH($A134,_xlfn.ANCHORARRAY( $W$5), 0))
)</f>
        <v>0.9625606718977866</v>
      </c>
      <c r="AH134" s="17" cm="1">
        <f t="array" ref="AH134">MMULT(
    MMULT(
        INDEX($X$5:$AM$77, MATCH(AH$100,_xlfn.ANCHORARRAY( $W$5), 0), 0),
        $F$5:$U$20
    ),
    TRANSPOSE(
        INDEX($X$5:$AM$77, MATCH($A134,_xlfn.ANCHORARRAY( $W$5), 0), 0)
    )
)
/
(
    INDEX($AN$5:$AN$77, MATCH(AH$100,_xlfn.ANCHORARRAY( $W$5), 0))
    *
    INDEX($AN$5:$AN$77, MATCH($A134,_xlfn.ANCHORARRAY( $W$5), 0))
)</f>
        <v>0.82740856955339581</v>
      </c>
      <c r="AI134" s="17" cm="1">
        <f t="array" ref="AI134">MMULT(
    MMULT(
        INDEX($X$5:$AM$77, MATCH(AI$100,_xlfn.ANCHORARRAY( $W$5), 0), 0),
        $F$5:$U$20
    ),
    TRANSPOSE(
        INDEX($X$5:$AM$77, MATCH($A134,_xlfn.ANCHORARRAY( $W$5), 0), 0)
    )
)
/
(
    INDEX($AN$5:$AN$77, MATCH(AI$100,_xlfn.ANCHORARRAY( $W$5), 0))
    *
    INDEX($AN$5:$AN$77, MATCH($A134,_xlfn.ANCHORARRAY( $W$5), 0))
)</f>
        <v>0.99999999999999989</v>
      </c>
      <c r="AJ134" s="17" cm="1">
        <f t="array" ref="AJ134">MMULT(
    MMULT(
        INDEX($X$5:$AM$77, MATCH(AJ$100,_xlfn.ANCHORARRAY( $W$5), 0), 0),
        $F$5:$U$20
    ),
    TRANSPOSE(
        INDEX($X$5:$AM$77, MATCH($A134,_xlfn.ANCHORARRAY( $W$5), 0), 0)
    )
)
/
(
    INDEX($AN$5:$AN$77, MATCH(AJ$100,_xlfn.ANCHORARRAY( $W$5), 0))
    *
    INDEX($AN$5:$AN$77, MATCH($A134,_xlfn.ANCHORARRAY( $W$5), 0))
)</f>
        <v>0.81960340861901881</v>
      </c>
      <c r="AK134" s="17" cm="1">
        <f t="array" ref="AK134">MMULT(
    MMULT(
        INDEX($X$5:$AM$77, MATCH(AK$100,_xlfn.ANCHORARRAY( $W$5), 0), 0),
        $F$5:$U$20
    ),
    TRANSPOSE(
        INDEX($X$5:$AM$77, MATCH($A134,_xlfn.ANCHORARRAY( $W$5), 0), 0)
    )
)
/
(
    INDEX($AN$5:$AN$77, MATCH(AK$100,_xlfn.ANCHORARRAY( $W$5), 0))
    *
    INDEX($AN$5:$AN$77, MATCH($A134,_xlfn.ANCHORARRAY( $W$5), 0))
)</f>
        <v>0.93025670445844055</v>
      </c>
      <c r="AL134" s="17" cm="1">
        <f t="array" ref="AL134">MMULT(
    MMULT(
        INDEX($X$5:$AM$77, MATCH(AL$100,_xlfn.ANCHORARRAY( $W$5), 0), 0),
        $F$5:$U$20
    ),
    TRANSPOSE(
        INDEX($X$5:$AM$77, MATCH($A134,_xlfn.ANCHORARRAY( $W$5), 0), 0)
    )
)
/
(
    INDEX($AN$5:$AN$77, MATCH(AL$100,_xlfn.ANCHORARRAY( $W$5), 0))
    *
    INDEX($AN$5:$AN$77, MATCH($A134,_xlfn.ANCHORARRAY( $W$5), 0))
)</f>
        <v>0.70076913652952399</v>
      </c>
      <c r="AM134" s="17" cm="1">
        <f t="array" ref="AM134">MMULT(
    MMULT(
        INDEX($X$5:$AM$77, MATCH(AM$100,_xlfn.ANCHORARRAY( $W$5), 0), 0),
        $F$5:$U$20
    ),
    TRANSPOSE(
        INDEX($X$5:$AM$77, MATCH($A134,_xlfn.ANCHORARRAY( $W$5), 0), 0)
    )
)
/
(
    INDEX($AN$5:$AN$77, MATCH(AM$100,_xlfn.ANCHORARRAY( $W$5), 0))
    *
    INDEX($AN$5:$AN$77, MATCH($A134,_xlfn.ANCHORARRAY( $W$5), 0))
)</f>
        <v>0.82019487165094696</v>
      </c>
      <c r="AN134" s="17" cm="1">
        <f t="array" ref="AN134">MMULT(
    MMULT(
        INDEX($X$5:$AM$77, MATCH(AN$100,_xlfn.ANCHORARRAY( $W$5), 0), 0),
        $F$5:$U$20
    ),
    TRANSPOSE(
        INDEX($X$5:$AM$77, MATCH($A134,_xlfn.ANCHORARRAY( $W$5), 0), 0)
    )
)
/
(
    INDEX($AN$5:$AN$77, MATCH(AN$100,_xlfn.ANCHORARRAY( $W$5), 0))
    *
    INDEX($AN$5:$AN$77, MATCH($A134,_xlfn.ANCHORARRAY( $W$5), 0))
)</f>
        <v>0.93257094728393619</v>
      </c>
      <c r="AO134" s="17" cm="1">
        <f t="array" ref="AO134">MMULT(
    MMULT(
        INDEX($X$5:$AM$77, MATCH(AO$100,_xlfn.ANCHORARRAY( $W$5), 0), 0),
        $F$5:$U$20
    ),
    TRANSPOSE(
        INDEX($X$5:$AM$77, MATCH($A134,_xlfn.ANCHORARRAY( $W$5), 0), 0)
    )
)
/
(
    INDEX($AN$5:$AN$77, MATCH(AO$100,_xlfn.ANCHORARRAY( $W$5), 0))
    *
    INDEX($AN$5:$AN$77, MATCH($A134,_xlfn.ANCHORARRAY( $W$5), 0))
)</f>
        <v>0.7828536997724278</v>
      </c>
      <c r="AP134" s="17" cm="1">
        <f t="array" ref="AP134">MMULT(
    MMULT(
        INDEX($X$5:$AM$77, MATCH(AP$100,_xlfn.ANCHORARRAY( $W$5), 0), 0),
        $F$5:$U$20
    ),
    TRANSPOSE(
        INDEX($X$5:$AM$77, MATCH($A134,_xlfn.ANCHORARRAY( $W$5), 0), 0)
    )
)
/
(
    INDEX($AN$5:$AN$77, MATCH(AP$100,_xlfn.ANCHORARRAY( $W$5), 0))
    *
    INDEX($AN$5:$AN$77, MATCH($A134,_xlfn.ANCHORARRAY( $W$5), 0))
)</f>
        <v>0.78293139089822461</v>
      </c>
      <c r="AQ134" s="17" cm="1">
        <f t="array" ref="AQ134">MMULT(
    MMULT(
        INDEX($X$5:$AM$77, MATCH(AQ$100,_xlfn.ANCHORARRAY( $W$5), 0), 0),
        $F$5:$U$20
    ),
    TRANSPOSE(
        INDEX($X$5:$AM$77, MATCH($A134,_xlfn.ANCHORARRAY( $W$5), 0), 0)
    )
)
/
(
    INDEX($AN$5:$AN$77, MATCH(AQ$100,_xlfn.ANCHORARRAY( $W$5), 0))
    *
    INDEX($AN$5:$AN$77, MATCH($A134,_xlfn.ANCHORARRAY( $W$5), 0))
)</f>
        <v>0.88735905369157153</v>
      </c>
      <c r="AR134" s="17" cm="1">
        <f t="array" ref="AR134">MMULT(
    MMULT(
        INDEX($X$5:$AM$77, MATCH(AR$100,_xlfn.ANCHORARRAY( $W$5), 0), 0),
        $F$5:$U$20
    ),
    TRANSPOSE(
        INDEX($X$5:$AM$77, MATCH($A134,_xlfn.ANCHORARRAY( $W$5), 0), 0)
    )
)
/
(
    INDEX($AN$5:$AN$77, MATCH(AR$100,_xlfn.ANCHORARRAY( $W$5), 0))
    *
    INDEX($AN$5:$AN$77, MATCH($A134,_xlfn.ANCHORARRAY( $W$5), 0))
)</f>
        <v>0.84061400106511219</v>
      </c>
      <c r="AS134" s="17" cm="1">
        <f t="array" ref="AS134">MMULT(
    MMULT(
        INDEX($X$5:$AM$77, MATCH(AS$100,_xlfn.ANCHORARRAY( $W$5), 0), 0),
        $F$5:$U$20
    ),
    TRANSPOSE(
        INDEX($X$5:$AM$77, MATCH($A134,_xlfn.ANCHORARRAY( $W$5), 0), 0)
    )
)
/
(
    INDEX($AN$5:$AN$77, MATCH(AS$100,_xlfn.ANCHORARRAY( $W$5), 0))
    *
    INDEX($AN$5:$AN$77, MATCH($A134,_xlfn.ANCHORARRAY( $W$5), 0))
)</f>
        <v>0.86542745872856242</v>
      </c>
      <c r="AT134" s="17" cm="1">
        <f t="array" ref="AT134">MMULT(
    MMULT(
        INDEX($X$5:$AM$77, MATCH(AT$100,_xlfn.ANCHORARRAY( $W$5), 0), 0),
        $F$5:$U$20
    ),
    TRANSPOSE(
        INDEX($X$5:$AM$77, MATCH($A134,_xlfn.ANCHORARRAY( $W$5), 0), 0)
    )
)
/
(
    INDEX($AN$5:$AN$77, MATCH(AT$100,_xlfn.ANCHORARRAY( $W$5), 0))
    *
    INDEX($AN$5:$AN$77, MATCH($A134,_xlfn.ANCHORARRAY( $W$5), 0))
)</f>
        <v>0.93485609963257921</v>
      </c>
      <c r="AU134" s="17" cm="1">
        <f t="array" ref="AU134">MMULT(
    MMULT(
        INDEX($X$5:$AM$77, MATCH(AU$100,_xlfn.ANCHORARRAY( $W$5), 0), 0),
        $F$5:$U$20
    ),
    TRANSPOSE(
        INDEX($X$5:$AM$77, MATCH($A134,_xlfn.ANCHORARRAY( $W$5), 0), 0)
    )
)
/
(
    INDEX($AN$5:$AN$77, MATCH(AU$100,_xlfn.ANCHORARRAY( $W$5), 0))
    *
    INDEX($AN$5:$AN$77, MATCH($A134,_xlfn.ANCHORARRAY( $W$5), 0))
)</f>
        <v>0.8299749258905742</v>
      </c>
      <c r="AV134" s="17" cm="1">
        <f t="array" ref="AV134">MMULT(
    MMULT(
        INDEX($X$5:$AM$77, MATCH(AV$100,_xlfn.ANCHORARRAY( $W$5), 0), 0),
        $F$5:$U$20
    ),
    TRANSPOSE(
        INDEX($X$5:$AM$77, MATCH($A134,_xlfn.ANCHORARRAY( $W$5), 0), 0)
    )
)
/
(
    INDEX($AN$5:$AN$77, MATCH(AV$100,_xlfn.ANCHORARRAY( $W$5), 0))
    *
    INDEX($AN$5:$AN$77, MATCH($A134,_xlfn.ANCHORARRAY( $W$5), 0))
)</f>
        <v>0.80829089073717963</v>
      </c>
      <c r="AW134" s="17" cm="1">
        <f t="array" ref="AW134">MMULT(
    MMULT(
        INDEX($X$5:$AM$77, MATCH(AW$100,_xlfn.ANCHORARRAY( $W$5), 0), 0),
        $F$5:$U$20
    ),
    TRANSPOSE(
        INDEX($X$5:$AM$77, MATCH($A134,_xlfn.ANCHORARRAY( $W$5), 0), 0)
    )
)
/
(
    INDEX($AN$5:$AN$77, MATCH(AW$100,_xlfn.ANCHORARRAY( $W$5), 0))
    *
    INDEX($AN$5:$AN$77, MATCH($A134,_xlfn.ANCHORARRAY( $W$5), 0))
)</f>
        <v>0.85263987429242971</v>
      </c>
      <c r="AX134" s="17" cm="1">
        <f t="array" ref="AX134">MMULT(
    MMULT(
        INDEX($X$5:$AM$77, MATCH(AX$100,_xlfn.ANCHORARRAY( $W$5), 0), 0),
        $F$5:$U$20
    ),
    TRANSPOSE(
        INDEX($X$5:$AM$77, MATCH($A134,_xlfn.ANCHORARRAY( $W$5), 0), 0)
    )
)
/
(
    INDEX($AN$5:$AN$77, MATCH(AX$100,_xlfn.ANCHORARRAY( $W$5), 0))
    *
    INDEX($AN$5:$AN$77, MATCH($A134,_xlfn.ANCHORARRAY( $W$5), 0))
)</f>
        <v>0.65985349752706313</v>
      </c>
      <c r="AY134" s="17" cm="1">
        <f t="array" ref="AY134">MMULT(
    MMULT(
        INDEX($X$5:$AM$77, MATCH(AY$100,_xlfn.ANCHORARRAY( $W$5), 0), 0),
        $F$5:$U$20
    ),
    TRANSPOSE(
        INDEX($X$5:$AM$77, MATCH($A134,_xlfn.ANCHORARRAY( $W$5), 0), 0)
    )
)
/
(
    INDEX($AN$5:$AN$77, MATCH(AY$100,_xlfn.ANCHORARRAY( $W$5), 0))
    *
    INDEX($AN$5:$AN$77, MATCH($A134,_xlfn.ANCHORARRAY( $W$5), 0))
)</f>
        <v>0.75880743279481444</v>
      </c>
      <c r="AZ134" s="17" cm="1">
        <f t="array" ref="AZ134">MMULT(
    MMULT(
        INDEX($X$5:$AM$77, MATCH(AZ$100,_xlfn.ANCHORARRAY( $W$5), 0), 0),
        $F$5:$U$20
    ),
    TRANSPOSE(
        INDEX($X$5:$AM$77, MATCH($A134,_xlfn.ANCHORARRAY( $W$5), 0), 0)
    )
)
/
(
    INDEX($AN$5:$AN$77, MATCH(AZ$100,_xlfn.ANCHORARRAY( $W$5), 0))
    *
    INDEX($AN$5:$AN$77, MATCH($A134,_xlfn.ANCHORARRAY( $W$5), 0))
)</f>
        <v>0.83503655603091731</v>
      </c>
      <c r="BA134" s="17" cm="1">
        <f t="array" ref="BA134">MMULT(
    MMULT(
        INDEX($X$5:$AM$77, MATCH(BA$100,_xlfn.ANCHORARRAY( $W$5), 0), 0),
        $F$5:$U$20
    ),
    TRANSPOSE(
        INDEX($X$5:$AM$77, MATCH($A134,_xlfn.ANCHORARRAY( $W$5), 0), 0)
    )
)
/
(
    INDEX($AN$5:$AN$77, MATCH(BA$100,_xlfn.ANCHORARRAY( $W$5), 0))
    *
    INDEX($AN$5:$AN$77, MATCH($A134,_xlfn.ANCHORARRAY( $W$5), 0))
)</f>
        <v>0.84620232456935129</v>
      </c>
      <c r="BB134" s="17" cm="1">
        <f t="array" ref="BB134">MMULT(
    MMULT(
        INDEX($X$5:$AM$77, MATCH(BB$100,_xlfn.ANCHORARRAY( $W$5), 0), 0),
        $F$5:$U$20
    ),
    TRANSPOSE(
        INDEX($X$5:$AM$77, MATCH($A134,_xlfn.ANCHORARRAY( $W$5), 0), 0)
    )
)
/
(
    INDEX($AN$5:$AN$77, MATCH(BB$100,_xlfn.ANCHORARRAY( $W$5), 0))
    *
    INDEX($AN$5:$AN$77, MATCH($A134,_xlfn.ANCHORARRAY( $W$5), 0))
)</f>
        <v>0.76144437608913806</v>
      </c>
      <c r="BC134" s="17" cm="1">
        <f t="array" ref="BC134">MMULT(
    MMULT(
        INDEX($X$5:$AM$77, MATCH(BC$100,_xlfn.ANCHORARRAY( $W$5), 0), 0),
        $F$5:$U$20
    ),
    TRANSPOSE(
        INDEX($X$5:$AM$77, MATCH($A134,_xlfn.ANCHORARRAY( $W$5), 0), 0)
    )
)
/
(
    INDEX($AN$5:$AN$77, MATCH(BC$100,_xlfn.ANCHORARRAY( $W$5), 0))
    *
    INDEX($AN$5:$AN$77, MATCH($A134,_xlfn.ANCHORARRAY( $W$5), 0))
)</f>
        <v>0.9382827565607017</v>
      </c>
      <c r="BD134" s="17" cm="1">
        <f t="array" ref="BD134">MMULT(
    MMULT(
        INDEX($X$5:$AM$77, MATCH(BD$100,_xlfn.ANCHORARRAY( $W$5), 0), 0),
        $F$5:$U$20
    ),
    TRANSPOSE(
        INDEX($X$5:$AM$77, MATCH($A134,_xlfn.ANCHORARRAY( $W$5), 0), 0)
    )
)
/
(
    INDEX($AN$5:$AN$77, MATCH(BD$100,_xlfn.ANCHORARRAY( $W$5), 0))
    *
    INDEX($AN$5:$AN$77, MATCH($A134,_xlfn.ANCHORARRAY( $W$5), 0))
)</f>
        <v>0.74157646257897347</v>
      </c>
      <c r="BE134" s="17" cm="1">
        <f t="array" ref="BE134">MMULT(
    MMULT(
        INDEX($X$5:$AM$77, MATCH(BE$100,_xlfn.ANCHORARRAY( $W$5), 0), 0),
        $F$5:$U$20
    ),
    TRANSPOSE(
        INDEX($X$5:$AM$77, MATCH($A134,_xlfn.ANCHORARRAY( $W$5), 0), 0)
    )
)
/
(
    INDEX($AN$5:$AN$77, MATCH(BE$100,_xlfn.ANCHORARRAY( $W$5), 0))
    *
    INDEX($AN$5:$AN$77, MATCH($A134,_xlfn.ANCHORARRAY( $W$5), 0))
)</f>
        <v>0.81475501122941119</v>
      </c>
      <c r="BF134" s="17" cm="1">
        <f t="array" ref="BF134">MMULT(
    MMULT(
        INDEX($X$5:$AM$77, MATCH(BF$100,_xlfn.ANCHORARRAY( $W$5), 0), 0),
        $F$5:$U$20
    ),
    TRANSPOSE(
        INDEX($X$5:$AM$77, MATCH($A134,_xlfn.ANCHORARRAY( $W$5), 0), 0)
    )
)
/
(
    INDEX($AN$5:$AN$77, MATCH(BF$100,_xlfn.ANCHORARRAY( $W$5), 0))
    *
    INDEX($AN$5:$AN$77, MATCH($A134,_xlfn.ANCHORARRAY( $W$5), 0))
)</f>
        <v>0.88900363095498214</v>
      </c>
      <c r="BG134" s="17" cm="1">
        <f t="array" ref="BG134">MMULT(
    MMULT(
        INDEX($X$5:$AM$77, MATCH(BG$100,_xlfn.ANCHORARRAY( $W$5), 0), 0),
        $F$5:$U$20
    ),
    TRANSPOSE(
        INDEX($X$5:$AM$77, MATCH($A134,_xlfn.ANCHORARRAY( $W$5), 0), 0)
    )
)
/
(
    INDEX($AN$5:$AN$77, MATCH(BG$100,_xlfn.ANCHORARRAY( $W$5), 0))
    *
    INDEX($AN$5:$AN$77, MATCH($A134,_xlfn.ANCHORARRAY( $W$5), 0))
)</f>
        <v>0.82120238705239534</v>
      </c>
      <c r="BH134" s="17" cm="1">
        <f t="array" ref="BH134">MMULT(
    MMULT(
        INDEX($X$5:$AM$77, MATCH(BH$100,_xlfn.ANCHORARRAY( $W$5), 0), 0),
        $F$5:$U$20
    ),
    TRANSPOSE(
        INDEX($X$5:$AM$77, MATCH($A134,_xlfn.ANCHORARRAY( $W$5), 0), 0)
    )
)
/
(
    INDEX($AN$5:$AN$77, MATCH(BH$100,_xlfn.ANCHORARRAY( $W$5), 0))
    *
    INDEX($AN$5:$AN$77, MATCH($A134,_xlfn.ANCHORARRAY( $W$5), 0))
)</f>
        <v>0.91691122735088182</v>
      </c>
      <c r="BI134" s="17" cm="1">
        <f t="array" ref="BI134">MMULT(
    MMULT(
        INDEX($X$5:$AM$77, MATCH(BI$100,_xlfn.ANCHORARRAY( $W$5), 0), 0),
        $F$5:$U$20
    ),
    TRANSPOSE(
        INDEX($X$5:$AM$77, MATCH($A134,_xlfn.ANCHORARRAY( $W$5), 0), 0)
    )
)
/
(
    INDEX($AN$5:$AN$77, MATCH(BI$100,_xlfn.ANCHORARRAY( $W$5), 0))
    *
    INDEX($AN$5:$AN$77, MATCH($A134,_xlfn.ANCHORARRAY( $W$5), 0))
)</f>
        <v>0.74671848954958553</v>
      </c>
      <c r="BJ134" s="17" cm="1">
        <f t="array" ref="BJ134">MMULT(
    MMULT(
        INDEX($X$5:$AM$77, MATCH(BJ$100,_xlfn.ANCHORARRAY( $W$5), 0), 0),
        $F$5:$U$20
    ),
    TRANSPOSE(
        INDEX($X$5:$AM$77, MATCH($A134,_xlfn.ANCHORARRAY( $W$5), 0), 0)
    )
)
/
(
    INDEX($AN$5:$AN$77, MATCH(BJ$100,_xlfn.ANCHORARRAY( $W$5), 0))
    *
    INDEX($AN$5:$AN$77, MATCH($A134,_xlfn.ANCHORARRAY( $W$5), 0))
)</f>
        <v>0.94664440346257195</v>
      </c>
      <c r="BK134" s="17" cm="1">
        <f t="array" ref="BK134">MMULT(
    MMULT(
        INDEX($X$5:$AM$77, MATCH(BK$100,_xlfn.ANCHORARRAY( $W$5), 0), 0),
        $F$5:$U$20
    ),
    TRANSPOSE(
        INDEX($X$5:$AM$77, MATCH($A134,_xlfn.ANCHORARRAY( $W$5), 0), 0)
    )
)
/
(
    INDEX($AN$5:$AN$77, MATCH(BK$100,_xlfn.ANCHORARRAY( $W$5), 0))
    *
    INDEX($AN$5:$AN$77, MATCH($A134,_xlfn.ANCHORARRAY( $W$5), 0))
)</f>
        <v>0.7586686363328955</v>
      </c>
      <c r="BL134" s="17" cm="1">
        <f t="array" ref="BL134">MMULT(
    MMULT(
        INDEX($X$5:$AM$77, MATCH(BL$100,_xlfn.ANCHORARRAY( $W$5), 0), 0),
        $F$5:$U$20
    ),
    TRANSPOSE(
        INDEX($X$5:$AM$77, MATCH($A134,_xlfn.ANCHORARRAY( $W$5), 0), 0)
    )
)
/
(
    INDEX($AN$5:$AN$77, MATCH(BL$100,_xlfn.ANCHORARRAY( $W$5), 0))
    *
    INDEX($AN$5:$AN$77, MATCH($A134,_xlfn.ANCHORARRAY( $W$5), 0))
)</f>
        <v>0.33222101339582077</v>
      </c>
      <c r="BM134" s="17" cm="1">
        <f t="array" ref="BM134">MMULT(
    MMULT(
        INDEX($X$5:$AM$77, MATCH(BM$100,_xlfn.ANCHORARRAY( $W$5), 0), 0),
        $F$5:$U$20
    ),
    TRANSPOSE(
        INDEX($X$5:$AM$77, MATCH($A134,_xlfn.ANCHORARRAY( $W$5), 0), 0)
    )
)
/
(
    INDEX($AN$5:$AN$77, MATCH(BM$100,_xlfn.ANCHORARRAY( $W$5), 0))
    *
    INDEX($AN$5:$AN$77, MATCH($A134,_xlfn.ANCHORARRAY( $W$5), 0))
)</f>
        <v>0.62542769605124116</v>
      </c>
      <c r="BN134" s="17" cm="1">
        <f t="array" ref="BN134">MMULT(
    MMULT(
        INDEX($X$5:$AM$77, MATCH(BN$100,_xlfn.ANCHORARRAY( $W$5), 0), 0),
        $F$5:$U$20
    ),
    TRANSPOSE(
        INDEX($X$5:$AM$77, MATCH($A134,_xlfn.ANCHORARRAY( $W$5), 0), 0)
    )
)
/
(
    INDEX($AN$5:$AN$77, MATCH(BN$100,_xlfn.ANCHORARRAY( $W$5), 0))
    *
    INDEX($AN$5:$AN$77, MATCH($A134,_xlfn.ANCHORARRAY( $W$5), 0))
)</f>
        <v>0.87075950216430986</v>
      </c>
      <c r="BO134" s="17" cm="1">
        <f t="array" ref="BO134">MMULT(
    MMULT(
        INDEX($X$5:$AM$77, MATCH(BO$100,_xlfn.ANCHORARRAY( $W$5), 0), 0),
        $F$5:$U$20
    ),
    TRANSPOSE(
        INDEX($X$5:$AM$77, MATCH($A134,_xlfn.ANCHORARRAY( $W$5), 0), 0)
    )
)
/
(
    INDEX($AN$5:$AN$77, MATCH(BO$100,_xlfn.ANCHORARRAY( $W$5), 0))
    *
    INDEX($AN$5:$AN$77, MATCH($A134,_xlfn.ANCHORARRAY( $W$5), 0))
)</f>
        <v>0.9225972012668987</v>
      </c>
      <c r="BP134" s="17" cm="1">
        <f t="array" ref="BP134">MMULT(
    MMULT(
        INDEX($X$5:$AM$77, MATCH(BP$100,_xlfn.ANCHORARRAY( $W$5), 0), 0),
        $F$5:$U$20
    ),
    TRANSPOSE(
        INDEX($X$5:$AM$77, MATCH($A134,_xlfn.ANCHORARRAY( $W$5), 0), 0)
    )
)
/
(
    INDEX($AN$5:$AN$77, MATCH(BP$100,_xlfn.ANCHORARRAY( $W$5), 0))
    *
    INDEX($AN$5:$AN$77, MATCH($A134,_xlfn.ANCHORARRAY( $W$5), 0))
)</f>
        <v>0.90227701476743138</v>
      </c>
      <c r="BQ134" s="17" cm="1">
        <f t="array" ref="BQ134">MMULT(
    MMULT(
        INDEX($X$5:$AM$77, MATCH(BQ$100,_xlfn.ANCHORARRAY( $W$5), 0), 0),
        $F$5:$U$20
    ),
    TRANSPOSE(
        INDEX($X$5:$AM$77, MATCH($A134,_xlfn.ANCHORARRAY( $W$5), 0), 0)
    )
)
/
(
    INDEX($AN$5:$AN$77, MATCH(BQ$100,_xlfn.ANCHORARRAY( $W$5), 0))
    *
    INDEX($AN$5:$AN$77, MATCH($A134,_xlfn.ANCHORARRAY( $W$5), 0))
)</f>
        <v>0.66026031838302113</v>
      </c>
      <c r="BR134" s="17" cm="1">
        <f t="array" ref="BR134">MMULT(
    MMULT(
        INDEX($X$5:$AM$77, MATCH(BR$100,_xlfn.ANCHORARRAY( $W$5), 0), 0),
        $F$5:$U$20
    ),
    TRANSPOSE(
        INDEX($X$5:$AM$77, MATCH($A134,_xlfn.ANCHORARRAY( $W$5), 0), 0)
    )
)
/
(
    INDEX($AN$5:$AN$77, MATCH(BR$100,_xlfn.ANCHORARRAY( $W$5), 0))
    *
    INDEX($AN$5:$AN$77, MATCH($A134,_xlfn.ANCHORARRAY( $W$5), 0))
)</f>
        <v>0.88927261769446542</v>
      </c>
      <c r="BS134" s="17" cm="1">
        <f t="array" ref="BS134">MMULT(
    MMULT(
        INDEX($X$5:$AM$77, MATCH(BS$100,_xlfn.ANCHORARRAY( $W$5), 0), 0),
        $F$5:$U$20
    ),
    TRANSPOSE(
        INDEX($X$5:$AM$77, MATCH($A134,_xlfn.ANCHORARRAY( $W$5), 0), 0)
    )
)
/
(
    INDEX($AN$5:$AN$77, MATCH(BS$100,_xlfn.ANCHORARRAY( $W$5), 0))
    *
    INDEX($AN$5:$AN$77, MATCH($A134,_xlfn.ANCHORARRAY( $W$5), 0))
)</f>
        <v>0.76074714873437499</v>
      </c>
      <c r="BT134" s="17" cm="1">
        <f t="array" ref="BT134">MMULT(
    MMULT(
        INDEX($X$5:$AM$77, MATCH(BT$100,_xlfn.ANCHORARRAY( $W$5), 0), 0),
        $F$5:$U$20
    ),
    TRANSPOSE(
        INDEX($X$5:$AM$77, MATCH($A134,_xlfn.ANCHORARRAY( $W$5), 0), 0)
    )
)
/
(
    INDEX($AN$5:$AN$77, MATCH(BT$100,_xlfn.ANCHORARRAY( $W$5), 0))
    *
    INDEX($AN$5:$AN$77, MATCH($A134,_xlfn.ANCHORARRAY( $W$5), 0))
)</f>
        <v>0.92328309694065147</v>
      </c>
      <c r="BU134" s="17" cm="1">
        <f t="array" ref="BU134">MMULT(
    MMULT(
        INDEX($X$5:$AM$77, MATCH(BU$100,_xlfn.ANCHORARRAY( $W$5), 0), 0),
        $F$5:$U$20
    ),
    TRANSPOSE(
        INDEX($X$5:$AM$77, MATCH($A134,_xlfn.ANCHORARRAY( $W$5), 0), 0)
    )
)
/
(
    INDEX($AN$5:$AN$77, MATCH(BU$100,_xlfn.ANCHORARRAY( $W$5), 0))
    *
    INDEX($AN$5:$AN$77, MATCH($A134,_xlfn.ANCHORARRAY( $W$5), 0))
)</f>
        <v>0.91743560421386006</v>
      </c>
      <c r="BV134" s="17" cm="1">
        <f t="array" ref="BV134">MMULT(
    MMULT(
        INDEX($X$5:$AM$77, MATCH(BV$100,_xlfn.ANCHORARRAY( $W$5), 0), 0),
        $F$5:$U$20
    ),
    TRANSPOSE(
        INDEX($X$5:$AM$77, MATCH($A134,_xlfn.ANCHORARRAY( $W$5), 0), 0)
    )
)
/
(
    INDEX($AN$5:$AN$77, MATCH(BV$100,_xlfn.ANCHORARRAY( $W$5), 0))
    *
    INDEX($AN$5:$AN$77, MATCH($A134,_xlfn.ANCHORARRAY( $W$5), 0))
)</f>
        <v>0.88332168208689987</v>
      </c>
    </row>
    <row r="135" spans="1:74" x14ac:dyDescent="0.3">
      <c r="A135" s="7" t="str">
        <v>Wentz, Joey</v>
      </c>
      <c r="B135" s="17" cm="1">
        <f t="array" ref="B135">MMULT(
    MMULT(
        INDEX($X$5:$AM$77, MATCH(B$100,_xlfn.ANCHORARRAY( $W$5), 0), 0),
        $F$5:$U$20
    ),
    TRANSPOSE(
        INDEX($X$5:$AM$77, MATCH($A135,_xlfn.ANCHORARRAY( $W$5), 0), 0)
    )
)
/
(
    INDEX($AN$5:$AN$77, MATCH(B$100,_xlfn.ANCHORARRAY( $W$5), 0))
    *
    INDEX($AN$5:$AN$77, MATCH($A135,_xlfn.ANCHORARRAY( $W$5), 0))
)</f>
        <v>0.9217291704968813</v>
      </c>
      <c r="C135" s="17" cm="1">
        <f t="array" ref="C135">MMULT(
    MMULT(
        INDEX($X$5:$AM$77, MATCH(C$100,_xlfn.ANCHORARRAY( $W$5), 0), 0),
        $F$5:$U$20
    ),
    TRANSPOSE(
        INDEX($X$5:$AM$77, MATCH($A135,_xlfn.ANCHORARRAY( $W$5), 0), 0)
    )
)
/
(
    INDEX($AN$5:$AN$77, MATCH(C$100,_xlfn.ANCHORARRAY( $W$5), 0))
    *
    INDEX($AN$5:$AN$77, MATCH($A135,_xlfn.ANCHORARRAY( $W$5), 0))
)</f>
        <v>0.74466199793198129</v>
      </c>
      <c r="D135" s="17" cm="1">
        <f t="array" ref="D135">MMULT(
    MMULT(
        INDEX($X$5:$AM$77, MATCH(D$100,_xlfn.ANCHORARRAY( $W$5), 0), 0),
        $F$5:$U$20
    ),
    TRANSPOSE(
        INDEX($X$5:$AM$77, MATCH($A135,_xlfn.ANCHORARRAY( $W$5), 0), 0)
    )
)
/
(
    INDEX($AN$5:$AN$77, MATCH(D$100,_xlfn.ANCHORARRAY( $W$5), 0))
    *
    INDEX($AN$5:$AN$77, MATCH($A135,_xlfn.ANCHORARRAY( $W$5), 0))
)</f>
        <v>0.94119515899261985</v>
      </c>
      <c r="E135" s="17" cm="1">
        <f t="array" ref="E135">MMULT(
    MMULT(
        INDEX($X$5:$AM$77, MATCH(E$100,_xlfn.ANCHORARRAY( $W$5), 0), 0),
        $F$5:$U$20
    ),
    TRANSPOSE(
        INDEX($X$5:$AM$77, MATCH($A135,_xlfn.ANCHORARRAY( $W$5), 0), 0)
    )
)
/
(
    INDEX($AN$5:$AN$77, MATCH(E$100,_xlfn.ANCHORARRAY( $W$5), 0))
    *
    INDEX($AN$5:$AN$77, MATCH($A135,_xlfn.ANCHORARRAY( $W$5), 0))
)</f>
        <v>0.82986048591918371</v>
      </c>
      <c r="F135" s="17" cm="1">
        <f t="array" ref="F135">MMULT(
    MMULT(
        INDEX($X$5:$AM$77, MATCH(F$100,_xlfn.ANCHORARRAY( $W$5), 0), 0),
        $F$5:$U$20
    ),
    TRANSPOSE(
        INDEX($X$5:$AM$77, MATCH($A135,_xlfn.ANCHORARRAY( $W$5), 0), 0)
    )
)
/
(
    INDEX($AN$5:$AN$77, MATCH(F$100,_xlfn.ANCHORARRAY( $W$5), 0))
    *
    INDEX($AN$5:$AN$77, MATCH($A135,_xlfn.ANCHORARRAY( $W$5), 0))
)</f>
        <v>0.93841904803435028</v>
      </c>
      <c r="G135" s="17" cm="1">
        <f t="array" ref="G135">MMULT(
    MMULT(
        INDEX($X$5:$AM$77, MATCH(G$100,_xlfn.ANCHORARRAY( $W$5), 0), 0),
        $F$5:$U$20
    ),
    TRANSPOSE(
        INDEX($X$5:$AM$77, MATCH($A135,_xlfn.ANCHORARRAY( $W$5), 0), 0)
    )
)
/
(
    INDEX($AN$5:$AN$77, MATCH(G$100,_xlfn.ANCHORARRAY( $W$5), 0))
    *
    INDEX($AN$5:$AN$77, MATCH($A135,_xlfn.ANCHORARRAY( $W$5), 0))
)</f>
        <v>0.71656184130279732</v>
      </c>
      <c r="H135" s="17" cm="1">
        <f t="array" ref="H135">MMULT(
    MMULT(
        INDEX($X$5:$AM$77, MATCH(H$100,_xlfn.ANCHORARRAY( $W$5), 0), 0),
        $F$5:$U$20
    ),
    TRANSPOSE(
        INDEX($X$5:$AM$77, MATCH($A135,_xlfn.ANCHORARRAY( $W$5), 0), 0)
    )
)
/
(
    INDEX($AN$5:$AN$77, MATCH(H$100,_xlfn.ANCHORARRAY( $W$5), 0))
    *
    INDEX($AN$5:$AN$77, MATCH($A135,_xlfn.ANCHORARRAY( $W$5), 0))
)</f>
        <v>0.67620841849417357</v>
      </c>
      <c r="I135" s="17" cm="1">
        <f t="array" ref="I135">MMULT(
    MMULT(
        INDEX($X$5:$AM$77, MATCH(I$100,_xlfn.ANCHORARRAY( $W$5), 0), 0),
        $F$5:$U$20
    ),
    TRANSPOSE(
        INDEX($X$5:$AM$77, MATCH($A135,_xlfn.ANCHORARRAY( $W$5), 0), 0)
    )
)
/
(
    INDEX($AN$5:$AN$77, MATCH(I$100,_xlfn.ANCHORARRAY( $W$5), 0))
    *
    INDEX($AN$5:$AN$77, MATCH($A135,_xlfn.ANCHORARRAY( $W$5), 0))
)</f>
        <v>0.76903889740764919</v>
      </c>
      <c r="J135" s="17" cm="1">
        <f t="array" ref="J135">MMULT(
    MMULT(
        INDEX($X$5:$AM$77, MATCH(J$100,_xlfn.ANCHORARRAY( $W$5), 0), 0),
        $F$5:$U$20
    ),
    TRANSPOSE(
        INDEX($X$5:$AM$77, MATCH($A135,_xlfn.ANCHORARRAY( $W$5), 0), 0)
    )
)
/
(
    INDEX($AN$5:$AN$77, MATCH(J$100,_xlfn.ANCHORARRAY( $W$5), 0))
    *
    INDEX($AN$5:$AN$77, MATCH($A135,_xlfn.ANCHORARRAY( $W$5), 0))
)</f>
        <v>0.90415575523943792</v>
      </c>
      <c r="K135" s="17" cm="1">
        <f t="array" ref="K135">MMULT(
    MMULT(
        INDEX($X$5:$AM$77, MATCH(K$100,_xlfn.ANCHORARRAY( $W$5), 0), 0),
        $F$5:$U$20
    ),
    TRANSPOSE(
        INDEX($X$5:$AM$77, MATCH($A135,_xlfn.ANCHORARRAY( $W$5), 0), 0)
    )
)
/
(
    INDEX($AN$5:$AN$77, MATCH(K$100,_xlfn.ANCHORARRAY( $W$5), 0))
    *
    INDEX($AN$5:$AN$77, MATCH($A135,_xlfn.ANCHORARRAY( $W$5), 0))
)</f>
        <v>0.81412594972616226</v>
      </c>
      <c r="L135" s="17" cm="1">
        <f t="array" ref="L135">MMULT(
    MMULT(
        INDEX($X$5:$AM$77, MATCH(L$100,_xlfn.ANCHORARRAY( $W$5), 0), 0),
        $F$5:$U$20
    ),
    TRANSPOSE(
        INDEX($X$5:$AM$77, MATCH($A135,_xlfn.ANCHORARRAY( $W$5), 0), 0)
    )
)
/
(
    INDEX($AN$5:$AN$77, MATCH(L$100,_xlfn.ANCHORARRAY( $W$5), 0))
    *
    INDEX($AN$5:$AN$77, MATCH($A135,_xlfn.ANCHORARRAY( $W$5), 0))
)</f>
        <v>0.58448251128093243</v>
      </c>
      <c r="M135" s="17" cm="1">
        <f t="array" ref="M135">MMULT(
    MMULT(
        INDEX($X$5:$AM$77, MATCH(M$100,_xlfn.ANCHORARRAY( $W$5), 0), 0),
        $F$5:$U$20
    ),
    TRANSPOSE(
        INDEX($X$5:$AM$77, MATCH($A135,_xlfn.ANCHORARRAY( $W$5), 0), 0)
    )
)
/
(
    INDEX($AN$5:$AN$77, MATCH(M$100,_xlfn.ANCHORARRAY( $W$5), 0))
    *
    INDEX($AN$5:$AN$77, MATCH($A135,_xlfn.ANCHORARRAY( $W$5), 0))
)</f>
        <v>0.76884248070952488</v>
      </c>
      <c r="N135" s="17" cm="1">
        <f t="array" ref="N135">MMULT(
    MMULT(
        INDEX($X$5:$AM$77, MATCH(N$100,_xlfn.ANCHORARRAY( $W$5), 0), 0),
        $F$5:$U$20
    ),
    TRANSPOSE(
        INDEX($X$5:$AM$77, MATCH($A135,_xlfn.ANCHORARRAY( $W$5), 0), 0)
    )
)
/
(
    INDEX($AN$5:$AN$77, MATCH(N$100,_xlfn.ANCHORARRAY( $W$5), 0))
    *
    INDEX($AN$5:$AN$77, MATCH($A135,_xlfn.ANCHORARRAY( $W$5), 0))
)</f>
        <v>0.96119242582772979</v>
      </c>
      <c r="O135" s="17" cm="1">
        <f t="array" ref="O135">MMULT(
    MMULT(
        INDEX($X$5:$AM$77, MATCH(O$100,_xlfn.ANCHORARRAY( $W$5), 0), 0),
        $F$5:$U$20
    ),
    TRANSPOSE(
        INDEX($X$5:$AM$77, MATCH($A135,_xlfn.ANCHORARRAY( $W$5), 0), 0)
    )
)
/
(
    INDEX($AN$5:$AN$77, MATCH(O$100,_xlfn.ANCHORARRAY( $W$5), 0))
    *
    INDEX($AN$5:$AN$77, MATCH($A135,_xlfn.ANCHORARRAY( $W$5), 0))
)</f>
        <v>0.91243142188936877</v>
      </c>
      <c r="P135" s="17" cm="1">
        <f t="array" ref="P135">MMULT(
    MMULT(
        INDEX($X$5:$AM$77, MATCH(P$100,_xlfn.ANCHORARRAY( $W$5), 0), 0),
        $F$5:$U$20
    ),
    TRANSPOSE(
        INDEX($X$5:$AM$77, MATCH($A135,_xlfn.ANCHORARRAY( $W$5), 0), 0)
    )
)
/
(
    INDEX($AN$5:$AN$77, MATCH(P$100,_xlfn.ANCHORARRAY( $W$5), 0))
    *
    INDEX($AN$5:$AN$77, MATCH($A135,_xlfn.ANCHORARRAY( $W$5), 0))
)</f>
        <v>0.98533236375071431</v>
      </c>
      <c r="Q135" s="17" cm="1">
        <f t="array" ref="Q135">MMULT(
    MMULT(
        INDEX($X$5:$AM$77, MATCH(Q$100,_xlfn.ANCHORARRAY( $W$5), 0), 0),
        $F$5:$U$20
    ),
    TRANSPOSE(
        INDEX($X$5:$AM$77, MATCH($A135,_xlfn.ANCHORARRAY( $W$5), 0), 0)
    )
)
/
(
    INDEX($AN$5:$AN$77, MATCH(Q$100,_xlfn.ANCHORARRAY( $W$5), 0))
    *
    INDEX($AN$5:$AN$77, MATCH($A135,_xlfn.ANCHORARRAY( $W$5), 0))
)</f>
        <v>0.6946275222916557</v>
      </c>
      <c r="R135" s="17" cm="1">
        <f t="array" ref="R135">MMULT(
    MMULT(
        INDEX($X$5:$AM$77, MATCH(R$100,_xlfn.ANCHORARRAY( $W$5), 0), 0),
        $F$5:$U$20
    ),
    TRANSPOSE(
        INDEX($X$5:$AM$77, MATCH($A135,_xlfn.ANCHORARRAY( $W$5), 0), 0)
    )
)
/
(
    INDEX($AN$5:$AN$77, MATCH(R$100,_xlfn.ANCHORARRAY( $W$5), 0))
    *
    INDEX($AN$5:$AN$77, MATCH($A135,_xlfn.ANCHORARRAY( $W$5), 0))
)</f>
        <v>0.89195345497149081</v>
      </c>
      <c r="S135" s="17" cm="1">
        <f t="array" ref="S135">MMULT(
    MMULT(
        INDEX($X$5:$AM$77, MATCH(S$100,_xlfn.ANCHORARRAY( $W$5), 0), 0),
        $F$5:$U$20
    ),
    TRANSPOSE(
        INDEX($X$5:$AM$77, MATCH($A135,_xlfn.ANCHORARRAY( $W$5), 0), 0)
    )
)
/
(
    INDEX($AN$5:$AN$77, MATCH(S$100,_xlfn.ANCHORARRAY( $W$5), 0))
    *
    INDEX($AN$5:$AN$77, MATCH($A135,_xlfn.ANCHORARRAY( $W$5), 0))
)</f>
        <v>0.82493906812100681</v>
      </c>
      <c r="T135" s="17" cm="1">
        <f t="array" ref="T135">MMULT(
    MMULT(
        INDEX($X$5:$AM$77, MATCH(T$100,_xlfn.ANCHORARRAY( $W$5), 0), 0),
        $F$5:$U$20
    ),
    TRANSPOSE(
        INDEX($X$5:$AM$77, MATCH($A135,_xlfn.ANCHORARRAY( $W$5), 0), 0)
    )
)
/
(
    INDEX($AN$5:$AN$77, MATCH(T$100,_xlfn.ANCHORARRAY( $W$5), 0))
    *
    INDEX($AN$5:$AN$77, MATCH($A135,_xlfn.ANCHORARRAY( $W$5), 0))
)</f>
        <v>0.55311946086554775</v>
      </c>
      <c r="U135" s="17" cm="1">
        <f t="array" ref="U135">MMULT(
    MMULT(
        INDEX($X$5:$AM$77, MATCH(U$100,_xlfn.ANCHORARRAY( $W$5), 0), 0),
        $F$5:$U$20
    ),
    TRANSPOSE(
        INDEX($X$5:$AM$77, MATCH($A135,_xlfn.ANCHORARRAY( $W$5), 0), 0)
    )
)
/
(
    INDEX($AN$5:$AN$77, MATCH(U$100,_xlfn.ANCHORARRAY( $W$5), 0))
    *
    INDEX($AN$5:$AN$77, MATCH($A135,_xlfn.ANCHORARRAY( $W$5), 0))
)</f>
        <v>0.96959193630916529</v>
      </c>
      <c r="V135" s="17" cm="1">
        <f t="array" ref="V135">MMULT(
    MMULT(
        INDEX($X$5:$AM$77, MATCH(V$100,_xlfn.ANCHORARRAY( $W$5), 0), 0),
        $F$5:$U$20
    ),
    TRANSPOSE(
        INDEX($X$5:$AM$77, MATCH($A135,_xlfn.ANCHORARRAY( $W$5), 0), 0)
    )
)
/
(
    INDEX($AN$5:$AN$77, MATCH(V$100,_xlfn.ANCHORARRAY( $W$5), 0))
    *
    INDEX($AN$5:$AN$77, MATCH($A135,_xlfn.ANCHORARRAY( $W$5), 0))
)</f>
        <v>0.55767016677760839</v>
      </c>
      <c r="W135" s="17" cm="1">
        <f t="array" ref="W135">MMULT(
    MMULT(
        INDEX($X$5:$AM$77, MATCH(W$100,_xlfn.ANCHORARRAY( $W$5), 0), 0),
        $F$5:$U$20
    ),
    TRANSPOSE(
        INDEX($X$5:$AM$77, MATCH($A135,_xlfn.ANCHORARRAY( $W$5), 0), 0)
    )
)
/
(
    INDEX($AN$5:$AN$77, MATCH(W$100,_xlfn.ANCHORARRAY( $W$5), 0))
    *
    INDEX($AN$5:$AN$77, MATCH($A135,_xlfn.ANCHORARRAY( $W$5), 0))
)</f>
        <v>0.68274417293332779</v>
      </c>
      <c r="X135" s="17" cm="1">
        <f t="array" ref="X135">MMULT(
    MMULT(
        INDEX($X$5:$AM$77, MATCH(X$100,_xlfn.ANCHORARRAY( $W$5), 0), 0),
        $F$5:$U$20
    ),
    TRANSPOSE(
        INDEX($X$5:$AM$77, MATCH($A135,_xlfn.ANCHORARRAY( $W$5), 0), 0)
    )
)
/
(
    INDEX($AN$5:$AN$77, MATCH(X$100,_xlfn.ANCHORARRAY( $W$5), 0))
    *
    INDEX($AN$5:$AN$77, MATCH($A135,_xlfn.ANCHORARRAY( $W$5), 0))
)</f>
        <v>0.9429909985972772</v>
      </c>
      <c r="Y135" s="17" cm="1">
        <f t="array" ref="Y135">MMULT(
    MMULT(
        INDEX($X$5:$AM$77, MATCH(Y$100,_xlfn.ANCHORARRAY( $W$5), 0), 0),
        $F$5:$U$20
    ),
    TRANSPOSE(
        INDEX($X$5:$AM$77, MATCH($A135,_xlfn.ANCHORARRAY( $W$5), 0), 0)
    )
)
/
(
    INDEX($AN$5:$AN$77, MATCH(Y$100,_xlfn.ANCHORARRAY( $W$5), 0))
    *
    INDEX($AN$5:$AN$77, MATCH($A135,_xlfn.ANCHORARRAY( $W$5), 0))
)</f>
        <v>0.70132718846392594</v>
      </c>
      <c r="Z135" s="17" cm="1">
        <f t="array" ref="Z135">MMULT(
    MMULT(
        INDEX($X$5:$AM$77, MATCH(Z$100,_xlfn.ANCHORARRAY( $W$5), 0), 0),
        $F$5:$U$20
    ),
    TRANSPOSE(
        INDEX($X$5:$AM$77, MATCH($A135,_xlfn.ANCHORARRAY( $W$5), 0), 0)
    )
)
/
(
    INDEX($AN$5:$AN$77, MATCH(Z$100,_xlfn.ANCHORARRAY( $W$5), 0))
    *
    INDEX($AN$5:$AN$77, MATCH($A135,_xlfn.ANCHORARRAY( $W$5), 0))
)</f>
        <v>0.9465909014904762</v>
      </c>
      <c r="AA135" s="17" cm="1">
        <f t="array" ref="AA135">MMULT(
    MMULT(
        INDEX($X$5:$AM$77, MATCH(AA$100,_xlfn.ANCHORARRAY( $W$5), 0), 0),
        $F$5:$U$20
    ),
    TRANSPOSE(
        INDEX($X$5:$AM$77, MATCH($A135,_xlfn.ANCHORARRAY( $W$5), 0), 0)
    )
)
/
(
    INDEX($AN$5:$AN$77, MATCH(AA$100,_xlfn.ANCHORARRAY( $W$5), 0))
    *
    INDEX($AN$5:$AN$77, MATCH($A135,_xlfn.ANCHORARRAY( $W$5), 0))
)</f>
        <v>0.98266672388852805</v>
      </c>
      <c r="AB135" s="17" cm="1">
        <f t="array" ref="AB135">MMULT(
    MMULT(
        INDEX($X$5:$AM$77, MATCH(AB$100,_xlfn.ANCHORARRAY( $W$5), 0), 0),
        $F$5:$U$20
    ),
    TRANSPOSE(
        INDEX($X$5:$AM$77, MATCH($A135,_xlfn.ANCHORARRAY( $W$5), 0), 0)
    )
)
/
(
    INDEX($AN$5:$AN$77, MATCH(AB$100,_xlfn.ANCHORARRAY( $W$5), 0))
    *
    INDEX($AN$5:$AN$77, MATCH($A135,_xlfn.ANCHORARRAY( $W$5), 0))
)</f>
        <v>0.92835407021573135</v>
      </c>
      <c r="AC135" s="17" cm="1">
        <f t="array" ref="AC135">MMULT(
    MMULT(
        INDEX($X$5:$AM$77, MATCH(AC$100,_xlfn.ANCHORARRAY( $W$5), 0), 0),
        $F$5:$U$20
    ),
    TRANSPOSE(
        INDEX($X$5:$AM$77, MATCH($A135,_xlfn.ANCHORARRAY( $W$5), 0), 0)
    )
)
/
(
    INDEX($AN$5:$AN$77, MATCH(AC$100,_xlfn.ANCHORARRAY( $W$5), 0))
    *
    INDEX($AN$5:$AN$77, MATCH($A135,_xlfn.ANCHORARRAY( $W$5), 0))
)</f>
        <v>0.79033728343486331</v>
      </c>
      <c r="AD135" s="17" cm="1">
        <f t="array" ref="AD135">MMULT(
    MMULT(
        INDEX($X$5:$AM$77, MATCH(AD$100,_xlfn.ANCHORARRAY( $W$5), 0), 0),
        $F$5:$U$20
    ),
    TRANSPOSE(
        INDEX($X$5:$AM$77, MATCH($A135,_xlfn.ANCHORARRAY( $W$5), 0), 0)
    )
)
/
(
    INDEX($AN$5:$AN$77, MATCH(AD$100,_xlfn.ANCHORARRAY( $W$5), 0))
    *
    INDEX($AN$5:$AN$77, MATCH($A135,_xlfn.ANCHORARRAY( $W$5), 0))
)</f>
        <v>0.93466154179676231</v>
      </c>
      <c r="AE135" s="17" cm="1">
        <f t="array" ref="AE135">MMULT(
    MMULT(
        INDEX($X$5:$AM$77, MATCH(AE$100,_xlfn.ANCHORARRAY( $W$5), 0), 0),
        $F$5:$U$20
    ),
    TRANSPOSE(
        INDEX($X$5:$AM$77, MATCH($A135,_xlfn.ANCHORARRAY( $W$5), 0), 0)
    )
)
/
(
    INDEX($AN$5:$AN$77, MATCH(AE$100,_xlfn.ANCHORARRAY( $W$5), 0))
    *
    INDEX($AN$5:$AN$77, MATCH($A135,_xlfn.ANCHORARRAY( $W$5), 0))
)</f>
        <v>0.83577503053314328</v>
      </c>
      <c r="AF135" s="17" cm="1">
        <f t="array" ref="AF135">MMULT(
    MMULT(
        INDEX($X$5:$AM$77, MATCH(AF$100,_xlfn.ANCHORARRAY( $W$5), 0), 0),
        $F$5:$U$20
    ),
    TRANSPOSE(
        INDEX($X$5:$AM$77, MATCH($A135,_xlfn.ANCHORARRAY( $W$5), 0), 0)
    )
)
/
(
    INDEX($AN$5:$AN$77, MATCH(AF$100,_xlfn.ANCHORARRAY( $W$5), 0))
    *
    INDEX($AN$5:$AN$77, MATCH($A135,_xlfn.ANCHORARRAY( $W$5), 0))
)</f>
        <v>0.81174647275006673</v>
      </c>
      <c r="AG135" s="17" cm="1">
        <f t="array" ref="AG135">MMULT(
    MMULT(
        INDEX($X$5:$AM$77, MATCH(AG$100,_xlfn.ANCHORARRAY( $W$5), 0), 0),
        $F$5:$U$20
    ),
    TRANSPOSE(
        INDEX($X$5:$AM$77, MATCH($A135,_xlfn.ANCHORARRAY( $W$5), 0), 0)
    )
)
/
(
    INDEX($AN$5:$AN$77, MATCH(AG$100,_xlfn.ANCHORARRAY( $W$5), 0))
    *
    INDEX($AN$5:$AN$77, MATCH($A135,_xlfn.ANCHORARRAY( $W$5), 0))
)</f>
        <v>0.77168877645430856</v>
      </c>
      <c r="AH135" s="17" cm="1">
        <f t="array" ref="AH135">MMULT(
    MMULT(
        INDEX($X$5:$AM$77, MATCH(AH$100,_xlfn.ANCHORARRAY( $W$5), 0), 0),
        $F$5:$U$20
    ),
    TRANSPOSE(
        INDEX($X$5:$AM$77, MATCH($A135,_xlfn.ANCHORARRAY( $W$5), 0), 0)
    )
)
/
(
    INDEX($AN$5:$AN$77, MATCH(AH$100,_xlfn.ANCHORARRAY( $W$5), 0))
    *
    INDEX($AN$5:$AN$77, MATCH($A135,_xlfn.ANCHORARRAY( $W$5), 0))
)</f>
        <v>0.5975715058085318</v>
      </c>
      <c r="AI135" s="17" cm="1">
        <f t="array" ref="AI135">MMULT(
    MMULT(
        INDEX($X$5:$AM$77, MATCH(AI$100,_xlfn.ANCHORARRAY( $W$5), 0), 0),
        $F$5:$U$20
    ),
    TRANSPOSE(
        INDEX($X$5:$AM$77, MATCH($A135,_xlfn.ANCHORARRAY( $W$5), 0), 0)
    )
)
/
(
    INDEX($AN$5:$AN$77, MATCH(AI$100,_xlfn.ANCHORARRAY( $W$5), 0))
    *
    INDEX($AN$5:$AN$77, MATCH($A135,_xlfn.ANCHORARRAY( $W$5), 0))
)</f>
        <v>0.81960340861901881</v>
      </c>
      <c r="AJ135" s="17" cm="1">
        <f t="array" ref="AJ135">MMULT(
    MMULT(
        INDEX($X$5:$AM$77, MATCH(AJ$100,_xlfn.ANCHORARRAY( $W$5), 0), 0),
        $F$5:$U$20
    ),
    TRANSPOSE(
        INDEX($X$5:$AM$77, MATCH($A135,_xlfn.ANCHORARRAY( $W$5), 0), 0)
    )
)
/
(
    INDEX($AN$5:$AN$77, MATCH(AJ$100,_xlfn.ANCHORARRAY( $W$5), 0))
    *
    INDEX($AN$5:$AN$77, MATCH($A135,_xlfn.ANCHORARRAY( $W$5), 0))
)</f>
        <v>1</v>
      </c>
      <c r="AK135" s="17" cm="1">
        <f t="array" ref="AK135">MMULT(
    MMULT(
        INDEX($X$5:$AM$77, MATCH(AK$100,_xlfn.ANCHORARRAY( $W$5), 0), 0),
        $F$5:$U$20
    ),
    TRANSPOSE(
        INDEX($X$5:$AM$77, MATCH($A135,_xlfn.ANCHORARRAY( $W$5), 0), 0)
    )
)
/
(
    INDEX($AN$5:$AN$77, MATCH(AK$100,_xlfn.ANCHORARRAY( $W$5), 0))
    *
    INDEX($AN$5:$AN$77, MATCH($A135,_xlfn.ANCHORARRAY( $W$5), 0))
)</f>
        <v>0.80046874152917658</v>
      </c>
      <c r="AL135" s="17" cm="1">
        <f t="array" ref="AL135">MMULT(
    MMULT(
        INDEX($X$5:$AM$77, MATCH(AL$100,_xlfn.ANCHORARRAY( $W$5), 0), 0),
        $F$5:$U$20
    ),
    TRANSPOSE(
        INDEX($X$5:$AM$77, MATCH($A135,_xlfn.ANCHORARRAY( $W$5), 0), 0)
    )
)
/
(
    INDEX($AN$5:$AN$77, MATCH(AL$100,_xlfn.ANCHORARRAY( $W$5), 0))
    *
    INDEX($AN$5:$AN$77, MATCH($A135,_xlfn.ANCHORARRAY( $W$5), 0))
)</f>
        <v>0.92731230425295907</v>
      </c>
      <c r="AM135" s="17" cm="1">
        <f t="array" ref="AM135">MMULT(
    MMULT(
        INDEX($X$5:$AM$77, MATCH(AM$100,_xlfn.ANCHORARRAY( $W$5), 0), 0),
        $F$5:$U$20
    ),
    TRANSPOSE(
        INDEX($X$5:$AM$77, MATCH($A135,_xlfn.ANCHORARRAY( $W$5), 0), 0)
    )
)
/
(
    INDEX($AN$5:$AN$77, MATCH(AM$100,_xlfn.ANCHORARRAY( $W$5), 0))
    *
    INDEX($AN$5:$AN$77, MATCH($A135,_xlfn.ANCHORARRAY( $W$5), 0))
)</f>
        <v>0.66936228496610806</v>
      </c>
      <c r="AN135" s="17" cm="1">
        <f t="array" ref="AN135">MMULT(
    MMULT(
        INDEX($X$5:$AM$77, MATCH(AN$100,_xlfn.ANCHORARRAY( $W$5), 0), 0),
        $F$5:$U$20
    ),
    TRANSPOSE(
        INDEX($X$5:$AM$77, MATCH($A135,_xlfn.ANCHORARRAY( $W$5), 0), 0)
    )
)
/
(
    INDEX($AN$5:$AN$77, MATCH(AN$100,_xlfn.ANCHORARRAY( $W$5), 0))
    *
    INDEX($AN$5:$AN$77, MATCH($A135,_xlfn.ANCHORARRAY( $W$5), 0))
)</f>
        <v>0.68039532286717841</v>
      </c>
      <c r="AO135" s="17" cm="1">
        <f t="array" ref="AO135">MMULT(
    MMULT(
        INDEX($X$5:$AM$77, MATCH(AO$100,_xlfn.ANCHORARRAY( $W$5), 0), 0),
        $F$5:$U$20
    ),
    TRANSPOSE(
        INDEX($X$5:$AM$77, MATCH($A135,_xlfn.ANCHORARRAY( $W$5), 0), 0)
    )
)
/
(
    INDEX($AN$5:$AN$77, MATCH(AO$100,_xlfn.ANCHORARRAY( $W$5), 0))
    *
    INDEX($AN$5:$AN$77, MATCH($A135,_xlfn.ANCHORARRAY( $W$5), 0))
)</f>
        <v>0.62578986283274363</v>
      </c>
      <c r="AP135" s="17" cm="1">
        <f t="array" ref="AP135">MMULT(
    MMULT(
        INDEX($X$5:$AM$77, MATCH(AP$100,_xlfn.ANCHORARRAY( $W$5), 0), 0),
        $F$5:$U$20
    ),
    TRANSPOSE(
        INDEX($X$5:$AM$77, MATCH($A135,_xlfn.ANCHORARRAY( $W$5), 0), 0)
    )
)
/
(
    INDEX($AN$5:$AN$77, MATCH(AP$100,_xlfn.ANCHORARRAY( $W$5), 0))
    *
    INDEX($AN$5:$AN$77, MATCH($A135,_xlfn.ANCHORARRAY( $W$5), 0))
)</f>
        <v>0.68801296431829095</v>
      </c>
      <c r="AQ135" s="17" cm="1">
        <f t="array" ref="AQ135">MMULT(
    MMULT(
        INDEX($X$5:$AM$77, MATCH(AQ$100,_xlfn.ANCHORARRAY( $W$5), 0), 0),
        $F$5:$U$20
    ),
    TRANSPOSE(
        INDEX($X$5:$AM$77, MATCH($A135,_xlfn.ANCHORARRAY( $W$5), 0), 0)
    )
)
/
(
    INDEX($AN$5:$AN$77, MATCH(AQ$100,_xlfn.ANCHORARRAY( $W$5), 0))
    *
    INDEX($AN$5:$AN$77, MATCH($A135,_xlfn.ANCHORARRAY( $W$5), 0))
)</f>
        <v>0.78706559908424145</v>
      </c>
      <c r="AR135" s="17" cm="1">
        <f t="array" ref="AR135">MMULT(
    MMULT(
        INDEX($X$5:$AM$77, MATCH(AR$100,_xlfn.ANCHORARRAY( $W$5), 0), 0),
        $F$5:$U$20
    ),
    TRANSPOSE(
        INDEX($X$5:$AM$77, MATCH($A135,_xlfn.ANCHORARRAY( $W$5), 0), 0)
    )
)
/
(
    INDEX($AN$5:$AN$77, MATCH(AR$100,_xlfn.ANCHORARRAY( $W$5), 0))
    *
    INDEX($AN$5:$AN$77, MATCH($A135,_xlfn.ANCHORARRAY( $W$5), 0))
)</f>
        <v>0.99740146448525113</v>
      </c>
      <c r="AS135" s="17" cm="1">
        <f t="array" ref="AS135">MMULT(
    MMULT(
        INDEX($X$5:$AM$77, MATCH(AS$100,_xlfn.ANCHORARRAY( $W$5), 0), 0),
        $F$5:$U$20
    ),
    TRANSPOSE(
        INDEX($X$5:$AM$77, MATCH($A135,_xlfn.ANCHORARRAY( $W$5), 0), 0)
    )
)
/
(
    INDEX($AN$5:$AN$77, MATCH(AS$100,_xlfn.ANCHORARRAY( $W$5), 0))
    *
    INDEX($AN$5:$AN$77, MATCH($A135,_xlfn.ANCHORARRAY( $W$5), 0))
)</f>
        <v>0.90092417729987595</v>
      </c>
      <c r="AT135" s="17" cm="1">
        <f t="array" ref="AT135">MMULT(
    MMULT(
        INDEX($X$5:$AM$77, MATCH(AT$100,_xlfn.ANCHORARRAY( $W$5), 0), 0),
        $F$5:$U$20
    ),
    TRANSPOSE(
        INDEX($X$5:$AM$77, MATCH($A135,_xlfn.ANCHORARRAY( $W$5), 0), 0)
    )
)
/
(
    INDEX($AN$5:$AN$77, MATCH(AT$100,_xlfn.ANCHORARRAY( $W$5), 0))
    *
    INDEX($AN$5:$AN$77, MATCH($A135,_xlfn.ANCHORARRAY( $W$5), 0))
)</f>
        <v>0.70149754901072592</v>
      </c>
      <c r="AU135" s="17" cm="1">
        <f t="array" ref="AU135">MMULT(
    MMULT(
        INDEX($X$5:$AM$77, MATCH(AU$100,_xlfn.ANCHORARRAY( $W$5), 0), 0),
        $F$5:$U$20
    ),
    TRANSPOSE(
        INDEX($X$5:$AM$77, MATCH($A135,_xlfn.ANCHORARRAY( $W$5), 0), 0)
    )
)
/
(
    INDEX($AN$5:$AN$77, MATCH(AU$100,_xlfn.ANCHORARRAY( $W$5), 0))
    *
    INDEX($AN$5:$AN$77, MATCH($A135,_xlfn.ANCHORARRAY( $W$5), 0))
)</f>
        <v>0.93656584174353463</v>
      </c>
      <c r="AV135" s="17" cm="1">
        <f t="array" ref="AV135">MMULT(
    MMULT(
        INDEX($X$5:$AM$77, MATCH(AV$100,_xlfn.ANCHORARRAY( $W$5), 0), 0),
        $F$5:$U$20
    ),
    TRANSPOSE(
        INDEX($X$5:$AM$77, MATCH($A135,_xlfn.ANCHORARRAY( $W$5), 0), 0)
    )
)
/
(
    INDEX($AN$5:$AN$77, MATCH(AV$100,_xlfn.ANCHORARRAY( $W$5), 0))
    *
    INDEX($AN$5:$AN$77, MATCH($A135,_xlfn.ANCHORARRAY( $W$5), 0))
)</f>
        <v>0.93964710513750005</v>
      </c>
      <c r="AW135" s="17" cm="1">
        <f t="array" ref="AW135">MMULT(
    MMULT(
        INDEX($X$5:$AM$77, MATCH(AW$100,_xlfn.ANCHORARRAY( $W$5), 0), 0),
        $F$5:$U$20
    ),
    TRANSPOSE(
        INDEX($X$5:$AM$77, MATCH($A135,_xlfn.ANCHORARRAY( $W$5), 0), 0)
    )
)
/
(
    INDEX($AN$5:$AN$77, MATCH(AW$100,_xlfn.ANCHORARRAY( $W$5), 0))
    *
    INDEX($AN$5:$AN$77, MATCH($A135,_xlfn.ANCHORARRAY( $W$5), 0))
)</f>
        <v>0.70320865818248568</v>
      </c>
      <c r="AX135" s="17" cm="1">
        <f t="array" ref="AX135">MMULT(
    MMULT(
        INDEX($X$5:$AM$77, MATCH(AX$100,_xlfn.ANCHORARRAY( $W$5), 0), 0),
        $F$5:$U$20
    ),
    TRANSPOSE(
        INDEX($X$5:$AM$77, MATCH($A135,_xlfn.ANCHORARRAY( $W$5), 0), 0)
    )
)
/
(
    INDEX($AN$5:$AN$77, MATCH(AX$100,_xlfn.ANCHORARRAY( $W$5), 0))
    *
    INDEX($AN$5:$AN$77, MATCH($A135,_xlfn.ANCHORARRAY( $W$5), 0))
)</f>
        <v>0.56132304483412165</v>
      </c>
      <c r="AY135" s="17" cm="1">
        <f t="array" ref="AY135">MMULT(
    MMULT(
        INDEX($X$5:$AM$77, MATCH(AY$100,_xlfn.ANCHORARRAY( $W$5), 0), 0),
        $F$5:$U$20
    ),
    TRANSPOSE(
        INDEX($X$5:$AM$77, MATCH($A135,_xlfn.ANCHORARRAY( $W$5), 0), 0)
    )
)
/
(
    INDEX($AN$5:$AN$77, MATCH(AY$100,_xlfn.ANCHORARRAY( $W$5), 0))
    *
    INDEX($AN$5:$AN$77, MATCH($A135,_xlfn.ANCHORARRAY( $W$5), 0))
)</f>
        <v>0.57961013919159776</v>
      </c>
      <c r="AZ135" s="17" cm="1">
        <f t="array" ref="AZ135">MMULT(
    MMULT(
        INDEX($X$5:$AM$77, MATCH(AZ$100,_xlfn.ANCHORARRAY( $W$5), 0), 0),
        $F$5:$U$20
    ),
    TRANSPOSE(
        INDEX($X$5:$AM$77, MATCH($A135,_xlfn.ANCHORARRAY( $W$5), 0), 0)
    )
)
/
(
    INDEX($AN$5:$AN$77, MATCH(AZ$100,_xlfn.ANCHORARRAY( $W$5), 0))
    *
    INDEX($AN$5:$AN$77, MATCH($A135,_xlfn.ANCHORARRAY( $W$5), 0))
)</f>
        <v>0.94266499908764112</v>
      </c>
      <c r="BA135" s="17" cm="1">
        <f t="array" ref="BA135">MMULT(
    MMULT(
        INDEX($X$5:$AM$77, MATCH(BA$100,_xlfn.ANCHORARRAY( $W$5), 0), 0),
        $F$5:$U$20
    ),
    TRANSPOSE(
        INDEX($X$5:$AM$77, MATCH($A135,_xlfn.ANCHORARRAY( $W$5), 0), 0)
    )
)
/
(
    INDEX($AN$5:$AN$77, MATCH(BA$100,_xlfn.ANCHORARRAY( $W$5), 0))
    *
    INDEX($AN$5:$AN$77, MATCH($A135,_xlfn.ANCHORARRAY( $W$5), 0))
)</f>
        <v>0.98478258950477293</v>
      </c>
      <c r="BB135" s="17" cm="1">
        <f t="array" ref="BB135">MMULT(
    MMULT(
        INDEX($X$5:$AM$77, MATCH(BB$100,_xlfn.ANCHORARRAY( $W$5), 0), 0),
        $F$5:$U$20
    ),
    TRANSPOSE(
        INDEX($X$5:$AM$77, MATCH($A135,_xlfn.ANCHORARRAY( $W$5), 0), 0)
    )
)
/
(
    INDEX($AN$5:$AN$77, MATCH(BB$100,_xlfn.ANCHORARRAY( $W$5), 0))
    *
    INDEX($AN$5:$AN$77, MATCH($A135,_xlfn.ANCHORARRAY( $W$5), 0))
)</f>
        <v>0.74206170132240568</v>
      </c>
      <c r="BC135" s="17" cm="1">
        <f t="array" ref="BC135">MMULT(
    MMULT(
        INDEX($X$5:$AM$77, MATCH(BC$100,_xlfn.ANCHORARRAY( $W$5), 0), 0),
        $F$5:$U$20
    ),
    TRANSPOSE(
        INDEX($X$5:$AM$77, MATCH($A135,_xlfn.ANCHORARRAY( $W$5), 0), 0)
    )
)
/
(
    INDEX($AN$5:$AN$77, MATCH(BC$100,_xlfn.ANCHORARRAY( $W$5), 0))
    *
    INDEX($AN$5:$AN$77, MATCH($A135,_xlfn.ANCHORARRAY( $W$5), 0))
)</f>
        <v>0.75502660545024158</v>
      </c>
      <c r="BD135" s="17" cm="1">
        <f t="array" ref="BD135">MMULT(
    MMULT(
        INDEX($X$5:$AM$77, MATCH(BD$100,_xlfn.ANCHORARRAY( $W$5), 0), 0),
        $F$5:$U$20
    ),
    TRANSPOSE(
        INDEX($X$5:$AM$77, MATCH($A135,_xlfn.ANCHORARRAY( $W$5), 0), 0)
    )
)
/
(
    INDEX($AN$5:$AN$77, MATCH(BD$100,_xlfn.ANCHORARRAY( $W$5), 0))
    *
    INDEX($AN$5:$AN$77, MATCH($A135,_xlfn.ANCHORARRAY( $W$5), 0))
)</f>
        <v>0.72543045263744121</v>
      </c>
      <c r="BE135" s="17" cm="1">
        <f t="array" ref="BE135">MMULT(
    MMULT(
        INDEX($X$5:$AM$77, MATCH(BE$100,_xlfn.ANCHORARRAY( $W$5), 0), 0),
        $F$5:$U$20
    ),
    TRANSPOSE(
        INDEX($X$5:$AM$77, MATCH($A135,_xlfn.ANCHORARRAY( $W$5), 0), 0)
    )
)
/
(
    INDEX($AN$5:$AN$77, MATCH(BE$100,_xlfn.ANCHORARRAY( $W$5), 0))
    *
    INDEX($AN$5:$AN$77, MATCH($A135,_xlfn.ANCHORARRAY( $W$5), 0))
)</f>
        <v>0.67262779833261432</v>
      </c>
      <c r="BF135" s="17" cm="1">
        <f t="array" ref="BF135">MMULT(
    MMULT(
        INDEX($X$5:$AM$77, MATCH(BF$100,_xlfn.ANCHORARRAY( $W$5), 0), 0),
        $F$5:$U$20
    ),
    TRANSPOSE(
        INDEX($X$5:$AM$77, MATCH($A135,_xlfn.ANCHORARRAY( $W$5), 0), 0)
    )
)
/
(
    INDEX($AN$5:$AN$77, MATCH(BF$100,_xlfn.ANCHORARRAY( $W$5), 0))
    *
    INDEX($AN$5:$AN$77, MATCH($A135,_xlfn.ANCHORARRAY( $W$5), 0))
)</f>
        <v>0.9454307071409519</v>
      </c>
      <c r="BG135" s="17" cm="1">
        <f t="array" ref="BG135">MMULT(
    MMULT(
        INDEX($X$5:$AM$77, MATCH(BG$100,_xlfn.ANCHORARRAY( $W$5), 0), 0),
        $F$5:$U$20
    ),
    TRANSPOSE(
        INDEX($X$5:$AM$77, MATCH($A135,_xlfn.ANCHORARRAY( $W$5), 0), 0)
    )
)
/
(
    INDEX($AN$5:$AN$77, MATCH(BG$100,_xlfn.ANCHORARRAY( $W$5), 0))
    *
    INDEX($AN$5:$AN$77, MATCH($A135,_xlfn.ANCHORARRAY( $W$5), 0))
)</f>
        <v>0.98816944366751125</v>
      </c>
      <c r="BH135" s="17" cm="1">
        <f t="array" ref="BH135">MMULT(
    MMULT(
        INDEX($X$5:$AM$77, MATCH(BH$100,_xlfn.ANCHORARRAY( $W$5), 0), 0),
        $F$5:$U$20
    ),
    TRANSPOSE(
        INDEX($X$5:$AM$77, MATCH($A135,_xlfn.ANCHORARRAY( $W$5), 0), 0)
    )
)
/
(
    INDEX($AN$5:$AN$77, MATCH(BH$100,_xlfn.ANCHORARRAY( $W$5), 0))
    *
    INDEX($AN$5:$AN$77, MATCH($A135,_xlfn.ANCHORARRAY( $W$5), 0))
)</f>
        <v>0.7815722114733098</v>
      </c>
      <c r="BI135" s="17" cm="1">
        <f t="array" ref="BI135">MMULT(
    MMULT(
        INDEX($X$5:$AM$77, MATCH(BI$100,_xlfn.ANCHORARRAY( $W$5), 0), 0),
        $F$5:$U$20
    ),
    TRANSPOSE(
        INDEX($X$5:$AM$77, MATCH($A135,_xlfn.ANCHORARRAY( $W$5), 0), 0)
    )
)
/
(
    INDEX($AN$5:$AN$77, MATCH(BI$100,_xlfn.ANCHORARRAY( $W$5), 0))
    *
    INDEX($AN$5:$AN$77, MATCH($A135,_xlfn.ANCHORARRAY( $W$5), 0))
)</f>
        <v>0.5628750935013338</v>
      </c>
      <c r="BJ135" s="17" cm="1">
        <f t="array" ref="BJ135">MMULT(
    MMULT(
        INDEX($X$5:$AM$77, MATCH(BJ$100,_xlfn.ANCHORARRAY( $W$5), 0), 0),
        $F$5:$U$20
    ),
    TRANSPOSE(
        INDEX($X$5:$AM$77, MATCH($A135,_xlfn.ANCHORARRAY( $W$5), 0), 0)
    )
)
/
(
    INDEX($AN$5:$AN$77, MATCH(BJ$100,_xlfn.ANCHORARRAY( $W$5), 0))
    *
    INDEX($AN$5:$AN$77, MATCH($A135,_xlfn.ANCHORARRAY( $W$5), 0))
)</f>
        <v>0.81682219799124778</v>
      </c>
      <c r="BK135" s="17" cm="1">
        <f t="array" ref="BK135">MMULT(
    MMULT(
        INDEX($X$5:$AM$77, MATCH(BK$100,_xlfn.ANCHORARRAY( $W$5), 0), 0),
        $F$5:$U$20
    ),
    TRANSPOSE(
        INDEX($X$5:$AM$77, MATCH($A135,_xlfn.ANCHORARRAY( $W$5), 0), 0)
    )
)
/
(
    INDEX($AN$5:$AN$77, MATCH(BK$100,_xlfn.ANCHORARRAY( $W$5), 0))
    *
    INDEX($AN$5:$AN$77, MATCH($A135,_xlfn.ANCHORARRAY( $W$5), 0))
)</f>
        <v>0.73817649001242558</v>
      </c>
      <c r="BL135" s="17" cm="1">
        <f t="array" ref="BL135">MMULT(
    MMULT(
        INDEX($X$5:$AM$77, MATCH(BL$100,_xlfn.ANCHORARRAY( $W$5), 0), 0),
        $F$5:$U$20
    ),
    TRANSPOSE(
        INDEX($X$5:$AM$77, MATCH($A135,_xlfn.ANCHORARRAY( $W$5), 0), 0)
    )
)
/
(
    INDEX($AN$5:$AN$77, MATCH(BL$100,_xlfn.ANCHORARRAY( $W$5), 0))
    *
    INDEX($AN$5:$AN$77, MATCH($A135,_xlfn.ANCHORARRAY( $W$5), 0))
)</f>
        <v>0.77631080812899667</v>
      </c>
      <c r="BM135" s="17" cm="1">
        <f t="array" ref="BM135">MMULT(
    MMULT(
        INDEX($X$5:$AM$77, MATCH(BM$100,_xlfn.ANCHORARRAY( $W$5), 0), 0),
        $F$5:$U$20
    ),
    TRANSPOSE(
        INDEX($X$5:$AM$77, MATCH($A135,_xlfn.ANCHORARRAY( $W$5), 0), 0)
    )
)
/
(
    INDEX($AN$5:$AN$77, MATCH(BM$100,_xlfn.ANCHORARRAY( $W$5), 0))
    *
    INDEX($AN$5:$AN$77, MATCH($A135,_xlfn.ANCHORARRAY( $W$5), 0))
)</f>
        <v>0.75262043213158236</v>
      </c>
      <c r="BN135" s="17" cm="1">
        <f t="array" ref="BN135">MMULT(
    MMULT(
        INDEX($X$5:$AM$77, MATCH(BN$100,_xlfn.ANCHORARRAY( $W$5), 0), 0),
        $F$5:$U$20
    ),
    TRANSPOSE(
        INDEX($X$5:$AM$77, MATCH($A135,_xlfn.ANCHORARRAY( $W$5), 0), 0)
    )
)
/
(
    INDEX($AN$5:$AN$77, MATCH(BN$100,_xlfn.ANCHORARRAY( $W$5), 0))
    *
    INDEX($AN$5:$AN$77, MATCH($A135,_xlfn.ANCHORARRAY( $W$5), 0))
)</f>
        <v>0.64822315936679176</v>
      </c>
      <c r="BO135" s="17" cm="1">
        <f t="array" ref="BO135">MMULT(
    MMULT(
        INDEX($X$5:$AM$77, MATCH(BO$100,_xlfn.ANCHORARRAY( $W$5), 0), 0),
        $F$5:$U$20
    ),
    TRANSPOSE(
        INDEX($X$5:$AM$77, MATCH($A135,_xlfn.ANCHORARRAY( $W$5), 0), 0)
    )
)
/
(
    INDEX($AN$5:$AN$77, MATCH(BO$100,_xlfn.ANCHORARRAY( $W$5), 0))
    *
    INDEX($AN$5:$AN$77, MATCH($A135,_xlfn.ANCHORARRAY( $W$5), 0))
)</f>
        <v>0.83788763824761736</v>
      </c>
      <c r="BP135" s="17" cm="1">
        <f t="array" ref="BP135">MMULT(
    MMULT(
        INDEX($X$5:$AM$77, MATCH(BP$100,_xlfn.ANCHORARRAY( $W$5), 0), 0),
        $F$5:$U$20
    ),
    TRANSPOSE(
        INDEX($X$5:$AM$77, MATCH($A135,_xlfn.ANCHORARRAY( $W$5), 0), 0)
    )
)
/
(
    INDEX($AN$5:$AN$77, MATCH(BP$100,_xlfn.ANCHORARRAY( $W$5), 0))
    *
    INDEX($AN$5:$AN$77, MATCH($A135,_xlfn.ANCHORARRAY( $W$5), 0))
)</f>
        <v>0.88055937856661826</v>
      </c>
      <c r="BQ135" s="17" cm="1">
        <f t="array" ref="BQ135">MMULT(
    MMULT(
        INDEX($X$5:$AM$77, MATCH(BQ$100,_xlfn.ANCHORARRAY( $W$5), 0), 0),
        $F$5:$U$20
    ),
    TRANSPOSE(
        INDEX($X$5:$AM$77, MATCH($A135,_xlfn.ANCHORARRAY( $W$5), 0), 0)
    )
)
/
(
    INDEX($AN$5:$AN$77, MATCH(BQ$100,_xlfn.ANCHORARRAY( $W$5), 0))
    *
    INDEX($AN$5:$AN$77, MATCH($A135,_xlfn.ANCHORARRAY( $W$5), 0))
)</f>
        <v>0.71817943762798298</v>
      </c>
      <c r="BR135" s="17" cm="1">
        <f t="array" ref="BR135">MMULT(
    MMULT(
        INDEX($X$5:$AM$77, MATCH(BR$100,_xlfn.ANCHORARRAY( $W$5), 0), 0),
        $F$5:$U$20
    ),
    TRANSPOSE(
        INDEX($X$5:$AM$77, MATCH($A135,_xlfn.ANCHORARRAY( $W$5), 0), 0)
    )
)
/
(
    INDEX($AN$5:$AN$77, MATCH(BR$100,_xlfn.ANCHORARRAY( $W$5), 0))
    *
    INDEX($AN$5:$AN$77, MATCH($A135,_xlfn.ANCHORARRAY( $W$5), 0))
)</f>
        <v>0.83769856178265323</v>
      </c>
      <c r="BS135" s="17" cm="1">
        <f t="array" ref="BS135">MMULT(
    MMULT(
        INDEX($X$5:$AM$77, MATCH(BS$100,_xlfn.ANCHORARRAY( $W$5), 0), 0),
        $F$5:$U$20
    ),
    TRANSPOSE(
        INDEX($X$5:$AM$77, MATCH($A135,_xlfn.ANCHORARRAY( $W$5), 0), 0)
    )
)
/
(
    INDEX($AN$5:$AN$77, MATCH(BS$100,_xlfn.ANCHORARRAY( $W$5), 0))
    *
    INDEX($AN$5:$AN$77, MATCH($A135,_xlfn.ANCHORARRAY( $W$5), 0))
)</f>
        <v>0.91107731044570417</v>
      </c>
      <c r="BT135" s="17" cm="1">
        <f t="array" ref="BT135">MMULT(
    MMULT(
        INDEX($X$5:$AM$77, MATCH(BT$100,_xlfn.ANCHORARRAY( $W$5), 0), 0),
        $F$5:$U$20
    ),
    TRANSPOSE(
        INDEX($X$5:$AM$77, MATCH($A135,_xlfn.ANCHORARRAY( $W$5), 0), 0)
    )
)
/
(
    INDEX($AN$5:$AN$77, MATCH(BT$100,_xlfn.ANCHORARRAY( $W$5), 0))
    *
    INDEX($AN$5:$AN$77, MATCH($A135,_xlfn.ANCHORARRAY( $W$5), 0))
)</f>
        <v>0.86964827706157921</v>
      </c>
      <c r="BU135" s="17" cm="1">
        <f t="array" ref="BU135">MMULT(
    MMULT(
        INDEX($X$5:$AM$77, MATCH(BU$100,_xlfn.ANCHORARRAY( $W$5), 0), 0),
        $F$5:$U$20
    ),
    TRANSPOSE(
        INDEX($X$5:$AM$77, MATCH($A135,_xlfn.ANCHORARRAY( $W$5), 0), 0)
    )
)
/
(
    INDEX($AN$5:$AN$77, MATCH(BU$100,_xlfn.ANCHORARRAY( $W$5), 0))
    *
    INDEX($AN$5:$AN$77, MATCH($A135,_xlfn.ANCHORARRAY( $W$5), 0))
)</f>
        <v>0.80285833027120002</v>
      </c>
      <c r="BV135" s="17" cm="1">
        <f t="array" ref="BV135">MMULT(
    MMULT(
        INDEX($X$5:$AM$77, MATCH(BV$100,_xlfn.ANCHORARRAY( $W$5), 0), 0),
        $F$5:$U$20
    ),
    TRANSPOSE(
        INDEX($X$5:$AM$77, MATCH($A135,_xlfn.ANCHORARRAY( $W$5), 0), 0)
    )
)
/
(
    INDEX($AN$5:$AN$77, MATCH(BV$100,_xlfn.ANCHORARRAY( $W$5), 0))
    *
    INDEX($AN$5:$AN$77, MATCH($A135,_xlfn.ANCHORARRAY( $W$5), 0))
)</f>
        <v>0.71045656082940878</v>
      </c>
    </row>
    <row r="136" spans="1:74" x14ac:dyDescent="0.3">
      <c r="A136" s="7" t="str">
        <v>Dodd, Dylan</v>
      </c>
      <c r="B136" s="17" cm="1">
        <f t="array" ref="B136">MMULT(
    MMULT(
        INDEX($X$5:$AM$77, MATCH(B$100,_xlfn.ANCHORARRAY( $W$5), 0), 0),
        $F$5:$U$20
    ),
    TRANSPOSE(
        INDEX($X$5:$AM$77, MATCH($A136,_xlfn.ANCHORARRAY( $W$5), 0), 0)
    )
)
/
(
    INDEX($AN$5:$AN$77, MATCH(B$100,_xlfn.ANCHORARRAY( $W$5), 0))
    *
    INDEX($AN$5:$AN$77, MATCH($A136,_xlfn.ANCHORARRAY( $W$5), 0))
)</f>
        <v>0.87215081072892964</v>
      </c>
      <c r="C136" s="17" cm="1">
        <f t="array" ref="C136">MMULT(
    MMULT(
        INDEX($X$5:$AM$77, MATCH(C$100,_xlfn.ANCHORARRAY( $W$5), 0), 0),
        $F$5:$U$20
    ),
    TRANSPOSE(
        INDEX($X$5:$AM$77, MATCH($A136,_xlfn.ANCHORARRAY( $W$5), 0), 0)
    )
)
/
(
    INDEX($AN$5:$AN$77, MATCH(C$100,_xlfn.ANCHORARRAY( $W$5), 0))
    *
    INDEX($AN$5:$AN$77, MATCH($A136,_xlfn.ANCHORARRAY( $W$5), 0))
)</f>
        <v>0.71818252839459285</v>
      </c>
      <c r="D136" s="17" cm="1">
        <f t="array" ref="D136">MMULT(
    MMULT(
        INDEX($X$5:$AM$77, MATCH(D$100,_xlfn.ANCHORARRAY( $W$5), 0), 0),
        $F$5:$U$20
    ),
    TRANSPOSE(
        INDEX($X$5:$AM$77, MATCH($A136,_xlfn.ANCHORARRAY( $W$5), 0), 0)
    )
)
/
(
    INDEX($AN$5:$AN$77, MATCH(D$100,_xlfn.ANCHORARRAY( $W$5), 0))
    *
    INDEX($AN$5:$AN$77, MATCH($A136,_xlfn.ANCHORARRAY( $W$5), 0))
)</f>
        <v>0.89337607172937528</v>
      </c>
      <c r="E136" s="17" cm="1">
        <f t="array" ref="E136">MMULT(
    MMULT(
        INDEX($X$5:$AM$77, MATCH(E$100,_xlfn.ANCHORARRAY( $W$5), 0), 0),
        $F$5:$U$20
    ),
    TRANSPOSE(
        INDEX($X$5:$AM$77, MATCH($A136,_xlfn.ANCHORARRAY( $W$5), 0), 0)
    )
)
/
(
    INDEX($AN$5:$AN$77, MATCH(E$100,_xlfn.ANCHORARRAY( $W$5), 0))
    *
    INDEX($AN$5:$AN$77, MATCH($A136,_xlfn.ANCHORARRAY( $W$5), 0))
)</f>
        <v>0.8965219848670003</v>
      </c>
      <c r="F136" s="17" cm="1">
        <f t="array" ref="F136">MMULT(
    MMULT(
        INDEX($X$5:$AM$77, MATCH(F$100,_xlfn.ANCHORARRAY( $W$5), 0), 0),
        $F$5:$U$20
    ),
    TRANSPOSE(
        INDEX($X$5:$AM$77, MATCH($A136,_xlfn.ANCHORARRAY( $W$5), 0), 0)
    )
)
/
(
    INDEX($AN$5:$AN$77, MATCH(F$100,_xlfn.ANCHORARRAY( $W$5), 0))
    *
    INDEX($AN$5:$AN$77, MATCH($A136,_xlfn.ANCHORARRAY( $W$5), 0))
)</f>
        <v>0.83784536658272069</v>
      </c>
      <c r="G136" s="17" cm="1">
        <f t="array" ref="G136">MMULT(
    MMULT(
        INDEX($X$5:$AM$77, MATCH(G$100,_xlfn.ANCHORARRAY( $W$5), 0), 0),
        $F$5:$U$20
    ),
    TRANSPOSE(
        INDEX($X$5:$AM$77, MATCH($A136,_xlfn.ANCHORARRAY( $W$5), 0), 0)
    )
)
/
(
    INDEX($AN$5:$AN$77, MATCH(G$100,_xlfn.ANCHORARRAY( $W$5), 0))
    *
    INDEX($AN$5:$AN$77, MATCH($A136,_xlfn.ANCHORARRAY( $W$5), 0))
)</f>
        <v>0.75657561896400649</v>
      </c>
      <c r="H136" s="17" cm="1">
        <f t="array" ref="H136">MMULT(
    MMULT(
        INDEX($X$5:$AM$77, MATCH(H$100,_xlfn.ANCHORARRAY( $W$5), 0), 0),
        $F$5:$U$20
    ),
    TRANSPOSE(
        INDEX($X$5:$AM$77, MATCH($A136,_xlfn.ANCHORARRAY( $W$5), 0), 0)
    )
)
/
(
    INDEX($AN$5:$AN$77, MATCH(H$100,_xlfn.ANCHORARRAY( $W$5), 0))
    *
    INDEX($AN$5:$AN$77, MATCH($A136,_xlfn.ANCHORARRAY( $W$5), 0))
)</f>
        <v>0.94391723233597646</v>
      </c>
      <c r="I136" s="17" cm="1">
        <f t="array" ref="I136">MMULT(
    MMULT(
        INDEX($X$5:$AM$77, MATCH(I$100,_xlfn.ANCHORARRAY( $W$5), 0), 0),
        $F$5:$U$20
    ),
    TRANSPOSE(
        INDEX($X$5:$AM$77, MATCH($A136,_xlfn.ANCHORARRAY( $W$5), 0), 0)
    )
)
/
(
    INDEX($AN$5:$AN$77, MATCH(I$100,_xlfn.ANCHORARRAY( $W$5), 0))
    *
    INDEX($AN$5:$AN$77, MATCH($A136,_xlfn.ANCHORARRAY( $W$5), 0))
)</f>
        <v>0.78678348893451033</v>
      </c>
      <c r="J136" s="17" cm="1">
        <f t="array" ref="J136">MMULT(
    MMULT(
        INDEX($X$5:$AM$77, MATCH(J$100,_xlfn.ANCHORARRAY( $W$5), 0), 0),
        $F$5:$U$20
    ),
    TRANSPOSE(
        INDEX($X$5:$AM$77, MATCH($A136,_xlfn.ANCHORARRAY( $W$5), 0), 0)
    )
)
/
(
    INDEX($AN$5:$AN$77, MATCH(J$100,_xlfn.ANCHORARRAY( $W$5), 0))
    *
    INDEX($AN$5:$AN$77, MATCH($A136,_xlfn.ANCHORARRAY( $W$5), 0))
)</f>
        <v>0.94353506287370048</v>
      </c>
      <c r="K136" s="17" cm="1">
        <f t="array" ref="K136">MMULT(
    MMULT(
        INDEX($X$5:$AM$77, MATCH(K$100,_xlfn.ANCHORARRAY( $W$5), 0), 0),
        $F$5:$U$20
    ),
    TRANSPOSE(
        INDEX($X$5:$AM$77, MATCH($A136,_xlfn.ANCHORARRAY( $W$5), 0), 0)
    )
)
/
(
    INDEX($AN$5:$AN$77, MATCH(K$100,_xlfn.ANCHORARRAY( $W$5), 0))
    *
    INDEX($AN$5:$AN$77, MATCH($A136,_xlfn.ANCHORARRAY( $W$5), 0))
)</f>
        <v>0.94113615263348194</v>
      </c>
      <c r="L136" s="17" cm="1">
        <f t="array" ref="L136">MMULT(
    MMULT(
        INDEX($X$5:$AM$77, MATCH(L$100,_xlfn.ANCHORARRAY( $W$5), 0), 0),
        $F$5:$U$20
    ),
    TRANSPOSE(
        INDEX($X$5:$AM$77, MATCH($A136,_xlfn.ANCHORARRAY( $W$5), 0), 0)
    )
)
/
(
    INDEX($AN$5:$AN$77, MATCH(L$100,_xlfn.ANCHORARRAY( $W$5), 0))
    *
    INDEX($AN$5:$AN$77, MATCH($A136,_xlfn.ANCHORARRAY( $W$5), 0))
)</f>
        <v>0.93279991015276553</v>
      </c>
      <c r="M136" s="17" cm="1">
        <f t="array" ref="M136">MMULT(
    MMULT(
        INDEX($X$5:$AM$77, MATCH(M$100,_xlfn.ANCHORARRAY( $W$5), 0), 0),
        $F$5:$U$20
    ),
    TRANSPOSE(
        INDEX($X$5:$AM$77, MATCH($A136,_xlfn.ANCHORARRAY( $W$5), 0), 0)
    )
)
/
(
    INDEX($AN$5:$AN$77, MATCH(M$100,_xlfn.ANCHORARRAY( $W$5), 0))
    *
    INDEX($AN$5:$AN$77, MATCH($A136,_xlfn.ANCHORARRAY( $W$5), 0))
)</f>
        <v>0.89304909163478963</v>
      </c>
      <c r="N136" s="17" cm="1">
        <f t="array" ref="N136">MMULT(
    MMULT(
        INDEX($X$5:$AM$77, MATCH(N$100,_xlfn.ANCHORARRAY( $W$5), 0), 0),
        $F$5:$U$20
    ),
    TRANSPOSE(
        INDEX($X$5:$AM$77, MATCH($A136,_xlfn.ANCHORARRAY( $W$5), 0), 0)
    )
)
/
(
    INDEX($AN$5:$AN$77, MATCH(N$100,_xlfn.ANCHORARRAY( $W$5), 0))
    *
    INDEX($AN$5:$AN$77, MATCH($A136,_xlfn.ANCHORARRAY( $W$5), 0))
)</f>
        <v>0.71322639486408301</v>
      </c>
      <c r="O136" s="17" cm="1">
        <f t="array" ref="O136">MMULT(
    MMULT(
        INDEX($X$5:$AM$77, MATCH(O$100,_xlfn.ANCHORARRAY( $W$5), 0), 0),
        $F$5:$U$20
    ),
    TRANSPOSE(
        INDEX($X$5:$AM$77, MATCH($A136,_xlfn.ANCHORARRAY( $W$5), 0), 0)
    )
)
/
(
    INDEX($AN$5:$AN$77, MATCH(O$100,_xlfn.ANCHORARRAY( $W$5), 0))
    *
    INDEX($AN$5:$AN$77, MATCH($A136,_xlfn.ANCHORARRAY( $W$5), 0))
)</f>
        <v>0.73573088408733889</v>
      </c>
      <c r="P136" s="17" cm="1">
        <f t="array" ref="P136">MMULT(
    MMULT(
        INDEX($X$5:$AM$77, MATCH(P$100,_xlfn.ANCHORARRAY( $W$5), 0), 0),
        $F$5:$U$20
    ),
    TRANSPOSE(
        INDEX($X$5:$AM$77, MATCH($A136,_xlfn.ANCHORARRAY( $W$5), 0), 0)
    )
)
/
(
    INDEX($AN$5:$AN$77, MATCH(P$100,_xlfn.ANCHORARRAY( $W$5), 0))
    *
    INDEX($AN$5:$AN$77, MATCH($A136,_xlfn.ANCHORARRAY( $W$5), 0))
)</f>
        <v>0.85659387957288058</v>
      </c>
      <c r="Q136" s="17" cm="1">
        <f t="array" ref="Q136">MMULT(
    MMULT(
        INDEX($X$5:$AM$77, MATCH(Q$100,_xlfn.ANCHORARRAY( $W$5), 0), 0),
        $F$5:$U$20
    ),
    TRANSPOSE(
        INDEX($X$5:$AM$77, MATCH($A136,_xlfn.ANCHORARRAY( $W$5), 0), 0)
    )
)
/
(
    INDEX($AN$5:$AN$77, MATCH(Q$100,_xlfn.ANCHORARRAY( $W$5), 0))
    *
    INDEX($AN$5:$AN$77, MATCH($A136,_xlfn.ANCHORARRAY( $W$5), 0))
)</f>
        <v>0.88765901536096414</v>
      </c>
      <c r="R136" s="17" cm="1">
        <f t="array" ref="R136">MMULT(
    MMULT(
        INDEX($X$5:$AM$77, MATCH(R$100,_xlfn.ANCHORARRAY( $W$5), 0), 0),
        $F$5:$U$20
    ),
    TRANSPOSE(
        INDEX($X$5:$AM$77, MATCH($A136,_xlfn.ANCHORARRAY( $W$5), 0), 0)
    )
)
/
(
    INDEX($AN$5:$AN$77, MATCH(R$100,_xlfn.ANCHORARRAY( $W$5), 0))
    *
    INDEX($AN$5:$AN$77, MATCH($A136,_xlfn.ANCHORARRAY( $W$5), 0))
)</f>
        <v>0.90557870979603972</v>
      </c>
      <c r="S136" s="17" cm="1">
        <f t="array" ref="S136">MMULT(
    MMULT(
        INDEX($X$5:$AM$77, MATCH(S$100,_xlfn.ANCHORARRAY( $W$5), 0), 0),
        $F$5:$U$20
    ),
    TRANSPOSE(
        INDEX($X$5:$AM$77, MATCH($A136,_xlfn.ANCHORARRAY( $W$5), 0), 0)
    )
)
/
(
    INDEX($AN$5:$AN$77, MATCH(S$100,_xlfn.ANCHORARRAY( $W$5), 0))
    *
    INDEX($AN$5:$AN$77, MATCH($A136,_xlfn.ANCHORARRAY( $W$5), 0))
)</f>
        <v>0.88551168793023205</v>
      </c>
      <c r="T136" s="17" cm="1">
        <f t="array" ref="T136">MMULT(
    MMULT(
        INDEX($X$5:$AM$77, MATCH(T$100,_xlfn.ANCHORARRAY( $W$5), 0), 0),
        $F$5:$U$20
    ),
    TRANSPOSE(
        INDEX($X$5:$AM$77, MATCH($A136,_xlfn.ANCHORARRAY( $W$5), 0), 0)
    )
)
/
(
    INDEX($AN$5:$AN$77, MATCH(T$100,_xlfn.ANCHORARRAY( $W$5), 0))
    *
    INDEX($AN$5:$AN$77, MATCH($A136,_xlfn.ANCHORARRAY( $W$5), 0))
)</f>
        <v>0.31051846292026841</v>
      </c>
      <c r="U136" s="17" cm="1">
        <f t="array" ref="U136">MMULT(
    MMULT(
        INDEX($X$5:$AM$77, MATCH(U$100,_xlfn.ANCHORARRAY( $W$5), 0), 0),
        $F$5:$U$20
    ),
    TRANSPOSE(
        INDEX($X$5:$AM$77, MATCH($A136,_xlfn.ANCHORARRAY( $W$5), 0), 0)
    )
)
/
(
    INDEX($AN$5:$AN$77, MATCH(U$100,_xlfn.ANCHORARRAY( $W$5), 0))
    *
    INDEX($AN$5:$AN$77, MATCH($A136,_xlfn.ANCHORARRAY( $W$5), 0))
)</f>
        <v>0.87849821456146748</v>
      </c>
      <c r="V136" s="17" cm="1">
        <f t="array" ref="V136">MMULT(
    MMULT(
        INDEX($X$5:$AM$77, MATCH(V$100,_xlfn.ANCHORARRAY( $W$5), 0), 0),
        $F$5:$U$20
    ),
    TRANSPOSE(
        INDEX($X$5:$AM$77, MATCH($A136,_xlfn.ANCHORARRAY( $W$5), 0), 0)
    )
)
/
(
    INDEX($AN$5:$AN$77, MATCH(V$100,_xlfn.ANCHORARRAY( $W$5), 0))
    *
    INDEX($AN$5:$AN$77, MATCH($A136,_xlfn.ANCHORARRAY( $W$5), 0))
)</f>
        <v>0.6894084593441554</v>
      </c>
      <c r="W136" s="17" cm="1">
        <f t="array" ref="W136">MMULT(
    MMULT(
        INDEX($X$5:$AM$77, MATCH(W$100,_xlfn.ANCHORARRAY( $W$5), 0), 0),
        $F$5:$U$20
    ),
    TRANSPOSE(
        INDEX($X$5:$AM$77, MATCH($A136,_xlfn.ANCHORARRAY( $W$5), 0), 0)
    )
)
/
(
    INDEX($AN$5:$AN$77, MATCH(W$100,_xlfn.ANCHORARRAY( $W$5), 0))
    *
    INDEX($AN$5:$AN$77, MATCH($A136,_xlfn.ANCHORARRAY( $W$5), 0))
)</f>
        <v>0.76106960170260163</v>
      </c>
      <c r="X136" s="17" cm="1">
        <f t="array" ref="X136">MMULT(
    MMULT(
        INDEX($X$5:$AM$77, MATCH(X$100,_xlfn.ANCHORARRAY( $W$5), 0), 0),
        $F$5:$U$20
    ),
    TRANSPOSE(
        INDEX($X$5:$AM$77, MATCH($A136,_xlfn.ANCHORARRAY( $W$5), 0), 0)
    )
)
/
(
    INDEX($AN$5:$AN$77, MATCH(X$100,_xlfn.ANCHORARRAY( $W$5), 0))
    *
    INDEX($AN$5:$AN$77, MATCH($A136,_xlfn.ANCHORARRAY( $W$5), 0))
)</f>
        <v>0.81608769770419032</v>
      </c>
      <c r="Y136" s="17" cm="1">
        <f t="array" ref="Y136">MMULT(
    MMULT(
        INDEX($X$5:$AM$77, MATCH(Y$100,_xlfn.ANCHORARRAY( $W$5), 0), 0),
        $F$5:$U$20
    ),
    TRANSPOSE(
        INDEX($X$5:$AM$77, MATCH($A136,_xlfn.ANCHORARRAY( $W$5), 0), 0)
    )
)
/
(
    INDEX($AN$5:$AN$77, MATCH(Y$100,_xlfn.ANCHORARRAY( $W$5), 0))
    *
    INDEX($AN$5:$AN$77, MATCH($A136,_xlfn.ANCHORARRAY( $W$5), 0))
)</f>
        <v>0.75554504885730056</v>
      </c>
      <c r="Z136" s="17" cm="1">
        <f t="array" ref="Z136">MMULT(
    MMULT(
        INDEX($X$5:$AM$77, MATCH(Z$100,_xlfn.ANCHORARRAY( $W$5), 0), 0),
        $F$5:$U$20
    ),
    TRANSPOSE(
        INDEX($X$5:$AM$77, MATCH($A136,_xlfn.ANCHORARRAY( $W$5), 0), 0)
    )
)
/
(
    INDEX($AN$5:$AN$77, MATCH(Z$100,_xlfn.ANCHORARRAY( $W$5), 0))
    *
    INDEX($AN$5:$AN$77, MATCH($A136,_xlfn.ANCHORARRAY( $W$5), 0))
)</f>
        <v>0.85993103332610654</v>
      </c>
      <c r="AA136" s="17" cm="1">
        <f t="array" ref="AA136">MMULT(
    MMULT(
        INDEX($X$5:$AM$77, MATCH(AA$100,_xlfn.ANCHORARRAY( $W$5), 0), 0),
        $F$5:$U$20
    ),
    TRANSPOSE(
        INDEX($X$5:$AM$77, MATCH($A136,_xlfn.ANCHORARRAY( $W$5), 0), 0)
    )
)
/
(
    INDEX($AN$5:$AN$77, MATCH(AA$100,_xlfn.ANCHORARRAY( $W$5), 0))
    *
    INDEX($AN$5:$AN$77, MATCH($A136,_xlfn.ANCHORARRAY( $W$5), 0))
)</f>
        <v>0.79734444944938621</v>
      </c>
      <c r="AB136" s="17" cm="1">
        <f t="array" ref="AB136">MMULT(
    MMULT(
        INDEX($X$5:$AM$77, MATCH(AB$100,_xlfn.ANCHORARRAY( $W$5), 0), 0),
        $F$5:$U$20
    ),
    TRANSPOSE(
        INDEX($X$5:$AM$77, MATCH($A136,_xlfn.ANCHORARRAY( $W$5), 0), 0)
    )
)
/
(
    INDEX($AN$5:$AN$77, MATCH(AB$100,_xlfn.ANCHORARRAY( $W$5), 0))
    *
    INDEX($AN$5:$AN$77, MATCH($A136,_xlfn.ANCHORARRAY( $W$5), 0))
)</f>
        <v>0.91899015145462282</v>
      </c>
      <c r="AC136" s="17" cm="1">
        <f t="array" ref="AC136">MMULT(
    MMULT(
        INDEX($X$5:$AM$77, MATCH(AC$100,_xlfn.ANCHORARRAY( $W$5), 0), 0),
        $F$5:$U$20
    ),
    TRANSPOSE(
        INDEX($X$5:$AM$77, MATCH($A136,_xlfn.ANCHORARRAY( $W$5), 0), 0)
    )
)
/
(
    INDEX($AN$5:$AN$77, MATCH(AC$100,_xlfn.ANCHORARRAY( $W$5), 0))
    *
    INDEX($AN$5:$AN$77, MATCH($A136,_xlfn.ANCHORARRAY( $W$5), 0))
)</f>
        <v>0.81196098279987428</v>
      </c>
      <c r="AD136" s="17" cm="1">
        <f t="array" ref="AD136">MMULT(
    MMULT(
        INDEX($X$5:$AM$77, MATCH(AD$100,_xlfn.ANCHORARRAY( $W$5), 0), 0),
        $F$5:$U$20
    ),
    TRANSPOSE(
        INDEX($X$5:$AM$77, MATCH($A136,_xlfn.ANCHORARRAY( $W$5), 0), 0)
    )
)
/
(
    INDEX($AN$5:$AN$77, MATCH(AD$100,_xlfn.ANCHORARRAY( $W$5), 0))
    *
    INDEX($AN$5:$AN$77, MATCH($A136,_xlfn.ANCHORARRAY( $W$5), 0))
)</f>
        <v>0.87310078761264398</v>
      </c>
      <c r="AE136" s="17" cm="1">
        <f t="array" ref="AE136">MMULT(
    MMULT(
        INDEX($X$5:$AM$77, MATCH(AE$100,_xlfn.ANCHORARRAY( $W$5), 0), 0),
        $F$5:$U$20
    ),
    TRANSPOSE(
        INDEX($X$5:$AM$77, MATCH($A136,_xlfn.ANCHORARRAY( $W$5), 0), 0)
    )
)
/
(
    INDEX($AN$5:$AN$77, MATCH(AE$100,_xlfn.ANCHORARRAY( $W$5), 0))
    *
    INDEX($AN$5:$AN$77, MATCH($A136,_xlfn.ANCHORARRAY( $W$5), 0))
)</f>
        <v>0.83216003607517897</v>
      </c>
      <c r="AF136" s="17" cm="1">
        <f t="array" ref="AF136">MMULT(
    MMULT(
        INDEX($X$5:$AM$77, MATCH(AF$100,_xlfn.ANCHORARRAY( $W$5), 0), 0),
        $F$5:$U$20
    ),
    TRANSPOSE(
        INDEX($X$5:$AM$77, MATCH($A136,_xlfn.ANCHORARRAY( $W$5), 0), 0)
    )
)
/
(
    INDEX($AN$5:$AN$77, MATCH(AF$100,_xlfn.ANCHORARRAY( $W$5), 0))
    *
    INDEX($AN$5:$AN$77, MATCH($A136,_xlfn.ANCHORARRAY( $W$5), 0))
)</f>
        <v>0.85542642683570336</v>
      </c>
      <c r="AG136" s="17" cm="1">
        <f t="array" ref="AG136">MMULT(
    MMULT(
        INDEX($X$5:$AM$77, MATCH(AG$100,_xlfn.ANCHORARRAY( $W$5), 0), 0),
        $F$5:$U$20
    ),
    TRANSPOSE(
        INDEX($X$5:$AM$77, MATCH($A136,_xlfn.ANCHORARRAY( $W$5), 0), 0)
    )
)
/
(
    INDEX($AN$5:$AN$77, MATCH(AG$100,_xlfn.ANCHORARRAY( $W$5), 0))
    *
    INDEX($AN$5:$AN$77, MATCH($A136,_xlfn.ANCHORARRAY( $W$5), 0))
)</f>
        <v>0.9508004463841131</v>
      </c>
      <c r="AH136" s="17" cm="1">
        <f t="array" ref="AH136">MMULT(
    MMULT(
        INDEX($X$5:$AM$77, MATCH(AH$100,_xlfn.ANCHORARRAY( $W$5), 0), 0),
        $F$5:$U$20
    ),
    TRANSPOSE(
        INDEX($X$5:$AM$77, MATCH($A136,_xlfn.ANCHORARRAY( $W$5), 0), 0)
    )
)
/
(
    INDEX($AN$5:$AN$77, MATCH(AH$100,_xlfn.ANCHORARRAY( $W$5), 0))
    *
    INDEX($AN$5:$AN$77, MATCH($A136,_xlfn.ANCHORARRAY( $W$5), 0))
)</f>
        <v>0.7272830988559843</v>
      </c>
      <c r="AI136" s="17" cm="1">
        <f t="array" ref="AI136">MMULT(
    MMULT(
        INDEX($X$5:$AM$77, MATCH(AI$100,_xlfn.ANCHORARRAY( $W$5), 0), 0),
        $F$5:$U$20
    ),
    TRANSPOSE(
        INDEX($X$5:$AM$77, MATCH($A136,_xlfn.ANCHORARRAY( $W$5), 0), 0)
    )
)
/
(
    INDEX($AN$5:$AN$77, MATCH(AI$100,_xlfn.ANCHORARRAY( $W$5), 0))
    *
    INDEX($AN$5:$AN$77, MATCH($A136,_xlfn.ANCHORARRAY( $W$5), 0))
)</f>
        <v>0.93025670445844055</v>
      </c>
      <c r="AJ136" s="17" cm="1">
        <f t="array" ref="AJ136">MMULT(
    MMULT(
        INDEX($X$5:$AM$77, MATCH(AJ$100,_xlfn.ANCHORARRAY( $W$5), 0), 0),
        $F$5:$U$20
    ),
    TRANSPOSE(
        INDEX($X$5:$AM$77, MATCH($A136,_xlfn.ANCHORARRAY( $W$5), 0), 0)
    )
)
/
(
    INDEX($AN$5:$AN$77, MATCH(AJ$100,_xlfn.ANCHORARRAY( $W$5), 0))
    *
    INDEX($AN$5:$AN$77, MATCH($A136,_xlfn.ANCHORARRAY( $W$5), 0))
)</f>
        <v>0.80046874152917658</v>
      </c>
      <c r="AK136" s="17" cm="1">
        <f t="array" ref="AK136">MMULT(
    MMULT(
        INDEX($X$5:$AM$77, MATCH(AK$100,_xlfn.ANCHORARRAY( $W$5), 0), 0),
        $F$5:$U$20
    ),
    TRANSPOSE(
        INDEX($X$5:$AM$77, MATCH($A136,_xlfn.ANCHORARRAY( $W$5), 0), 0)
    )
)
/
(
    INDEX($AN$5:$AN$77, MATCH(AK$100,_xlfn.ANCHORARRAY( $W$5), 0))
    *
    INDEX($AN$5:$AN$77, MATCH($A136,_xlfn.ANCHORARRAY( $W$5), 0))
)</f>
        <v>1.0000000000000002</v>
      </c>
      <c r="AL136" s="17" cm="1">
        <f t="array" ref="AL136">MMULT(
    MMULT(
        INDEX($X$5:$AM$77, MATCH(AL$100,_xlfn.ANCHORARRAY( $W$5), 0), 0),
        $F$5:$U$20
    ),
    TRANSPOSE(
        INDEX($X$5:$AM$77, MATCH($A136,_xlfn.ANCHORARRAY( $W$5), 0), 0)
    )
)
/
(
    INDEX($AN$5:$AN$77, MATCH(AL$100,_xlfn.ANCHORARRAY( $W$5), 0))
    *
    INDEX($AN$5:$AN$77, MATCH($A136,_xlfn.ANCHORARRAY( $W$5), 0))
)</f>
        <v>0.7576187796260081</v>
      </c>
      <c r="AM136" s="17" cm="1">
        <f t="array" ref="AM136">MMULT(
    MMULT(
        INDEX($X$5:$AM$77, MATCH(AM$100,_xlfn.ANCHORARRAY( $W$5), 0), 0),
        $F$5:$U$20
    ),
    TRANSPOSE(
        INDEX($X$5:$AM$77, MATCH($A136,_xlfn.ANCHORARRAY( $W$5), 0), 0)
    )
)
/
(
    INDEX($AN$5:$AN$77, MATCH(AM$100,_xlfn.ANCHORARRAY( $W$5), 0))
    *
    INDEX($AN$5:$AN$77, MATCH($A136,_xlfn.ANCHORARRAY( $W$5), 0))
)</f>
        <v>0.93030723052512176</v>
      </c>
      <c r="AN136" s="17" cm="1">
        <f t="array" ref="AN136">MMULT(
    MMULT(
        INDEX($X$5:$AM$77, MATCH(AN$100,_xlfn.ANCHORARRAY( $W$5), 0), 0),
        $F$5:$U$20
    ),
    TRANSPOSE(
        INDEX($X$5:$AM$77, MATCH($A136,_xlfn.ANCHORARRAY( $W$5), 0), 0)
    )
)
/
(
    INDEX($AN$5:$AN$77, MATCH(AN$100,_xlfn.ANCHORARRAY( $W$5), 0))
    *
    INDEX($AN$5:$AN$77, MATCH($A136,_xlfn.ANCHORARRAY( $W$5), 0))
)</f>
        <v>0.80894411249680209</v>
      </c>
      <c r="AO136" s="17" cm="1">
        <f t="array" ref="AO136">MMULT(
    MMULT(
        INDEX($X$5:$AM$77, MATCH(AO$100,_xlfn.ANCHORARRAY( $W$5), 0), 0),
        $F$5:$U$20
    ),
    TRANSPOSE(
        INDEX($X$5:$AM$77, MATCH($A136,_xlfn.ANCHORARRAY( $W$5), 0), 0)
    )
)
/
(
    INDEX($AN$5:$AN$77, MATCH(AO$100,_xlfn.ANCHORARRAY( $W$5), 0))
    *
    INDEX($AN$5:$AN$77, MATCH($A136,_xlfn.ANCHORARRAY( $W$5), 0))
)</f>
        <v>0.93854501799094192</v>
      </c>
      <c r="AP136" s="17" cm="1">
        <f t="array" ref="AP136">MMULT(
    MMULT(
        INDEX($X$5:$AM$77, MATCH(AP$100,_xlfn.ANCHORARRAY( $W$5), 0), 0),
        $F$5:$U$20
    ),
    TRANSPOSE(
        INDEX($X$5:$AM$77, MATCH($A136,_xlfn.ANCHORARRAY( $W$5), 0), 0)
    )
)
/
(
    INDEX($AN$5:$AN$77, MATCH(AP$100,_xlfn.ANCHORARRAY( $W$5), 0))
    *
    INDEX($AN$5:$AN$77, MATCH($A136,_xlfn.ANCHORARRAY( $W$5), 0))
)</f>
        <v>0.80898956581822934</v>
      </c>
      <c r="AQ136" s="17" cm="1">
        <f t="array" ref="AQ136">MMULT(
    MMULT(
        INDEX($X$5:$AM$77, MATCH(AQ$100,_xlfn.ANCHORARRAY( $W$5), 0), 0),
        $F$5:$U$20
    ),
    TRANSPOSE(
        INDEX($X$5:$AM$77, MATCH($A136,_xlfn.ANCHORARRAY( $W$5), 0), 0)
    )
)
/
(
    INDEX($AN$5:$AN$77, MATCH(AQ$100,_xlfn.ANCHORARRAY( $W$5), 0))
    *
    INDEX($AN$5:$AN$77, MATCH($A136,_xlfn.ANCHORARRAY( $W$5), 0))
)</f>
        <v>0.76237640498362136</v>
      </c>
      <c r="AR136" s="17" cm="1">
        <f t="array" ref="AR136">MMULT(
    MMULT(
        INDEX($X$5:$AM$77, MATCH(AR$100,_xlfn.ANCHORARRAY( $W$5), 0), 0),
        $F$5:$U$20
    ),
    TRANSPOSE(
        INDEX($X$5:$AM$77, MATCH($A136,_xlfn.ANCHORARRAY( $W$5), 0), 0)
    )
)
/
(
    INDEX($AN$5:$AN$77, MATCH(AR$100,_xlfn.ANCHORARRAY( $W$5), 0))
    *
    INDEX($AN$5:$AN$77, MATCH($A136,_xlfn.ANCHORARRAY( $W$5), 0))
)</f>
        <v>0.80998716350832778</v>
      </c>
      <c r="AS136" s="17" cm="1">
        <f t="array" ref="AS136">MMULT(
    MMULT(
        INDEX($X$5:$AM$77, MATCH(AS$100,_xlfn.ANCHORARRAY( $W$5), 0), 0),
        $F$5:$U$20
    ),
    TRANSPOSE(
        INDEX($X$5:$AM$77, MATCH($A136,_xlfn.ANCHORARRAY( $W$5), 0), 0)
    )
)
/
(
    INDEX($AN$5:$AN$77, MATCH(AS$100,_xlfn.ANCHORARRAY( $W$5), 0))
    *
    INDEX($AN$5:$AN$77, MATCH($A136,_xlfn.ANCHORARRAY( $W$5), 0))
)</f>
        <v>0.84778245076168146</v>
      </c>
      <c r="AT136" s="17" cm="1">
        <f t="array" ref="AT136">MMULT(
    MMULT(
        INDEX($X$5:$AM$77, MATCH(AT$100,_xlfn.ANCHORARRAY( $W$5), 0), 0),
        $F$5:$U$20
    ),
    TRANSPOSE(
        INDEX($X$5:$AM$77, MATCH($A136,_xlfn.ANCHORARRAY( $W$5), 0), 0)
    )
)
/
(
    INDEX($AN$5:$AN$77, MATCH(AT$100,_xlfn.ANCHORARRAY( $W$5), 0))
    *
    INDEX($AN$5:$AN$77, MATCH($A136,_xlfn.ANCHORARRAY( $W$5), 0))
)</f>
        <v>0.94502291996949861</v>
      </c>
      <c r="AU136" s="17" cm="1">
        <f t="array" ref="AU136">MMULT(
    MMULT(
        INDEX($X$5:$AM$77, MATCH(AU$100,_xlfn.ANCHORARRAY( $W$5), 0), 0),
        $F$5:$U$20
    ),
    TRANSPOSE(
        INDEX($X$5:$AM$77, MATCH($A136,_xlfn.ANCHORARRAY( $W$5), 0), 0)
    )
)
/
(
    INDEX($AN$5:$AN$77, MATCH(AU$100,_xlfn.ANCHORARRAY( $W$5), 0))
    *
    INDEX($AN$5:$AN$77, MATCH($A136,_xlfn.ANCHORARRAY( $W$5), 0))
)</f>
        <v>0.83910712953909039</v>
      </c>
      <c r="AV136" s="17" cm="1">
        <f t="array" ref="AV136">MMULT(
    MMULT(
        INDEX($X$5:$AM$77, MATCH(AV$100,_xlfn.ANCHORARRAY( $W$5), 0), 0),
        $F$5:$U$20
    ),
    TRANSPOSE(
        INDEX($X$5:$AM$77, MATCH($A136,_xlfn.ANCHORARRAY( $W$5), 0), 0)
    )
)
/
(
    INDEX($AN$5:$AN$77, MATCH(AV$100,_xlfn.ANCHORARRAY( $W$5), 0))
    *
    INDEX($AN$5:$AN$77, MATCH($A136,_xlfn.ANCHORARRAY( $W$5), 0))
)</f>
        <v>0.85082439118484021</v>
      </c>
      <c r="AW136" s="17" cm="1">
        <f t="array" ref="AW136">MMULT(
    MMULT(
        INDEX($X$5:$AM$77, MATCH(AW$100,_xlfn.ANCHORARRAY( $W$5), 0), 0),
        $F$5:$U$20
    ),
    TRANSPOSE(
        INDEX($X$5:$AM$77, MATCH($A136,_xlfn.ANCHORARRAY( $W$5), 0), 0)
    )
)
/
(
    INDEX($AN$5:$AN$77, MATCH(AW$100,_xlfn.ANCHORARRAY( $W$5), 0))
    *
    INDEX($AN$5:$AN$77, MATCH($A136,_xlfn.ANCHORARRAY( $W$5), 0))
)</f>
        <v>0.83040460216933998</v>
      </c>
      <c r="AX136" s="17" cm="1">
        <f t="array" ref="AX136">MMULT(
    MMULT(
        INDEX($X$5:$AM$77, MATCH(AX$100,_xlfn.ANCHORARRAY( $W$5), 0), 0),
        $F$5:$U$20
    ),
    TRANSPOSE(
        INDEX($X$5:$AM$77, MATCH($A136,_xlfn.ANCHORARRAY( $W$5), 0), 0)
    )
)
/
(
    INDEX($AN$5:$AN$77, MATCH(AX$100,_xlfn.ANCHORARRAY( $W$5), 0))
    *
    INDEX($AN$5:$AN$77, MATCH($A136,_xlfn.ANCHORARRAY( $W$5), 0))
)</f>
        <v>0.73898927346777066</v>
      </c>
      <c r="AY136" s="17" cm="1">
        <f t="array" ref="AY136">MMULT(
    MMULT(
        INDEX($X$5:$AM$77, MATCH(AY$100,_xlfn.ANCHORARRAY( $W$5), 0), 0),
        $F$5:$U$20
    ),
    TRANSPOSE(
        INDEX($X$5:$AM$77, MATCH($A136,_xlfn.ANCHORARRAY( $W$5), 0), 0)
    )
)
/
(
    INDEX($AN$5:$AN$77, MATCH(AY$100,_xlfn.ANCHORARRAY( $W$5), 0))
    *
    INDEX($AN$5:$AN$77, MATCH($A136,_xlfn.ANCHORARRAY( $W$5), 0))
)</f>
        <v>0.67795291342974884</v>
      </c>
      <c r="AZ136" s="17" cm="1">
        <f t="array" ref="AZ136">MMULT(
    MMULT(
        INDEX($X$5:$AM$77, MATCH(AZ$100,_xlfn.ANCHORARRAY( $W$5), 0), 0),
        $F$5:$U$20
    ),
    TRANSPOSE(
        INDEX($X$5:$AM$77, MATCH($A136,_xlfn.ANCHORARRAY( $W$5), 0), 0)
    )
)
/
(
    INDEX($AN$5:$AN$77, MATCH(AZ$100,_xlfn.ANCHORARRAY( $W$5), 0))
    *
    INDEX($AN$5:$AN$77, MATCH($A136,_xlfn.ANCHORARRAY( $W$5), 0))
)</f>
        <v>0.85545464054550202</v>
      </c>
      <c r="BA136" s="17" cm="1">
        <f t="array" ref="BA136">MMULT(
    MMULT(
        INDEX($X$5:$AM$77, MATCH(BA$100,_xlfn.ANCHORARRAY( $W$5), 0), 0),
        $F$5:$U$20
    ),
    TRANSPOSE(
        INDEX($X$5:$AM$77, MATCH($A136,_xlfn.ANCHORARRAY( $W$5), 0), 0)
    )
)
/
(
    INDEX($AN$5:$AN$77, MATCH(BA$100,_xlfn.ANCHORARRAY( $W$5), 0))
    *
    INDEX($AN$5:$AN$77, MATCH($A136,_xlfn.ANCHORARRAY( $W$5), 0))
)</f>
        <v>0.84126301403689141</v>
      </c>
      <c r="BB136" s="17" cm="1">
        <f t="array" ref="BB136">MMULT(
    MMULT(
        INDEX($X$5:$AM$77, MATCH(BB$100,_xlfn.ANCHORARRAY( $W$5), 0), 0),
        $F$5:$U$20
    ),
    TRANSPOSE(
        INDEX($X$5:$AM$77, MATCH($A136,_xlfn.ANCHORARRAY( $W$5), 0), 0)
    )
)
/
(
    INDEX($AN$5:$AN$77, MATCH(BB$100,_xlfn.ANCHORARRAY( $W$5), 0))
    *
    INDEX($AN$5:$AN$77, MATCH($A136,_xlfn.ANCHORARRAY( $W$5), 0))
)</f>
        <v>0.85473387833212922</v>
      </c>
      <c r="BC136" s="17" cm="1">
        <f t="array" ref="BC136">MMULT(
    MMULT(
        INDEX($X$5:$AM$77, MATCH(BC$100,_xlfn.ANCHORARRAY( $W$5), 0), 0),
        $F$5:$U$20
    ),
    TRANSPOSE(
        INDEX($X$5:$AM$77, MATCH($A136,_xlfn.ANCHORARRAY( $W$5), 0), 0)
    )
)
/
(
    INDEX($AN$5:$AN$77, MATCH(BC$100,_xlfn.ANCHORARRAY( $W$5), 0))
    *
    INDEX($AN$5:$AN$77, MATCH($A136,_xlfn.ANCHORARRAY( $W$5), 0))
)</f>
        <v>0.93367214252687403</v>
      </c>
      <c r="BD136" s="17" cm="1">
        <f t="array" ref="BD136">MMULT(
    MMULT(
        INDEX($X$5:$AM$77, MATCH(BD$100,_xlfn.ANCHORARRAY( $W$5), 0), 0),
        $F$5:$U$20
    ),
    TRANSPOSE(
        INDEX($X$5:$AM$77, MATCH($A136,_xlfn.ANCHORARRAY( $W$5), 0), 0)
    )
)
/
(
    INDEX($AN$5:$AN$77, MATCH(BD$100,_xlfn.ANCHORARRAY( $W$5), 0))
    *
    INDEX($AN$5:$AN$77, MATCH($A136,_xlfn.ANCHORARRAY( $W$5), 0))
)</f>
        <v>0.61165181427573001</v>
      </c>
      <c r="BE136" s="17" cm="1">
        <f t="array" ref="BE136">MMULT(
    MMULT(
        INDEX($X$5:$AM$77, MATCH(BE$100,_xlfn.ANCHORARRAY( $W$5), 0), 0),
        $F$5:$U$20
    ),
    TRANSPOSE(
        INDEX($X$5:$AM$77, MATCH($A136,_xlfn.ANCHORARRAY( $W$5), 0), 0)
    )
)
/
(
    INDEX($AN$5:$AN$77, MATCH(BE$100,_xlfn.ANCHORARRAY( $W$5), 0))
    *
    INDEX($AN$5:$AN$77, MATCH($A136,_xlfn.ANCHORARRAY( $W$5), 0))
)</f>
        <v>0.9256892945973203</v>
      </c>
      <c r="BF136" s="17" cm="1">
        <f t="array" ref="BF136">MMULT(
    MMULT(
        INDEX($X$5:$AM$77, MATCH(BF$100,_xlfn.ANCHORARRAY( $W$5), 0), 0),
        $F$5:$U$20
    ),
    TRANSPOSE(
        INDEX($X$5:$AM$77, MATCH($A136,_xlfn.ANCHORARRAY( $W$5), 0), 0)
    )
)
/
(
    INDEX($AN$5:$AN$77, MATCH(BF$100,_xlfn.ANCHORARRAY( $W$5), 0))
    *
    INDEX($AN$5:$AN$77, MATCH($A136,_xlfn.ANCHORARRAY( $W$5), 0))
)</f>
        <v>0.82107699231851627</v>
      </c>
      <c r="BG136" s="17" cm="1">
        <f t="array" ref="BG136">MMULT(
    MMULT(
        INDEX($X$5:$AM$77, MATCH(BG$100,_xlfn.ANCHORARRAY( $W$5), 0), 0),
        $F$5:$U$20
    ),
    TRANSPOSE(
        INDEX($X$5:$AM$77, MATCH($A136,_xlfn.ANCHORARRAY( $W$5), 0), 0)
    )
)
/
(
    INDEX($AN$5:$AN$77, MATCH(BG$100,_xlfn.ANCHORARRAY( $W$5), 0))
    *
    INDEX($AN$5:$AN$77, MATCH($A136,_xlfn.ANCHORARRAY( $W$5), 0))
)</f>
        <v>0.81172166894645525</v>
      </c>
      <c r="BH136" s="17" cm="1">
        <f t="array" ref="BH136">MMULT(
    MMULT(
        INDEX($X$5:$AM$77, MATCH(BH$100,_xlfn.ANCHORARRAY( $W$5), 0), 0),
        $F$5:$U$20
    ),
    TRANSPOSE(
        INDEX($X$5:$AM$77, MATCH($A136,_xlfn.ANCHORARRAY( $W$5), 0), 0)
    )
)
/
(
    INDEX($AN$5:$AN$77, MATCH(BH$100,_xlfn.ANCHORARRAY( $W$5), 0))
    *
    INDEX($AN$5:$AN$77, MATCH($A136,_xlfn.ANCHORARRAY( $W$5), 0))
)</f>
        <v>0.77250923662269122</v>
      </c>
      <c r="BI136" s="17" cm="1">
        <f t="array" ref="BI136">MMULT(
    MMULT(
        INDEX($X$5:$AM$77, MATCH(BI$100,_xlfn.ANCHORARRAY( $W$5), 0), 0),
        $F$5:$U$20
    ),
    TRANSPOSE(
        INDEX($X$5:$AM$77, MATCH($A136,_xlfn.ANCHORARRAY( $W$5), 0), 0)
    )
)
/
(
    INDEX($AN$5:$AN$77, MATCH(BI$100,_xlfn.ANCHORARRAY( $W$5), 0))
    *
    INDEX($AN$5:$AN$77, MATCH($A136,_xlfn.ANCHORARRAY( $W$5), 0))
)</f>
        <v>0.7579368906420868</v>
      </c>
      <c r="BJ136" s="17" cm="1">
        <f t="array" ref="BJ136">MMULT(
    MMULT(
        INDEX($X$5:$AM$77, MATCH(BJ$100,_xlfn.ANCHORARRAY( $W$5), 0), 0),
        $F$5:$U$20
    ),
    TRANSPOSE(
        INDEX($X$5:$AM$77, MATCH($A136,_xlfn.ANCHORARRAY( $W$5), 0), 0)
    )
)
/
(
    INDEX($AN$5:$AN$77, MATCH(BJ$100,_xlfn.ANCHORARRAY( $W$5), 0))
    *
    INDEX($AN$5:$AN$77, MATCH($A136,_xlfn.ANCHORARRAY( $W$5), 0))
)</f>
        <v>0.88990201944709579</v>
      </c>
      <c r="BK136" s="17" cm="1">
        <f t="array" ref="BK136">MMULT(
    MMULT(
        INDEX($X$5:$AM$77, MATCH(BK$100,_xlfn.ANCHORARRAY( $W$5), 0), 0),
        $F$5:$U$20
    ),
    TRANSPOSE(
        INDEX($X$5:$AM$77, MATCH($A136,_xlfn.ANCHORARRAY( $W$5), 0), 0)
    )
)
/
(
    INDEX($AN$5:$AN$77, MATCH(BK$100,_xlfn.ANCHORARRAY( $W$5), 0))
    *
    INDEX($AN$5:$AN$77, MATCH($A136,_xlfn.ANCHORARRAY( $W$5), 0))
)</f>
        <v>0.62721632342404676</v>
      </c>
      <c r="BL136" s="17" cm="1">
        <f t="array" ref="BL136">MMULT(
    MMULT(
        INDEX($X$5:$AM$77, MATCH(BL$100,_xlfn.ANCHORARRAY( $W$5), 0), 0),
        $F$5:$U$20
    ),
    TRANSPOSE(
        INDEX($X$5:$AM$77, MATCH($A136,_xlfn.ANCHORARRAY( $W$5), 0), 0)
    )
)
/
(
    INDEX($AN$5:$AN$77, MATCH(BL$100,_xlfn.ANCHORARRAY( $W$5), 0))
    *
    INDEX($AN$5:$AN$77, MATCH($A136,_xlfn.ANCHORARRAY( $W$5), 0))
)</f>
        <v>0.43266096649843955</v>
      </c>
      <c r="BM136" s="17" cm="1">
        <f t="array" ref="BM136">MMULT(
    MMULT(
        INDEX($X$5:$AM$77, MATCH(BM$100,_xlfn.ANCHORARRAY( $W$5), 0), 0),
        $F$5:$U$20
    ),
    TRANSPOSE(
        INDEX($X$5:$AM$77, MATCH($A136,_xlfn.ANCHORARRAY( $W$5), 0), 0)
    )
)
/
(
    INDEX($AN$5:$AN$77, MATCH(BM$100,_xlfn.ANCHORARRAY( $W$5), 0))
    *
    INDEX($AN$5:$AN$77, MATCH($A136,_xlfn.ANCHORARRAY( $W$5), 0))
)</f>
        <v>0.67452092744078485</v>
      </c>
      <c r="BN136" s="17" cm="1">
        <f t="array" ref="BN136">MMULT(
    MMULT(
        INDEX($X$5:$AM$77, MATCH(BN$100,_xlfn.ANCHORARRAY( $W$5), 0), 0),
        $F$5:$U$20
    ),
    TRANSPOSE(
        INDEX($X$5:$AM$77, MATCH($A136,_xlfn.ANCHORARRAY( $W$5), 0), 0)
    )
)
/
(
    INDEX($AN$5:$AN$77, MATCH(BN$100,_xlfn.ANCHORARRAY( $W$5), 0))
    *
    INDEX($AN$5:$AN$77, MATCH($A136,_xlfn.ANCHORARRAY( $W$5), 0))
)</f>
        <v>0.95157273847296897</v>
      </c>
      <c r="BO136" s="17" cm="1">
        <f t="array" ref="BO136">MMULT(
    MMULT(
        INDEX($X$5:$AM$77, MATCH(BO$100,_xlfn.ANCHORARRAY( $W$5), 0), 0),
        $F$5:$U$20
    ),
    TRANSPOSE(
        INDEX($X$5:$AM$77, MATCH($A136,_xlfn.ANCHORARRAY( $W$5), 0), 0)
    )
)
/
(
    INDEX($AN$5:$AN$77, MATCH(BO$100,_xlfn.ANCHORARRAY( $W$5), 0))
    *
    INDEX($AN$5:$AN$77, MATCH($A136,_xlfn.ANCHORARRAY( $W$5), 0))
)</f>
        <v>0.87772284710449122</v>
      </c>
      <c r="BP136" s="17" cm="1">
        <f t="array" ref="BP136">MMULT(
    MMULT(
        INDEX($X$5:$AM$77, MATCH(BP$100,_xlfn.ANCHORARRAY( $W$5), 0), 0),
        $F$5:$U$20
    ),
    TRANSPOSE(
        INDEX($X$5:$AM$77, MATCH($A136,_xlfn.ANCHORARRAY( $W$5), 0), 0)
    )
)
/
(
    INDEX($AN$5:$AN$77, MATCH(BP$100,_xlfn.ANCHORARRAY( $W$5), 0))
    *
    INDEX($AN$5:$AN$77, MATCH($A136,_xlfn.ANCHORARRAY( $W$5), 0))
)</f>
        <v>0.84571526703030031</v>
      </c>
      <c r="BQ136" s="17" cm="1">
        <f t="array" ref="BQ136">MMULT(
    MMULT(
        INDEX($X$5:$AM$77, MATCH(BQ$100,_xlfn.ANCHORARRAY( $W$5), 0), 0),
        $F$5:$U$20
    ),
    TRANSPOSE(
        INDEX($X$5:$AM$77, MATCH($A136,_xlfn.ANCHORARRAY( $W$5), 0), 0)
    )
)
/
(
    INDEX($AN$5:$AN$77, MATCH(BQ$100,_xlfn.ANCHORARRAY( $W$5), 0))
    *
    INDEX($AN$5:$AN$77, MATCH($A136,_xlfn.ANCHORARRAY( $W$5), 0))
)</f>
        <v>0.81356321059358427</v>
      </c>
      <c r="BR136" s="17" cm="1">
        <f t="array" ref="BR136">MMULT(
    MMULT(
        INDEX($X$5:$AM$77, MATCH(BR$100,_xlfn.ANCHORARRAY( $W$5), 0), 0),
        $F$5:$U$20
    ),
    TRANSPOSE(
        INDEX($X$5:$AM$77, MATCH($A136,_xlfn.ANCHORARRAY( $W$5), 0), 0)
    )
)
/
(
    INDEX($AN$5:$AN$77, MATCH(BR$100,_xlfn.ANCHORARRAY( $W$5), 0))
    *
    INDEX($AN$5:$AN$77, MATCH($A136,_xlfn.ANCHORARRAY( $W$5), 0))
)</f>
        <v>0.85117524196858352</v>
      </c>
      <c r="BS136" s="17" cm="1">
        <f t="array" ref="BS136">MMULT(
    MMULT(
        INDEX($X$5:$AM$77, MATCH(BS$100,_xlfn.ANCHORARRAY( $W$5), 0), 0),
        $F$5:$U$20
    ),
    TRANSPOSE(
        INDEX($X$5:$AM$77, MATCH($A136,_xlfn.ANCHORARRAY( $W$5), 0), 0)
    )
)
/
(
    INDEX($AN$5:$AN$77, MATCH(BS$100,_xlfn.ANCHORARRAY( $W$5), 0))
    *
    INDEX($AN$5:$AN$77, MATCH($A136,_xlfn.ANCHORARRAY( $W$5), 0))
)</f>
        <v>0.78524061717237637</v>
      </c>
      <c r="BT136" s="17" cm="1">
        <f t="array" ref="BT136">MMULT(
    MMULT(
        INDEX($X$5:$AM$77, MATCH(BT$100,_xlfn.ANCHORARRAY( $W$5), 0), 0),
        $F$5:$U$20
    ),
    TRANSPOSE(
        INDEX($X$5:$AM$77, MATCH($A136,_xlfn.ANCHORARRAY( $W$5), 0), 0)
    )
)
/
(
    INDEX($AN$5:$AN$77, MATCH(BT$100,_xlfn.ANCHORARRAY( $W$5), 0))
    *
    INDEX($AN$5:$AN$77, MATCH($A136,_xlfn.ANCHORARRAY( $W$5), 0))
)</f>
        <v>0.96559139847835462</v>
      </c>
      <c r="BU136" s="17" cm="1">
        <f t="array" ref="BU136">MMULT(
    MMULT(
        INDEX($X$5:$AM$77, MATCH(BU$100,_xlfn.ANCHORARRAY( $W$5), 0), 0),
        $F$5:$U$20
    ),
    TRANSPOSE(
        INDEX($X$5:$AM$77, MATCH($A136,_xlfn.ANCHORARRAY( $W$5), 0), 0)
    )
)
/
(
    INDEX($AN$5:$AN$77, MATCH(BU$100,_xlfn.ANCHORARRAY( $W$5), 0))
    *
    INDEX($AN$5:$AN$77, MATCH($A136,_xlfn.ANCHORARRAY( $W$5), 0))
)</f>
        <v>0.77815052084810787</v>
      </c>
      <c r="BV136" s="17" cm="1">
        <f t="array" ref="BV136">MMULT(
    MMULT(
        INDEX($X$5:$AM$77, MATCH(BV$100,_xlfn.ANCHORARRAY( $W$5), 0), 0),
        $F$5:$U$20
    ),
    TRANSPOSE(
        INDEX($X$5:$AM$77, MATCH($A136,_xlfn.ANCHORARRAY( $W$5), 0), 0)
    )
)
/
(
    INDEX($AN$5:$AN$77, MATCH(BV$100,_xlfn.ANCHORARRAY( $W$5), 0))
    *
    INDEX($AN$5:$AN$77, MATCH($A136,_xlfn.ANCHORARRAY( $W$5), 0))
)</f>
        <v>0.78582607501462387</v>
      </c>
    </row>
    <row r="137" spans="1:74" x14ac:dyDescent="0.3">
      <c r="A137" s="7" t="str">
        <v>Hernández, Daysbel</v>
      </c>
      <c r="B137" s="17" cm="1">
        <f t="array" ref="B137">MMULT(
    MMULT(
        INDEX($X$5:$AM$77, MATCH(B$100,_xlfn.ANCHORARRAY( $W$5), 0), 0),
        $F$5:$U$20
    ),
    TRANSPOSE(
        INDEX($X$5:$AM$77, MATCH($A137,_xlfn.ANCHORARRAY( $W$5), 0), 0)
    )
)
/
(
    INDEX($AN$5:$AN$77, MATCH(B$100,_xlfn.ANCHORARRAY( $W$5), 0))
    *
    INDEX($AN$5:$AN$77, MATCH($A137,_xlfn.ANCHORARRAY( $W$5), 0))
)</f>
        <v>0.75001946117738783</v>
      </c>
      <c r="C137" s="17" cm="1">
        <f t="array" ref="C137">MMULT(
    MMULT(
        INDEX($X$5:$AM$77, MATCH(C$100,_xlfn.ANCHORARRAY( $W$5), 0), 0),
        $F$5:$U$20
    ),
    TRANSPOSE(
        INDEX($X$5:$AM$77, MATCH($A137,_xlfn.ANCHORARRAY( $W$5), 0), 0)
    )
)
/
(
    INDEX($AN$5:$AN$77, MATCH(C$100,_xlfn.ANCHORARRAY( $W$5), 0))
    *
    INDEX($AN$5:$AN$77, MATCH($A137,_xlfn.ANCHORARRAY( $W$5), 0))
)</f>
        <v>0.46141321918291106</v>
      </c>
      <c r="D137" s="17" cm="1">
        <f t="array" ref="D137">MMULT(
    MMULT(
        INDEX($X$5:$AM$77, MATCH(D$100,_xlfn.ANCHORARRAY( $W$5), 0), 0),
        $F$5:$U$20
    ),
    TRANSPOSE(
        INDEX($X$5:$AM$77, MATCH($A137,_xlfn.ANCHORARRAY( $W$5), 0), 0)
    )
)
/
(
    INDEX($AN$5:$AN$77, MATCH(D$100,_xlfn.ANCHORARRAY( $W$5), 0))
    *
    INDEX($AN$5:$AN$77, MATCH($A137,_xlfn.ANCHORARRAY( $W$5), 0))
)</f>
        <v>0.92129561292098994</v>
      </c>
      <c r="E137" s="17" cm="1">
        <f t="array" ref="E137">MMULT(
    MMULT(
        INDEX($X$5:$AM$77, MATCH(E$100,_xlfn.ANCHORARRAY( $W$5), 0), 0),
        $F$5:$U$20
    ),
    TRANSPOSE(
        INDEX($X$5:$AM$77, MATCH($A137,_xlfn.ANCHORARRAY( $W$5), 0), 0)
    )
)
/
(
    INDEX($AN$5:$AN$77, MATCH(E$100,_xlfn.ANCHORARRAY( $W$5), 0))
    *
    INDEX($AN$5:$AN$77, MATCH($A137,_xlfn.ANCHORARRAY( $W$5), 0))
)</f>
        <v>0.845295097259252</v>
      </c>
      <c r="F137" s="17" cm="1">
        <f t="array" ref="F137">MMULT(
    MMULT(
        INDEX($X$5:$AM$77, MATCH(F$100,_xlfn.ANCHORARRAY( $W$5), 0), 0),
        $F$5:$U$20
    ),
    TRANSPOSE(
        INDEX($X$5:$AM$77, MATCH($A137,_xlfn.ANCHORARRAY( $W$5), 0), 0)
    )
)
/
(
    INDEX($AN$5:$AN$77, MATCH(F$100,_xlfn.ANCHORARRAY( $W$5), 0))
    *
    INDEX($AN$5:$AN$77, MATCH($A137,_xlfn.ANCHORARRAY( $W$5), 0))
)</f>
        <v>0.97541245651567876</v>
      </c>
      <c r="G137" s="17" cm="1">
        <f t="array" ref="G137">MMULT(
    MMULT(
        INDEX($X$5:$AM$77, MATCH(G$100,_xlfn.ANCHORARRAY( $W$5), 0), 0),
        $F$5:$U$20
    ),
    TRANSPOSE(
        INDEX($X$5:$AM$77, MATCH($A137,_xlfn.ANCHORARRAY( $W$5), 0), 0)
    )
)
/
(
    INDEX($AN$5:$AN$77, MATCH(G$100,_xlfn.ANCHORARRAY( $W$5), 0))
    *
    INDEX($AN$5:$AN$77, MATCH($A137,_xlfn.ANCHORARRAY( $W$5), 0))
)</f>
        <v>0.4998969417107077</v>
      </c>
      <c r="H137" s="17" cm="1">
        <f t="array" ref="H137">MMULT(
    MMULT(
        INDEX($X$5:$AM$77, MATCH(H$100,_xlfn.ANCHORARRAY( $W$5), 0), 0),
        $F$5:$U$20
    ),
    TRANSPOSE(
        INDEX($X$5:$AM$77, MATCH($A137,_xlfn.ANCHORARRAY( $W$5), 0), 0)
    )
)
/
(
    INDEX($AN$5:$AN$77, MATCH(H$100,_xlfn.ANCHORARRAY( $W$5), 0))
    *
    INDEX($AN$5:$AN$77, MATCH($A137,_xlfn.ANCHORARRAY( $W$5), 0))
)</f>
        <v>0.57559913905568771</v>
      </c>
      <c r="I137" s="17" cm="1">
        <f t="array" ref="I137">MMULT(
    MMULT(
        INDEX($X$5:$AM$77, MATCH(I$100,_xlfn.ANCHORARRAY( $W$5), 0), 0),
        $F$5:$U$20
    ),
    TRANSPOSE(
        INDEX($X$5:$AM$77, MATCH($A137,_xlfn.ANCHORARRAY( $W$5), 0), 0)
    )
)
/
(
    INDEX($AN$5:$AN$77, MATCH(I$100,_xlfn.ANCHORARRAY( $W$5), 0))
    *
    INDEX($AN$5:$AN$77, MATCH($A137,_xlfn.ANCHORARRAY( $W$5), 0))
)</f>
        <v>0.59604265634353282</v>
      </c>
      <c r="J137" s="17" cm="1">
        <f t="array" ref="J137">MMULT(
    MMULT(
        INDEX($X$5:$AM$77, MATCH(J$100,_xlfn.ANCHORARRAY( $W$5), 0), 0),
        $F$5:$U$20
    ),
    TRANSPOSE(
        INDEX($X$5:$AM$77, MATCH($A137,_xlfn.ANCHORARRAY( $W$5), 0), 0)
    )
)
/
(
    INDEX($AN$5:$AN$77, MATCH(J$100,_xlfn.ANCHORARRAY( $W$5), 0))
    *
    INDEX($AN$5:$AN$77, MATCH($A137,_xlfn.ANCHORARRAY( $W$5), 0))
)</f>
        <v>0.79573359569452173</v>
      </c>
      <c r="K137" s="17" cm="1">
        <f t="array" ref="K137">MMULT(
    MMULT(
        INDEX($X$5:$AM$77, MATCH(K$100,_xlfn.ANCHORARRAY( $W$5), 0), 0),
        $F$5:$U$20
    ),
    TRANSPOSE(
        INDEX($X$5:$AM$77, MATCH($A137,_xlfn.ANCHORARRAY( $W$5), 0), 0)
    )
)
/
(
    INDEX($AN$5:$AN$77, MATCH(K$100,_xlfn.ANCHORARRAY( $W$5), 0))
    *
    INDEX($AN$5:$AN$77, MATCH($A137,_xlfn.ANCHORARRAY( $W$5), 0))
)</f>
        <v>0.79274295044282228</v>
      </c>
      <c r="L137" s="17" cm="1">
        <f t="array" ref="L137">MMULT(
    MMULT(
        INDEX($X$5:$AM$77, MATCH(L$100,_xlfn.ANCHORARRAY( $W$5), 0), 0),
        $F$5:$U$20
    ),
    TRANSPOSE(
        INDEX($X$5:$AM$77, MATCH($A137,_xlfn.ANCHORARRAY( $W$5), 0), 0)
    )
)
/
(
    INDEX($AN$5:$AN$77, MATCH(L$100,_xlfn.ANCHORARRAY( $W$5), 0))
    *
    INDEX($AN$5:$AN$77, MATCH($A137,_xlfn.ANCHORARRAY( $W$5), 0))
)</f>
        <v>0.49120406342188455</v>
      </c>
      <c r="M137" s="17" cm="1">
        <f t="array" ref="M137">MMULT(
    MMULT(
        INDEX($X$5:$AM$77, MATCH(M$100,_xlfn.ANCHORARRAY( $W$5), 0), 0),
        $F$5:$U$20
    ),
    TRANSPOSE(
        INDEX($X$5:$AM$77, MATCH($A137,_xlfn.ANCHORARRAY( $W$5), 0), 0)
    )
)
/
(
    INDEX($AN$5:$AN$77, MATCH(M$100,_xlfn.ANCHORARRAY( $W$5), 0))
    *
    INDEX($AN$5:$AN$77, MATCH($A137,_xlfn.ANCHORARRAY( $W$5), 0))
)</f>
        <v>0.69787389277029066</v>
      </c>
      <c r="N137" s="17" cm="1">
        <f t="array" ref="N137">MMULT(
    MMULT(
        INDEX($X$5:$AM$77, MATCH(N$100,_xlfn.ANCHORARRAY( $W$5), 0), 0),
        $F$5:$U$20
    ),
    TRANSPOSE(
        INDEX($X$5:$AM$77, MATCH($A137,_xlfn.ANCHORARRAY( $W$5), 0), 0)
    )
)
/
(
    INDEX($AN$5:$AN$77, MATCH(N$100,_xlfn.ANCHORARRAY( $W$5), 0))
    *
    INDEX($AN$5:$AN$77, MATCH($A137,_xlfn.ANCHORARRAY( $W$5), 0))
)</f>
        <v>0.97770311429742662</v>
      </c>
      <c r="O137" s="17" cm="1">
        <f t="array" ref="O137">MMULT(
    MMULT(
        INDEX($X$5:$AM$77, MATCH(O$100,_xlfn.ANCHORARRAY( $W$5), 0), 0),
        $F$5:$U$20
    ),
    TRANSPOSE(
        INDEX($X$5:$AM$77, MATCH($A137,_xlfn.ANCHORARRAY( $W$5), 0), 0)
    )
)
/
(
    INDEX($AN$5:$AN$77, MATCH(O$100,_xlfn.ANCHORARRAY( $W$5), 0))
    *
    INDEX($AN$5:$AN$77, MATCH($A137,_xlfn.ANCHORARRAY( $W$5), 0))
)</f>
        <v>0.98183611926870751</v>
      </c>
      <c r="P137" s="17" cm="1">
        <f t="array" ref="P137">MMULT(
    MMULT(
        INDEX($X$5:$AM$77, MATCH(P$100,_xlfn.ANCHORARRAY( $W$5), 0), 0),
        $F$5:$U$20
    ),
    TRANSPOSE(
        INDEX($X$5:$AM$77, MATCH($A137,_xlfn.ANCHORARRAY( $W$5), 0), 0)
    )
)
/
(
    INDEX($AN$5:$AN$77, MATCH(P$100,_xlfn.ANCHORARRAY( $W$5), 0))
    *
    INDEX($AN$5:$AN$77, MATCH($A137,_xlfn.ANCHORARRAY( $W$5), 0))
)</f>
        <v>0.92145029781131804</v>
      </c>
      <c r="Q137" s="17" cm="1">
        <f t="array" ref="Q137">MMULT(
    MMULT(
        INDEX($X$5:$AM$77, MATCH(Q$100,_xlfn.ANCHORARRAY( $W$5), 0), 0),
        $F$5:$U$20
    ),
    TRANSPOSE(
        INDEX($X$5:$AM$77, MATCH($A137,_xlfn.ANCHORARRAY( $W$5), 0), 0)
    )
)
/
(
    INDEX($AN$5:$AN$77, MATCH(Q$100,_xlfn.ANCHORARRAY( $W$5), 0))
    *
    INDEX($AN$5:$AN$77, MATCH($A137,_xlfn.ANCHORARRAY( $W$5), 0))
)</f>
        <v>0.51031690343347125</v>
      </c>
      <c r="R137" s="17" cm="1">
        <f t="array" ref="R137">MMULT(
    MMULT(
        INDEX($X$5:$AM$77, MATCH(R$100,_xlfn.ANCHORARRAY( $W$5), 0), 0),
        $F$5:$U$20
    ),
    TRANSPOSE(
        INDEX($X$5:$AM$77, MATCH($A137,_xlfn.ANCHORARRAY( $W$5), 0), 0)
    )
)
/
(
    INDEX($AN$5:$AN$77, MATCH(R$100,_xlfn.ANCHORARRAY( $W$5), 0))
    *
    INDEX($AN$5:$AN$77, MATCH($A137,_xlfn.ANCHORARRAY( $W$5), 0))
)</f>
        <v>0.84965169569591104</v>
      </c>
      <c r="S137" s="17" cm="1">
        <f t="array" ref="S137">MMULT(
    MMULT(
        INDEX($X$5:$AM$77, MATCH(S$100,_xlfn.ANCHORARRAY( $W$5), 0), 0),
        $F$5:$U$20
    ),
    TRANSPOSE(
        INDEX($X$5:$AM$77, MATCH($A137,_xlfn.ANCHORARRAY( $W$5), 0), 0)
    )
)
/
(
    INDEX($AN$5:$AN$77, MATCH(S$100,_xlfn.ANCHORARRAY( $W$5), 0))
    *
    INDEX($AN$5:$AN$77, MATCH($A137,_xlfn.ANCHORARRAY( $W$5), 0))
)</f>
        <v>0.6609209783497122</v>
      </c>
      <c r="T137" s="17" cm="1">
        <f t="array" ref="T137">MMULT(
    MMULT(
        INDEX($X$5:$AM$77, MATCH(T$100,_xlfn.ANCHORARRAY( $W$5), 0), 0),
        $F$5:$U$20
    ),
    TRANSPOSE(
        INDEX($X$5:$AM$77, MATCH($A137,_xlfn.ANCHORARRAY( $W$5), 0), 0)
    )
)
/
(
    INDEX($AN$5:$AN$77, MATCH(T$100,_xlfn.ANCHORARRAY( $W$5), 0))
    *
    INDEX($AN$5:$AN$77, MATCH($A137,_xlfn.ANCHORARRAY( $W$5), 0))
)</f>
        <v>0.22351498027500935</v>
      </c>
      <c r="U137" s="17" cm="1">
        <f t="array" ref="U137">MMULT(
    MMULT(
        INDEX($X$5:$AM$77, MATCH(U$100,_xlfn.ANCHORARRAY( $W$5), 0), 0),
        $F$5:$U$20
    ),
    TRANSPOSE(
        INDEX($X$5:$AM$77, MATCH($A137,_xlfn.ANCHORARRAY( $W$5), 0), 0)
    )
)
/
(
    INDEX($AN$5:$AN$77, MATCH(U$100,_xlfn.ANCHORARRAY( $W$5), 0))
    *
    INDEX($AN$5:$AN$77, MATCH($A137,_xlfn.ANCHORARRAY( $W$5), 0))
)</f>
        <v>0.90442390322225463</v>
      </c>
      <c r="V137" s="17" cm="1">
        <f t="array" ref="V137">MMULT(
    MMULT(
        INDEX($X$5:$AM$77, MATCH(V$100,_xlfn.ANCHORARRAY( $W$5), 0), 0),
        $F$5:$U$20
    ),
    TRANSPOSE(
        INDEX($X$5:$AM$77, MATCH($A137,_xlfn.ANCHORARRAY( $W$5), 0), 0)
    )
)
/
(
    INDEX($AN$5:$AN$77, MATCH(V$100,_xlfn.ANCHORARRAY( $W$5), 0))
    *
    INDEX($AN$5:$AN$77, MATCH($A137,_xlfn.ANCHORARRAY( $W$5), 0))
)</f>
        <v>0.37108838598825084</v>
      </c>
      <c r="W137" s="17" cm="1">
        <f t="array" ref="W137">MMULT(
    MMULT(
        INDEX($X$5:$AM$77, MATCH(W$100,_xlfn.ANCHORARRAY( $W$5), 0), 0),
        $F$5:$U$20
    ),
    TRANSPOSE(
        INDEX($X$5:$AM$77, MATCH($A137,_xlfn.ANCHORARRAY( $W$5), 0), 0)
    )
)
/
(
    INDEX($AN$5:$AN$77, MATCH(W$100,_xlfn.ANCHORARRAY( $W$5), 0))
    *
    INDEX($AN$5:$AN$77, MATCH($A137,_xlfn.ANCHORARRAY( $W$5), 0))
)</f>
        <v>0.70722865755916586</v>
      </c>
      <c r="X137" s="17" cm="1">
        <f t="array" ref="X137">MMULT(
    MMULT(
        INDEX($X$5:$AM$77, MATCH(X$100,_xlfn.ANCHORARRAY( $W$5), 0), 0),
        $F$5:$U$20
    ),
    TRANSPOSE(
        INDEX($X$5:$AM$77, MATCH($A137,_xlfn.ANCHORARRAY( $W$5), 0), 0)
    )
)
/
(
    INDEX($AN$5:$AN$77, MATCH(X$100,_xlfn.ANCHORARRAY( $W$5), 0))
    *
    INDEX($AN$5:$AN$77, MATCH($A137,_xlfn.ANCHORARRAY( $W$5), 0))
)</f>
        <v>0.98932818292790081</v>
      </c>
      <c r="Y137" s="17" cm="1">
        <f t="array" ref="Y137">MMULT(
    MMULT(
        INDEX($X$5:$AM$77, MATCH(Y$100,_xlfn.ANCHORARRAY( $W$5), 0), 0),
        $F$5:$U$20
    ),
    TRANSPOSE(
        INDEX($X$5:$AM$77, MATCH($A137,_xlfn.ANCHORARRAY( $W$5), 0), 0)
    )
)
/
(
    INDEX($AN$5:$AN$77, MATCH(Y$100,_xlfn.ANCHORARRAY( $W$5), 0))
    *
    INDEX($AN$5:$AN$77, MATCH($A137,_xlfn.ANCHORARRAY( $W$5), 0))
)</f>
        <v>0.46855087550695113</v>
      </c>
      <c r="Z137" s="17" cm="1">
        <f t="array" ref="Z137">MMULT(
    MMULT(
        INDEX($X$5:$AM$77, MATCH(Z$100,_xlfn.ANCHORARRAY( $W$5), 0), 0),
        $F$5:$U$20
    ),
    TRANSPOSE(
        INDEX($X$5:$AM$77, MATCH($A137,_xlfn.ANCHORARRAY( $W$5), 0), 0)
    )
)
/
(
    INDEX($AN$5:$AN$77, MATCH(Z$100,_xlfn.ANCHORARRAY( $W$5), 0))
    *
    INDEX($AN$5:$AN$77, MATCH($A137,_xlfn.ANCHORARRAY( $W$5), 0))
)</f>
        <v>0.96808679824066179</v>
      </c>
      <c r="AA137" s="17" cm="1">
        <f t="array" ref="AA137">MMULT(
    MMULT(
        INDEX($X$5:$AM$77, MATCH(AA$100,_xlfn.ANCHORARRAY( $W$5), 0), 0),
        $F$5:$U$20
    ),
    TRANSPOSE(
        INDEX($X$5:$AM$77, MATCH($A137,_xlfn.ANCHORARRAY( $W$5), 0), 0)
    )
)
/
(
    INDEX($AN$5:$AN$77, MATCH(AA$100,_xlfn.ANCHORARRAY( $W$5), 0))
    *
    INDEX($AN$5:$AN$77, MATCH($A137,_xlfn.ANCHORARRAY( $W$5), 0))
)</f>
        <v>0.97806306539879551</v>
      </c>
      <c r="AB137" s="17" cm="1">
        <f t="array" ref="AB137">MMULT(
    MMULT(
        INDEX($X$5:$AM$77, MATCH(AB$100,_xlfn.ANCHORARRAY( $W$5), 0), 0),
        $F$5:$U$20
    ),
    TRANSPOSE(
        INDEX($X$5:$AM$77, MATCH($A137,_xlfn.ANCHORARRAY( $W$5), 0), 0)
    )
)
/
(
    INDEX($AN$5:$AN$77, MATCH(AB$100,_xlfn.ANCHORARRAY( $W$5), 0))
    *
    INDEX($AN$5:$AN$77, MATCH($A137,_xlfn.ANCHORARRAY( $W$5), 0))
)</f>
        <v>0.87281934903847092</v>
      </c>
      <c r="AC137" s="17" cm="1">
        <f t="array" ref="AC137">MMULT(
    MMULT(
        INDEX($X$5:$AM$77, MATCH(AC$100,_xlfn.ANCHORARRAY( $W$5), 0), 0),
        $F$5:$U$20
    ),
    TRANSPOSE(
        INDEX($X$5:$AM$77, MATCH($A137,_xlfn.ANCHORARRAY( $W$5), 0), 0)
    )
)
/
(
    INDEX($AN$5:$AN$77, MATCH(AC$100,_xlfn.ANCHORARRAY( $W$5), 0))
    *
    INDEX($AN$5:$AN$77, MATCH($A137,_xlfn.ANCHORARRAY( $W$5), 0))
)</f>
        <v>0.69192920313950557</v>
      </c>
      <c r="AD137" s="17" cm="1">
        <f t="array" ref="AD137">MMULT(
    MMULT(
        INDEX($X$5:$AM$77, MATCH(AD$100,_xlfn.ANCHORARRAY( $W$5), 0), 0),
        $F$5:$U$20
    ),
    TRANSPOSE(
        INDEX($X$5:$AM$77, MATCH($A137,_xlfn.ANCHORARRAY( $W$5), 0), 0)
    )
)
/
(
    INDEX($AN$5:$AN$77, MATCH(AD$100,_xlfn.ANCHORARRAY( $W$5), 0))
    *
    INDEX($AN$5:$AN$77, MATCH($A137,_xlfn.ANCHORARRAY( $W$5), 0))
)</f>
        <v>0.94548446392138219</v>
      </c>
      <c r="AE137" s="17" cm="1">
        <f t="array" ref="AE137">MMULT(
    MMULT(
        INDEX($X$5:$AM$77, MATCH(AE$100,_xlfn.ANCHORARRAY( $W$5), 0), 0),
        $F$5:$U$20
    ),
    TRANSPOSE(
        INDEX($X$5:$AM$77, MATCH($A137,_xlfn.ANCHORARRAY( $W$5), 0), 0)
    )
)
/
(
    INDEX($AN$5:$AN$77, MATCH(AE$100,_xlfn.ANCHORARRAY( $W$5), 0))
    *
    INDEX($AN$5:$AN$77, MATCH($A137,_xlfn.ANCHORARRAY( $W$5), 0))
)</f>
        <v>0.68298767047826092</v>
      </c>
      <c r="AF137" s="17" cm="1">
        <f t="array" ref="AF137">MMULT(
    MMULT(
        INDEX($X$5:$AM$77, MATCH(AF$100,_xlfn.ANCHORARRAY( $W$5), 0), 0),
        $F$5:$U$20
    ),
    TRANSPOSE(
        INDEX($X$5:$AM$77, MATCH($A137,_xlfn.ANCHORARRAY( $W$5), 0), 0)
    )
)
/
(
    INDEX($AN$5:$AN$77, MATCH(AF$100,_xlfn.ANCHORARRAY( $W$5), 0))
    *
    INDEX($AN$5:$AN$77, MATCH($A137,_xlfn.ANCHORARRAY( $W$5), 0))
)</f>
        <v>0.59835452989950377</v>
      </c>
      <c r="AG137" s="17" cm="1">
        <f t="array" ref="AG137">MMULT(
    MMULT(
        INDEX($X$5:$AM$77, MATCH(AG$100,_xlfn.ANCHORARRAY( $W$5), 0), 0),
        $F$5:$U$20
    ),
    TRANSPOSE(
        INDEX($X$5:$AM$77, MATCH($A137,_xlfn.ANCHORARRAY( $W$5), 0), 0)
    )
)
/
(
    INDEX($AN$5:$AN$77, MATCH(AG$100,_xlfn.ANCHORARRAY( $W$5), 0))
    *
    INDEX($AN$5:$AN$77, MATCH($A137,_xlfn.ANCHORARRAY( $W$5), 0))
)</f>
        <v>0.6729755245592498</v>
      </c>
      <c r="AH137" s="17" cm="1">
        <f t="array" ref="AH137">MMULT(
    MMULT(
        INDEX($X$5:$AM$77, MATCH(AH$100,_xlfn.ANCHORARRAY( $W$5), 0), 0),
        $F$5:$U$20
    ),
    TRANSPOSE(
        INDEX($X$5:$AM$77, MATCH($A137,_xlfn.ANCHORARRAY( $W$5), 0), 0)
    )
)
/
(
    INDEX($AN$5:$AN$77, MATCH(AH$100,_xlfn.ANCHORARRAY( $W$5), 0))
    *
    INDEX($AN$5:$AN$77, MATCH($A137,_xlfn.ANCHORARRAY( $W$5), 0))
)</f>
        <v>0.49229349414969642</v>
      </c>
      <c r="AI137" s="17" cm="1">
        <f t="array" ref="AI137">MMULT(
    MMULT(
        INDEX($X$5:$AM$77, MATCH(AI$100,_xlfn.ANCHORARRAY( $W$5), 0), 0),
        $F$5:$U$20
    ),
    TRANSPOSE(
        INDEX($X$5:$AM$77, MATCH($A137,_xlfn.ANCHORARRAY( $W$5), 0), 0)
    )
)
/
(
    INDEX($AN$5:$AN$77, MATCH(AI$100,_xlfn.ANCHORARRAY( $W$5), 0))
    *
    INDEX($AN$5:$AN$77, MATCH($A137,_xlfn.ANCHORARRAY( $W$5), 0))
)</f>
        <v>0.70076913652952388</v>
      </c>
      <c r="AJ137" s="17" cm="1">
        <f t="array" ref="AJ137">MMULT(
    MMULT(
        INDEX($X$5:$AM$77, MATCH(AJ$100,_xlfn.ANCHORARRAY( $W$5), 0), 0),
        $F$5:$U$20
    ),
    TRANSPOSE(
        INDEX($X$5:$AM$77, MATCH($A137,_xlfn.ANCHORARRAY( $W$5), 0), 0)
    )
)
/
(
    INDEX($AN$5:$AN$77, MATCH(AJ$100,_xlfn.ANCHORARRAY( $W$5), 0))
    *
    INDEX($AN$5:$AN$77, MATCH($A137,_xlfn.ANCHORARRAY( $W$5), 0))
)</f>
        <v>0.92731230425295907</v>
      </c>
      <c r="AK137" s="17" cm="1">
        <f t="array" ref="AK137">MMULT(
    MMULT(
        INDEX($X$5:$AM$77, MATCH(AK$100,_xlfn.ANCHORARRAY( $W$5), 0), 0),
        $F$5:$U$20
    ),
    TRANSPOSE(
        INDEX($X$5:$AM$77, MATCH($A137,_xlfn.ANCHORARRAY( $W$5), 0), 0)
    )
)
/
(
    INDEX($AN$5:$AN$77, MATCH(AK$100,_xlfn.ANCHORARRAY( $W$5), 0))
    *
    INDEX($AN$5:$AN$77, MATCH($A137,_xlfn.ANCHORARRAY( $W$5), 0))
)</f>
        <v>0.7576187796260081</v>
      </c>
      <c r="AL137" s="17" cm="1">
        <f t="array" ref="AL137">MMULT(
    MMULT(
        INDEX($X$5:$AM$77, MATCH(AL$100,_xlfn.ANCHORARRAY( $W$5), 0), 0),
        $F$5:$U$20
    ),
    TRANSPOSE(
        INDEX($X$5:$AM$77, MATCH($A137,_xlfn.ANCHORARRAY( $W$5), 0), 0)
    )
)
/
(
    INDEX($AN$5:$AN$77, MATCH(AL$100,_xlfn.ANCHORARRAY( $W$5), 0))
    *
    INDEX($AN$5:$AN$77, MATCH($A137,_xlfn.ANCHORARRAY( $W$5), 0))
)</f>
        <v>1</v>
      </c>
      <c r="AM137" s="17" cm="1">
        <f t="array" ref="AM137">MMULT(
    MMULT(
        INDEX($X$5:$AM$77, MATCH(AM$100,_xlfn.ANCHORARRAY( $W$5), 0), 0),
        $F$5:$U$20
    ),
    TRANSPOSE(
        INDEX($X$5:$AM$77, MATCH($A137,_xlfn.ANCHORARRAY( $W$5), 0), 0)
    )
)
/
(
    INDEX($AN$5:$AN$77, MATCH(AM$100,_xlfn.ANCHORARRAY( $W$5), 0))
    *
    INDEX($AN$5:$AN$77, MATCH($A137,_xlfn.ANCHORARRAY( $W$5), 0))
)</f>
        <v>0.63858519649334267</v>
      </c>
      <c r="AN137" s="17" cm="1">
        <f t="array" ref="AN137">MMULT(
    MMULT(
        INDEX($X$5:$AM$77, MATCH(AN$100,_xlfn.ANCHORARRAY( $W$5), 0), 0),
        $F$5:$U$20
    ),
    TRANSPOSE(
        INDEX($X$5:$AM$77, MATCH($A137,_xlfn.ANCHORARRAY( $W$5), 0), 0)
    )
)
/
(
    INDEX($AN$5:$AN$77, MATCH(AN$100,_xlfn.ANCHORARRAY( $W$5), 0))
    *
    INDEX($AN$5:$AN$77, MATCH($A137,_xlfn.ANCHORARRAY( $W$5), 0))
)</f>
        <v>0.53610830456313063</v>
      </c>
      <c r="AO137" s="17" cm="1">
        <f t="array" ref="AO137">MMULT(
    MMULT(
        INDEX($X$5:$AM$77, MATCH(AO$100,_xlfn.ANCHORARRAY( $W$5), 0), 0),
        $F$5:$U$20
    ),
    TRANSPOSE(
        INDEX($X$5:$AM$77, MATCH($A137,_xlfn.ANCHORARRAY( $W$5), 0), 0)
    )
)
/
(
    INDEX($AN$5:$AN$77, MATCH(AO$100,_xlfn.ANCHORARRAY( $W$5), 0))
    *
    INDEX($AN$5:$AN$77, MATCH($A137,_xlfn.ANCHORARRAY( $W$5), 0))
)</f>
        <v>0.5866257351858799</v>
      </c>
      <c r="AP137" s="17" cm="1">
        <f t="array" ref="AP137">MMULT(
    MMULT(
        INDEX($X$5:$AM$77, MATCH(AP$100,_xlfn.ANCHORARRAY( $W$5), 0), 0),
        $F$5:$U$20
    ),
    TRANSPOSE(
        INDEX($X$5:$AM$77, MATCH($A137,_xlfn.ANCHORARRAY( $W$5), 0), 0)
    )
)
/
(
    INDEX($AN$5:$AN$77, MATCH(AP$100,_xlfn.ANCHORARRAY( $W$5), 0))
    *
    INDEX($AN$5:$AN$77, MATCH($A137,_xlfn.ANCHORARRAY( $W$5), 0))
)</f>
        <v>0.56936513522781029</v>
      </c>
      <c r="AQ137" s="17" cm="1">
        <f t="array" ref="AQ137">MMULT(
    MMULT(
        INDEX($X$5:$AM$77, MATCH(AQ$100,_xlfn.ANCHORARRAY( $W$5), 0), 0),
        $F$5:$U$20
    ),
    TRANSPOSE(
        INDEX($X$5:$AM$77, MATCH($A137,_xlfn.ANCHORARRAY( $W$5), 0), 0)
    )
)
/
(
    INDEX($AN$5:$AN$77, MATCH(AQ$100,_xlfn.ANCHORARRAY( $W$5), 0))
    *
    INDEX($AN$5:$AN$77, MATCH($A137,_xlfn.ANCHORARRAY( $W$5), 0))
)</f>
        <v>0.55728112363476667</v>
      </c>
      <c r="AR137" s="17" cm="1">
        <f t="array" ref="AR137">MMULT(
    MMULT(
        INDEX($X$5:$AM$77, MATCH(AR$100,_xlfn.ANCHORARRAY( $W$5), 0), 0),
        $F$5:$U$20
    ),
    TRANSPOSE(
        INDEX($X$5:$AM$77, MATCH($A137,_xlfn.ANCHORARRAY( $W$5), 0), 0)
    )
)
/
(
    INDEX($AN$5:$AN$77, MATCH(AR$100,_xlfn.ANCHORARRAY( $W$5), 0))
    *
    INDEX($AN$5:$AN$77, MATCH($A137,_xlfn.ANCHORARRAY( $W$5), 0))
)</f>
        <v>0.90303162006356685</v>
      </c>
      <c r="AS137" s="17" cm="1">
        <f t="array" ref="AS137">MMULT(
    MMULT(
        INDEX($X$5:$AM$77, MATCH(AS$100,_xlfn.ANCHORARRAY( $W$5), 0), 0),
        $F$5:$U$20
    ),
    TRANSPOSE(
        INDEX($X$5:$AM$77, MATCH($A137,_xlfn.ANCHORARRAY( $W$5), 0), 0)
    )
)
/
(
    INDEX($AN$5:$AN$77, MATCH(AS$100,_xlfn.ANCHORARRAY( $W$5), 0))
    *
    INDEX($AN$5:$AN$77, MATCH($A137,_xlfn.ANCHORARRAY( $W$5), 0))
)</f>
        <v>0.89360342081687061</v>
      </c>
      <c r="AT137" s="17" cm="1">
        <f t="array" ref="AT137">MMULT(
    MMULT(
        INDEX($X$5:$AM$77, MATCH(AT$100,_xlfn.ANCHORARRAY( $W$5), 0), 0),
        $F$5:$U$20
    ),
    TRANSPOSE(
        INDEX($X$5:$AM$77, MATCH($A137,_xlfn.ANCHORARRAY( $W$5), 0), 0)
    )
)
/
(
    INDEX($AN$5:$AN$77, MATCH(AT$100,_xlfn.ANCHORARRAY( $W$5), 0))
    *
    INDEX($AN$5:$AN$77, MATCH($A137,_xlfn.ANCHORARRAY( $W$5), 0))
)</f>
        <v>0.6000700153039803</v>
      </c>
      <c r="AU137" s="17" cm="1">
        <f t="array" ref="AU137">MMULT(
    MMULT(
        INDEX($X$5:$AM$77, MATCH(AU$100,_xlfn.ANCHORARRAY( $W$5), 0), 0),
        $F$5:$U$20
    ),
    TRANSPOSE(
        INDEX($X$5:$AM$77, MATCH($A137,_xlfn.ANCHORARRAY( $W$5), 0), 0)
    )
)
/
(
    INDEX($AN$5:$AN$77, MATCH(AU$100,_xlfn.ANCHORARRAY( $W$5), 0))
    *
    INDEX($AN$5:$AN$77, MATCH($A137,_xlfn.ANCHORARRAY( $W$5), 0))
)</f>
        <v>0.95848110473252024</v>
      </c>
      <c r="AV137" s="17" cm="1">
        <f t="array" ref="AV137">MMULT(
    MMULT(
        INDEX($X$5:$AM$77, MATCH(AV$100,_xlfn.ANCHORARRAY( $W$5), 0), 0),
        $F$5:$U$20
    ),
    TRANSPOSE(
        INDEX($X$5:$AM$77, MATCH($A137,_xlfn.ANCHORARRAY( $W$5), 0), 0)
    )
)
/
(
    INDEX($AN$5:$AN$77, MATCH(AV$100,_xlfn.ANCHORARRAY( $W$5), 0))
    *
    INDEX($AN$5:$AN$77, MATCH($A137,_xlfn.ANCHORARRAY( $W$5), 0))
)</f>
        <v>0.98236370803947137</v>
      </c>
      <c r="AW137" s="17" cm="1">
        <f t="array" ref="AW137">MMULT(
    MMULT(
        INDEX($X$5:$AM$77, MATCH(AW$100,_xlfn.ANCHORARRAY( $W$5), 0), 0),
        $F$5:$U$20
    ),
    TRANSPOSE(
        INDEX($X$5:$AM$77, MATCH($A137,_xlfn.ANCHORARRAY( $W$5), 0), 0)
    )
)
/
(
    INDEX($AN$5:$AN$77, MATCH(AW$100,_xlfn.ANCHORARRAY( $W$5), 0))
    *
    INDEX($AN$5:$AN$77, MATCH($A137,_xlfn.ANCHORARRAY( $W$5), 0))
)</f>
        <v>0.64765201049366461</v>
      </c>
      <c r="AX137" s="17" cm="1">
        <f t="array" ref="AX137">MMULT(
    MMULT(
        INDEX($X$5:$AM$77, MATCH(AX$100,_xlfn.ANCHORARRAY( $W$5), 0), 0),
        $F$5:$U$20
    ),
    TRANSPOSE(
        INDEX($X$5:$AM$77, MATCH($A137,_xlfn.ANCHORARRAY( $W$5), 0), 0)
    )
)
/
(
    INDEX($AN$5:$AN$77, MATCH(AX$100,_xlfn.ANCHORARRAY( $W$5), 0))
    *
    INDEX($AN$5:$AN$77, MATCH($A137,_xlfn.ANCHORARRAY( $W$5), 0))
)</f>
        <v>0.38290593898101521</v>
      </c>
      <c r="AY137" s="17" cm="1">
        <f t="array" ref="AY137">MMULT(
    MMULT(
        INDEX($X$5:$AM$77, MATCH(AY$100,_xlfn.ANCHORARRAY( $W$5), 0), 0),
        $F$5:$U$20
    ),
    TRANSPOSE(
        INDEX($X$5:$AM$77, MATCH($A137,_xlfn.ANCHORARRAY( $W$5), 0), 0)
    )
)
/
(
    INDEX($AN$5:$AN$77, MATCH(AY$100,_xlfn.ANCHORARRAY( $W$5), 0))
    *
    INDEX($AN$5:$AN$77, MATCH($A137,_xlfn.ANCHORARRAY( $W$5), 0))
)</f>
        <v>0.49450133557705123</v>
      </c>
      <c r="AZ137" s="17" cm="1">
        <f t="array" ref="AZ137">MMULT(
    MMULT(
        INDEX($X$5:$AM$77, MATCH(AZ$100,_xlfn.ANCHORARRAY( $W$5), 0), 0),
        $F$5:$U$20
    ),
    TRANSPOSE(
        INDEX($X$5:$AM$77, MATCH($A137,_xlfn.ANCHORARRAY( $W$5), 0), 0)
    )
)
/
(
    INDEX($AN$5:$AN$77, MATCH(AZ$100,_xlfn.ANCHORARRAY( $W$5), 0))
    *
    INDEX($AN$5:$AN$77, MATCH($A137,_xlfn.ANCHORARRAY( $W$5), 0))
)</f>
        <v>0.96970420454507877</v>
      </c>
      <c r="BA137" s="17" cm="1">
        <f t="array" ref="BA137">MMULT(
    MMULT(
        INDEX($X$5:$AM$77, MATCH(BA$100,_xlfn.ANCHORARRAY( $W$5), 0), 0),
        $F$5:$U$20
    ),
    TRANSPOSE(
        INDEX($X$5:$AM$77, MATCH($A137,_xlfn.ANCHORARRAY( $W$5), 0), 0)
    )
)
/
(
    INDEX($AN$5:$AN$77, MATCH(BA$100,_xlfn.ANCHORARRAY( $W$5), 0))
    *
    INDEX($AN$5:$AN$77, MATCH($A137,_xlfn.ANCHORARRAY( $W$5), 0))
)</f>
        <v>0.95325348144686872</v>
      </c>
      <c r="BB137" s="17" cm="1">
        <f t="array" ref="BB137">MMULT(
    MMULT(
        INDEX($X$5:$AM$77, MATCH(BB$100,_xlfn.ANCHORARRAY( $W$5), 0), 0),
        $F$5:$U$20
    ),
    TRANSPOSE(
        INDEX($X$5:$AM$77, MATCH($A137,_xlfn.ANCHORARRAY( $W$5), 0), 0)
    )
)
/
(
    INDEX($AN$5:$AN$77, MATCH(BB$100,_xlfn.ANCHORARRAY( $W$5), 0))
    *
    INDEX($AN$5:$AN$77, MATCH($A137,_xlfn.ANCHORARRAY( $W$5), 0))
)</f>
        <v>0.76784414855180116</v>
      </c>
      <c r="BC137" s="17" cm="1">
        <f t="array" ref="BC137">MMULT(
    MMULT(
        INDEX($X$5:$AM$77, MATCH(BC$100,_xlfn.ANCHORARRAY( $W$5), 0), 0),
        $F$5:$U$20
    ),
    TRANSPOSE(
        INDEX($X$5:$AM$77, MATCH($A137,_xlfn.ANCHORARRAY( $W$5), 0), 0)
    )
)
/
(
    INDEX($AN$5:$AN$77, MATCH(BC$100,_xlfn.ANCHORARRAY( $W$5), 0))
    *
    INDEX($AN$5:$AN$77, MATCH($A137,_xlfn.ANCHORARRAY( $W$5), 0))
)</f>
        <v>0.65789816556312053</v>
      </c>
      <c r="BD137" s="17" cm="1">
        <f t="array" ref="BD137">MMULT(
    MMULT(
        INDEX($X$5:$AM$77, MATCH(BD$100,_xlfn.ANCHORARRAY( $W$5), 0), 0),
        $F$5:$U$20
    ),
    TRANSPOSE(
        INDEX($X$5:$AM$77, MATCH($A137,_xlfn.ANCHORARRAY( $W$5), 0), 0)
    )
)
/
(
    INDEX($AN$5:$AN$77, MATCH(BD$100,_xlfn.ANCHORARRAY( $W$5), 0))
    *
    INDEX($AN$5:$AN$77, MATCH($A137,_xlfn.ANCHORARRAY( $W$5), 0))
)</f>
        <v>0.43193568015776723</v>
      </c>
      <c r="BE137" s="17" cm="1">
        <f t="array" ref="BE137">MMULT(
    MMULT(
        INDEX($X$5:$AM$77, MATCH(BE$100,_xlfn.ANCHORARRAY( $W$5), 0), 0),
        $F$5:$U$20
    ),
    TRANSPOSE(
        INDEX($X$5:$AM$77, MATCH($A137,_xlfn.ANCHORARRAY( $W$5), 0), 0)
    )
)
/
(
    INDEX($AN$5:$AN$77, MATCH(BE$100,_xlfn.ANCHORARRAY( $W$5), 0))
    *
    INDEX($AN$5:$AN$77, MATCH($A137,_xlfn.ANCHORARRAY( $W$5), 0))
)</f>
        <v>0.63886074007093752</v>
      </c>
      <c r="BF137" s="17" cm="1">
        <f t="array" ref="BF137">MMULT(
    MMULT(
        INDEX($X$5:$AM$77, MATCH(BF$100,_xlfn.ANCHORARRAY( $W$5), 0), 0),
        $F$5:$U$20
    ),
    TRANSPOSE(
        INDEX($X$5:$AM$77, MATCH($A137,_xlfn.ANCHORARRAY( $W$5), 0), 0)
    )
)
/
(
    INDEX($AN$5:$AN$77, MATCH(BF$100,_xlfn.ANCHORARRAY( $W$5), 0))
    *
    INDEX($AN$5:$AN$77, MATCH($A137,_xlfn.ANCHORARRAY( $W$5), 0))
)</f>
        <v>0.78759729915224841</v>
      </c>
      <c r="BG137" s="17" cm="1">
        <f t="array" ref="BG137">MMULT(
    MMULT(
        INDEX($X$5:$AM$77, MATCH(BG$100,_xlfn.ANCHORARRAY( $W$5), 0), 0),
        $F$5:$U$20
    ),
    TRANSPOSE(
        INDEX($X$5:$AM$77, MATCH($A137,_xlfn.ANCHORARRAY( $W$5), 0), 0)
    )
)
/
(
    INDEX($AN$5:$AN$77, MATCH(BG$100,_xlfn.ANCHORARRAY( $W$5), 0))
    *
    INDEX($AN$5:$AN$77, MATCH($A137,_xlfn.ANCHORARRAY( $W$5), 0))
)</f>
        <v>0.90972006139789663</v>
      </c>
      <c r="BH137" s="17" cm="1">
        <f t="array" ref="BH137">MMULT(
    MMULT(
        INDEX($X$5:$AM$77, MATCH(BH$100,_xlfn.ANCHORARRAY( $W$5), 0), 0),
        $F$5:$U$20
    ),
    TRANSPOSE(
        INDEX($X$5:$AM$77, MATCH($A137,_xlfn.ANCHORARRAY( $W$5), 0), 0)
    )
)
/
(
    INDEX($AN$5:$AN$77, MATCH(BH$100,_xlfn.ANCHORARRAY( $W$5), 0))
    *
    INDEX($AN$5:$AN$77, MATCH($A137,_xlfn.ANCHORARRAY( $W$5), 0))
)</f>
        <v>0.53807463017550616</v>
      </c>
      <c r="BI137" s="17" cm="1">
        <f t="array" ref="BI137">MMULT(
    MMULT(
        INDEX($X$5:$AM$77, MATCH(BI$100,_xlfn.ANCHORARRAY( $W$5), 0), 0),
        $F$5:$U$20
    ),
    TRANSPOSE(
        INDEX($X$5:$AM$77, MATCH($A137,_xlfn.ANCHORARRAY( $W$5), 0), 0)
    )
)
/
(
    INDEX($AN$5:$AN$77, MATCH(BI$100,_xlfn.ANCHORARRAY( $W$5), 0))
    *
    INDEX($AN$5:$AN$77, MATCH($A137,_xlfn.ANCHORARRAY( $W$5), 0))
)</f>
        <v>0.51340410230887323</v>
      </c>
      <c r="BJ137" s="17" cm="1">
        <f t="array" ref="BJ137">MMULT(
    MMULT(
        INDEX($X$5:$AM$77, MATCH(BJ$100,_xlfn.ANCHORARRAY( $W$5), 0), 0),
        $F$5:$U$20
    ),
    TRANSPOSE(
        INDEX($X$5:$AM$77, MATCH($A137,_xlfn.ANCHORARRAY( $W$5), 0), 0)
    )
)
/
(
    INDEX($AN$5:$AN$77, MATCH(BJ$100,_xlfn.ANCHORARRAY( $W$5), 0))
    *
    INDEX($AN$5:$AN$77, MATCH($A137,_xlfn.ANCHORARRAY( $W$5), 0))
)</f>
        <v>0.75500588982483274</v>
      </c>
      <c r="BK137" s="17" cm="1">
        <f t="array" ref="BK137">MMULT(
    MMULT(
        INDEX($X$5:$AM$77, MATCH(BK$100,_xlfn.ANCHORARRAY( $W$5), 0), 0),
        $F$5:$U$20
    ),
    TRANSPOSE(
        INDEX($X$5:$AM$77, MATCH($A137,_xlfn.ANCHORARRAY( $W$5), 0), 0)
    )
)
/
(
    INDEX($AN$5:$AN$77, MATCH(BK$100,_xlfn.ANCHORARRAY( $W$5), 0))
    *
    INDEX($AN$5:$AN$77, MATCH($A137,_xlfn.ANCHORARRAY( $W$5), 0))
)</f>
        <v>0.44496148611430147</v>
      </c>
      <c r="BL137" s="17" cm="1">
        <f t="array" ref="BL137">MMULT(
    MMULT(
        INDEX($X$5:$AM$77, MATCH(BL$100,_xlfn.ANCHORARRAY( $W$5), 0), 0),
        $F$5:$U$20
    ),
    TRANSPOSE(
        INDEX($X$5:$AM$77, MATCH($A137,_xlfn.ANCHORARRAY( $W$5), 0), 0)
    )
)
/
(
    INDEX($AN$5:$AN$77, MATCH(BL$100,_xlfn.ANCHORARRAY( $W$5), 0))
    *
    INDEX($AN$5:$AN$77, MATCH($A137,_xlfn.ANCHORARRAY( $W$5), 0))
)</f>
        <v>0.87108592658579675</v>
      </c>
      <c r="BM137" s="17" cm="1">
        <f t="array" ref="BM137">MMULT(
    MMULT(
        INDEX($X$5:$AM$77, MATCH(BM$100,_xlfn.ANCHORARRAY( $W$5), 0), 0),
        $F$5:$U$20
    ),
    TRANSPOSE(
        INDEX($X$5:$AM$77, MATCH($A137,_xlfn.ANCHORARRAY( $W$5), 0), 0)
    )
)
/
(
    INDEX($AN$5:$AN$77, MATCH(BM$100,_xlfn.ANCHORARRAY( $W$5), 0))
    *
    INDEX($AN$5:$AN$77, MATCH($A137,_xlfn.ANCHORARRAY( $W$5), 0))
)</f>
        <v>0.79833142598144358</v>
      </c>
      <c r="BN137" s="17" cm="1">
        <f t="array" ref="BN137">MMULT(
    MMULT(
        INDEX($X$5:$AM$77, MATCH(BN$100,_xlfn.ANCHORARRAY( $W$5), 0), 0),
        $F$5:$U$20
    ),
    TRANSPOSE(
        INDEX($X$5:$AM$77, MATCH($A137,_xlfn.ANCHORARRAY( $W$5), 0), 0)
    )
)
/
(
    INDEX($AN$5:$AN$77, MATCH(BN$100,_xlfn.ANCHORARRAY( $W$5), 0))
    *
    INDEX($AN$5:$AN$77, MATCH($A137,_xlfn.ANCHORARRAY( $W$5), 0))
)</f>
        <v>0.58758357778002002</v>
      </c>
      <c r="BO137" s="17" cm="1">
        <f t="array" ref="BO137">MMULT(
    MMULT(
        INDEX($X$5:$AM$77, MATCH(BO$100,_xlfn.ANCHORARRAY( $W$5), 0), 0),
        $F$5:$U$20
    ),
    TRANSPOSE(
        INDEX($X$5:$AM$77, MATCH($A137,_xlfn.ANCHORARRAY( $W$5), 0), 0)
    )
)
/
(
    INDEX($AN$5:$AN$77, MATCH(BO$100,_xlfn.ANCHORARRAY( $W$5), 0))
    *
    INDEX($AN$5:$AN$77, MATCH($A137,_xlfn.ANCHORARRAY( $W$5), 0))
)</f>
        <v>0.78733016119420252</v>
      </c>
      <c r="BP137" s="17" cm="1">
        <f t="array" ref="BP137">MMULT(
    MMULT(
        INDEX($X$5:$AM$77, MATCH(BP$100,_xlfn.ANCHORARRAY( $W$5), 0), 0),
        $F$5:$U$20
    ),
    TRANSPOSE(
        INDEX($X$5:$AM$77, MATCH($A137,_xlfn.ANCHORARRAY( $W$5), 0), 0)
    )
)
/
(
    INDEX($AN$5:$AN$77, MATCH(BP$100,_xlfn.ANCHORARRAY( $W$5), 0))
    *
    INDEX($AN$5:$AN$77, MATCH($A137,_xlfn.ANCHORARRAY( $W$5), 0))
)</f>
        <v>0.78644730376602612</v>
      </c>
      <c r="BQ137" s="17" cm="1">
        <f t="array" ref="BQ137">MMULT(
    MMULT(
        INDEX($X$5:$AM$77, MATCH(BQ$100,_xlfn.ANCHORARRAY( $W$5), 0), 0),
        $F$5:$U$20
    ),
    TRANSPOSE(
        INDEX($X$5:$AM$77, MATCH($A137,_xlfn.ANCHORARRAY( $W$5), 0), 0)
    )
)
/
(
    INDEX($AN$5:$AN$77, MATCH(BQ$100,_xlfn.ANCHORARRAY( $W$5), 0))
    *
    INDEX($AN$5:$AN$77, MATCH($A137,_xlfn.ANCHORARRAY( $W$5), 0))
)</f>
        <v>0.66532272869163067</v>
      </c>
      <c r="BR137" s="17" cm="1">
        <f t="array" ref="BR137">MMULT(
    MMULT(
        INDEX($X$5:$AM$77, MATCH(BR$100,_xlfn.ANCHORARRAY( $W$5), 0), 0),
        $F$5:$U$20
    ),
    TRANSPOSE(
        INDEX($X$5:$AM$77, MATCH($A137,_xlfn.ANCHORARRAY( $W$5), 0), 0)
    )
)
/
(
    INDEX($AN$5:$AN$77, MATCH(BR$100,_xlfn.ANCHORARRAY( $W$5), 0))
    *
    INDEX($AN$5:$AN$77, MATCH($A137,_xlfn.ANCHORARRAY( $W$5), 0))
)</f>
        <v>0.72031641862181561</v>
      </c>
      <c r="BS137" s="17" cm="1">
        <f t="array" ref="BS137">MMULT(
    MMULT(
        INDEX($X$5:$AM$77, MATCH(BS$100,_xlfn.ANCHORARRAY( $W$5), 0), 0),
        $F$5:$U$20
    ),
    TRANSPOSE(
        INDEX($X$5:$AM$77, MATCH($A137,_xlfn.ANCHORARRAY( $W$5), 0), 0)
    )
)
/
(
    INDEX($AN$5:$AN$77, MATCH(BS$100,_xlfn.ANCHORARRAY( $W$5), 0))
    *
    INDEX($AN$5:$AN$77, MATCH($A137,_xlfn.ANCHORARRAY( $W$5), 0))
)</f>
        <v>0.95051290657933052</v>
      </c>
      <c r="BT137" s="17" cm="1">
        <f t="array" ref="BT137">MMULT(
    MMULT(
        INDEX($X$5:$AM$77, MATCH(BT$100,_xlfn.ANCHORARRAY( $W$5), 0), 0),
        $F$5:$U$20
    ),
    TRANSPOSE(
        INDEX($X$5:$AM$77, MATCH($A137,_xlfn.ANCHORARRAY( $W$5), 0), 0)
    )
)
/
(
    INDEX($AN$5:$AN$77, MATCH(BT$100,_xlfn.ANCHORARRAY( $W$5), 0))
    *
    INDEX($AN$5:$AN$77, MATCH($A137,_xlfn.ANCHORARRAY( $W$5), 0))
)</f>
        <v>0.84395631508867264</v>
      </c>
      <c r="BU137" s="17" cm="1">
        <f t="array" ref="BU137">MMULT(
    MMULT(
        INDEX($X$5:$AM$77, MATCH(BU$100,_xlfn.ANCHORARRAY( $W$5), 0), 0),
        $F$5:$U$20
    ),
    TRANSPOSE(
        INDEX($X$5:$AM$77, MATCH($A137,_xlfn.ANCHORARRAY( $W$5), 0), 0)
    )
)
/
(
    INDEX($AN$5:$AN$77, MATCH(BU$100,_xlfn.ANCHORARRAY( $W$5), 0))
    *
    INDEX($AN$5:$AN$77, MATCH($A137,_xlfn.ANCHORARRAY( $W$5), 0))
)</f>
        <v>0.56427089162292565</v>
      </c>
      <c r="BV137" s="17" cm="1">
        <f t="array" ref="BV137">MMULT(
    MMULT(
        INDEX($X$5:$AM$77, MATCH(BV$100,_xlfn.ANCHORARRAY( $W$5), 0), 0),
        $F$5:$U$20
    ),
    TRANSPOSE(
        INDEX($X$5:$AM$77, MATCH($A137,_xlfn.ANCHORARRAY( $W$5), 0), 0)
    )
)
/
(
    INDEX($AN$5:$AN$77, MATCH(BV$100,_xlfn.ANCHORARRAY( $W$5), 0))
    *
    INDEX($AN$5:$AN$77, MATCH($A137,_xlfn.ANCHORARRAY( $W$5), 0))
)</f>
        <v>0.6038412010133547</v>
      </c>
    </row>
    <row r="138" spans="1:74" x14ac:dyDescent="0.3">
      <c r="A138" s="7" t="str">
        <v>Greene, Shane</v>
      </c>
      <c r="B138" s="17" cm="1">
        <f t="array" ref="B138">MMULT(
    MMULT(
        INDEX($X$5:$AM$77, MATCH(B$100,_xlfn.ANCHORARRAY( $W$5), 0), 0),
        $F$5:$U$20
    ),
    TRANSPOSE(
        INDEX($X$5:$AM$77, MATCH($A138,_xlfn.ANCHORARRAY( $W$5), 0), 0)
    )
)
/
(
    INDEX($AN$5:$AN$77, MATCH(B$100,_xlfn.ANCHORARRAY( $W$5), 0))
    *
    INDEX($AN$5:$AN$77, MATCH($A138,_xlfn.ANCHORARRAY( $W$5), 0))
)</f>
        <v>0.77616002876626922</v>
      </c>
      <c r="C138" s="17" cm="1">
        <f t="array" ref="C138">MMULT(
    MMULT(
        INDEX($X$5:$AM$77, MATCH(C$100,_xlfn.ANCHORARRAY( $W$5), 0), 0),
        $F$5:$U$20
    ),
    TRANSPOSE(
        INDEX($X$5:$AM$77, MATCH($A138,_xlfn.ANCHORARRAY( $W$5), 0), 0)
    )
)
/
(
    INDEX($AN$5:$AN$77, MATCH(C$100,_xlfn.ANCHORARRAY( $W$5), 0))
    *
    INDEX($AN$5:$AN$77, MATCH($A138,_xlfn.ANCHORARRAY( $W$5), 0))
)</f>
        <v>0.6441886830214385</v>
      </c>
      <c r="D138" s="17" cm="1">
        <f t="array" ref="D138">MMULT(
    MMULT(
        INDEX($X$5:$AM$77, MATCH(D$100,_xlfn.ANCHORARRAY( $W$5), 0), 0),
        $F$5:$U$20
    ),
    TRANSPOSE(
        INDEX($X$5:$AM$77, MATCH($A138,_xlfn.ANCHORARRAY( $W$5), 0), 0)
    )
)
/
(
    INDEX($AN$5:$AN$77, MATCH(D$100,_xlfn.ANCHORARRAY( $W$5), 0))
    *
    INDEX($AN$5:$AN$77, MATCH($A138,_xlfn.ANCHORARRAY( $W$5), 0))
)</f>
        <v>0.74692317058722923</v>
      </c>
      <c r="E138" s="17" cm="1">
        <f t="array" ref="E138">MMULT(
    MMULT(
        INDEX($X$5:$AM$77, MATCH(E$100,_xlfn.ANCHORARRAY( $W$5), 0), 0),
        $F$5:$U$20
    ),
    TRANSPOSE(
        INDEX($X$5:$AM$77, MATCH($A138,_xlfn.ANCHORARRAY( $W$5), 0), 0)
    )
)
/
(
    INDEX($AN$5:$AN$77, MATCH(E$100,_xlfn.ANCHORARRAY( $W$5), 0))
    *
    INDEX($AN$5:$AN$77, MATCH($A138,_xlfn.ANCHORARRAY( $W$5), 0))
)</f>
        <v>0.87707143686091327</v>
      </c>
      <c r="F138" s="17" cm="1">
        <f t="array" ref="F138">MMULT(
    MMULT(
        INDEX($X$5:$AM$77, MATCH(F$100,_xlfn.ANCHORARRAY( $W$5), 0), 0),
        $F$5:$U$20
    ),
    TRANSPOSE(
        INDEX($X$5:$AM$77, MATCH($A138,_xlfn.ANCHORARRAY( $W$5), 0), 0)
    )
)
/
(
    INDEX($AN$5:$AN$77, MATCH(F$100,_xlfn.ANCHORARRAY( $W$5), 0))
    *
    INDEX($AN$5:$AN$77, MATCH($A138,_xlfn.ANCHORARRAY( $W$5), 0))
)</f>
        <v>0.71515534637702172</v>
      </c>
      <c r="G138" s="17" cm="1">
        <f t="array" ref="G138">MMULT(
    MMULT(
        INDEX($X$5:$AM$77, MATCH(G$100,_xlfn.ANCHORARRAY( $W$5), 0), 0),
        $F$5:$U$20
    ),
    TRANSPOSE(
        INDEX($X$5:$AM$77, MATCH($A138,_xlfn.ANCHORARRAY( $W$5), 0), 0)
    )
)
/
(
    INDEX($AN$5:$AN$77, MATCH(G$100,_xlfn.ANCHORARRAY( $W$5), 0))
    *
    INDEX($AN$5:$AN$77, MATCH($A138,_xlfn.ANCHORARRAY( $W$5), 0))
)</f>
        <v>0.61615843453614905</v>
      </c>
      <c r="H138" s="17" cm="1">
        <f t="array" ref="H138">MMULT(
    MMULT(
        INDEX($X$5:$AM$77, MATCH(H$100,_xlfn.ANCHORARRAY( $W$5), 0), 0),
        $F$5:$U$20
    ),
    TRANSPOSE(
        INDEX($X$5:$AM$77, MATCH($A138,_xlfn.ANCHORARRAY( $W$5), 0), 0)
    )
)
/
(
    INDEX($AN$5:$AN$77, MATCH(H$100,_xlfn.ANCHORARRAY( $W$5), 0))
    *
    INDEX($AN$5:$AN$77, MATCH($A138,_xlfn.ANCHORARRAY( $W$5), 0))
)</f>
        <v>0.83807407483707475</v>
      </c>
      <c r="I138" s="17" cm="1">
        <f t="array" ref="I138">MMULT(
    MMULT(
        INDEX($X$5:$AM$77, MATCH(I$100,_xlfn.ANCHORARRAY( $W$5), 0), 0),
        $F$5:$U$20
    ),
    TRANSPOSE(
        INDEX($X$5:$AM$77, MATCH($A138,_xlfn.ANCHORARRAY( $W$5), 0), 0)
    )
)
/
(
    INDEX($AN$5:$AN$77, MATCH(I$100,_xlfn.ANCHORARRAY( $W$5), 0))
    *
    INDEX($AN$5:$AN$77, MATCH($A138,_xlfn.ANCHORARRAY( $W$5), 0))
)</f>
        <v>0.74273276743831562</v>
      </c>
      <c r="J138" s="17" cm="1">
        <f t="array" ref="J138">MMULT(
    MMULT(
        INDEX($X$5:$AM$77, MATCH(J$100,_xlfn.ANCHORARRAY( $W$5), 0), 0),
        $F$5:$U$20
    ),
    TRANSPOSE(
        INDEX($X$5:$AM$77, MATCH($A138,_xlfn.ANCHORARRAY( $W$5), 0), 0)
    )
)
/
(
    INDEX($AN$5:$AN$77, MATCH(J$100,_xlfn.ANCHORARRAY( $W$5), 0))
    *
    INDEX($AN$5:$AN$77, MATCH($A138,_xlfn.ANCHORARRAY( $W$5), 0))
)</f>
        <v>0.84381972326247423</v>
      </c>
      <c r="K138" s="17" cm="1">
        <f t="array" ref="K138">MMULT(
    MMULT(
        INDEX($X$5:$AM$77, MATCH(K$100,_xlfn.ANCHORARRAY( $W$5), 0), 0),
        $F$5:$U$20
    ),
    TRANSPOSE(
        INDEX($X$5:$AM$77, MATCH($A138,_xlfn.ANCHORARRAY( $W$5), 0), 0)
    )
)
/
(
    INDEX($AN$5:$AN$77, MATCH(K$100,_xlfn.ANCHORARRAY( $W$5), 0))
    *
    INDEX($AN$5:$AN$77, MATCH($A138,_xlfn.ANCHORARRAY( $W$5), 0))
)</f>
        <v>0.90928286453235385</v>
      </c>
      <c r="L138" s="17" cm="1">
        <f t="array" ref="L138">MMULT(
    MMULT(
        INDEX($X$5:$AM$77, MATCH(L$100,_xlfn.ANCHORARRAY( $W$5), 0), 0),
        $F$5:$U$20
    ),
    TRANSPOSE(
        INDEX($X$5:$AM$77, MATCH($A138,_xlfn.ANCHORARRAY( $W$5), 0), 0)
    )
)
/
(
    INDEX($AN$5:$AN$77, MATCH(L$100,_xlfn.ANCHORARRAY( $W$5), 0))
    *
    INDEX($AN$5:$AN$77, MATCH($A138,_xlfn.ANCHORARRAY( $W$5), 0))
)</f>
        <v>0.92659497024280768</v>
      </c>
      <c r="M138" s="17" cm="1">
        <f t="array" ref="M138">MMULT(
    MMULT(
        INDEX($X$5:$AM$77, MATCH(M$100,_xlfn.ANCHORARRAY( $W$5), 0), 0),
        $F$5:$U$20
    ),
    TRANSPOSE(
        INDEX($X$5:$AM$77, MATCH($A138,_xlfn.ANCHORARRAY( $W$5), 0), 0)
    )
)
/
(
    INDEX($AN$5:$AN$77, MATCH(M$100,_xlfn.ANCHORARRAY( $W$5), 0))
    *
    INDEX($AN$5:$AN$77, MATCH($A138,_xlfn.ANCHORARRAY( $W$5), 0))
)</f>
        <v>0.79027723861315513</v>
      </c>
      <c r="N138" s="17" cm="1">
        <f t="array" ref="N138">MMULT(
    MMULT(
        INDEX($X$5:$AM$77, MATCH(N$100,_xlfn.ANCHORARRAY( $W$5), 0), 0),
        $F$5:$U$20
    ),
    TRANSPOSE(
        INDEX($X$5:$AM$77, MATCH($A138,_xlfn.ANCHORARRAY( $W$5), 0), 0)
    )
)
/
(
    INDEX($AN$5:$AN$77, MATCH(N$100,_xlfn.ANCHORARRAY( $W$5), 0))
    *
    INDEX($AN$5:$AN$77, MATCH($A138,_xlfn.ANCHORARRAY( $W$5), 0))
)</f>
        <v>0.60043520711612408</v>
      </c>
      <c r="O138" s="17" cm="1">
        <f t="array" ref="O138">MMULT(
    MMULT(
        INDEX($X$5:$AM$77, MATCH(O$100,_xlfn.ANCHORARRAY( $W$5), 0), 0),
        $F$5:$U$20
    ),
    TRANSPOSE(
        INDEX($X$5:$AM$77, MATCH($A138,_xlfn.ANCHORARRAY( $W$5), 0), 0)
    )
)
/
(
    INDEX($AN$5:$AN$77, MATCH(O$100,_xlfn.ANCHORARRAY( $W$5), 0))
    *
    INDEX($AN$5:$AN$77, MATCH($A138,_xlfn.ANCHORARRAY( $W$5), 0))
)</f>
        <v>0.61179566694249565</v>
      </c>
      <c r="P138" s="17" cm="1">
        <f t="array" ref="P138">MMULT(
    MMULT(
        INDEX($X$5:$AM$77, MATCH(P$100,_xlfn.ANCHORARRAY( $W$5), 0), 0),
        $F$5:$U$20
    ),
    TRANSPOSE(
        INDEX($X$5:$AM$77, MATCH($A138,_xlfn.ANCHORARRAY( $W$5), 0), 0)
    )
)
/
(
    INDEX($AN$5:$AN$77, MATCH(P$100,_xlfn.ANCHORARRAY( $W$5), 0))
    *
    INDEX($AN$5:$AN$77, MATCH($A138,_xlfn.ANCHORARRAY( $W$5), 0))
)</f>
        <v>0.74327452652279391</v>
      </c>
      <c r="Q138" s="17" cm="1">
        <f t="array" ref="Q138">MMULT(
    MMULT(
        INDEX($X$5:$AM$77, MATCH(Q$100,_xlfn.ANCHORARRAY( $W$5), 0), 0),
        $F$5:$U$20
    ),
    TRANSPOSE(
        INDEX($X$5:$AM$77, MATCH($A138,_xlfn.ANCHORARRAY( $W$5), 0), 0)
    )
)
/
(
    INDEX($AN$5:$AN$77, MATCH(Q$100,_xlfn.ANCHORARRAY( $W$5), 0))
    *
    INDEX($AN$5:$AN$77, MATCH($A138,_xlfn.ANCHORARRAY( $W$5), 0))
)</f>
        <v>0.82226302489718572</v>
      </c>
      <c r="R138" s="17" cm="1">
        <f t="array" ref="R138">MMULT(
    MMULT(
        INDEX($X$5:$AM$77, MATCH(R$100,_xlfn.ANCHORARRAY( $W$5), 0), 0),
        $F$5:$U$20
    ),
    TRANSPOSE(
        INDEX($X$5:$AM$77, MATCH($A138,_xlfn.ANCHORARRAY( $W$5), 0), 0)
    )
)
/
(
    INDEX($AN$5:$AN$77, MATCH(R$100,_xlfn.ANCHORARRAY( $W$5), 0))
    *
    INDEX($AN$5:$AN$77, MATCH($A138,_xlfn.ANCHORARRAY( $W$5), 0))
)</f>
        <v>0.76347620475026778</v>
      </c>
      <c r="S138" s="17" cm="1">
        <f t="array" ref="S138">MMULT(
    MMULT(
        INDEX($X$5:$AM$77, MATCH(S$100,_xlfn.ANCHORARRAY( $W$5), 0), 0),
        $F$5:$U$20
    ),
    TRANSPOSE(
        INDEX($X$5:$AM$77, MATCH($A138,_xlfn.ANCHORARRAY( $W$5), 0), 0)
    )
)
/
(
    INDEX($AN$5:$AN$77, MATCH(S$100,_xlfn.ANCHORARRAY( $W$5), 0))
    *
    INDEX($AN$5:$AN$77, MATCH($A138,_xlfn.ANCHORARRAY( $W$5), 0))
)</f>
        <v>0.75301135439719047</v>
      </c>
      <c r="T138" s="17" cm="1">
        <f t="array" ref="T138">MMULT(
    MMULT(
        INDEX($X$5:$AM$77, MATCH(T$100,_xlfn.ANCHORARRAY( $W$5), 0), 0),
        $F$5:$U$20
    ),
    TRANSPOSE(
        INDEX($X$5:$AM$77, MATCH($A138,_xlfn.ANCHORARRAY( $W$5), 0), 0)
    )
)
/
(
    INDEX($AN$5:$AN$77, MATCH(T$100,_xlfn.ANCHORARRAY( $W$5), 0))
    *
    INDEX($AN$5:$AN$77, MATCH($A138,_xlfn.ANCHORARRAY( $W$5), 0))
)</f>
        <v>0.26600119819508838</v>
      </c>
      <c r="U138" s="17" cm="1">
        <f t="array" ref="U138">MMULT(
    MMULT(
        INDEX($X$5:$AM$77, MATCH(U$100,_xlfn.ANCHORARRAY( $W$5), 0), 0),
        $F$5:$U$20
    ),
    TRANSPOSE(
        INDEX($X$5:$AM$77, MATCH($A138,_xlfn.ANCHORARRAY( $W$5), 0), 0)
    )
)
/
(
    INDEX($AN$5:$AN$77, MATCH(U$100,_xlfn.ANCHORARRAY( $W$5), 0))
    *
    INDEX($AN$5:$AN$77, MATCH($A138,_xlfn.ANCHORARRAY( $W$5), 0))
)</f>
        <v>0.73538790863466597</v>
      </c>
      <c r="V138" s="17" cm="1">
        <f t="array" ref="V138">MMULT(
    MMULT(
        INDEX($X$5:$AM$77, MATCH(V$100,_xlfn.ANCHORARRAY( $W$5), 0), 0),
        $F$5:$U$20
    ),
    TRANSPOSE(
        INDEX($X$5:$AM$77, MATCH($A138,_xlfn.ANCHORARRAY( $W$5), 0), 0)
    )
)
/
(
    INDEX($AN$5:$AN$77, MATCH(V$100,_xlfn.ANCHORARRAY( $W$5), 0))
    *
    INDEX($AN$5:$AN$77, MATCH($A138,_xlfn.ANCHORARRAY( $W$5), 0))
)</f>
        <v>0.73232285859898949</v>
      </c>
      <c r="W138" s="17" cm="1">
        <f t="array" ref="W138">MMULT(
    MMULT(
        INDEX($X$5:$AM$77, MATCH(W$100,_xlfn.ANCHORARRAY( $W$5), 0), 0),
        $F$5:$U$20
    ),
    TRANSPOSE(
        INDEX($X$5:$AM$77, MATCH($A138,_xlfn.ANCHORARRAY( $W$5), 0), 0)
    )
)
/
(
    INDEX($AN$5:$AN$77, MATCH(W$100,_xlfn.ANCHORARRAY( $W$5), 0))
    *
    INDEX($AN$5:$AN$77, MATCH($A138,_xlfn.ANCHORARRAY( $W$5), 0))
)</f>
        <v>0.83793095523145</v>
      </c>
      <c r="X138" s="17" cm="1">
        <f t="array" ref="X138">MMULT(
    MMULT(
        INDEX($X$5:$AM$77, MATCH(X$100,_xlfn.ANCHORARRAY( $W$5), 0), 0),
        $F$5:$U$20
    ),
    TRANSPOSE(
        INDEX($X$5:$AM$77, MATCH($A138,_xlfn.ANCHORARRAY( $W$5), 0), 0)
    )
)
/
(
    INDEX($AN$5:$AN$77, MATCH(X$100,_xlfn.ANCHORARRAY( $W$5), 0))
    *
    INDEX($AN$5:$AN$77, MATCH($A138,_xlfn.ANCHORARRAY( $W$5), 0))
)</f>
        <v>0.68679262855832979</v>
      </c>
      <c r="Y138" s="17" cm="1">
        <f t="array" ref="Y138">MMULT(
    MMULT(
        INDEX($X$5:$AM$77, MATCH(Y$100,_xlfn.ANCHORARRAY( $W$5), 0), 0),
        $F$5:$U$20
    ),
    TRANSPOSE(
        INDEX($X$5:$AM$77, MATCH($A138,_xlfn.ANCHORARRAY( $W$5), 0), 0)
    )
)
/
(
    INDEX($AN$5:$AN$77, MATCH(Y$100,_xlfn.ANCHORARRAY( $W$5), 0))
    *
    INDEX($AN$5:$AN$77, MATCH($A138,_xlfn.ANCHORARRAY( $W$5), 0))
)</f>
        <v>0.72653499006770383</v>
      </c>
      <c r="Z138" s="17" cm="1">
        <f t="array" ref="Z138">MMULT(
    MMULT(
        INDEX($X$5:$AM$77, MATCH(Z$100,_xlfn.ANCHORARRAY( $W$5), 0), 0),
        $F$5:$U$20
    ),
    TRANSPOSE(
        INDEX($X$5:$AM$77, MATCH($A138,_xlfn.ANCHORARRAY( $W$5), 0), 0)
    )
)
/
(
    INDEX($AN$5:$AN$77, MATCH(Z$100,_xlfn.ANCHORARRAY( $W$5), 0))
    *
    INDEX($AN$5:$AN$77, MATCH($A138,_xlfn.ANCHORARRAY( $W$5), 0))
)</f>
        <v>0.71922885699202044</v>
      </c>
      <c r="AA138" s="17" cm="1">
        <f t="array" ref="AA138">MMULT(
    MMULT(
        INDEX($X$5:$AM$77, MATCH(AA$100,_xlfn.ANCHORARRAY( $W$5), 0), 0),
        $F$5:$U$20
    ),
    TRANSPOSE(
        INDEX($X$5:$AM$77, MATCH($A138,_xlfn.ANCHORARRAY( $W$5), 0), 0)
    )
)
/
(
    INDEX($AN$5:$AN$77, MATCH(AA$100,_xlfn.ANCHORARRAY( $W$5), 0))
    *
    INDEX($AN$5:$AN$77, MATCH($A138,_xlfn.ANCHORARRAY( $W$5), 0))
)</f>
        <v>0.67019850321603058</v>
      </c>
      <c r="AB138" s="17" cm="1">
        <f t="array" ref="AB138">MMULT(
    MMULT(
        INDEX($X$5:$AM$77, MATCH(AB$100,_xlfn.ANCHORARRAY( $W$5), 0), 0),
        $F$5:$U$20
    ),
    TRANSPOSE(
        INDEX($X$5:$AM$77, MATCH($A138,_xlfn.ANCHORARRAY( $W$5), 0), 0)
    )
)
/
(
    INDEX($AN$5:$AN$77, MATCH(AB$100,_xlfn.ANCHORARRAY( $W$5), 0))
    *
    INDEX($AN$5:$AN$77, MATCH($A138,_xlfn.ANCHORARRAY( $W$5), 0))
)</f>
        <v>0.8551713492856039</v>
      </c>
      <c r="AC138" s="17" cm="1">
        <f t="array" ref="AC138">MMULT(
    MMULT(
        INDEX($X$5:$AM$77, MATCH(AC$100,_xlfn.ANCHORARRAY( $W$5), 0), 0),
        $F$5:$U$20
    ),
    TRANSPOSE(
        INDEX($X$5:$AM$77, MATCH($A138,_xlfn.ANCHORARRAY( $W$5), 0), 0)
    )
)
/
(
    INDEX($AN$5:$AN$77, MATCH(AC$100,_xlfn.ANCHORARRAY( $W$5), 0))
    *
    INDEX($AN$5:$AN$77, MATCH($A138,_xlfn.ANCHORARRAY( $W$5), 0))
)</f>
        <v>0.9012955312152896</v>
      </c>
      <c r="AD138" s="17" cm="1">
        <f t="array" ref="AD138">MMULT(
    MMULT(
        INDEX($X$5:$AM$77, MATCH(AD$100,_xlfn.ANCHORARRAY( $W$5), 0), 0),
        $F$5:$U$20
    ),
    TRANSPOSE(
        INDEX($X$5:$AM$77, MATCH($A138,_xlfn.ANCHORARRAY( $W$5), 0), 0)
    )
)
/
(
    INDEX($AN$5:$AN$77, MATCH(AD$100,_xlfn.ANCHORARRAY( $W$5), 0))
    *
    INDEX($AN$5:$AN$77, MATCH($A138,_xlfn.ANCHORARRAY( $W$5), 0))
)</f>
        <v>0.73716518866516278</v>
      </c>
      <c r="AE138" s="17" cm="1">
        <f t="array" ref="AE138">MMULT(
    MMULT(
        INDEX($X$5:$AM$77, MATCH(AE$100,_xlfn.ANCHORARRAY( $W$5), 0), 0),
        $F$5:$U$20
    ),
    TRANSPOSE(
        INDEX($X$5:$AM$77, MATCH($A138,_xlfn.ANCHORARRAY( $W$5), 0), 0)
    )
)
/
(
    INDEX($AN$5:$AN$77, MATCH(AE$100,_xlfn.ANCHORARRAY( $W$5), 0))
    *
    INDEX($AN$5:$AN$77, MATCH($A138,_xlfn.ANCHORARRAY( $W$5), 0))
)</f>
        <v>0.68576061559787538</v>
      </c>
      <c r="AF138" s="17" cm="1">
        <f t="array" ref="AF138">MMULT(
    MMULT(
        INDEX($X$5:$AM$77, MATCH(AF$100,_xlfn.ANCHORARRAY( $W$5), 0), 0),
        $F$5:$U$20
    ),
    TRANSPOSE(
        INDEX($X$5:$AM$77, MATCH($A138,_xlfn.ANCHORARRAY( $W$5), 0), 0)
    )
)
/
(
    INDEX($AN$5:$AN$77, MATCH(AF$100,_xlfn.ANCHORARRAY( $W$5), 0))
    *
    INDEX($AN$5:$AN$77, MATCH($A138,_xlfn.ANCHORARRAY( $W$5), 0))
)</f>
        <v>0.79262748678534833</v>
      </c>
      <c r="AG138" s="17" cm="1">
        <f t="array" ref="AG138">MMULT(
    MMULT(
        INDEX($X$5:$AM$77, MATCH(AG$100,_xlfn.ANCHORARRAY( $W$5), 0), 0),
        $F$5:$U$20
    ),
    TRANSPOSE(
        INDEX($X$5:$AM$77, MATCH($A138,_xlfn.ANCHORARRAY( $W$5), 0), 0)
    )
)
/
(
    INDEX($AN$5:$AN$77, MATCH(AG$100,_xlfn.ANCHORARRAY( $W$5), 0))
    *
    INDEX($AN$5:$AN$77, MATCH($A138,_xlfn.ANCHORARRAY( $W$5), 0))
)</f>
        <v>0.87967139663603866</v>
      </c>
      <c r="AH138" s="17" cm="1">
        <f t="array" ref="AH138">MMULT(
    MMULT(
        INDEX($X$5:$AM$77, MATCH(AH$100,_xlfn.ANCHORARRAY( $W$5), 0), 0),
        $F$5:$U$20
    ),
    TRANSPOSE(
        INDEX($X$5:$AM$77, MATCH($A138,_xlfn.ANCHORARRAY( $W$5), 0), 0)
    )
)
/
(
    INDEX($AN$5:$AN$77, MATCH(AH$100,_xlfn.ANCHORARRAY( $W$5), 0))
    *
    INDEX($AN$5:$AN$77, MATCH($A138,_xlfn.ANCHORARRAY( $W$5), 0))
)</f>
        <v>0.59479930755375343</v>
      </c>
      <c r="AI138" s="17" cm="1">
        <f t="array" ref="AI138">MMULT(
    MMULT(
        INDEX($X$5:$AM$77, MATCH(AI$100,_xlfn.ANCHORARRAY( $W$5), 0), 0),
        $F$5:$U$20
    ),
    TRANSPOSE(
        INDEX($X$5:$AM$77, MATCH($A138,_xlfn.ANCHORARRAY( $W$5), 0), 0)
    )
)
/
(
    INDEX($AN$5:$AN$77, MATCH(AI$100,_xlfn.ANCHORARRAY( $W$5), 0))
    *
    INDEX($AN$5:$AN$77, MATCH($A138,_xlfn.ANCHORARRAY( $W$5), 0))
)</f>
        <v>0.82019487165094684</v>
      </c>
      <c r="AJ138" s="17" cm="1">
        <f t="array" ref="AJ138">MMULT(
    MMULT(
        INDEX($X$5:$AM$77, MATCH(AJ$100,_xlfn.ANCHORARRAY( $W$5), 0), 0),
        $F$5:$U$20
    ),
    TRANSPOSE(
        INDEX($X$5:$AM$77, MATCH($A138,_xlfn.ANCHORARRAY( $W$5), 0), 0)
    )
)
/
(
    INDEX($AN$5:$AN$77, MATCH(AJ$100,_xlfn.ANCHORARRAY( $W$5), 0))
    *
    INDEX($AN$5:$AN$77, MATCH($A138,_xlfn.ANCHORARRAY( $W$5), 0))
)</f>
        <v>0.66936228496610795</v>
      </c>
      <c r="AK138" s="17" cm="1">
        <f t="array" ref="AK138">MMULT(
    MMULT(
        INDEX($X$5:$AM$77, MATCH(AK$100,_xlfn.ANCHORARRAY( $W$5), 0), 0),
        $F$5:$U$20
    ),
    TRANSPOSE(
        INDEX($X$5:$AM$77, MATCH($A138,_xlfn.ANCHORARRAY( $W$5), 0), 0)
    )
)
/
(
    INDEX($AN$5:$AN$77, MATCH(AK$100,_xlfn.ANCHORARRAY( $W$5), 0))
    *
    INDEX($AN$5:$AN$77, MATCH($A138,_xlfn.ANCHORARRAY( $W$5), 0))
)</f>
        <v>0.93030723052512188</v>
      </c>
      <c r="AL138" s="17" cm="1">
        <f t="array" ref="AL138">MMULT(
    MMULT(
        INDEX($X$5:$AM$77, MATCH(AL$100,_xlfn.ANCHORARRAY( $W$5), 0), 0),
        $F$5:$U$20
    ),
    TRANSPOSE(
        INDEX($X$5:$AM$77, MATCH($A138,_xlfn.ANCHORARRAY( $W$5), 0), 0)
    )
)
/
(
    INDEX($AN$5:$AN$77, MATCH(AL$100,_xlfn.ANCHORARRAY( $W$5), 0))
    *
    INDEX($AN$5:$AN$77, MATCH($A138,_xlfn.ANCHORARRAY( $W$5), 0))
)</f>
        <v>0.63858519649334256</v>
      </c>
      <c r="AM138" s="17" cm="1">
        <f t="array" ref="AM138">MMULT(
    MMULT(
        INDEX($X$5:$AM$77, MATCH(AM$100,_xlfn.ANCHORARRAY( $W$5), 0), 0),
        $F$5:$U$20
    ),
    TRANSPOSE(
        INDEX($X$5:$AM$77, MATCH($A138,_xlfn.ANCHORARRAY( $W$5), 0), 0)
    )
)
/
(
    INDEX($AN$5:$AN$77, MATCH(AM$100,_xlfn.ANCHORARRAY( $W$5), 0))
    *
    INDEX($AN$5:$AN$77, MATCH($A138,_xlfn.ANCHORARRAY( $W$5), 0))
)</f>
        <v>1.0000000000000002</v>
      </c>
      <c r="AN138" s="17" cm="1">
        <f t="array" ref="AN138">MMULT(
    MMULT(
        INDEX($X$5:$AM$77, MATCH(AN$100,_xlfn.ANCHORARRAY( $W$5), 0), 0),
        $F$5:$U$20
    ),
    TRANSPOSE(
        INDEX($X$5:$AM$77, MATCH($A138,_xlfn.ANCHORARRAY( $W$5), 0), 0)
    )
)
/
(
    INDEX($AN$5:$AN$77, MATCH(AN$100,_xlfn.ANCHORARRAY( $W$5), 0))
    *
    INDEX($AN$5:$AN$77, MATCH($A138,_xlfn.ANCHORARRAY( $W$5), 0))
)</f>
        <v>0.65769542779385926</v>
      </c>
      <c r="AO138" s="17" cm="1">
        <f t="array" ref="AO138">MMULT(
    MMULT(
        INDEX($X$5:$AM$77, MATCH(AO$100,_xlfn.ANCHORARRAY( $W$5), 0), 0),
        $F$5:$U$20
    ),
    TRANSPOSE(
        INDEX($X$5:$AM$77, MATCH($A138,_xlfn.ANCHORARRAY( $W$5), 0), 0)
    )
)
/
(
    INDEX($AN$5:$AN$77, MATCH(AO$100,_xlfn.ANCHORARRAY( $W$5), 0))
    *
    INDEX($AN$5:$AN$77, MATCH($A138,_xlfn.ANCHORARRAY( $W$5), 0))
)</f>
        <v>0.92806422356969642</v>
      </c>
      <c r="AP138" s="17" cm="1">
        <f t="array" ref="AP138">MMULT(
    MMULT(
        INDEX($X$5:$AM$77, MATCH(AP$100,_xlfn.ANCHORARRAY( $W$5), 0), 0),
        $F$5:$U$20
    ),
    TRANSPOSE(
        INDEX($X$5:$AM$77, MATCH($A138,_xlfn.ANCHORARRAY( $W$5), 0), 0)
    )
)
/
(
    INDEX($AN$5:$AN$77, MATCH(AP$100,_xlfn.ANCHORARRAY( $W$5), 0))
    *
    INDEX($AN$5:$AN$77, MATCH($A138,_xlfn.ANCHORARRAY( $W$5), 0))
)</f>
        <v>0.76300987110522245</v>
      </c>
      <c r="AQ138" s="17" cm="1">
        <f t="array" ref="AQ138">MMULT(
    MMULT(
        INDEX($X$5:$AM$77, MATCH(AQ$100,_xlfn.ANCHORARRAY( $W$5), 0), 0),
        $F$5:$U$20
    ),
    TRANSPOSE(
        INDEX($X$5:$AM$77, MATCH($A138,_xlfn.ANCHORARRAY( $W$5), 0), 0)
    )
)
/
(
    INDEX($AN$5:$AN$77, MATCH(AQ$100,_xlfn.ANCHORARRAY( $W$5), 0))
    *
    INDEX($AN$5:$AN$77, MATCH($A138,_xlfn.ANCHORARRAY( $W$5), 0))
)</f>
        <v>0.64406438374849262</v>
      </c>
      <c r="AR138" s="17" cm="1">
        <f t="array" ref="AR138">MMULT(
    MMULT(
        INDEX($X$5:$AM$77, MATCH(AR$100,_xlfn.ANCHORARRAY( $W$5), 0), 0),
        $F$5:$U$20
    ),
    TRANSPOSE(
        INDEX($X$5:$AM$77, MATCH($A138,_xlfn.ANCHORARRAY( $W$5), 0), 0)
    )
)
/
(
    INDEX($AN$5:$AN$77, MATCH(AR$100,_xlfn.ANCHORARRAY( $W$5), 0))
    *
    INDEX($AN$5:$AN$77, MATCH($A138,_xlfn.ANCHORARRAY( $W$5), 0))
)</f>
        <v>0.68046475870410283</v>
      </c>
      <c r="AS138" s="17" cm="1">
        <f t="array" ref="AS138">MMULT(
    MMULT(
        INDEX($X$5:$AM$77, MATCH(AS$100,_xlfn.ANCHORARRAY( $W$5), 0), 0),
        $F$5:$U$20
    ),
    TRANSPOSE(
        INDEX($X$5:$AM$77, MATCH($A138,_xlfn.ANCHORARRAY( $W$5), 0), 0)
    )
)
/
(
    INDEX($AN$5:$AN$77, MATCH(AS$100,_xlfn.ANCHORARRAY( $W$5), 0))
    *
    INDEX($AN$5:$AN$77, MATCH($A138,_xlfn.ANCHORARRAY( $W$5), 0))
)</f>
        <v>0.69746065601327811</v>
      </c>
      <c r="AT138" s="17" cm="1">
        <f t="array" ref="AT138">MMULT(
    MMULT(
        INDEX($X$5:$AM$77, MATCH(AT$100,_xlfn.ANCHORARRAY( $W$5), 0), 0),
        $F$5:$U$20
    ),
    TRANSPOSE(
        INDEX($X$5:$AM$77, MATCH($A138,_xlfn.ANCHORARRAY( $W$5), 0), 0)
    )
)
/
(
    INDEX($AN$5:$AN$77, MATCH(AT$100,_xlfn.ANCHORARRAY( $W$5), 0))
    *
    INDEX($AN$5:$AN$77, MATCH($A138,_xlfn.ANCHORARRAY( $W$5), 0))
)</f>
        <v>0.87269343267207133</v>
      </c>
      <c r="AU138" s="17" cm="1">
        <f t="array" ref="AU138">MMULT(
    MMULT(
        INDEX($X$5:$AM$77, MATCH(AU$100,_xlfn.ANCHORARRAY( $W$5), 0), 0),
        $F$5:$U$20
    ),
    TRANSPOSE(
        INDEX($X$5:$AM$77, MATCH($A138,_xlfn.ANCHORARRAY( $W$5), 0), 0)
    )
)
/
(
    INDEX($AN$5:$AN$77, MATCH(AU$100,_xlfn.ANCHORARRAY( $W$5), 0))
    *
    INDEX($AN$5:$AN$77, MATCH($A138,_xlfn.ANCHORARRAY( $W$5), 0))
)</f>
        <v>0.69563434496049259</v>
      </c>
      <c r="AV138" s="17" cm="1">
        <f t="array" ref="AV138">MMULT(
    MMULT(
        INDEX($X$5:$AM$77, MATCH(AV$100,_xlfn.ANCHORARRAY( $W$5), 0), 0),
        $F$5:$U$20
    ),
    TRANSPOSE(
        INDEX($X$5:$AM$77, MATCH($A138,_xlfn.ANCHORARRAY( $W$5), 0), 0)
    )
)
/
(
    INDEX($AN$5:$AN$77, MATCH(AV$100,_xlfn.ANCHORARRAY( $W$5), 0))
    *
    INDEX($AN$5:$AN$77, MATCH($A138,_xlfn.ANCHORARRAY( $W$5), 0))
)</f>
        <v>0.74203515012751187</v>
      </c>
      <c r="AW138" s="17" cm="1">
        <f t="array" ref="AW138">MMULT(
    MMULT(
        INDEX($X$5:$AM$77, MATCH(AW$100,_xlfn.ANCHORARRAY( $W$5), 0), 0),
        $F$5:$U$20
    ),
    TRANSPOSE(
        INDEX($X$5:$AM$77, MATCH($A138,_xlfn.ANCHORARRAY( $W$5), 0), 0)
    )
)
/
(
    INDEX($AN$5:$AN$77, MATCH(AW$100,_xlfn.ANCHORARRAY( $W$5), 0))
    *
    INDEX($AN$5:$AN$77, MATCH($A138,_xlfn.ANCHORARRAY( $W$5), 0))
)</f>
        <v>0.83508494928836996</v>
      </c>
      <c r="AX138" s="17" cm="1">
        <f t="array" ref="AX138">MMULT(
    MMULT(
        INDEX($X$5:$AM$77, MATCH(AX$100,_xlfn.ANCHORARRAY( $W$5), 0), 0),
        $F$5:$U$20
    ),
    TRANSPOSE(
        INDEX($X$5:$AM$77, MATCH($A138,_xlfn.ANCHORARRAY( $W$5), 0), 0)
    )
)
/
(
    INDEX($AN$5:$AN$77, MATCH(AX$100,_xlfn.ANCHORARRAY( $W$5), 0))
    *
    INDEX($AN$5:$AN$77, MATCH($A138,_xlfn.ANCHORARRAY( $W$5), 0))
)</f>
        <v>0.7088424187256589</v>
      </c>
      <c r="AY138" s="17" cm="1">
        <f t="array" ref="AY138">MMULT(
    MMULT(
        INDEX($X$5:$AM$77, MATCH(AY$100,_xlfn.ANCHORARRAY( $W$5), 0), 0),
        $F$5:$U$20
    ),
    TRANSPOSE(
        INDEX($X$5:$AM$77, MATCH($A138,_xlfn.ANCHORARRAY( $W$5), 0), 0)
    )
)
/
(
    INDEX($AN$5:$AN$77, MATCH(AY$100,_xlfn.ANCHORARRAY( $W$5), 0))
    *
    INDEX($AN$5:$AN$77, MATCH($A138,_xlfn.ANCHORARRAY( $W$5), 0))
)</f>
        <v>0.55567274193010807</v>
      </c>
      <c r="AZ138" s="17" cm="1">
        <f t="array" ref="AZ138">MMULT(
    MMULT(
        INDEX($X$5:$AM$77, MATCH(AZ$100,_xlfn.ANCHORARRAY( $W$5), 0), 0),
        $F$5:$U$20
    ),
    TRANSPOSE(
        INDEX($X$5:$AM$77, MATCH($A138,_xlfn.ANCHORARRAY( $W$5), 0), 0)
    )
)
/
(
    INDEX($AN$5:$AN$77, MATCH(AZ$100,_xlfn.ANCHORARRAY( $W$5), 0))
    *
    INDEX($AN$5:$AN$77, MATCH($A138,_xlfn.ANCHORARRAY( $W$5), 0))
)</f>
        <v>0.72022494251145619</v>
      </c>
      <c r="BA138" s="17" cm="1">
        <f t="array" ref="BA138">MMULT(
    MMULT(
        INDEX($X$5:$AM$77, MATCH(BA$100,_xlfn.ANCHORARRAY( $W$5), 0), 0),
        $F$5:$U$20
    ),
    TRANSPOSE(
        INDEX($X$5:$AM$77, MATCH($A138,_xlfn.ANCHORARRAY( $W$5), 0), 0)
    )
)
/
(
    INDEX($AN$5:$AN$77, MATCH(BA$100,_xlfn.ANCHORARRAY( $W$5), 0))
    *
    INDEX($AN$5:$AN$77, MATCH($A138,_xlfn.ANCHORARRAY( $W$5), 0))
)</f>
        <v>0.70643104320330719</v>
      </c>
      <c r="BB138" s="17" cm="1">
        <f t="array" ref="BB138">MMULT(
    MMULT(
        INDEX($X$5:$AM$77, MATCH(BB$100,_xlfn.ANCHORARRAY( $W$5), 0), 0),
        $F$5:$U$20
    ),
    TRANSPOSE(
        INDEX($X$5:$AM$77, MATCH($A138,_xlfn.ANCHORARRAY( $W$5), 0), 0)
    )
)
/
(
    INDEX($AN$5:$AN$77, MATCH(BB$100,_xlfn.ANCHORARRAY( $W$5), 0))
    *
    INDEX($AN$5:$AN$77, MATCH($A138,_xlfn.ANCHORARRAY( $W$5), 0))
)</f>
        <v>0.89257009761302641</v>
      </c>
      <c r="BC138" s="17" cm="1">
        <f t="array" ref="BC138">MMULT(
    MMULT(
        INDEX($X$5:$AM$77, MATCH(BC$100,_xlfn.ANCHORARRAY( $W$5), 0), 0),
        $F$5:$U$20
    ),
    TRANSPOSE(
        INDEX($X$5:$AM$77, MATCH($A138,_xlfn.ANCHORARRAY( $W$5), 0), 0)
    )
)
/
(
    INDEX($AN$5:$AN$77, MATCH(BC$100,_xlfn.ANCHORARRAY( $W$5), 0))
    *
    INDEX($AN$5:$AN$77, MATCH($A138,_xlfn.ANCHORARRAY( $W$5), 0))
)</f>
        <v>0.80856279555095856</v>
      </c>
      <c r="BD138" s="17" cm="1">
        <f t="array" ref="BD138">MMULT(
    MMULT(
        INDEX($X$5:$AM$77, MATCH(BD$100,_xlfn.ANCHORARRAY( $W$5), 0), 0),
        $F$5:$U$20
    ),
    TRANSPOSE(
        INDEX($X$5:$AM$77, MATCH($A138,_xlfn.ANCHORARRAY( $W$5), 0), 0)
    )
)
/
(
    INDEX($AN$5:$AN$77, MATCH(BD$100,_xlfn.ANCHORARRAY( $W$5), 0))
    *
    INDEX($AN$5:$AN$77, MATCH($A138,_xlfn.ANCHORARRAY( $W$5), 0))
)</f>
        <v>0.53697664948436119</v>
      </c>
      <c r="BE138" s="17" cm="1">
        <f t="array" ref="BE138">MMULT(
    MMULT(
        INDEX($X$5:$AM$77, MATCH(BE$100,_xlfn.ANCHORARRAY( $W$5), 0), 0),
        $F$5:$U$20
    ),
    TRANSPOSE(
        INDEX($X$5:$AM$77, MATCH($A138,_xlfn.ANCHORARRAY( $W$5), 0), 0)
    )
)
/
(
    INDEX($AN$5:$AN$77, MATCH(BE$100,_xlfn.ANCHORARRAY( $W$5), 0))
    *
    INDEX($AN$5:$AN$77, MATCH($A138,_xlfn.ANCHORARRAY( $W$5), 0))
)</f>
        <v>0.98620768109190393</v>
      </c>
      <c r="BF138" s="17" cm="1">
        <f t="array" ref="BF138">MMULT(
    MMULT(
        INDEX($X$5:$AM$77, MATCH(BF$100,_xlfn.ANCHORARRAY( $W$5), 0), 0),
        $F$5:$U$20
    ),
    TRANSPOSE(
        INDEX($X$5:$AM$77, MATCH($A138,_xlfn.ANCHORARRAY( $W$5), 0), 0)
    )
)
/
(
    INDEX($AN$5:$AN$77, MATCH(BF$100,_xlfn.ANCHORARRAY( $W$5), 0))
    *
    INDEX($AN$5:$AN$77, MATCH($A138,_xlfn.ANCHORARRAY( $W$5), 0))
)</f>
        <v>0.69955270438126094</v>
      </c>
      <c r="BG138" s="17" cm="1">
        <f t="array" ref="BG138">MMULT(
    MMULT(
        INDEX($X$5:$AM$77, MATCH(BG$100,_xlfn.ANCHORARRAY( $W$5), 0), 0),
        $F$5:$U$20
    ),
    TRANSPOSE(
        INDEX($X$5:$AM$77, MATCH($A138,_xlfn.ANCHORARRAY( $W$5), 0), 0)
    )
)
/
(
    INDEX($AN$5:$AN$77, MATCH(BG$100,_xlfn.ANCHORARRAY( $W$5), 0))
    *
    INDEX($AN$5:$AN$77, MATCH($A138,_xlfn.ANCHORARRAY( $W$5), 0))
)</f>
        <v>0.68566387845360743</v>
      </c>
      <c r="BH138" s="17" cm="1">
        <f t="array" ref="BH138">MMULT(
    MMULT(
        INDEX($X$5:$AM$77, MATCH(BH$100,_xlfn.ANCHORARRAY( $W$5), 0), 0),
        $F$5:$U$20
    ),
    TRANSPOSE(
        INDEX($X$5:$AM$77, MATCH($A138,_xlfn.ANCHORARRAY( $W$5), 0), 0)
    )
)
/
(
    INDEX($AN$5:$AN$77, MATCH(BH$100,_xlfn.ANCHORARRAY( $W$5), 0))
    *
    INDEX($AN$5:$AN$77, MATCH($A138,_xlfn.ANCHORARRAY( $W$5), 0))
)</f>
        <v>0.63922117471230555</v>
      </c>
      <c r="BI138" s="17" cm="1">
        <f t="array" ref="BI138">MMULT(
    MMULT(
        INDEX($X$5:$AM$77, MATCH(BI$100,_xlfn.ANCHORARRAY( $W$5), 0), 0),
        $F$5:$U$20
    ),
    TRANSPOSE(
        INDEX($X$5:$AM$77, MATCH($A138,_xlfn.ANCHORARRAY( $W$5), 0), 0)
    )
)
/
(
    INDEX($AN$5:$AN$77, MATCH(BI$100,_xlfn.ANCHORARRAY( $W$5), 0))
    *
    INDEX($AN$5:$AN$77, MATCH($A138,_xlfn.ANCHORARRAY( $W$5), 0))
)</f>
        <v>0.76582682626206178</v>
      </c>
      <c r="BJ138" s="17" cm="1">
        <f t="array" ref="BJ138">MMULT(
    MMULT(
        INDEX($X$5:$AM$77, MATCH(BJ$100,_xlfn.ANCHORARRAY( $W$5), 0), 0),
        $F$5:$U$20
    ),
    TRANSPOSE(
        INDEX($X$5:$AM$77, MATCH($A138,_xlfn.ANCHORARRAY( $W$5), 0), 0)
    )
)
/
(
    INDEX($AN$5:$AN$77, MATCH(BJ$100,_xlfn.ANCHORARRAY( $W$5), 0))
    *
    INDEX($AN$5:$AN$77, MATCH($A138,_xlfn.ANCHORARRAY( $W$5), 0))
)</f>
        <v>0.74675008546899013</v>
      </c>
      <c r="BK138" s="17" cm="1">
        <f t="array" ref="BK138">MMULT(
    MMULT(
        INDEX($X$5:$AM$77, MATCH(BK$100,_xlfn.ANCHORARRAY( $W$5), 0), 0),
        $F$5:$U$20
    ),
    TRANSPOSE(
        INDEX($X$5:$AM$77, MATCH($A138,_xlfn.ANCHORARRAY( $W$5), 0), 0)
    )
)
/
(
    INDEX($AN$5:$AN$77, MATCH(BK$100,_xlfn.ANCHORARRAY( $W$5), 0))
    *
    INDEX($AN$5:$AN$77, MATCH($A138,_xlfn.ANCHORARRAY( $W$5), 0))
)</f>
        <v>0.53069754892910037</v>
      </c>
      <c r="BL138" s="17" cm="1">
        <f t="array" ref="BL138">MMULT(
    MMULT(
        INDEX($X$5:$AM$77, MATCH(BL$100,_xlfn.ANCHORARRAY( $W$5), 0), 0),
        $F$5:$U$20
    ),
    TRANSPOSE(
        INDEX($X$5:$AM$77, MATCH($A138,_xlfn.ANCHORARRAY( $W$5), 0), 0)
    )
)
/
(
    INDEX($AN$5:$AN$77, MATCH(BL$100,_xlfn.ANCHORARRAY( $W$5), 0))
    *
    INDEX($AN$5:$AN$77, MATCH($A138,_xlfn.ANCHORARRAY( $W$5), 0))
)</f>
        <v>0.36492864314858625</v>
      </c>
      <c r="BM138" s="17" cm="1">
        <f t="array" ref="BM138">MMULT(
    MMULT(
        INDEX($X$5:$AM$77, MATCH(BM$100,_xlfn.ANCHORARRAY( $W$5), 0), 0),
        $F$5:$U$20
    ),
    TRANSPOSE(
        INDEX($X$5:$AM$77, MATCH($A138,_xlfn.ANCHORARRAY( $W$5), 0), 0)
    )
)
/
(
    INDEX($AN$5:$AN$77, MATCH(BM$100,_xlfn.ANCHORARRAY( $W$5), 0))
    *
    INDEX($AN$5:$AN$77, MATCH($A138,_xlfn.ANCHORARRAY( $W$5), 0))
)</f>
        <v>0.74377999186167498</v>
      </c>
      <c r="BN138" s="17" cm="1">
        <f t="array" ref="BN138">MMULT(
    MMULT(
        INDEX($X$5:$AM$77, MATCH(BN$100,_xlfn.ANCHORARRAY( $W$5), 0), 0),
        $F$5:$U$20
    ),
    TRANSPOSE(
        INDEX($X$5:$AM$77, MATCH($A138,_xlfn.ANCHORARRAY( $W$5), 0), 0)
    )
)
/
(
    INDEX($AN$5:$AN$77, MATCH(BN$100,_xlfn.ANCHORARRAY( $W$5), 0))
    *
    INDEX($AN$5:$AN$77, MATCH($A138,_xlfn.ANCHORARRAY( $W$5), 0))
)</f>
        <v>0.98319145141872599</v>
      </c>
      <c r="BO138" s="17" cm="1">
        <f t="array" ref="BO138">MMULT(
    MMULT(
        INDEX($X$5:$AM$77, MATCH(BO$100,_xlfn.ANCHORARRAY( $W$5), 0), 0),
        $F$5:$U$20
    ),
    TRANSPOSE(
        INDEX($X$5:$AM$77, MATCH($A138,_xlfn.ANCHORARRAY( $W$5), 0), 0)
    )
)
/
(
    INDEX($AN$5:$AN$77, MATCH(BO$100,_xlfn.ANCHORARRAY( $W$5), 0))
    *
    INDEX($AN$5:$AN$77, MATCH($A138,_xlfn.ANCHORARRAY( $W$5), 0))
)</f>
        <v>0.74577318406346094</v>
      </c>
      <c r="BP138" s="17" cm="1">
        <f t="array" ref="BP138">MMULT(
    MMULT(
        INDEX($X$5:$AM$77, MATCH(BP$100,_xlfn.ANCHORARRAY( $W$5), 0), 0),
        $F$5:$U$20
    ),
    TRANSPOSE(
        INDEX($X$5:$AM$77, MATCH($A138,_xlfn.ANCHORARRAY( $W$5), 0), 0)
    )
)
/
(
    INDEX($AN$5:$AN$77, MATCH(BP$100,_xlfn.ANCHORARRAY( $W$5), 0))
    *
    INDEX($AN$5:$AN$77, MATCH($A138,_xlfn.ANCHORARRAY( $W$5), 0))
)</f>
        <v>0.78169580916246295</v>
      </c>
      <c r="BQ138" s="17" cm="1">
        <f t="array" ref="BQ138">MMULT(
    MMULT(
        INDEX($X$5:$AM$77, MATCH(BQ$100,_xlfn.ANCHORARRAY( $W$5), 0), 0),
        $F$5:$U$20
    ),
    TRANSPOSE(
        INDEX($X$5:$AM$77, MATCH($A138,_xlfn.ANCHORARRAY( $W$5), 0), 0)
    )
)
/
(
    INDEX($AN$5:$AN$77, MATCH(BQ$100,_xlfn.ANCHORARRAY( $W$5), 0))
    *
    INDEX($AN$5:$AN$77, MATCH($A138,_xlfn.ANCHORARRAY( $W$5), 0))
)</f>
        <v>0.87397207978895886</v>
      </c>
      <c r="BR138" s="17" cm="1">
        <f t="array" ref="BR138">MMULT(
    MMULT(
        INDEX($X$5:$AM$77, MATCH(BR$100,_xlfn.ANCHORARRAY( $W$5), 0), 0),
        $F$5:$U$20
    ),
    TRANSPOSE(
        INDEX($X$5:$AM$77, MATCH($A138,_xlfn.ANCHORARRAY( $W$5), 0), 0)
    )
)
/
(
    INDEX($AN$5:$AN$77, MATCH(BR$100,_xlfn.ANCHORARRAY( $W$5), 0))
    *
    INDEX($AN$5:$AN$77, MATCH($A138,_xlfn.ANCHORARRAY( $W$5), 0))
)</f>
        <v>0.77830586688257841</v>
      </c>
      <c r="BS138" s="17" cm="1">
        <f t="array" ref="BS138">MMULT(
    MMULT(
        INDEX($X$5:$AM$77, MATCH(BS$100,_xlfn.ANCHORARRAY( $W$5), 0), 0),
        $F$5:$U$20
    ),
    TRANSPOSE(
        INDEX($X$5:$AM$77, MATCH($A138,_xlfn.ANCHORARRAY( $W$5), 0), 0)
    )
)
/
(
    INDEX($AN$5:$AN$77, MATCH(BS$100,_xlfn.ANCHORARRAY( $W$5), 0))
    *
    INDEX($AN$5:$AN$77, MATCH($A138,_xlfn.ANCHORARRAY( $W$5), 0))
)</f>
        <v>0.65154290009633697</v>
      </c>
      <c r="BT138" s="17" cm="1">
        <f t="array" ref="BT138">MMULT(
    MMULT(
        INDEX($X$5:$AM$77, MATCH(BT$100,_xlfn.ANCHORARRAY( $W$5), 0), 0),
        $F$5:$U$20
    ),
    TRANSPOSE(
        INDEX($X$5:$AM$77, MATCH($A138,_xlfn.ANCHORARRAY( $W$5), 0), 0)
    )
)
/
(
    INDEX($AN$5:$AN$77, MATCH(BT$100,_xlfn.ANCHORARRAY( $W$5), 0))
    *
    INDEX($AN$5:$AN$77, MATCH($A138,_xlfn.ANCHORARRAY( $W$5), 0))
)</f>
        <v>0.85079151272311648</v>
      </c>
      <c r="BU138" s="17" cm="1">
        <f t="array" ref="BU138">MMULT(
    MMULT(
        INDEX($X$5:$AM$77, MATCH(BU$100,_xlfn.ANCHORARRAY( $W$5), 0), 0),
        $F$5:$U$20
    ),
    TRANSPOSE(
        INDEX($X$5:$AM$77, MATCH($A138,_xlfn.ANCHORARRAY( $W$5), 0), 0)
    )
)
/
(
    INDEX($AN$5:$AN$77, MATCH(BU$100,_xlfn.ANCHORARRAY( $W$5), 0))
    *
    INDEX($AN$5:$AN$77, MATCH($A138,_xlfn.ANCHORARRAY( $W$5), 0))
)</f>
        <v>0.64383400611727815</v>
      </c>
      <c r="BV138" s="17" cm="1">
        <f t="array" ref="BV138">MMULT(
    MMULT(
        INDEX($X$5:$AM$77, MATCH(BV$100,_xlfn.ANCHORARRAY( $W$5), 0), 0),
        $F$5:$U$20
    ),
    TRANSPOSE(
        INDEX($X$5:$AM$77, MATCH($A138,_xlfn.ANCHORARRAY( $W$5), 0), 0)
    )
)
/
(
    INDEX($AN$5:$AN$77, MATCH(BV$100,_xlfn.ANCHORARRAY( $W$5), 0))
    *
    INDEX($AN$5:$AN$77, MATCH($A138,_xlfn.ANCHORARRAY( $W$5), 0))
)</f>
        <v>0.63509058955930153</v>
      </c>
    </row>
    <row r="139" spans="1:74" x14ac:dyDescent="0.3">
      <c r="A139" s="7" t="str">
        <v>Webb, Jacob</v>
      </c>
      <c r="B139" s="17" cm="1">
        <f t="array" ref="B139">MMULT(
    MMULT(
        INDEX($X$5:$AM$77, MATCH(B$100,_xlfn.ANCHORARRAY( $W$5), 0), 0),
        $F$5:$U$20
    ),
    TRANSPOSE(
        INDEX($X$5:$AM$77, MATCH($A139,_xlfn.ANCHORARRAY( $W$5), 0), 0)
    )
)
/
(
    INDEX($AN$5:$AN$77, MATCH(B$100,_xlfn.ANCHORARRAY( $W$5), 0))
    *
    INDEX($AN$5:$AN$77, MATCH($A139,_xlfn.ANCHORARRAY( $W$5), 0))
)</f>
        <v>0.82482699564002426</v>
      </c>
      <c r="C139" s="17" cm="1">
        <f t="array" ref="C139">MMULT(
    MMULT(
        INDEX($X$5:$AM$77, MATCH(C$100,_xlfn.ANCHORARRAY( $W$5), 0), 0),
        $F$5:$U$20
    ),
    TRANSPOSE(
        INDEX($X$5:$AM$77, MATCH($A139,_xlfn.ANCHORARRAY( $W$5), 0), 0)
    )
)
/
(
    INDEX($AN$5:$AN$77, MATCH(C$100,_xlfn.ANCHORARRAY( $W$5), 0))
    *
    INDEX($AN$5:$AN$77, MATCH($A139,_xlfn.ANCHORARRAY( $W$5), 0))
)</f>
        <v>0.74325905282766702</v>
      </c>
      <c r="D139" s="17" cm="1">
        <f t="array" ref="D139">MMULT(
    MMULT(
        INDEX($X$5:$AM$77, MATCH(D$100,_xlfn.ANCHORARRAY( $W$5), 0), 0),
        $F$5:$U$20
    ),
    TRANSPOSE(
        INDEX($X$5:$AM$77, MATCH($A139,_xlfn.ANCHORARRAY( $W$5), 0), 0)
    )
)
/
(
    INDEX($AN$5:$AN$77, MATCH(D$100,_xlfn.ANCHORARRAY( $W$5), 0))
    *
    INDEX($AN$5:$AN$77, MATCH($A139,_xlfn.ANCHORARRAY( $W$5), 0))
)</f>
        <v>0.79076090596940807</v>
      </c>
      <c r="E139" s="17" cm="1">
        <f t="array" ref="E139">MMULT(
    MMULT(
        INDEX($X$5:$AM$77, MATCH(E$100,_xlfn.ANCHORARRAY( $W$5), 0), 0),
        $F$5:$U$20
    ),
    TRANSPOSE(
        INDEX($X$5:$AM$77, MATCH($A139,_xlfn.ANCHORARRAY( $W$5), 0), 0)
    )
)
/
(
    INDEX($AN$5:$AN$77, MATCH(E$100,_xlfn.ANCHORARRAY( $W$5), 0))
    *
    INDEX($AN$5:$AN$77, MATCH($A139,_xlfn.ANCHORARRAY( $W$5), 0))
)</f>
        <v>0.67414318888697</v>
      </c>
      <c r="F139" s="17" cm="1">
        <f t="array" ref="F139">MMULT(
    MMULT(
        INDEX($X$5:$AM$77, MATCH(F$100,_xlfn.ANCHORARRAY( $W$5), 0), 0),
        $F$5:$U$20
    ),
    TRANSPOSE(
        INDEX($X$5:$AM$77, MATCH($A139,_xlfn.ANCHORARRAY( $W$5), 0), 0)
    )
)
/
(
    INDEX($AN$5:$AN$77, MATCH(F$100,_xlfn.ANCHORARRAY( $W$5), 0))
    *
    INDEX($AN$5:$AN$77, MATCH($A139,_xlfn.ANCHORARRAY( $W$5), 0))
)</f>
        <v>0.6888779286982204</v>
      </c>
      <c r="G139" s="17" cm="1">
        <f t="array" ref="G139">MMULT(
    MMULT(
        INDEX($X$5:$AM$77, MATCH(G$100,_xlfn.ANCHORARRAY( $W$5), 0), 0),
        $F$5:$U$20
    ),
    TRANSPOSE(
        INDEX($X$5:$AM$77, MATCH($A139,_xlfn.ANCHORARRAY( $W$5), 0), 0)
    )
)
/
(
    INDEX($AN$5:$AN$77, MATCH(G$100,_xlfn.ANCHORARRAY( $W$5), 0))
    *
    INDEX($AN$5:$AN$77, MATCH($A139,_xlfn.ANCHORARRAY( $W$5), 0))
)</f>
        <v>0.96693308681998202</v>
      </c>
      <c r="H139" s="17" cm="1">
        <f t="array" ref="H139">MMULT(
    MMULT(
        INDEX($X$5:$AM$77, MATCH(H$100,_xlfn.ANCHORARRAY( $W$5), 0), 0),
        $F$5:$U$20
    ),
    TRANSPOSE(
        INDEX($X$5:$AM$77, MATCH($A139,_xlfn.ANCHORARRAY( $W$5), 0), 0)
    )
)
/
(
    INDEX($AN$5:$AN$77, MATCH(H$100,_xlfn.ANCHORARRAY( $W$5), 0))
    *
    INDEX($AN$5:$AN$77, MATCH($A139,_xlfn.ANCHORARRAY( $W$5), 0))
)</f>
        <v>0.88464229676946693</v>
      </c>
      <c r="I139" s="17" cm="1">
        <f t="array" ref="I139">MMULT(
    MMULT(
        INDEX($X$5:$AM$77, MATCH(I$100,_xlfn.ANCHORARRAY( $W$5), 0), 0),
        $F$5:$U$20
    ),
    TRANSPOSE(
        INDEX($X$5:$AM$77, MATCH($A139,_xlfn.ANCHORARRAY( $W$5), 0), 0)
    )
)
/
(
    INDEX($AN$5:$AN$77, MATCH(I$100,_xlfn.ANCHORARRAY( $W$5), 0))
    *
    INDEX($AN$5:$AN$77, MATCH($A139,_xlfn.ANCHORARRAY( $W$5), 0))
)</f>
        <v>0.74644801977661612</v>
      </c>
      <c r="J139" s="17" cm="1">
        <f t="array" ref="J139">MMULT(
    MMULT(
        INDEX($X$5:$AM$77, MATCH(J$100,_xlfn.ANCHORARRAY( $W$5), 0), 0),
        $F$5:$U$20
    ),
    TRANSPOSE(
        INDEX($X$5:$AM$77, MATCH($A139,_xlfn.ANCHORARRAY( $W$5), 0), 0)
    )
)
/
(
    INDEX($AN$5:$AN$77, MATCH(J$100,_xlfn.ANCHORARRAY( $W$5), 0))
    *
    INDEX($AN$5:$AN$77, MATCH($A139,_xlfn.ANCHORARRAY( $W$5), 0))
)</f>
        <v>0.82346862615917649</v>
      </c>
      <c r="K139" s="17" cm="1">
        <f t="array" ref="K139">MMULT(
    MMULT(
        INDEX($X$5:$AM$77, MATCH(K$100,_xlfn.ANCHORARRAY( $W$5), 0), 0),
        $F$5:$U$20
    ),
    TRANSPOSE(
        INDEX($X$5:$AM$77, MATCH($A139,_xlfn.ANCHORARRAY( $W$5), 0), 0)
    )
)
/
(
    INDEX($AN$5:$AN$77, MATCH(K$100,_xlfn.ANCHORARRAY( $W$5), 0))
    *
    INDEX($AN$5:$AN$77, MATCH($A139,_xlfn.ANCHORARRAY( $W$5), 0))
)</f>
        <v>0.77054380318522953</v>
      </c>
      <c r="L139" s="17" cm="1">
        <f t="array" ref="L139">MMULT(
    MMULT(
        INDEX($X$5:$AM$77, MATCH(L$100,_xlfn.ANCHORARRAY( $W$5), 0), 0),
        $F$5:$U$20
    ),
    TRANSPOSE(
        INDEX($X$5:$AM$77, MATCH($A139,_xlfn.ANCHORARRAY( $W$5), 0), 0)
    )
)
/
(
    INDEX($AN$5:$AN$77, MATCH(L$100,_xlfn.ANCHORARRAY( $W$5), 0))
    *
    INDEX($AN$5:$AN$77, MATCH($A139,_xlfn.ANCHORARRAY( $W$5), 0))
)</f>
        <v>0.72956490059313361</v>
      </c>
      <c r="M139" s="17" cm="1">
        <f t="array" ref="M139">MMULT(
    MMULT(
        INDEX($X$5:$AM$77, MATCH(M$100,_xlfn.ANCHORARRAY( $W$5), 0), 0),
        $F$5:$U$20
    ),
    TRANSPOSE(
        INDEX($X$5:$AM$77, MATCH($A139,_xlfn.ANCHORARRAY( $W$5), 0), 0)
    )
)
/
(
    INDEX($AN$5:$AN$77, MATCH(M$100,_xlfn.ANCHORARRAY( $W$5), 0))
    *
    INDEX($AN$5:$AN$77, MATCH($A139,_xlfn.ANCHORARRAY( $W$5), 0))
)</f>
        <v>0.93924545475995913</v>
      </c>
      <c r="N139" s="17" cm="1">
        <f t="array" ref="N139">MMULT(
    MMULT(
        INDEX($X$5:$AM$77, MATCH(N$100,_xlfn.ANCHORARRAY( $W$5), 0), 0),
        $F$5:$U$20
    ),
    TRANSPOSE(
        INDEX($X$5:$AM$77, MATCH($A139,_xlfn.ANCHORARRAY( $W$5), 0), 0)
    )
)
/
(
    INDEX($AN$5:$AN$77, MATCH(N$100,_xlfn.ANCHORARRAY( $W$5), 0))
    *
    INDEX($AN$5:$AN$77, MATCH($A139,_xlfn.ANCHORARRAY( $W$5), 0))
)</f>
        <v>0.50144041984374554</v>
      </c>
      <c r="O139" s="17" cm="1">
        <f t="array" ref="O139">MMULT(
    MMULT(
        INDEX($X$5:$AM$77, MATCH(O$100,_xlfn.ANCHORARRAY( $W$5), 0), 0),
        $F$5:$U$20
    ),
    TRANSPOSE(
        INDEX($X$5:$AM$77, MATCH($A139,_xlfn.ANCHORARRAY( $W$5), 0), 0)
    )
)
/
(
    INDEX($AN$5:$AN$77, MATCH(O$100,_xlfn.ANCHORARRAY( $W$5), 0))
    *
    INDEX($AN$5:$AN$77, MATCH($A139,_xlfn.ANCHORARRAY( $W$5), 0))
)</f>
        <v>0.5708470449165246</v>
      </c>
      <c r="P139" s="17" cm="1">
        <f t="array" ref="P139">MMULT(
    MMULT(
        INDEX($X$5:$AM$77, MATCH(P$100,_xlfn.ANCHORARRAY( $W$5), 0), 0),
        $F$5:$U$20
    ),
    TRANSPOSE(
        INDEX($X$5:$AM$77, MATCH($A139,_xlfn.ANCHORARRAY( $W$5), 0), 0)
    )
)
/
(
    INDEX($AN$5:$AN$77, MATCH(P$100,_xlfn.ANCHORARRAY( $W$5), 0))
    *
    INDEX($AN$5:$AN$77, MATCH($A139,_xlfn.ANCHORARRAY( $W$5), 0))
)</f>
        <v>0.65947139644323483</v>
      </c>
      <c r="Q139" s="17" cm="1">
        <f t="array" ref="Q139">MMULT(
    MMULT(
        INDEX($X$5:$AM$77, MATCH(Q$100,_xlfn.ANCHORARRAY( $W$5), 0), 0),
        $F$5:$U$20
    ),
    TRANSPOSE(
        INDEX($X$5:$AM$77, MATCH($A139,_xlfn.ANCHORARRAY( $W$5), 0), 0)
    )
)
/
(
    INDEX($AN$5:$AN$77, MATCH(Q$100,_xlfn.ANCHORARRAY( $W$5), 0))
    *
    INDEX($AN$5:$AN$77, MATCH($A139,_xlfn.ANCHORARRAY( $W$5), 0))
)</f>
        <v>0.75290166719654084</v>
      </c>
      <c r="R139" s="17" cm="1">
        <f t="array" ref="R139">MMULT(
    MMULT(
        INDEX($X$5:$AM$77, MATCH(R$100,_xlfn.ANCHORARRAY( $W$5), 0), 0),
        $F$5:$U$20
    ),
    TRANSPOSE(
        INDEX($X$5:$AM$77, MATCH($A139,_xlfn.ANCHORARRAY( $W$5), 0), 0)
    )
)
/
(
    INDEX($AN$5:$AN$77, MATCH(R$100,_xlfn.ANCHORARRAY( $W$5), 0))
    *
    INDEX($AN$5:$AN$77, MATCH($A139,_xlfn.ANCHORARRAY( $W$5), 0))
)</f>
        <v>0.80687227851250476</v>
      </c>
      <c r="S139" s="17" cm="1">
        <f t="array" ref="S139">MMULT(
    MMULT(
        INDEX($X$5:$AM$77, MATCH(S$100,_xlfn.ANCHORARRAY( $W$5), 0), 0),
        $F$5:$U$20
    ),
    TRANSPOSE(
        INDEX($X$5:$AM$77, MATCH($A139,_xlfn.ANCHORARRAY( $W$5), 0), 0)
    )
)
/
(
    INDEX($AN$5:$AN$77, MATCH(S$100,_xlfn.ANCHORARRAY( $W$5), 0))
    *
    INDEX($AN$5:$AN$77, MATCH($A139,_xlfn.ANCHORARRAY( $W$5), 0))
)</f>
        <v>0.88239927340088675</v>
      </c>
      <c r="T139" s="17" cm="1">
        <f t="array" ref="T139">MMULT(
    MMULT(
        INDEX($X$5:$AM$77, MATCH(T$100,_xlfn.ANCHORARRAY( $W$5), 0), 0),
        $F$5:$U$20
    ),
    TRANSPOSE(
        INDEX($X$5:$AM$77, MATCH($A139,_xlfn.ANCHORARRAY( $W$5), 0), 0)
    )
)
/
(
    INDEX($AN$5:$AN$77, MATCH(T$100,_xlfn.ANCHORARRAY( $W$5), 0))
    *
    INDEX($AN$5:$AN$77, MATCH($A139,_xlfn.ANCHORARRAY( $W$5), 0))
)</f>
        <v>0.36167683709261478</v>
      </c>
      <c r="U139" s="17" cm="1">
        <f t="array" ref="U139">MMULT(
    MMULT(
        INDEX($X$5:$AM$77, MATCH(U$100,_xlfn.ANCHORARRAY( $W$5), 0), 0),
        $F$5:$U$20
    ),
    TRANSPOSE(
        INDEX($X$5:$AM$77, MATCH($A139,_xlfn.ANCHORARRAY( $W$5), 0), 0)
    )
)
/
(
    INDEX($AN$5:$AN$77, MATCH(U$100,_xlfn.ANCHORARRAY( $W$5), 0))
    *
    INDEX($AN$5:$AN$77, MATCH($A139,_xlfn.ANCHORARRAY( $W$5), 0))
)</f>
        <v>0.78163642407671985</v>
      </c>
      <c r="V139" s="17" cm="1">
        <f t="array" ref="V139">MMULT(
    MMULT(
        INDEX($X$5:$AM$77, MATCH(V$100,_xlfn.ANCHORARRAY( $W$5), 0), 0),
        $F$5:$U$20
    ),
    TRANSPOSE(
        INDEX($X$5:$AM$77, MATCH($A139,_xlfn.ANCHORARRAY( $W$5), 0), 0)
    )
)
/
(
    INDEX($AN$5:$AN$77, MATCH(V$100,_xlfn.ANCHORARRAY( $W$5), 0))
    *
    INDEX($AN$5:$AN$77, MATCH($A139,_xlfn.ANCHORARRAY( $W$5), 0))
)</f>
        <v>0.53014229976584848</v>
      </c>
      <c r="W139" s="17" cm="1">
        <f t="array" ref="W139">MMULT(
    MMULT(
        INDEX($X$5:$AM$77, MATCH(W$100,_xlfn.ANCHORARRAY( $W$5), 0), 0),
        $F$5:$U$20
    ),
    TRANSPOSE(
        INDEX($X$5:$AM$77, MATCH($A139,_xlfn.ANCHORARRAY( $W$5), 0), 0)
    )
)
/
(
    INDEX($AN$5:$AN$77, MATCH(W$100,_xlfn.ANCHORARRAY( $W$5), 0))
    *
    INDEX($AN$5:$AN$77, MATCH($A139,_xlfn.ANCHORARRAY( $W$5), 0))
)</f>
        <v>0.441641353972343</v>
      </c>
      <c r="X139" s="17" cm="1">
        <f t="array" ref="X139">MMULT(
    MMULT(
        INDEX($X$5:$AM$77, MATCH(X$100,_xlfn.ANCHORARRAY( $W$5), 0), 0),
        $F$5:$U$20
    ),
    TRANSPOSE(
        INDEX($X$5:$AM$77, MATCH($A139,_xlfn.ANCHORARRAY( $W$5), 0), 0)
    )
)
/
(
    INDEX($AN$5:$AN$77, MATCH(X$100,_xlfn.ANCHORARRAY( $W$5), 0))
    *
    INDEX($AN$5:$AN$77, MATCH($A139,_xlfn.ANCHORARRAY( $W$5), 0))
)</f>
        <v>0.64954689813144317</v>
      </c>
      <c r="Y139" s="17" cm="1">
        <f t="array" ref="Y139">MMULT(
    MMULT(
        INDEX($X$5:$AM$77, MATCH(Y$100,_xlfn.ANCHORARRAY( $W$5), 0), 0),
        $F$5:$U$20
    ),
    TRANSPOSE(
        INDEX($X$5:$AM$77, MATCH($A139,_xlfn.ANCHORARRAY( $W$5), 0), 0)
    )
)
/
(
    INDEX($AN$5:$AN$77, MATCH(Y$100,_xlfn.ANCHORARRAY( $W$5), 0))
    *
    INDEX($AN$5:$AN$77, MATCH($A139,_xlfn.ANCHORARRAY( $W$5), 0))
)</f>
        <v>0.76516831342380165</v>
      </c>
      <c r="Z139" s="17" cm="1">
        <f t="array" ref="Z139">MMULT(
    MMULT(
        INDEX($X$5:$AM$77, MATCH(Z$100,_xlfn.ANCHORARRAY( $W$5), 0), 0),
        $F$5:$U$20
    ),
    TRANSPOSE(
        INDEX($X$5:$AM$77, MATCH($A139,_xlfn.ANCHORARRAY( $W$5), 0), 0)
    )
)
/
(
    INDEX($AN$5:$AN$77, MATCH(Z$100,_xlfn.ANCHORARRAY( $W$5), 0))
    *
    INDEX($AN$5:$AN$77, MATCH($A139,_xlfn.ANCHORARRAY( $W$5), 0))
)</f>
        <v>0.71844510270825845</v>
      </c>
      <c r="AA139" s="17" cm="1">
        <f t="array" ref="AA139">MMULT(
    MMULT(
        INDEX($X$5:$AM$77, MATCH(AA$100,_xlfn.ANCHORARRAY( $W$5), 0), 0),
        $F$5:$U$20
    ),
    TRANSPOSE(
        INDEX($X$5:$AM$77, MATCH($A139,_xlfn.ANCHORARRAY( $W$5), 0), 0)
    )
)
/
(
    INDEX($AN$5:$AN$77, MATCH(AA$100,_xlfn.ANCHORARRAY( $W$5), 0))
    *
    INDEX($AN$5:$AN$77, MATCH($A139,_xlfn.ANCHORARRAY( $W$5), 0))
)</f>
        <v>0.61553170622648867</v>
      </c>
      <c r="AB139" s="17" cm="1">
        <f t="array" ref="AB139">MMULT(
    MMULT(
        INDEX($X$5:$AM$77, MATCH(AB$100,_xlfn.ANCHORARRAY( $W$5), 0), 0),
        $F$5:$U$20
    ),
    TRANSPOSE(
        INDEX($X$5:$AM$77, MATCH($A139,_xlfn.ANCHORARRAY( $W$5), 0), 0)
    )
)
/
(
    INDEX($AN$5:$AN$77, MATCH(AB$100,_xlfn.ANCHORARRAY( $W$5), 0))
    *
    INDEX($AN$5:$AN$77, MATCH($A139,_xlfn.ANCHORARRAY( $W$5), 0))
)</f>
        <v>0.75465381359563077</v>
      </c>
      <c r="AC139" s="17" cm="1">
        <f t="array" ref="AC139">MMULT(
    MMULT(
        INDEX($X$5:$AM$77, MATCH(AC$100,_xlfn.ANCHORARRAY( $W$5), 0), 0),
        $F$5:$U$20
    ),
    TRANSPOSE(
        INDEX($X$5:$AM$77, MATCH($A139,_xlfn.ANCHORARRAY( $W$5), 0), 0)
    )
)
/
(
    INDEX($AN$5:$AN$77, MATCH(AC$100,_xlfn.ANCHORARRAY( $W$5), 0))
    *
    INDEX($AN$5:$AN$77, MATCH($A139,_xlfn.ANCHORARRAY( $W$5), 0))
)</f>
        <v>0.58989555749180322</v>
      </c>
      <c r="AD139" s="17" cm="1">
        <f t="array" ref="AD139">MMULT(
    MMULT(
        INDEX($X$5:$AM$77, MATCH(AD$100,_xlfn.ANCHORARRAY( $W$5), 0), 0),
        $F$5:$U$20
    ),
    TRANSPOSE(
        INDEX($X$5:$AM$77, MATCH($A139,_xlfn.ANCHORARRAY( $W$5), 0), 0)
    )
)
/
(
    INDEX($AN$5:$AN$77, MATCH(AD$100,_xlfn.ANCHORARRAY( $W$5), 0))
    *
    INDEX($AN$5:$AN$77, MATCH($A139,_xlfn.ANCHORARRAY( $W$5), 0))
)</f>
        <v>0.72270829151960236</v>
      </c>
      <c r="AE139" s="17" cm="1">
        <f t="array" ref="AE139">MMULT(
    MMULT(
        INDEX($X$5:$AM$77, MATCH(AE$100,_xlfn.ANCHORARRAY( $W$5), 0), 0),
        $F$5:$U$20
    ),
    TRANSPOSE(
        INDEX($X$5:$AM$77, MATCH($A139,_xlfn.ANCHORARRAY( $W$5), 0), 0)
    )
)
/
(
    INDEX($AN$5:$AN$77, MATCH(AE$100,_xlfn.ANCHORARRAY( $W$5), 0))
    *
    INDEX($AN$5:$AN$77, MATCH($A139,_xlfn.ANCHORARRAY( $W$5), 0))
)</f>
        <v>0.90964212780054532</v>
      </c>
      <c r="AF139" s="17" cm="1">
        <f t="array" ref="AF139">MMULT(
    MMULT(
        INDEX($X$5:$AM$77, MATCH(AF$100,_xlfn.ANCHORARRAY( $W$5), 0), 0),
        $F$5:$U$20
    ),
    TRANSPOSE(
        INDEX($X$5:$AM$77, MATCH($A139,_xlfn.ANCHORARRAY( $W$5), 0), 0)
    )
)
/
(
    INDEX($AN$5:$AN$77, MATCH(AF$100,_xlfn.ANCHORARRAY( $W$5), 0))
    *
    INDEX($AN$5:$AN$77, MATCH($A139,_xlfn.ANCHORARRAY( $W$5), 0))
)</f>
        <v>0.81946642866806174</v>
      </c>
      <c r="AG139" s="17" cm="1">
        <f t="array" ref="AG139">MMULT(
    MMULT(
        INDEX($X$5:$AM$77, MATCH(AG$100,_xlfn.ANCHORARRAY( $W$5), 0), 0),
        $F$5:$U$20
    ),
    TRANSPOSE(
        INDEX($X$5:$AM$77, MATCH($A139,_xlfn.ANCHORARRAY( $W$5), 0), 0)
    )
)
/
(
    INDEX($AN$5:$AN$77, MATCH(AG$100,_xlfn.ANCHORARRAY( $W$5), 0))
    *
    INDEX($AN$5:$AN$77, MATCH($A139,_xlfn.ANCHORARRAY( $W$5), 0))
)</f>
        <v>0.87179682514639334</v>
      </c>
      <c r="AH139" s="17" cm="1">
        <f t="array" ref="AH139">MMULT(
    MMULT(
        INDEX($X$5:$AM$77, MATCH(AH$100,_xlfn.ANCHORARRAY( $W$5), 0), 0),
        $F$5:$U$20
    ),
    TRANSPOSE(
        INDEX($X$5:$AM$77, MATCH($A139,_xlfn.ANCHORARRAY( $W$5), 0), 0)
    )
)
/
(
    INDEX($AN$5:$AN$77, MATCH(AH$100,_xlfn.ANCHORARRAY( $W$5), 0))
    *
    INDEX($AN$5:$AN$77, MATCH($A139,_xlfn.ANCHORARRAY( $W$5), 0))
)</f>
        <v>0.88522385028826311</v>
      </c>
      <c r="AI139" s="17" cm="1">
        <f t="array" ref="AI139">MMULT(
    MMULT(
        INDEX($X$5:$AM$77, MATCH(AI$100,_xlfn.ANCHORARRAY( $W$5), 0), 0),
        $F$5:$U$20
    ),
    TRANSPOSE(
        INDEX($X$5:$AM$77, MATCH($A139,_xlfn.ANCHORARRAY( $W$5), 0), 0)
    )
)
/
(
    INDEX($AN$5:$AN$77, MATCH(AI$100,_xlfn.ANCHORARRAY( $W$5), 0))
    *
    INDEX($AN$5:$AN$77, MATCH($A139,_xlfn.ANCHORARRAY( $W$5), 0))
)</f>
        <v>0.93257094728393597</v>
      </c>
      <c r="AJ139" s="17" cm="1">
        <f t="array" ref="AJ139">MMULT(
    MMULT(
        INDEX($X$5:$AM$77, MATCH(AJ$100,_xlfn.ANCHORARRAY( $W$5), 0), 0),
        $F$5:$U$20
    ),
    TRANSPOSE(
        INDEX($X$5:$AM$77, MATCH($A139,_xlfn.ANCHORARRAY( $W$5), 0), 0)
    )
)
/
(
    INDEX($AN$5:$AN$77, MATCH(AJ$100,_xlfn.ANCHORARRAY( $W$5), 0))
    *
    INDEX($AN$5:$AN$77, MATCH($A139,_xlfn.ANCHORARRAY( $W$5), 0))
)</f>
        <v>0.68039532286717841</v>
      </c>
      <c r="AK139" s="17" cm="1">
        <f t="array" ref="AK139">MMULT(
    MMULT(
        INDEX($X$5:$AM$77, MATCH(AK$100,_xlfn.ANCHORARRAY( $W$5), 0), 0),
        $F$5:$U$20
    ),
    TRANSPOSE(
        INDEX($X$5:$AM$77, MATCH($A139,_xlfn.ANCHORARRAY( $W$5), 0), 0)
    )
)
/
(
    INDEX($AN$5:$AN$77, MATCH(AK$100,_xlfn.ANCHORARRAY( $W$5), 0))
    *
    INDEX($AN$5:$AN$77, MATCH($A139,_xlfn.ANCHORARRAY( $W$5), 0))
)</f>
        <v>0.80894411249680209</v>
      </c>
      <c r="AL139" s="17" cm="1">
        <f t="array" ref="AL139">MMULT(
    MMULT(
        INDEX($X$5:$AM$77, MATCH(AL$100,_xlfn.ANCHORARRAY( $W$5), 0), 0),
        $F$5:$U$20
    ),
    TRANSPOSE(
        INDEX($X$5:$AM$77, MATCH($A139,_xlfn.ANCHORARRAY( $W$5), 0), 0)
    )
)
/
(
    INDEX($AN$5:$AN$77, MATCH(AL$100,_xlfn.ANCHORARRAY( $W$5), 0))
    *
    INDEX($AN$5:$AN$77, MATCH($A139,_xlfn.ANCHORARRAY( $W$5), 0))
)</f>
        <v>0.53610830456313063</v>
      </c>
      <c r="AM139" s="17" cm="1">
        <f t="array" ref="AM139">MMULT(
    MMULT(
        INDEX($X$5:$AM$77, MATCH(AM$100,_xlfn.ANCHORARRAY( $W$5), 0), 0),
        $F$5:$U$20
    ),
    TRANSPOSE(
        INDEX($X$5:$AM$77, MATCH($A139,_xlfn.ANCHORARRAY( $W$5), 0), 0)
    )
)
/
(
    INDEX($AN$5:$AN$77, MATCH(AM$100,_xlfn.ANCHORARRAY( $W$5), 0))
    *
    INDEX($AN$5:$AN$77, MATCH($A139,_xlfn.ANCHORARRAY( $W$5), 0))
)</f>
        <v>0.65769542779385926</v>
      </c>
      <c r="AN139" s="17" cm="1">
        <f t="array" ref="AN139">MMULT(
    MMULT(
        INDEX($X$5:$AM$77, MATCH(AN$100,_xlfn.ANCHORARRAY( $W$5), 0), 0),
        $F$5:$U$20
    ),
    TRANSPOSE(
        INDEX($X$5:$AM$77, MATCH($A139,_xlfn.ANCHORARRAY( $W$5), 0), 0)
    )
)
/
(
    INDEX($AN$5:$AN$77, MATCH(AN$100,_xlfn.ANCHORARRAY( $W$5), 0))
    *
    INDEX($AN$5:$AN$77, MATCH($A139,_xlfn.ANCHORARRAY( $W$5), 0))
)</f>
        <v>1</v>
      </c>
      <c r="AO139" s="17" cm="1">
        <f t="array" ref="AO139">MMULT(
    MMULT(
        INDEX($X$5:$AM$77, MATCH(AO$100,_xlfn.ANCHORARRAY( $W$5), 0), 0),
        $F$5:$U$20
    ),
    TRANSPOSE(
        INDEX($X$5:$AM$77, MATCH($A139,_xlfn.ANCHORARRAY( $W$5), 0), 0)
    )
)
/
(
    INDEX($AN$5:$AN$77, MATCH(AO$100,_xlfn.ANCHORARRAY( $W$5), 0))
    *
    INDEX($AN$5:$AN$77, MATCH($A139,_xlfn.ANCHORARRAY( $W$5), 0))
)</f>
        <v>0.62601909254956201</v>
      </c>
      <c r="AP139" s="17" cm="1">
        <f t="array" ref="AP139">MMULT(
    MMULT(
        INDEX($X$5:$AM$77, MATCH(AP$100,_xlfn.ANCHORARRAY( $W$5), 0), 0),
        $F$5:$U$20
    ),
    TRANSPOSE(
        INDEX($X$5:$AM$77, MATCH($A139,_xlfn.ANCHORARRAY( $W$5), 0), 0)
    )
)
/
(
    INDEX($AN$5:$AN$77, MATCH(AP$100,_xlfn.ANCHORARRAY( $W$5), 0))
    *
    INDEX($AN$5:$AN$77, MATCH($A139,_xlfn.ANCHORARRAY( $W$5), 0))
)</f>
        <v>0.74865442050051167</v>
      </c>
      <c r="AQ139" s="17" cm="1">
        <f t="array" ref="AQ139">MMULT(
    MMULT(
        INDEX($X$5:$AM$77, MATCH(AQ$100,_xlfn.ANCHORARRAY( $W$5), 0), 0),
        $F$5:$U$20
    ),
    TRANSPOSE(
        INDEX($X$5:$AM$77, MATCH($A139,_xlfn.ANCHORARRAY( $W$5), 0), 0)
    )
)
/
(
    INDEX($AN$5:$AN$77, MATCH(AQ$100,_xlfn.ANCHORARRAY( $W$5), 0))
    *
    INDEX($AN$5:$AN$77, MATCH($A139,_xlfn.ANCHORARRAY( $W$5), 0))
)</f>
        <v>0.79085850653135892</v>
      </c>
      <c r="AR139" s="17" cm="1">
        <f t="array" ref="AR139">MMULT(
    MMULT(
        INDEX($X$5:$AM$77, MATCH(AR$100,_xlfn.ANCHORARRAY( $W$5), 0), 0),
        $F$5:$U$20
    ),
    TRANSPOSE(
        INDEX($X$5:$AM$77, MATCH($A139,_xlfn.ANCHORARRAY( $W$5), 0), 0)
    )
)
/
(
    INDEX($AN$5:$AN$77, MATCH(AR$100,_xlfn.ANCHORARRAY( $W$5), 0))
    *
    INDEX($AN$5:$AN$77, MATCH($A139,_xlfn.ANCHORARRAY( $W$5), 0))
)</f>
        <v>0.69989906527998091</v>
      </c>
      <c r="AS139" s="17" cm="1">
        <f t="array" ref="AS139">MMULT(
    MMULT(
        INDEX($X$5:$AM$77, MATCH(AS$100,_xlfn.ANCHORARRAY( $W$5), 0), 0),
        $F$5:$U$20
    ),
    TRANSPOSE(
        INDEX($X$5:$AM$77, MATCH($A139,_xlfn.ANCHORARRAY( $W$5), 0), 0)
    )
)
/
(
    INDEX($AN$5:$AN$77, MATCH(AS$100,_xlfn.ANCHORARRAY( $W$5), 0))
    *
    INDEX($AN$5:$AN$77, MATCH($A139,_xlfn.ANCHORARRAY( $W$5), 0))
)</f>
        <v>0.83024006624757751</v>
      </c>
      <c r="AT139" s="17" cm="1">
        <f t="array" ref="AT139">MMULT(
    MMULT(
        INDEX($X$5:$AM$77, MATCH(AT$100,_xlfn.ANCHORARRAY( $W$5), 0), 0),
        $F$5:$U$20
    ),
    TRANSPOSE(
        INDEX($X$5:$AM$77, MATCH($A139,_xlfn.ANCHORARRAY( $W$5), 0), 0)
    )
)
/
(
    INDEX($AN$5:$AN$77, MATCH(AT$100,_xlfn.ANCHORARRAY( $W$5), 0))
    *
    INDEX($AN$5:$AN$77, MATCH($A139,_xlfn.ANCHORARRAY( $W$5), 0))
)</f>
        <v>0.8636683829226105</v>
      </c>
      <c r="AU139" s="17" cm="1">
        <f t="array" ref="AU139">MMULT(
    MMULT(
        INDEX($X$5:$AM$77, MATCH(AU$100,_xlfn.ANCHORARRAY( $W$5), 0), 0),
        $F$5:$U$20
    ),
    TRANSPOSE(
        INDEX($X$5:$AM$77, MATCH($A139,_xlfn.ANCHORARRAY( $W$5), 0), 0)
    )
)
/
(
    INDEX($AN$5:$AN$77, MATCH(AU$100,_xlfn.ANCHORARRAY( $W$5), 0))
    *
    INDEX($AN$5:$AN$77, MATCH($A139,_xlfn.ANCHORARRAY( $W$5), 0))
)</f>
        <v>0.74180513570505657</v>
      </c>
      <c r="AV139" s="17" cm="1">
        <f t="array" ref="AV139">MMULT(
    MMULT(
        INDEX($X$5:$AM$77, MATCH(AV$100,_xlfn.ANCHORARRAY( $W$5), 0), 0),
        $F$5:$U$20
    ),
    TRANSPOSE(
        INDEX($X$5:$AM$77, MATCH($A139,_xlfn.ANCHORARRAY( $W$5), 0), 0)
    )
)
/
(
    INDEX($AN$5:$AN$77, MATCH(AV$100,_xlfn.ANCHORARRAY( $W$5), 0))
    *
    INDEX($AN$5:$AN$77, MATCH($A139,_xlfn.ANCHORARRAY( $W$5), 0))
)</f>
        <v>0.6350379187752162</v>
      </c>
      <c r="AW139" s="17" cm="1">
        <f t="array" ref="AW139">MMULT(
    MMULT(
        INDEX($X$5:$AM$77, MATCH(AW$100,_xlfn.ANCHORARRAY( $W$5), 0), 0),
        $F$5:$U$20
    ),
    TRANSPOSE(
        INDEX($X$5:$AM$77, MATCH($A139,_xlfn.ANCHORARRAY( $W$5), 0), 0)
    )
)
/
(
    INDEX($AN$5:$AN$77, MATCH(AW$100,_xlfn.ANCHORARRAY( $W$5), 0))
    *
    INDEX($AN$5:$AN$77, MATCH($A139,_xlfn.ANCHORARRAY( $W$5), 0))
)</f>
        <v>0.84742855890811009</v>
      </c>
      <c r="AX139" s="17" cm="1">
        <f t="array" ref="AX139">MMULT(
    MMULT(
        INDEX($X$5:$AM$77, MATCH(AX$100,_xlfn.ANCHORARRAY( $W$5), 0), 0),
        $F$5:$U$20
    ),
    TRANSPOSE(
        INDEX($X$5:$AM$77, MATCH($A139,_xlfn.ANCHORARRAY( $W$5), 0), 0)
    )
)
/
(
    INDEX($AN$5:$AN$77, MATCH(AX$100,_xlfn.ANCHORARRAY( $W$5), 0))
    *
    INDEX($AN$5:$AN$77, MATCH($A139,_xlfn.ANCHORARRAY( $W$5), 0))
)</f>
        <v>0.55692831373053875</v>
      </c>
      <c r="AY139" s="17" cm="1">
        <f t="array" ref="AY139">MMULT(
    MMULT(
        INDEX($X$5:$AM$77, MATCH(AY$100,_xlfn.ANCHORARRAY( $W$5), 0), 0),
        $F$5:$U$20
    ),
    TRANSPOSE(
        INDEX($X$5:$AM$77, MATCH($A139,_xlfn.ANCHORARRAY( $W$5), 0), 0)
    )
)
/
(
    INDEX($AN$5:$AN$77, MATCH(AY$100,_xlfn.ANCHORARRAY( $W$5), 0))
    *
    INDEX($AN$5:$AN$77, MATCH($A139,_xlfn.ANCHORARRAY( $W$5), 0))
)</f>
        <v>0.82776960563774393</v>
      </c>
      <c r="AZ139" s="17" cm="1">
        <f t="array" ref="AZ139">MMULT(
    MMULT(
        INDEX($X$5:$AM$77, MATCH(AZ$100,_xlfn.ANCHORARRAY( $W$5), 0), 0),
        $F$5:$U$20
    ),
    TRANSPOSE(
        INDEX($X$5:$AM$77, MATCH($A139,_xlfn.ANCHORARRAY( $W$5), 0), 0)
    )
)
/
(
    INDEX($AN$5:$AN$77, MATCH(AZ$100,_xlfn.ANCHORARRAY( $W$5), 0))
    *
    INDEX($AN$5:$AN$77, MATCH($A139,_xlfn.ANCHORARRAY( $W$5), 0))
)</f>
        <v>0.68184860341401321</v>
      </c>
      <c r="BA139" s="17" cm="1">
        <f t="array" ref="BA139">MMULT(
    MMULT(
        INDEX($X$5:$AM$77, MATCH(BA$100,_xlfn.ANCHORARRAY( $W$5), 0), 0),
        $F$5:$U$20
    ),
    TRANSPOSE(
        INDEX($X$5:$AM$77, MATCH($A139,_xlfn.ANCHORARRAY( $W$5), 0), 0)
    )
)
/
(
    INDEX($AN$5:$AN$77, MATCH(BA$100,_xlfn.ANCHORARRAY( $W$5), 0))
    *
    INDEX($AN$5:$AN$77, MATCH($A139,_xlfn.ANCHORARRAY( $W$5), 0))
)</f>
        <v>0.69111332343966081</v>
      </c>
      <c r="BB139" s="17" cm="1">
        <f t="array" ref="BB139">MMULT(
    MMULT(
        INDEX($X$5:$AM$77, MATCH(BB$100,_xlfn.ANCHORARRAY( $W$5), 0), 0),
        $F$5:$U$20
    ),
    TRANSPOSE(
        INDEX($X$5:$AM$77, MATCH($A139,_xlfn.ANCHORARRAY( $W$5), 0), 0)
    )
)
/
(
    INDEX($AN$5:$AN$77, MATCH(BB$100,_xlfn.ANCHORARRAY( $W$5), 0))
    *
    INDEX($AN$5:$AN$77, MATCH($A139,_xlfn.ANCHORARRAY( $W$5), 0))
)</f>
        <v>0.53319175839267186</v>
      </c>
      <c r="BC139" s="17" cm="1">
        <f t="array" ref="BC139">MMULT(
    MMULT(
        INDEX($X$5:$AM$77, MATCH(BC$100,_xlfn.ANCHORARRAY( $W$5), 0), 0),
        $F$5:$U$20
    ),
    TRANSPOSE(
        INDEX($X$5:$AM$77, MATCH($A139,_xlfn.ANCHORARRAY( $W$5), 0), 0)
    )
)
/
(
    INDEX($AN$5:$AN$77, MATCH(BC$100,_xlfn.ANCHORARRAY( $W$5), 0))
    *
    INDEX($AN$5:$AN$77, MATCH($A139,_xlfn.ANCHORARRAY( $W$5), 0))
)</f>
        <v>0.94408251681114763</v>
      </c>
      <c r="BD139" s="17" cm="1">
        <f t="array" ref="BD139">MMULT(
    MMULT(
        INDEX($X$5:$AM$77, MATCH(BD$100,_xlfn.ANCHORARRAY( $W$5), 0), 0),
        $F$5:$U$20
    ),
    TRANSPOSE(
        INDEX($X$5:$AM$77, MATCH($A139,_xlfn.ANCHORARRAY( $W$5), 0), 0)
    )
)
/
(
    INDEX($AN$5:$AN$77, MATCH(BD$100,_xlfn.ANCHORARRAY( $W$5), 0))
    *
    INDEX($AN$5:$AN$77, MATCH($A139,_xlfn.ANCHORARRAY( $W$5), 0))
)</f>
        <v>0.63730363132331258</v>
      </c>
      <c r="BE139" s="17" cm="1">
        <f t="array" ref="BE139">MMULT(
    MMULT(
        INDEX($X$5:$AM$77, MATCH(BE$100,_xlfn.ANCHORARRAY( $W$5), 0), 0),
        $F$5:$U$20
    ),
    TRANSPOSE(
        INDEX($X$5:$AM$77, MATCH($A139,_xlfn.ANCHORARRAY( $W$5), 0), 0)
    )
)
/
(
    INDEX($AN$5:$AN$77, MATCH(BE$100,_xlfn.ANCHORARRAY( $W$5), 0))
    *
    INDEX($AN$5:$AN$77, MATCH($A139,_xlfn.ANCHORARRAY( $W$5), 0))
)</f>
        <v>0.69805528288496932</v>
      </c>
      <c r="BF139" s="17" cm="1">
        <f t="array" ref="BF139">MMULT(
    MMULT(
        INDEX($X$5:$AM$77, MATCH(BF$100,_xlfn.ANCHORARRAY( $W$5), 0), 0),
        $F$5:$U$20
    ),
    TRANSPOSE(
        INDEX($X$5:$AM$77, MATCH($A139,_xlfn.ANCHORARRAY( $W$5), 0), 0)
    )
)
/
(
    INDEX($AN$5:$AN$77, MATCH(BF$100,_xlfn.ANCHORARRAY( $W$5), 0))
    *
    INDEX($AN$5:$AN$77, MATCH($A139,_xlfn.ANCHORARRAY( $W$5), 0))
)</f>
        <v>0.7458133005764872</v>
      </c>
      <c r="BG139" s="17" cm="1">
        <f t="array" ref="BG139">MMULT(
    MMULT(
        INDEX($X$5:$AM$77, MATCH(BG$100,_xlfn.ANCHORARRAY( $W$5), 0), 0),
        $F$5:$U$20
    ),
    TRANSPOSE(
        INDEX($X$5:$AM$77, MATCH($A139,_xlfn.ANCHORARRAY( $W$5), 0), 0)
    )
)
/
(
    INDEX($AN$5:$AN$77, MATCH(BG$100,_xlfn.ANCHORARRAY( $W$5), 0))
    *
    INDEX($AN$5:$AN$77, MATCH($A139,_xlfn.ANCHORARRAY( $W$5), 0))
)</f>
        <v>0.69406099043183789</v>
      </c>
      <c r="BH139" s="17" cm="1">
        <f t="array" ref="BH139">MMULT(
    MMULT(
        INDEX($X$5:$AM$77, MATCH(BH$100,_xlfn.ANCHORARRAY( $W$5), 0), 0),
        $F$5:$U$20
    ),
    TRANSPOSE(
        INDEX($X$5:$AM$77, MATCH($A139,_xlfn.ANCHORARRAY( $W$5), 0), 0)
    )
)
/
(
    INDEX($AN$5:$AN$77, MATCH(BH$100,_xlfn.ANCHORARRAY( $W$5), 0))
    *
    INDEX($AN$5:$AN$77, MATCH($A139,_xlfn.ANCHORARRAY( $W$5), 0))
)</f>
        <v>0.8947134434964511</v>
      </c>
      <c r="BI139" s="17" cm="1">
        <f t="array" ref="BI139">MMULT(
    MMULT(
        INDEX($X$5:$AM$77, MATCH(BI$100,_xlfn.ANCHORARRAY( $W$5), 0), 0),
        $F$5:$U$20
    ),
    TRANSPOSE(
        INDEX($X$5:$AM$77, MATCH($A139,_xlfn.ANCHORARRAY( $W$5), 0), 0)
    )
)
/
(
    INDEX($AN$5:$AN$77, MATCH(BI$100,_xlfn.ANCHORARRAY( $W$5), 0))
    *
    INDEX($AN$5:$AN$77, MATCH($A139,_xlfn.ANCHORARRAY( $W$5), 0))
)</f>
        <v>0.69776434980883428</v>
      </c>
      <c r="BJ139" s="17" cm="1">
        <f t="array" ref="BJ139">MMULT(
    MMULT(
        INDEX($X$5:$AM$77, MATCH(BJ$100,_xlfn.ANCHORARRAY( $W$5), 0), 0),
        $F$5:$U$20
    ),
    TRANSPOSE(
        INDEX($X$5:$AM$77, MATCH($A139,_xlfn.ANCHORARRAY( $W$5), 0), 0)
    )
)
/
(
    INDEX($AN$5:$AN$77, MATCH(BJ$100,_xlfn.ANCHORARRAY( $W$5), 0))
    *
    INDEX($AN$5:$AN$77, MATCH($A139,_xlfn.ANCHORARRAY( $W$5), 0))
)</f>
        <v>0.83983669509819658</v>
      </c>
      <c r="BK139" s="17" cm="1">
        <f t="array" ref="BK139">MMULT(
    MMULT(
        INDEX($X$5:$AM$77, MATCH(BK$100,_xlfn.ANCHORARRAY( $W$5), 0), 0),
        $F$5:$U$20
    ),
    TRANSPOSE(
        INDEX($X$5:$AM$77, MATCH($A139,_xlfn.ANCHORARRAY( $W$5), 0), 0)
    )
)
/
(
    INDEX($AN$5:$AN$77, MATCH(BK$100,_xlfn.ANCHORARRAY( $W$5), 0))
    *
    INDEX($AN$5:$AN$77, MATCH($A139,_xlfn.ANCHORARRAY( $W$5), 0))
)</f>
        <v>0.67802404541297667</v>
      </c>
      <c r="BL139" s="17" cm="1">
        <f t="array" ref="BL139">MMULT(
    MMULT(
        INDEX($X$5:$AM$77, MATCH(BL$100,_xlfn.ANCHORARRAY( $W$5), 0), 0),
        $F$5:$U$20
    ),
    TRANSPOSE(
        INDEX($X$5:$AM$77, MATCH($A139,_xlfn.ANCHORARRAY( $W$5), 0), 0)
    )
)
/
(
    INDEX($AN$5:$AN$77, MATCH(BL$100,_xlfn.ANCHORARRAY( $W$5), 0))
    *
    INDEX($AN$5:$AN$77, MATCH($A139,_xlfn.ANCHORARRAY( $W$5), 0))
)</f>
        <v>0.17047585735170273</v>
      </c>
      <c r="BM139" s="17" cm="1">
        <f t="array" ref="BM139">MMULT(
    MMULT(
        INDEX($X$5:$AM$77, MATCH(BM$100,_xlfn.ANCHORARRAY( $W$5), 0), 0),
        $F$5:$U$20
    ),
    TRANSPOSE(
        INDEX($X$5:$AM$77, MATCH($A139,_xlfn.ANCHORARRAY( $W$5), 0), 0)
    )
)
/
(
    INDEX($AN$5:$AN$77, MATCH(BM$100,_xlfn.ANCHORARRAY( $W$5), 0))
    *
    INDEX($AN$5:$AN$77, MATCH($A139,_xlfn.ANCHORARRAY( $W$5), 0))
)</f>
        <v>0.47572744405645151</v>
      </c>
      <c r="BN139" s="17" cm="1">
        <f t="array" ref="BN139">MMULT(
    MMULT(
        INDEX($X$5:$AM$77, MATCH(BN$100,_xlfn.ANCHORARRAY( $W$5), 0), 0),
        $F$5:$U$20
    ),
    TRANSPOSE(
        INDEX($X$5:$AM$77, MATCH($A139,_xlfn.ANCHORARRAY( $W$5), 0), 0)
    )
)
/
(
    INDEX($AN$5:$AN$77, MATCH(BN$100,_xlfn.ANCHORARRAY( $W$5), 0))
    *
    INDEX($AN$5:$AN$77, MATCH($A139,_xlfn.ANCHORARRAY( $W$5), 0))
)</f>
        <v>0.74669994071644141</v>
      </c>
      <c r="BO139" s="17" cm="1">
        <f t="array" ref="BO139">MMULT(
    MMULT(
        INDEX($X$5:$AM$77, MATCH(BO$100,_xlfn.ANCHORARRAY( $W$5), 0), 0),
        $F$5:$U$20
    ),
    TRANSPOSE(
        INDEX($X$5:$AM$77, MATCH($A139,_xlfn.ANCHORARRAY( $W$5), 0), 0)
    )
)
/
(
    INDEX($AN$5:$AN$77, MATCH(BO$100,_xlfn.ANCHORARRAY( $W$5), 0))
    *
    INDEX($AN$5:$AN$77, MATCH($A139,_xlfn.ANCHORARRAY( $W$5), 0))
)</f>
        <v>0.92073857673684656</v>
      </c>
      <c r="BP139" s="17" cm="1">
        <f t="array" ref="BP139">MMULT(
    MMULT(
        INDEX($X$5:$AM$77, MATCH(BP$100,_xlfn.ANCHORARRAY( $W$5), 0), 0),
        $F$5:$U$20
    ),
    TRANSPOSE(
        INDEX($X$5:$AM$77, MATCH($A139,_xlfn.ANCHORARRAY( $W$5), 0), 0)
    )
)
/
(
    INDEX($AN$5:$AN$77, MATCH(BP$100,_xlfn.ANCHORARRAY( $W$5), 0))
    *
    INDEX($AN$5:$AN$77, MATCH($A139,_xlfn.ANCHORARRAY( $W$5), 0))
)</f>
        <v>0.78724281600103774</v>
      </c>
      <c r="BQ139" s="17" cm="1">
        <f t="array" ref="BQ139">MMULT(
    MMULT(
        INDEX($X$5:$AM$77, MATCH(BQ$100,_xlfn.ANCHORARRAY( $W$5), 0), 0),
        $F$5:$U$20
    ),
    TRANSPOSE(
        INDEX($X$5:$AM$77, MATCH($A139,_xlfn.ANCHORARRAY( $W$5), 0), 0)
    )
)
/
(
    INDEX($AN$5:$AN$77, MATCH(BQ$100,_xlfn.ANCHORARRAY( $W$5), 0))
    *
    INDEX($AN$5:$AN$77, MATCH($A139,_xlfn.ANCHORARRAY( $W$5), 0))
)</f>
        <v>0.50275484585218166</v>
      </c>
      <c r="BR139" s="17" cm="1">
        <f t="array" ref="BR139">MMULT(
    MMULT(
        INDEX($X$5:$AM$77, MATCH(BR$100,_xlfn.ANCHORARRAY( $W$5), 0), 0),
        $F$5:$U$20
    ),
    TRANSPOSE(
        INDEX($X$5:$AM$77, MATCH($A139,_xlfn.ANCHORARRAY( $W$5), 0), 0)
    )
)
/
(
    INDEX($AN$5:$AN$77, MATCH(BR$100,_xlfn.ANCHORARRAY( $W$5), 0))
    *
    INDEX($AN$5:$AN$77, MATCH($A139,_xlfn.ANCHORARRAY( $W$5), 0))
)</f>
        <v>0.85338679473128376</v>
      </c>
      <c r="BS139" s="17" cm="1">
        <f t="array" ref="BS139">MMULT(
    MMULT(
        INDEX($X$5:$AM$77, MATCH(BS$100,_xlfn.ANCHORARRAY( $W$5), 0), 0),
        $F$5:$U$20
    ),
    TRANSPOSE(
        INDEX($X$5:$AM$77, MATCH($A139,_xlfn.ANCHORARRAY( $W$5), 0), 0)
    )
)
/
(
    INDEX($AN$5:$AN$77, MATCH(BS$100,_xlfn.ANCHORARRAY( $W$5), 0))
    *
    INDEX($AN$5:$AN$77, MATCH($A139,_xlfn.ANCHORARRAY( $W$5), 0))
)</f>
        <v>0.66488992897679333</v>
      </c>
      <c r="BT139" s="17" cm="1">
        <f t="array" ref="BT139">MMULT(
    MMULT(
        INDEX($X$5:$AM$77, MATCH(BT$100,_xlfn.ANCHORARRAY( $W$5), 0), 0),
        $F$5:$U$20
    ),
    TRANSPOSE(
        INDEX($X$5:$AM$77, MATCH($A139,_xlfn.ANCHORARRAY( $W$5), 0), 0)
    )
)
/
(
    INDEX($AN$5:$AN$77, MATCH(BT$100,_xlfn.ANCHORARRAY( $W$5), 0))
    *
    INDEX($AN$5:$AN$77, MATCH($A139,_xlfn.ANCHORARRAY( $W$5), 0))
)</f>
        <v>0.78194801943188597</v>
      </c>
      <c r="BU139" s="17" cm="1">
        <f t="array" ref="BU139">MMULT(
    MMULT(
        INDEX($X$5:$AM$77, MATCH(BU$100,_xlfn.ANCHORARRAY( $W$5), 0), 0),
        $F$5:$U$20
    ),
    TRANSPOSE(
        INDEX($X$5:$AM$77, MATCH($A139,_xlfn.ANCHORARRAY( $W$5), 0), 0)
    )
)
/
(
    INDEX($AN$5:$AN$77, MATCH(BU$100,_xlfn.ANCHORARRAY( $W$5), 0))
    *
    INDEX($AN$5:$AN$77, MATCH($A139,_xlfn.ANCHORARRAY( $W$5), 0))
)</f>
        <v>0.881616681732456</v>
      </c>
      <c r="BV139" s="17" cm="1">
        <f t="array" ref="BV139">MMULT(
    MMULT(
        INDEX($X$5:$AM$77, MATCH(BV$100,_xlfn.ANCHORARRAY( $W$5), 0), 0),
        $F$5:$U$20
    ),
    TRANSPOSE(
        INDEX($X$5:$AM$77, MATCH($A139,_xlfn.ANCHORARRAY( $W$5), 0), 0)
    )
)
/
(
    INDEX($AN$5:$AN$77, MATCH(BV$100,_xlfn.ANCHORARRAY( $W$5), 0))
    *
    INDEX($AN$5:$AN$77, MATCH($A139,_xlfn.ANCHORARRAY( $W$5), 0))
)</f>
        <v>0.96977127507926852</v>
      </c>
    </row>
    <row r="140" spans="1:74" x14ac:dyDescent="0.3">
      <c r="A140" s="7" t="str">
        <v>Jansen, Kenley</v>
      </c>
      <c r="B140" s="17" cm="1">
        <f t="array" ref="B140">MMULT(
    MMULT(
        INDEX($X$5:$AM$77, MATCH(B$100,_xlfn.ANCHORARRAY( $W$5), 0), 0),
        $F$5:$U$20
    ),
    TRANSPOSE(
        INDEX($X$5:$AM$77, MATCH($A140,_xlfn.ANCHORARRAY( $W$5), 0), 0)
    )
)
/
(
    INDEX($AN$5:$AN$77, MATCH(B$100,_xlfn.ANCHORARRAY( $W$5), 0))
    *
    INDEX($AN$5:$AN$77, MATCH($A140,_xlfn.ANCHORARRAY( $W$5), 0))
)</f>
        <v>0.73429868625909034</v>
      </c>
      <c r="C140" s="17" cm="1">
        <f t="array" ref="C140">MMULT(
    MMULT(
        INDEX($X$5:$AM$77, MATCH(C$100,_xlfn.ANCHORARRAY( $W$5), 0), 0),
        $F$5:$U$20
    ),
    TRANSPOSE(
        INDEX($X$5:$AM$77, MATCH($A140,_xlfn.ANCHORARRAY( $W$5), 0), 0)
    )
)
/
(
    INDEX($AN$5:$AN$77, MATCH(C$100,_xlfn.ANCHORARRAY( $W$5), 0))
    *
    INDEX($AN$5:$AN$77, MATCH($A140,_xlfn.ANCHORARRAY( $W$5), 0))
)</f>
        <v>0.64723433690449994</v>
      </c>
      <c r="D140" s="17" cm="1">
        <f t="array" ref="D140">MMULT(
    MMULT(
        INDEX($X$5:$AM$77, MATCH(D$100,_xlfn.ANCHORARRAY( $W$5), 0), 0),
        $F$5:$U$20
    ),
    TRANSPOSE(
        INDEX($X$5:$AM$77, MATCH($A140,_xlfn.ANCHORARRAY( $W$5), 0), 0)
    )
)
/
(
    INDEX($AN$5:$AN$77, MATCH(D$100,_xlfn.ANCHORARRAY( $W$5), 0))
    *
    INDEX($AN$5:$AN$77, MATCH($A140,_xlfn.ANCHORARRAY( $W$5), 0))
)</f>
        <v>0.71632863718255324</v>
      </c>
      <c r="E140" s="17" cm="1">
        <f t="array" ref="E140">MMULT(
    MMULT(
        INDEX($X$5:$AM$77, MATCH(E$100,_xlfn.ANCHORARRAY( $W$5), 0), 0),
        $F$5:$U$20
    ),
    TRANSPOSE(
        INDEX($X$5:$AM$77, MATCH($A140,_xlfn.ANCHORARRAY( $W$5), 0), 0)
    )
)
/
(
    INDEX($AN$5:$AN$77, MATCH(E$100,_xlfn.ANCHORARRAY( $W$5), 0))
    *
    INDEX($AN$5:$AN$77, MATCH($A140,_xlfn.ANCHORARRAY( $W$5), 0))
)</f>
        <v>0.77269305356706375</v>
      </c>
      <c r="F140" s="17" cm="1">
        <f t="array" ref="F140">MMULT(
    MMULT(
        INDEX($X$5:$AM$77, MATCH(F$100,_xlfn.ANCHORARRAY( $W$5), 0), 0),
        $F$5:$U$20
    ),
    TRANSPOSE(
        INDEX($X$5:$AM$77, MATCH($A140,_xlfn.ANCHORARRAY( $W$5), 0), 0)
    )
)
/
(
    INDEX($AN$5:$AN$77, MATCH(F$100,_xlfn.ANCHORARRAY( $W$5), 0))
    *
    INDEX($AN$5:$AN$77, MATCH($A140,_xlfn.ANCHORARRAY( $W$5), 0))
)</f>
        <v>0.64791740838462852</v>
      </c>
      <c r="G140" s="17" cm="1">
        <f t="array" ref="G140">MMULT(
    MMULT(
        INDEX($X$5:$AM$77, MATCH(G$100,_xlfn.ANCHORARRAY( $W$5), 0), 0),
        $F$5:$U$20
    ),
    TRANSPOSE(
        INDEX($X$5:$AM$77, MATCH($A140,_xlfn.ANCHORARRAY( $W$5), 0), 0)
    )
)
/
(
    INDEX($AN$5:$AN$77, MATCH(G$100,_xlfn.ANCHORARRAY( $W$5), 0))
    *
    INDEX($AN$5:$AN$77, MATCH($A140,_xlfn.ANCHORARRAY( $W$5), 0))
)</f>
        <v>0.57905694795761775</v>
      </c>
      <c r="H140" s="17" cm="1">
        <f t="array" ref="H140">MMULT(
    MMULT(
        INDEX($X$5:$AM$77, MATCH(H$100,_xlfn.ANCHORARRAY( $W$5), 0), 0),
        $F$5:$U$20
    ),
    TRANSPOSE(
        INDEX($X$5:$AM$77, MATCH($A140,_xlfn.ANCHORARRAY( $W$5), 0), 0)
    )
)
/
(
    INDEX($AN$5:$AN$77, MATCH(H$100,_xlfn.ANCHORARRAY( $W$5), 0))
    *
    INDEX($AN$5:$AN$77, MATCH($A140,_xlfn.ANCHORARRAY( $W$5), 0))
)</f>
        <v>0.89459760628201901</v>
      </c>
      <c r="I140" s="17" cm="1">
        <f t="array" ref="I140">MMULT(
    MMULT(
        INDEX($X$5:$AM$77, MATCH(I$100,_xlfn.ANCHORARRAY( $W$5), 0), 0),
        $F$5:$U$20
    ),
    TRANSPOSE(
        INDEX($X$5:$AM$77, MATCH($A140,_xlfn.ANCHORARRAY( $W$5), 0), 0)
    )
)
/
(
    INDEX($AN$5:$AN$77, MATCH(I$100,_xlfn.ANCHORARRAY( $W$5), 0))
    *
    INDEX($AN$5:$AN$77, MATCH($A140,_xlfn.ANCHORARRAY( $W$5), 0))
)</f>
        <v>0.67872922680056813</v>
      </c>
      <c r="J140" s="17" cm="1">
        <f t="array" ref="J140">MMULT(
    MMULT(
        INDEX($X$5:$AM$77, MATCH(J$100,_xlfn.ANCHORARRAY( $W$5), 0), 0),
        $F$5:$U$20
    ),
    TRANSPOSE(
        INDEX($X$5:$AM$77, MATCH($A140,_xlfn.ANCHORARRAY( $W$5), 0), 0)
    )
)
/
(
    INDEX($AN$5:$AN$77, MATCH(J$100,_xlfn.ANCHORARRAY( $W$5), 0))
    *
    INDEX($AN$5:$AN$77, MATCH($A140,_xlfn.ANCHORARRAY( $W$5), 0))
)</f>
        <v>0.83454223729003918</v>
      </c>
      <c r="K140" s="17" cm="1">
        <f t="array" ref="K140">MMULT(
    MMULT(
        INDEX($X$5:$AM$77, MATCH(K$100,_xlfn.ANCHORARRAY( $W$5), 0), 0),
        $F$5:$U$20
    ),
    TRANSPOSE(
        INDEX($X$5:$AM$77, MATCH($A140,_xlfn.ANCHORARRAY( $W$5), 0), 0)
    )
)
/
(
    INDEX($AN$5:$AN$77, MATCH(K$100,_xlfn.ANCHORARRAY( $W$5), 0))
    *
    INDEX($AN$5:$AN$77, MATCH($A140,_xlfn.ANCHORARRAY( $W$5), 0))
)</f>
        <v>0.82018224090169234</v>
      </c>
      <c r="L140" s="17" cm="1">
        <f t="array" ref="L140">MMULT(
    MMULT(
        INDEX($X$5:$AM$77, MATCH(L$100,_xlfn.ANCHORARRAY( $W$5), 0), 0),
        $F$5:$U$20
    ),
    TRANSPOSE(
        INDEX($X$5:$AM$77, MATCH($A140,_xlfn.ANCHORARRAY( $W$5), 0), 0)
    )
)
/
(
    INDEX($AN$5:$AN$77, MATCH(L$100,_xlfn.ANCHORARRAY( $W$5), 0))
    *
    INDEX($AN$5:$AN$77, MATCH($A140,_xlfn.ANCHORARRAY( $W$5), 0))
)</f>
        <v>0.97076549403795587</v>
      </c>
      <c r="M140" s="17" cm="1">
        <f t="array" ref="M140">MMULT(
    MMULT(
        INDEX($X$5:$AM$77, MATCH(M$100,_xlfn.ANCHORARRAY( $W$5), 0), 0),
        $F$5:$U$20
    ),
    TRANSPOSE(
        INDEX($X$5:$AM$77, MATCH($A140,_xlfn.ANCHORARRAY( $W$5), 0), 0)
    )
)
/
(
    INDEX($AN$5:$AN$77, MATCH(M$100,_xlfn.ANCHORARRAY( $W$5), 0))
    *
    INDEX($AN$5:$AN$77, MATCH($A140,_xlfn.ANCHORARRAY( $W$5), 0))
)</f>
        <v>0.71207953097022803</v>
      </c>
      <c r="N140" s="17" cm="1">
        <f t="array" ref="N140">MMULT(
    MMULT(
        INDEX($X$5:$AM$77, MATCH(N$100,_xlfn.ANCHORARRAY( $W$5), 0), 0),
        $F$5:$U$20
    ),
    TRANSPOSE(
        INDEX($X$5:$AM$77, MATCH($A140,_xlfn.ANCHORARRAY( $W$5), 0), 0)
    )
)
/
(
    INDEX($AN$5:$AN$77, MATCH(N$100,_xlfn.ANCHORARRAY( $W$5), 0))
    *
    INDEX($AN$5:$AN$77, MATCH($A140,_xlfn.ANCHORARRAY( $W$5), 0))
)</f>
        <v>0.54722691870848195</v>
      </c>
      <c r="O140" s="17" cm="1">
        <f t="array" ref="O140">MMULT(
    MMULT(
        INDEX($X$5:$AM$77, MATCH(O$100,_xlfn.ANCHORARRAY( $W$5), 0), 0),
        $F$5:$U$20
    ),
    TRANSPOSE(
        INDEX($X$5:$AM$77, MATCH($A140,_xlfn.ANCHORARRAY( $W$5), 0), 0)
    )
)
/
(
    INDEX($AN$5:$AN$77, MATCH(O$100,_xlfn.ANCHORARRAY( $W$5), 0))
    *
    INDEX($AN$5:$AN$77, MATCH($A140,_xlfn.ANCHORARRAY( $W$5), 0))
)</f>
        <v>0.54082504753423022</v>
      </c>
      <c r="P140" s="17" cm="1">
        <f t="array" ref="P140">MMULT(
    MMULT(
        INDEX($X$5:$AM$77, MATCH(P$100,_xlfn.ANCHORARRAY( $W$5), 0), 0),
        $F$5:$U$20
    ),
    TRANSPOSE(
        INDEX($X$5:$AM$77, MATCH($A140,_xlfn.ANCHORARRAY( $W$5), 0), 0)
    )
)
/
(
    INDEX($AN$5:$AN$77, MATCH(P$100,_xlfn.ANCHORARRAY( $W$5), 0))
    *
    INDEX($AN$5:$AN$77, MATCH($A140,_xlfn.ANCHORARRAY( $W$5), 0))
)</f>
        <v>0.73306504387366822</v>
      </c>
      <c r="Q140" s="17" cm="1">
        <f t="array" ref="Q140">MMULT(
    MMULT(
        INDEX($X$5:$AM$77, MATCH(Q$100,_xlfn.ANCHORARRAY( $W$5), 0), 0),
        $F$5:$U$20
    ),
    TRANSPOSE(
        INDEX($X$5:$AM$77, MATCH($A140,_xlfn.ANCHORARRAY( $W$5), 0), 0)
    )
)
/
(
    INDEX($AN$5:$AN$77, MATCH(Q$100,_xlfn.ANCHORARRAY( $W$5), 0))
    *
    INDEX($AN$5:$AN$77, MATCH($A140,_xlfn.ANCHORARRAY( $W$5), 0))
)</f>
        <v>0.90515022705267167</v>
      </c>
      <c r="R140" s="17" cm="1">
        <f t="array" ref="R140">MMULT(
    MMULT(
        INDEX($X$5:$AM$77, MATCH(R$100,_xlfn.ANCHORARRAY( $W$5), 0), 0),
        $F$5:$U$20
    ),
    TRANSPOSE(
        INDEX($X$5:$AM$77, MATCH($A140,_xlfn.ANCHORARRAY( $W$5), 0), 0)
    )
)
/
(
    INDEX($AN$5:$AN$77, MATCH(R$100,_xlfn.ANCHORARRAY( $W$5), 0))
    *
    INDEX($AN$5:$AN$77, MATCH($A140,_xlfn.ANCHORARRAY( $W$5), 0))
)</f>
        <v>0.75662053902216453</v>
      </c>
      <c r="S140" s="17" cm="1">
        <f t="array" ref="S140">MMULT(
    MMULT(
        INDEX($X$5:$AM$77, MATCH(S$100,_xlfn.ANCHORARRAY( $W$5), 0), 0),
        $F$5:$U$20
    ),
    TRANSPOSE(
        INDEX($X$5:$AM$77, MATCH($A140,_xlfn.ANCHORARRAY( $W$5), 0), 0)
    )
)
/
(
    INDEX($AN$5:$AN$77, MATCH(S$100,_xlfn.ANCHORARRAY( $W$5), 0))
    *
    INDEX($AN$5:$AN$77, MATCH($A140,_xlfn.ANCHORARRAY( $W$5), 0))
)</f>
        <v>0.76966623853432581</v>
      </c>
      <c r="T140" s="17" cm="1">
        <f t="array" ref="T140">MMULT(
    MMULT(
        INDEX($X$5:$AM$77, MATCH(T$100,_xlfn.ANCHORARRAY( $W$5), 0), 0),
        $F$5:$U$20
    ),
    TRANSPOSE(
        INDEX($X$5:$AM$77, MATCH($A140,_xlfn.ANCHORARRAY( $W$5), 0), 0)
    )
)
/
(
    INDEX($AN$5:$AN$77, MATCH(T$100,_xlfn.ANCHORARRAY( $W$5), 0))
    *
    INDEX($AN$5:$AN$77, MATCH($A140,_xlfn.ANCHORARRAY( $W$5), 0))
)</f>
        <v>0.27746966655286753</v>
      </c>
      <c r="U140" s="17" cm="1">
        <f t="array" ref="U140">MMULT(
    MMULT(
        INDEX($X$5:$AM$77, MATCH(U$100,_xlfn.ANCHORARRAY( $W$5), 0), 0),
        $F$5:$U$20
    ),
    TRANSPOSE(
        INDEX($X$5:$AM$77, MATCH($A140,_xlfn.ANCHORARRAY( $W$5), 0), 0)
    )
)
/
(
    INDEX($AN$5:$AN$77, MATCH(U$100,_xlfn.ANCHORARRAY( $W$5), 0))
    *
    INDEX($AN$5:$AN$77, MATCH($A140,_xlfn.ANCHORARRAY( $W$5), 0))
)</f>
        <v>0.70808306950510091</v>
      </c>
      <c r="V140" s="17" cm="1">
        <f t="array" ref="V140">MMULT(
    MMULT(
        INDEX($X$5:$AM$77, MATCH(V$100,_xlfn.ANCHORARRAY( $W$5), 0), 0),
        $F$5:$U$20
    ),
    TRANSPOSE(
        INDEX($X$5:$AM$77, MATCH($A140,_xlfn.ANCHORARRAY( $W$5), 0), 0)
    )
)
/
(
    INDEX($AN$5:$AN$77, MATCH(V$100,_xlfn.ANCHORARRAY( $W$5), 0))
    *
    INDEX($AN$5:$AN$77, MATCH($A140,_xlfn.ANCHORARRAY( $W$5), 0))
)</f>
        <v>0.70651726269556003</v>
      </c>
      <c r="W140" s="17" cm="1">
        <f t="array" ref="W140">MMULT(
    MMULT(
        INDEX($X$5:$AM$77, MATCH(W$100,_xlfn.ANCHORARRAY( $W$5), 0), 0),
        $F$5:$U$20
    ),
    TRANSPOSE(
        INDEX($X$5:$AM$77, MATCH($A140,_xlfn.ANCHORARRAY( $W$5), 0), 0)
    )
)
/
(
    INDEX($AN$5:$AN$77, MATCH(W$100,_xlfn.ANCHORARRAY( $W$5), 0))
    *
    INDEX($AN$5:$AN$77, MATCH($A140,_xlfn.ANCHORARRAY( $W$5), 0))
)</f>
        <v>0.76612781744244118</v>
      </c>
      <c r="X140" s="17" cm="1">
        <f t="array" ref="X140">MMULT(
    MMULT(
        INDEX($X$5:$AM$77, MATCH(X$100,_xlfn.ANCHORARRAY( $W$5), 0), 0),
        $F$5:$U$20
    ),
    TRANSPOSE(
        INDEX($X$5:$AM$77, MATCH($A140,_xlfn.ANCHORARRAY( $W$5), 0), 0)
    )
)
/
(
    INDEX($AN$5:$AN$77, MATCH(X$100,_xlfn.ANCHORARRAY( $W$5), 0))
    *
    INDEX($AN$5:$AN$77, MATCH($A140,_xlfn.ANCHORARRAY( $W$5), 0))
)</f>
        <v>0.62965944093186177</v>
      </c>
      <c r="Y140" s="17" cm="1">
        <f t="array" ref="Y140">MMULT(
    MMULT(
        INDEX($X$5:$AM$77, MATCH(Y$100,_xlfn.ANCHORARRAY( $W$5), 0), 0),
        $F$5:$U$20
    ),
    TRANSPOSE(
        INDEX($X$5:$AM$77, MATCH($A140,_xlfn.ANCHORARRAY( $W$5), 0), 0)
    )
)
/
(
    INDEX($AN$5:$AN$77, MATCH(Y$100,_xlfn.ANCHORARRAY( $W$5), 0))
    *
    INDEX($AN$5:$AN$77, MATCH($A140,_xlfn.ANCHORARRAY( $W$5), 0))
)</f>
        <v>0.66856196818686808</v>
      </c>
      <c r="Z140" s="17" cm="1">
        <f t="array" ref="Z140">MMULT(
    MMULT(
        INDEX($X$5:$AM$77, MATCH(Z$100,_xlfn.ANCHORARRAY( $W$5), 0), 0),
        $F$5:$U$20
    ),
    TRANSPOSE(
        INDEX($X$5:$AM$77, MATCH($A140,_xlfn.ANCHORARRAY( $W$5), 0), 0)
    )
)
/
(
    INDEX($AN$5:$AN$77, MATCH(Z$100,_xlfn.ANCHORARRAY( $W$5), 0))
    *
    INDEX($AN$5:$AN$77, MATCH($A140,_xlfn.ANCHORARRAY( $W$5), 0))
)</f>
        <v>0.67737240895528483</v>
      </c>
      <c r="AA140" s="17" cm="1">
        <f t="array" ref="AA140">MMULT(
    MMULT(
        INDEX($X$5:$AM$77, MATCH(AA$100,_xlfn.ANCHORARRAY( $W$5), 0), 0),
        $F$5:$U$20
    ),
    TRANSPOSE(
        INDEX($X$5:$AM$77, MATCH($A140,_xlfn.ANCHORARRAY( $W$5), 0), 0)
    )
)
/
(
    INDEX($AN$5:$AN$77, MATCH(AA$100,_xlfn.ANCHORARRAY( $W$5), 0))
    *
    INDEX($AN$5:$AN$77, MATCH($A140,_xlfn.ANCHORARRAY( $W$5), 0))
)</f>
        <v>0.62766042286950807</v>
      </c>
      <c r="AB140" s="17" cm="1">
        <f t="array" ref="AB140">MMULT(
    MMULT(
        INDEX($X$5:$AM$77, MATCH(AB$100,_xlfn.ANCHORARRAY( $W$5), 0), 0),
        $F$5:$U$20
    ),
    TRANSPOSE(
        INDEX($X$5:$AM$77, MATCH($A140,_xlfn.ANCHORARRAY( $W$5), 0), 0)
    )
)
/
(
    INDEX($AN$5:$AN$77, MATCH(AB$100,_xlfn.ANCHORARRAY( $W$5), 0))
    *
    INDEX($AN$5:$AN$77, MATCH($A140,_xlfn.ANCHORARRAY( $W$5), 0))
)</f>
        <v>0.77630088034978295</v>
      </c>
      <c r="AC140" s="17" cm="1">
        <f t="array" ref="AC140">MMULT(
    MMULT(
        INDEX($X$5:$AM$77, MATCH(AC$100,_xlfn.ANCHORARRAY( $W$5), 0), 0),
        $F$5:$U$20
    ),
    TRANSPOSE(
        INDEX($X$5:$AM$77, MATCH($A140,_xlfn.ANCHORARRAY( $W$5), 0), 0)
    )
)
/
(
    INDEX($AN$5:$AN$77, MATCH(AC$100,_xlfn.ANCHORARRAY( $W$5), 0))
    *
    INDEX($AN$5:$AN$77, MATCH($A140,_xlfn.ANCHORARRAY( $W$5), 0))
)</f>
        <v>0.74865877629057531</v>
      </c>
      <c r="AD140" s="17" cm="1">
        <f t="array" ref="AD140">MMULT(
    MMULT(
        INDEX($X$5:$AM$77, MATCH(AD$100,_xlfn.ANCHORARRAY( $W$5), 0), 0),
        $F$5:$U$20
    ),
    TRANSPOSE(
        INDEX($X$5:$AM$77, MATCH($A140,_xlfn.ANCHORARRAY( $W$5), 0), 0)
    )
)
/
(
    INDEX($AN$5:$AN$77, MATCH(AD$100,_xlfn.ANCHORARRAY( $W$5), 0))
    *
    INDEX($AN$5:$AN$77, MATCH($A140,_xlfn.ANCHORARRAY( $W$5), 0))
)</f>
        <v>0.70584507738490154</v>
      </c>
      <c r="AE140" s="17" cm="1">
        <f t="array" ref="AE140">MMULT(
    MMULT(
        INDEX($X$5:$AM$77, MATCH(AE$100,_xlfn.ANCHORARRAY( $W$5), 0), 0),
        $F$5:$U$20
    ),
    TRANSPOSE(
        INDEX($X$5:$AM$77, MATCH($A140,_xlfn.ANCHORARRAY( $W$5), 0), 0)
    )
)
/
(
    INDEX($AN$5:$AN$77, MATCH(AE$100,_xlfn.ANCHORARRAY( $W$5), 0))
    *
    INDEX($AN$5:$AN$77, MATCH($A140,_xlfn.ANCHORARRAY( $W$5), 0))
)</f>
        <v>0.65764523903785466</v>
      </c>
      <c r="AF140" s="17" cm="1">
        <f t="array" ref="AF140">MMULT(
    MMULT(
        INDEX($X$5:$AM$77, MATCH(AF$100,_xlfn.ANCHORARRAY( $W$5), 0), 0),
        $F$5:$U$20
    ),
    TRANSPOSE(
        INDEX($X$5:$AM$77, MATCH($A140,_xlfn.ANCHORARRAY( $W$5), 0), 0)
    )
)
/
(
    INDEX($AN$5:$AN$77, MATCH(AF$100,_xlfn.ANCHORARRAY( $W$5), 0))
    *
    INDEX($AN$5:$AN$77, MATCH($A140,_xlfn.ANCHORARRAY( $W$5), 0))
)</f>
        <v>0.76196535045636959</v>
      </c>
      <c r="AG140" s="17" cm="1">
        <f t="array" ref="AG140">MMULT(
    MMULT(
        INDEX($X$5:$AM$77, MATCH(AG$100,_xlfn.ANCHORARRAY( $W$5), 0), 0),
        $F$5:$U$20
    ),
    TRANSPOSE(
        INDEX($X$5:$AM$77, MATCH($A140,_xlfn.ANCHORARRAY( $W$5), 0), 0)
    )
)
/
(
    INDEX($AN$5:$AN$77, MATCH(AG$100,_xlfn.ANCHORARRAY( $W$5), 0))
    *
    INDEX($AN$5:$AN$77, MATCH($A140,_xlfn.ANCHORARRAY( $W$5), 0))
)</f>
        <v>0.8643120139072954</v>
      </c>
      <c r="AH140" s="17" cm="1">
        <f t="array" ref="AH140">MMULT(
    MMULT(
        INDEX($X$5:$AM$77, MATCH(AH$100,_xlfn.ANCHORARRAY( $W$5), 0), 0),
        $F$5:$U$20
    ),
    TRANSPOSE(
        INDEX($X$5:$AM$77, MATCH($A140,_xlfn.ANCHORARRAY( $W$5), 0), 0)
    )
)
/
(
    INDEX($AN$5:$AN$77, MATCH(AH$100,_xlfn.ANCHORARRAY( $W$5), 0))
    *
    INDEX($AN$5:$AN$77, MATCH($A140,_xlfn.ANCHORARRAY( $W$5), 0))
)</f>
        <v>0.56335649438860314</v>
      </c>
      <c r="AI140" s="17" cm="1">
        <f t="array" ref="AI140">MMULT(
    MMULT(
        INDEX($X$5:$AM$77, MATCH(AI$100,_xlfn.ANCHORARRAY( $W$5), 0), 0),
        $F$5:$U$20
    ),
    TRANSPOSE(
        INDEX($X$5:$AM$77, MATCH($A140,_xlfn.ANCHORARRAY( $W$5), 0), 0)
    )
)
/
(
    INDEX($AN$5:$AN$77, MATCH(AI$100,_xlfn.ANCHORARRAY( $W$5), 0))
    *
    INDEX($AN$5:$AN$77, MATCH($A140,_xlfn.ANCHORARRAY( $W$5), 0))
)</f>
        <v>0.7828536997724278</v>
      </c>
      <c r="AJ140" s="17" cm="1">
        <f t="array" ref="AJ140">MMULT(
    MMULT(
        INDEX($X$5:$AM$77, MATCH(AJ$100,_xlfn.ANCHORARRAY( $W$5), 0), 0),
        $F$5:$U$20
    ),
    TRANSPOSE(
        INDEX($X$5:$AM$77, MATCH($A140,_xlfn.ANCHORARRAY( $W$5), 0), 0)
    )
)
/
(
    INDEX($AN$5:$AN$77, MATCH(AJ$100,_xlfn.ANCHORARRAY( $W$5), 0))
    *
    INDEX($AN$5:$AN$77, MATCH($A140,_xlfn.ANCHORARRAY( $W$5), 0))
)</f>
        <v>0.62578986283274352</v>
      </c>
      <c r="AK140" s="17" cm="1">
        <f t="array" ref="AK140">MMULT(
    MMULT(
        INDEX($X$5:$AM$77, MATCH(AK$100,_xlfn.ANCHORARRAY( $W$5), 0), 0),
        $F$5:$U$20
    ),
    TRANSPOSE(
        INDEX($X$5:$AM$77, MATCH($A140,_xlfn.ANCHORARRAY( $W$5), 0), 0)
    )
)
/
(
    INDEX($AN$5:$AN$77, MATCH(AK$100,_xlfn.ANCHORARRAY( $W$5), 0))
    *
    INDEX($AN$5:$AN$77, MATCH($A140,_xlfn.ANCHORARRAY( $W$5), 0))
)</f>
        <v>0.93854501799094192</v>
      </c>
      <c r="AL140" s="17" cm="1">
        <f t="array" ref="AL140">MMULT(
    MMULT(
        INDEX($X$5:$AM$77, MATCH(AL$100,_xlfn.ANCHORARRAY( $W$5), 0), 0),
        $F$5:$U$20
    ),
    TRANSPOSE(
        INDEX($X$5:$AM$77, MATCH($A140,_xlfn.ANCHORARRAY( $W$5), 0), 0)
    )
)
/
(
    INDEX($AN$5:$AN$77, MATCH(AL$100,_xlfn.ANCHORARRAY( $W$5), 0))
    *
    INDEX($AN$5:$AN$77, MATCH($A140,_xlfn.ANCHORARRAY( $W$5), 0))
)</f>
        <v>0.58662573518587979</v>
      </c>
      <c r="AM140" s="17" cm="1">
        <f t="array" ref="AM140">MMULT(
    MMULT(
        INDEX($X$5:$AM$77, MATCH(AM$100,_xlfn.ANCHORARRAY( $W$5), 0), 0),
        $F$5:$U$20
    ),
    TRANSPOSE(
        INDEX($X$5:$AM$77, MATCH($A140,_xlfn.ANCHORARRAY( $W$5), 0), 0)
    )
)
/
(
    INDEX($AN$5:$AN$77, MATCH(AM$100,_xlfn.ANCHORARRAY( $W$5), 0))
    *
    INDEX($AN$5:$AN$77, MATCH($A140,_xlfn.ANCHORARRAY( $W$5), 0))
)</f>
        <v>0.92806422356969631</v>
      </c>
      <c r="AN140" s="17" cm="1">
        <f t="array" ref="AN140">MMULT(
    MMULT(
        INDEX($X$5:$AM$77, MATCH(AN$100,_xlfn.ANCHORARRAY( $W$5), 0), 0),
        $F$5:$U$20
    ),
    TRANSPOSE(
        INDEX($X$5:$AM$77, MATCH($A140,_xlfn.ANCHORARRAY( $W$5), 0), 0)
    )
)
/
(
    INDEX($AN$5:$AN$77, MATCH(AN$100,_xlfn.ANCHORARRAY( $W$5), 0))
    *
    INDEX($AN$5:$AN$77, MATCH($A140,_xlfn.ANCHORARRAY( $W$5), 0))
)</f>
        <v>0.62601909254956201</v>
      </c>
      <c r="AO140" s="17" cm="1">
        <f t="array" ref="AO140">MMULT(
    MMULT(
        INDEX($X$5:$AM$77, MATCH(AO$100,_xlfn.ANCHORARRAY( $W$5), 0), 0),
        $F$5:$U$20
    ),
    TRANSPOSE(
        INDEX($X$5:$AM$77, MATCH($A140,_xlfn.ANCHORARRAY( $W$5), 0), 0)
    )
)
/
(
    INDEX($AN$5:$AN$77, MATCH(AO$100,_xlfn.ANCHORARRAY( $W$5), 0))
    *
    INDEX($AN$5:$AN$77, MATCH($A140,_xlfn.ANCHORARRAY( $W$5), 0))
)</f>
        <v>1.0000000000000002</v>
      </c>
      <c r="AP140" s="17" cm="1">
        <f t="array" ref="AP140">MMULT(
    MMULT(
        INDEX($X$5:$AM$77, MATCH(AP$100,_xlfn.ANCHORARRAY( $W$5), 0), 0),
        $F$5:$U$20
    ),
    TRANSPOSE(
        INDEX($X$5:$AM$77, MATCH($A140,_xlfn.ANCHORARRAY( $W$5), 0), 0)
    )
)
/
(
    INDEX($AN$5:$AN$77, MATCH(AP$100,_xlfn.ANCHORARRAY( $W$5), 0))
    *
    INDEX($AN$5:$AN$77, MATCH($A140,_xlfn.ANCHORARRAY( $W$5), 0))
)</f>
        <v>0.7319468033930201</v>
      </c>
      <c r="AQ140" s="17" cm="1">
        <f t="array" ref="AQ140">MMULT(
    MMULT(
        INDEX($X$5:$AM$77, MATCH(AQ$100,_xlfn.ANCHORARRAY( $W$5), 0), 0),
        $F$5:$U$20
    ),
    TRANSPOSE(
        INDEX($X$5:$AM$77, MATCH($A140,_xlfn.ANCHORARRAY( $W$5), 0), 0)
    )
)
/
(
    INDEX($AN$5:$AN$77, MATCH(AQ$100,_xlfn.ANCHORARRAY( $W$5), 0))
    *
    INDEX($AN$5:$AN$77, MATCH($A140,_xlfn.ANCHORARRAY( $W$5), 0))
)</f>
        <v>0.65768886948936189</v>
      </c>
      <c r="AR140" s="17" cm="1">
        <f t="array" ref="AR140">MMULT(
    MMULT(
        INDEX($X$5:$AM$77, MATCH(AR$100,_xlfn.ANCHORARRAY( $W$5), 0), 0),
        $F$5:$U$20
    ),
    TRANSPOSE(
        INDEX($X$5:$AM$77, MATCH($A140,_xlfn.ANCHORARRAY( $W$5), 0), 0)
    )
)
/
(
    INDEX($AN$5:$AN$77, MATCH(AR$100,_xlfn.ANCHORARRAY( $W$5), 0))
    *
    INDEX($AN$5:$AN$77, MATCH($A140,_xlfn.ANCHORARRAY( $W$5), 0))
)</f>
        <v>0.64184902329081517</v>
      </c>
      <c r="AS140" s="17" cm="1">
        <f t="array" ref="AS140">MMULT(
    MMULT(
        INDEX($X$5:$AM$77, MATCH(AS$100,_xlfn.ANCHORARRAY( $W$5), 0), 0),
        $F$5:$U$20
    ),
    TRANSPOSE(
        INDEX($X$5:$AM$77, MATCH($A140,_xlfn.ANCHORARRAY( $W$5), 0), 0)
    )
)
/
(
    INDEX($AN$5:$AN$77, MATCH(AS$100,_xlfn.ANCHORARRAY( $W$5), 0))
    *
    INDEX($AN$5:$AN$77, MATCH($A140,_xlfn.ANCHORARRAY( $W$5), 0))
)</f>
        <v>0.63086606922876387</v>
      </c>
      <c r="AT140" s="17" cm="1">
        <f t="array" ref="AT140">MMULT(
    MMULT(
        INDEX($X$5:$AM$77, MATCH(AT$100,_xlfn.ANCHORARRAY( $W$5), 0), 0),
        $F$5:$U$20
    ),
    TRANSPOSE(
        INDEX($X$5:$AM$77, MATCH($A140,_xlfn.ANCHORARRAY( $W$5), 0), 0)
    )
)
/
(
    INDEX($AN$5:$AN$77, MATCH(AT$100,_xlfn.ANCHORARRAY( $W$5), 0))
    *
    INDEX($AN$5:$AN$77, MATCH($A140,_xlfn.ANCHORARRAY( $W$5), 0))
)</f>
        <v>0.88328384169251895</v>
      </c>
      <c r="AU140" s="17" cm="1">
        <f t="array" ref="AU140">MMULT(
    MMULT(
        INDEX($X$5:$AM$77, MATCH(AU$100,_xlfn.ANCHORARRAY( $W$5), 0), 0),
        $F$5:$U$20
    ),
    TRANSPOSE(
        INDEX($X$5:$AM$77, MATCH($A140,_xlfn.ANCHORARRAY( $W$5), 0), 0)
    )
)
/
(
    INDEX($AN$5:$AN$77, MATCH(AU$100,_xlfn.ANCHORARRAY( $W$5), 0))
    *
    INDEX($AN$5:$AN$77, MATCH($A140,_xlfn.ANCHORARRAY( $W$5), 0))
)</f>
        <v>0.63523647412673989</v>
      </c>
      <c r="AV140" s="17" cm="1">
        <f t="array" ref="AV140">MMULT(
    MMULT(
        INDEX($X$5:$AM$77, MATCH(AV$100,_xlfn.ANCHORARRAY( $W$5), 0), 0),
        $F$5:$U$20
    ),
    TRANSPOSE(
        INDEX($X$5:$AM$77, MATCH($A140,_xlfn.ANCHORARRAY( $W$5), 0), 0)
    )
)
/
(
    INDEX($AN$5:$AN$77, MATCH(AV$100,_xlfn.ANCHORARRAY( $W$5), 0))
    *
    INDEX($AN$5:$AN$77, MATCH($A140,_xlfn.ANCHORARRAY( $W$5), 0))
)</f>
        <v>0.69101113732007158</v>
      </c>
      <c r="AW140" s="17" cm="1">
        <f t="array" ref="AW140">MMULT(
    MMULT(
        INDEX($X$5:$AM$77, MATCH(AW$100,_xlfn.ANCHORARRAY( $W$5), 0), 0),
        $F$5:$U$20
    ),
    TRANSPOSE(
        INDEX($X$5:$AM$77, MATCH($A140,_xlfn.ANCHORARRAY( $W$5), 0), 0)
    )
)
/
(
    INDEX($AN$5:$AN$77, MATCH(AW$100,_xlfn.ANCHORARRAY( $W$5), 0))
    *
    INDEX($AN$5:$AN$77, MATCH($A140,_xlfn.ANCHORARRAY( $W$5), 0))
)</f>
        <v>0.66732437933435018</v>
      </c>
      <c r="AX140" s="17" cm="1">
        <f t="array" ref="AX140">MMULT(
    MMULT(
        INDEX($X$5:$AM$77, MATCH(AX$100,_xlfn.ANCHORARRAY( $W$5), 0), 0),
        $F$5:$U$20
    ),
    TRANSPOSE(
        INDEX($X$5:$AM$77, MATCH($A140,_xlfn.ANCHORARRAY( $W$5), 0), 0)
    )
)
/
(
    INDEX($AN$5:$AN$77, MATCH(AX$100,_xlfn.ANCHORARRAY( $W$5), 0))
    *
    INDEX($AN$5:$AN$77, MATCH($A140,_xlfn.ANCHORARRAY( $W$5), 0))
)</f>
        <v>0.81418489870632849</v>
      </c>
      <c r="AY140" s="17" cm="1">
        <f t="array" ref="AY140">MMULT(
    MMULT(
        INDEX($X$5:$AM$77, MATCH(AY$100,_xlfn.ANCHORARRAY( $W$5), 0), 0),
        $F$5:$U$20
    ),
    TRANSPOSE(
        INDEX($X$5:$AM$77, MATCH($A140,_xlfn.ANCHORARRAY( $W$5), 0), 0)
    )
)
/
(
    INDEX($AN$5:$AN$77, MATCH(AY$100,_xlfn.ANCHORARRAY( $W$5), 0))
    *
    INDEX($AN$5:$AN$77, MATCH($A140,_xlfn.ANCHORARRAY( $W$5), 0))
)</f>
        <v>0.5077095067834686</v>
      </c>
      <c r="AZ140" s="17" cm="1">
        <f t="array" ref="AZ140">MMULT(
    MMULT(
        INDEX($X$5:$AM$77, MATCH(AZ$100,_xlfn.ANCHORARRAY( $W$5), 0), 0),
        $F$5:$U$20
    ),
    TRANSPOSE(
        INDEX($X$5:$AM$77, MATCH($A140,_xlfn.ANCHORARRAY( $W$5), 0), 0)
    )
)
/
(
    INDEX($AN$5:$AN$77, MATCH(AZ$100,_xlfn.ANCHORARRAY( $W$5), 0))
    *
    INDEX($AN$5:$AN$77, MATCH($A140,_xlfn.ANCHORARRAY( $W$5), 0))
)</f>
        <v>0.68776188628839252</v>
      </c>
      <c r="BA140" s="17" cm="1">
        <f t="array" ref="BA140">MMULT(
    MMULT(
        INDEX($X$5:$AM$77, MATCH(BA$100,_xlfn.ANCHORARRAY( $W$5), 0), 0),
        $F$5:$U$20
    ),
    TRANSPOSE(
        INDEX($X$5:$AM$77, MATCH($A140,_xlfn.ANCHORARRAY( $W$5), 0), 0)
    )
)
/
(
    INDEX($AN$5:$AN$77, MATCH(BA$100,_xlfn.ANCHORARRAY( $W$5), 0))
    *
    INDEX($AN$5:$AN$77, MATCH($A140,_xlfn.ANCHORARRAY( $W$5), 0))
)</f>
        <v>0.67237418319356179</v>
      </c>
      <c r="BB140" s="17" cm="1">
        <f t="array" ref="BB140">MMULT(
    MMULT(
        INDEX($X$5:$AM$77, MATCH(BB$100,_xlfn.ANCHORARRAY( $W$5), 0), 0),
        $F$5:$U$20
    ),
    TRANSPOSE(
        INDEX($X$5:$AM$77, MATCH($A140,_xlfn.ANCHORARRAY( $W$5), 0), 0)
    )
)
/
(
    INDEX($AN$5:$AN$77, MATCH(BB$100,_xlfn.ANCHORARRAY( $W$5), 0))
    *
    INDEX($AN$5:$AN$77, MATCH($A140,_xlfn.ANCHORARRAY( $W$5), 0))
)</f>
        <v>0.79308357941479668</v>
      </c>
      <c r="BC140" s="17" cm="1">
        <f t="array" ref="BC140">MMULT(
    MMULT(
        INDEX($X$5:$AM$77, MATCH(BC$100,_xlfn.ANCHORARRAY( $W$5), 0), 0),
        $F$5:$U$20
    ),
    TRANSPOSE(
        INDEX($X$5:$AM$77, MATCH($A140,_xlfn.ANCHORARRAY( $W$5), 0), 0)
    )
)
/
(
    INDEX($AN$5:$AN$77, MATCH(BC$100,_xlfn.ANCHORARRAY( $W$5), 0))
    *
    INDEX($AN$5:$AN$77, MATCH($A140,_xlfn.ANCHORARRAY( $W$5), 0))
)</f>
        <v>0.81565279271645352</v>
      </c>
      <c r="BD140" s="17" cm="1">
        <f t="array" ref="BD140">MMULT(
    MMULT(
        INDEX($X$5:$AM$77, MATCH(BD$100,_xlfn.ANCHORARRAY( $W$5), 0), 0),
        $F$5:$U$20
    ),
    TRANSPOSE(
        INDEX($X$5:$AM$77, MATCH($A140,_xlfn.ANCHORARRAY( $W$5), 0), 0)
    )
)
/
(
    INDEX($AN$5:$AN$77, MATCH(BD$100,_xlfn.ANCHORARRAY( $W$5), 0))
    *
    INDEX($AN$5:$AN$77, MATCH($A140,_xlfn.ANCHORARRAY( $W$5), 0))
)</f>
        <v>0.53934794107112161</v>
      </c>
      <c r="BE140" s="17" cm="1">
        <f t="array" ref="BE140">MMULT(
    MMULT(
        INDEX($X$5:$AM$77, MATCH(BE$100,_xlfn.ANCHORARRAY( $W$5), 0), 0),
        $F$5:$U$20
    ),
    TRANSPOSE(
        INDEX($X$5:$AM$77, MATCH($A140,_xlfn.ANCHORARRAY( $W$5), 0), 0)
    )
)
/
(
    INDEX($AN$5:$AN$77, MATCH(BE$100,_xlfn.ANCHORARRAY( $W$5), 0))
    *
    INDEX($AN$5:$AN$77, MATCH($A140,_xlfn.ANCHORARRAY( $W$5), 0))
)</f>
        <v>0.90643271144274717</v>
      </c>
      <c r="BF140" s="17" cm="1">
        <f t="array" ref="BF140">MMULT(
    MMULT(
        INDEX($X$5:$AM$77, MATCH(BF$100,_xlfn.ANCHORARRAY( $W$5), 0), 0),
        $F$5:$U$20
    ),
    TRANSPOSE(
        INDEX($X$5:$AM$77, MATCH($A140,_xlfn.ANCHORARRAY( $W$5), 0), 0)
    )
)
/
(
    INDEX($AN$5:$AN$77, MATCH(BF$100,_xlfn.ANCHORARRAY( $W$5), 0))
    *
    INDEX($AN$5:$AN$77, MATCH($A140,_xlfn.ANCHORARRAY( $W$5), 0))
)</f>
        <v>0.6833921216532779</v>
      </c>
      <c r="BG140" s="17" cm="1">
        <f t="array" ref="BG140">MMULT(
    MMULT(
        INDEX($X$5:$AM$77, MATCH(BG$100,_xlfn.ANCHORARRAY( $W$5), 0), 0),
        $F$5:$U$20
    ),
    TRANSPOSE(
        INDEX($X$5:$AM$77, MATCH($A140,_xlfn.ANCHORARRAY( $W$5), 0), 0)
    )
)
/
(
    INDEX($AN$5:$AN$77, MATCH(BG$100,_xlfn.ANCHORARRAY( $W$5), 0))
    *
    INDEX($AN$5:$AN$77, MATCH($A140,_xlfn.ANCHORARRAY( $W$5), 0))
)</f>
        <v>0.6450579808465472</v>
      </c>
      <c r="BH140" s="17" cm="1">
        <f t="array" ref="BH140">MMULT(
    MMULT(
        INDEX($X$5:$AM$77, MATCH(BH$100,_xlfn.ANCHORARRAY( $W$5), 0), 0),
        $F$5:$U$20
    ),
    TRANSPOSE(
        INDEX($X$5:$AM$77, MATCH($A140,_xlfn.ANCHORARRAY( $W$5), 0), 0)
    )
)
/
(
    INDEX($AN$5:$AN$77, MATCH(BH$100,_xlfn.ANCHORARRAY( $W$5), 0))
    *
    INDEX($AN$5:$AN$77, MATCH($A140,_xlfn.ANCHORARRAY( $W$5), 0))
)</f>
        <v>0.63063762726863282</v>
      </c>
      <c r="BI140" s="17" cm="1">
        <f t="array" ref="BI140">MMULT(
    MMULT(
        INDEX($X$5:$AM$77, MATCH(BI$100,_xlfn.ANCHORARRAY( $W$5), 0), 0),
        $F$5:$U$20
    ),
    TRANSPOSE(
        INDEX($X$5:$AM$77, MATCH($A140,_xlfn.ANCHORARRAY( $W$5), 0), 0)
    )
)
/
(
    INDEX($AN$5:$AN$77, MATCH(BI$100,_xlfn.ANCHORARRAY( $W$5), 0))
    *
    INDEX($AN$5:$AN$77, MATCH($A140,_xlfn.ANCHORARRAY( $W$5), 0))
)</f>
        <v>0.65942956587020529</v>
      </c>
      <c r="BJ140" s="17" cm="1">
        <f t="array" ref="BJ140">MMULT(
    MMULT(
        INDEX($X$5:$AM$77, MATCH(BJ$100,_xlfn.ANCHORARRAY( $W$5), 0), 0),
        $F$5:$U$20
    ),
    TRANSPOSE(
        INDEX($X$5:$AM$77, MATCH($A140,_xlfn.ANCHORARRAY( $W$5), 0), 0)
    )
)
/
(
    INDEX($AN$5:$AN$77, MATCH(BJ$100,_xlfn.ANCHORARRAY( $W$5), 0))
    *
    INDEX($AN$5:$AN$77, MATCH($A140,_xlfn.ANCHORARRAY( $W$5), 0))
)</f>
        <v>0.75027038367016663</v>
      </c>
      <c r="BK140" s="17" cm="1">
        <f t="array" ref="BK140">MMULT(
    MMULT(
        INDEX($X$5:$AM$77, MATCH(BK$100,_xlfn.ANCHORARRAY( $W$5), 0), 0),
        $F$5:$U$20
    ),
    TRANSPOSE(
        INDEX($X$5:$AM$77, MATCH($A140,_xlfn.ANCHORARRAY( $W$5), 0), 0)
    )
)
/
(
    INDEX($AN$5:$AN$77, MATCH(BK$100,_xlfn.ANCHORARRAY( $W$5), 0))
    *
    INDEX($AN$5:$AN$77, MATCH($A140,_xlfn.ANCHORARRAY( $W$5), 0))
)</f>
        <v>0.54612641510289461</v>
      </c>
      <c r="BL140" s="17" cm="1">
        <f t="array" ref="BL140">MMULT(
    MMULT(
        INDEX($X$5:$AM$77, MATCH(BL$100,_xlfn.ANCHORARRAY( $W$5), 0), 0),
        $F$5:$U$20
    ),
    TRANSPOSE(
        INDEX($X$5:$AM$77, MATCH($A140,_xlfn.ANCHORARRAY( $W$5), 0), 0)
    )
)
/
(
    INDEX($AN$5:$AN$77, MATCH(BL$100,_xlfn.ANCHORARRAY( $W$5), 0))
    *
    INDEX($AN$5:$AN$77, MATCH($A140,_xlfn.ANCHORARRAY( $W$5), 0))
)</f>
        <v>0.2902789706044428</v>
      </c>
      <c r="BM140" s="17" cm="1">
        <f t="array" ref="BM140">MMULT(
    MMULT(
        INDEX($X$5:$AM$77, MATCH(BM$100,_xlfn.ANCHORARRAY( $W$5), 0), 0),
        $F$5:$U$20
    ),
    TRANSPOSE(
        INDEX($X$5:$AM$77, MATCH($A140,_xlfn.ANCHORARRAY( $W$5), 0), 0)
    )
)
/
(
    INDEX($AN$5:$AN$77, MATCH(BM$100,_xlfn.ANCHORARRAY( $W$5), 0))
    *
    INDEX($AN$5:$AN$77, MATCH($A140,_xlfn.ANCHORARRAY( $W$5), 0))
)</f>
        <v>0.55057500576607377</v>
      </c>
      <c r="BN140" s="17" cm="1">
        <f t="array" ref="BN140">MMULT(
    MMULT(
        INDEX($X$5:$AM$77, MATCH(BN$100,_xlfn.ANCHORARRAY( $W$5), 0), 0),
        $F$5:$U$20
    ),
    TRANSPOSE(
        INDEX($X$5:$AM$77, MATCH($A140,_xlfn.ANCHORARRAY( $W$5), 0), 0)
    )
)
/
(
    INDEX($AN$5:$AN$77, MATCH(BN$100,_xlfn.ANCHORARRAY( $W$5), 0))
    *
    INDEX($AN$5:$AN$77, MATCH($A140,_xlfn.ANCHORARRAY( $W$5), 0))
)</f>
        <v>0.93993570515375824</v>
      </c>
      <c r="BO140" s="17" cm="1">
        <f t="array" ref="BO140">MMULT(
    MMULT(
        INDEX($X$5:$AM$77, MATCH(BO$100,_xlfn.ANCHORARRAY( $W$5), 0), 0),
        $F$5:$U$20
    ),
    TRANSPOSE(
        INDEX($X$5:$AM$77, MATCH($A140,_xlfn.ANCHORARRAY( $W$5), 0), 0)
    )
)
/
(
    INDEX($AN$5:$AN$77, MATCH(BO$100,_xlfn.ANCHORARRAY( $W$5), 0))
    *
    INDEX($AN$5:$AN$77, MATCH($A140,_xlfn.ANCHORARRAY( $W$5), 0))
)</f>
        <v>0.67120573608675294</v>
      </c>
      <c r="BP140" s="17" cm="1">
        <f t="array" ref="BP140">MMULT(
    MMULT(
        INDEX($X$5:$AM$77, MATCH(BP$100,_xlfn.ANCHORARRAY( $W$5), 0), 0),
        $F$5:$U$20
    ),
    TRANSPOSE(
        INDEX($X$5:$AM$77, MATCH($A140,_xlfn.ANCHORARRAY( $W$5), 0), 0)
    )
)
/
(
    INDEX($AN$5:$AN$77, MATCH(BP$100,_xlfn.ANCHORARRAY( $W$5), 0))
    *
    INDEX($AN$5:$AN$77, MATCH($A140,_xlfn.ANCHORARRAY( $W$5), 0))
)</f>
        <v>0.69782447305224915</v>
      </c>
      <c r="BQ140" s="17" cm="1">
        <f t="array" ref="BQ140">MMULT(
    MMULT(
        INDEX($X$5:$AM$77, MATCH(BQ$100,_xlfn.ANCHORARRAY( $W$5), 0), 0),
        $F$5:$U$20
    ),
    TRANSPOSE(
        INDEX($X$5:$AM$77, MATCH($A140,_xlfn.ANCHORARRAY( $W$5), 0), 0)
    )
)
/
(
    INDEX($AN$5:$AN$77, MATCH(BQ$100,_xlfn.ANCHORARRAY( $W$5), 0))
    *
    INDEX($AN$5:$AN$77, MATCH($A140,_xlfn.ANCHORARRAY( $W$5), 0))
)</f>
        <v>0.84397568451673755</v>
      </c>
      <c r="BR140" s="17" cm="1">
        <f t="array" ref="BR140">MMULT(
    MMULT(
        INDEX($X$5:$AM$77, MATCH(BR$100,_xlfn.ANCHORARRAY( $W$5), 0), 0),
        $F$5:$U$20
    ),
    TRANSPOSE(
        INDEX($X$5:$AM$77, MATCH($A140,_xlfn.ANCHORARRAY( $W$5), 0), 0)
    )
)
/
(
    INDEX($AN$5:$AN$77, MATCH(BR$100,_xlfn.ANCHORARRAY( $W$5), 0))
    *
    INDEX($AN$5:$AN$77, MATCH($A140,_xlfn.ANCHORARRAY( $W$5), 0))
)</f>
        <v>0.67976718144889314</v>
      </c>
      <c r="BS140" s="17" cm="1">
        <f t="array" ref="BS140">MMULT(
    MMULT(
        INDEX($X$5:$AM$77, MATCH(BS$100,_xlfn.ANCHORARRAY( $W$5), 0), 0),
        $F$5:$U$20
    ),
    TRANSPOSE(
        INDEX($X$5:$AM$77, MATCH($A140,_xlfn.ANCHORARRAY( $W$5), 0), 0)
    )
)
/
(
    INDEX($AN$5:$AN$77, MATCH(BS$100,_xlfn.ANCHORARRAY( $W$5), 0))
    *
    INDEX($AN$5:$AN$77, MATCH($A140,_xlfn.ANCHORARRAY( $W$5), 0))
)</f>
        <v>0.58793440200657088</v>
      </c>
      <c r="BT140" s="17" cm="1">
        <f t="array" ref="BT140">MMULT(
    MMULT(
        INDEX($X$5:$AM$77, MATCH(BT$100,_xlfn.ANCHORARRAY( $W$5), 0), 0),
        $F$5:$U$20
    ),
    TRANSPOSE(
        INDEX($X$5:$AM$77, MATCH($A140,_xlfn.ANCHORARRAY( $W$5), 0), 0)
    )
)
/
(
    INDEX($AN$5:$AN$77, MATCH(BT$100,_xlfn.ANCHORARRAY( $W$5), 0))
    *
    INDEX($AN$5:$AN$77, MATCH($A140,_xlfn.ANCHORARRAY( $W$5), 0))
)</f>
        <v>0.87128473015833852</v>
      </c>
      <c r="BU140" s="17" cm="1">
        <f t="array" ref="BU140">MMULT(
    MMULT(
        INDEX($X$5:$AM$77, MATCH(BU$100,_xlfn.ANCHORARRAY( $W$5), 0), 0),
        $F$5:$U$20
    ),
    TRANSPOSE(
        INDEX($X$5:$AM$77, MATCH($A140,_xlfn.ANCHORARRAY( $W$5), 0), 0)
    )
)
/
(
    INDEX($AN$5:$AN$77, MATCH(BU$100,_xlfn.ANCHORARRAY( $W$5), 0))
    *
    INDEX($AN$5:$AN$77, MATCH($A140,_xlfn.ANCHORARRAY( $W$5), 0))
)</f>
        <v>0.63682044013044681</v>
      </c>
      <c r="BV140" s="17" cm="1">
        <f t="array" ref="BV140">MMULT(
    MMULT(
        INDEX($X$5:$AM$77, MATCH(BV$100,_xlfn.ANCHORARRAY( $W$5), 0), 0),
        $F$5:$U$20
    ),
    TRANSPOSE(
        INDEX($X$5:$AM$77, MATCH($A140,_xlfn.ANCHORARRAY( $W$5), 0), 0)
    )
)
/
(
    INDEX($AN$5:$AN$77, MATCH(BV$100,_xlfn.ANCHORARRAY( $W$5), 0))
    *
    INDEX($AN$5:$AN$77, MATCH($A140,_xlfn.ANCHORARRAY( $W$5), 0))
)</f>
        <v>0.57498102737238965</v>
      </c>
    </row>
    <row r="141" spans="1:74" x14ac:dyDescent="0.3">
      <c r="A141" s="7" t="str">
        <v>Waldrep, Hurston</v>
      </c>
      <c r="B141" s="17" cm="1">
        <f t="array" ref="B141">MMULT(
    MMULT(
        INDEX($X$5:$AM$77, MATCH(B$100,_xlfn.ANCHORARRAY( $W$5), 0), 0),
        $F$5:$U$20
    ),
    TRANSPOSE(
        INDEX($X$5:$AM$77, MATCH($A141,_xlfn.ANCHORARRAY( $W$5), 0), 0)
    )
)
/
(
    INDEX($AN$5:$AN$77, MATCH(B$100,_xlfn.ANCHORARRAY( $W$5), 0))
    *
    INDEX($AN$5:$AN$77, MATCH($A141,_xlfn.ANCHORARRAY( $W$5), 0))
)</f>
        <v>0.78429786400861423</v>
      </c>
      <c r="C141" s="17" cm="1">
        <f t="array" ref="C141">MMULT(
    MMULT(
        INDEX($X$5:$AM$77, MATCH(C$100,_xlfn.ANCHORARRAY( $W$5), 0), 0),
        $F$5:$U$20
    ),
    TRANSPOSE(
        INDEX($X$5:$AM$77, MATCH($A141,_xlfn.ANCHORARRAY( $W$5), 0), 0)
    )
)
/
(
    INDEX($AN$5:$AN$77, MATCH(C$100,_xlfn.ANCHORARRAY( $W$5), 0))
    *
    INDEX($AN$5:$AN$77, MATCH($A141,_xlfn.ANCHORARRAY( $W$5), 0))
)</f>
        <v>0.71209653946901064</v>
      </c>
      <c r="D141" s="17" cm="1">
        <f t="array" ref="D141">MMULT(
    MMULT(
        INDEX($X$5:$AM$77, MATCH(D$100,_xlfn.ANCHORARRAY( $W$5), 0), 0),
        $F$5:$U$20
    ),
    TRANSPOSE(
        INDEX($X$5:$AM$77, MATCH($A141,_xlfn.ANCHORARRAY( $W$5), 0), 0)
    )
)
/
(
    INDEX($AN$5:$AN$77, MATCH(D$100,_xlfn.ANCHORARRAY( $W$5), 0))
    *
    INDEX($AN$5:$AN$77, MATCH($A141,_xlfn.ANCHORARRAY( $W$5), 0))
)</f>
        <v>0.68582278207863256</v>
      </c>
      <c r="E141" s="17" cm="1">
        <f t="array" ref="E141">MMULT(
    MMULT(
        INDEX($X$5:$AM$77, MATCH(E$100,_xlfn.ANCHORARRAY( $W$5), 0), 0),
        $F$5:$U$20
    ),
    TRANSPOSE(
        INDEX($X$5:$AM$77, MATCH($A141,_xlfn.ANCHORARRAY( $W$5), 0), 0)
    )
)
/
(
    INDEX($AN$5:$AN$77, MATCH(E$100,_xlfn.ANCHORARRAY( $W$5), 0))
    *
    INDEX($AN$5:$AN$77, MATCH($A141,_xlfn.ANCHORARRAY( $W$5), 0))
)</f>
        <v>0.77036044859737618</v>
      </c>
      <c r="F141" s="17" cm="1">
        <f t="array" ref="F141">MMULT(
    MMULT(
        INDEX($X$5:$AM$77, MATCH(F$100,_xlfn.ANCHORARRAY( $W$5), 0), 0),
        $F$5:$U$20
    ),
    TRANSPOSE(
        INDEX($X$5:$AM$77, MATCH($A141,_xlfn.ANCHORARRAY( $W$5), 0), 0)
    )
)
/
(
    INDEX($AN$5:$AN$77, MATCH(F$100,_xlfn.ANCHORARRAY( $W$5), 0))
    *
    INDEX($AN$5:$AN$77, MATCH($A141,_xlfn.ANCHORARRAY( $W$5), 0))
)</f>
        <v>0.68625715103519302</v>
      </c>
      <c r="G141" s="17" cm="1">
        <f t="array" ref="G141">MMULT(
    MMULT(
        INDEX($X$5:$AM$77, MATCH(G$100,_xlfn.ANCHORARRAY( $W$5), 0), 0),
        $F$5:$U$20
    ),
    TRANSPOSE(
        INDEX($X$5:$AM$77, MATCH($A141,_xlfn.ANCHORARRAY( $W$5), 0), 0)
    )
)
/
(
    INDEX($AN$5:$AN$77, MATCH(G$100,_xlfn.ANCHORARRAY( $W$5), 0))
    *
    INDEX($AN$5:$AN$77, MATCH($A141,_xlfn.ANCHORARRAY( $W$5), 0))
)</f>
        <v>0.77189219368955919</v>
      </c>
      <c r="H141" s="17" cm="1">
        <f t="array" ref="H141">MMULT(
    MMULT(
        INDEX($X$5:$AM$77, MATCH(H$100,_xlfn.ANCHORARRAY( $W$5), 0), 0),
        $F$5:$U$20
    ),
    TRANSPOSE(
        INDEX($X$5:$AM$77, MATCH($A141,_xlfn.ANCHORARRAY( $W$5), 0), 0)
    )
)
/
(
    INDEX($AN$5:$AN$77, MATCH(H$100,_xlfn.ANCHORARRAY( $W$5), 0))
    *
    INDEX($AN$5:$AN$77, MATCH($A141,_xlfn.ANCHORARRAY( $W$5), 0))
)</f>
        <v>0.755112863393538</v>
      </c>
      <c r="I141" s="17" cm="1">
        <f t="array" ref="I141">MMULT(
    MMULT(
        INDEX($X$5:$AM$77, MATCH(I$100,_xlfn.ANCHORARRAY( $W$5), 0), 0),
        $F$5:$U$20
    ),
    TRANSPOSE(
        INDEX($X$5:$AM$77, MATCH($A141,_xlfn.ANCHORARRAY( $W$5), 0), 0)
    )
)
/
(
    INDEX($AN$5:$AN$77, MATCH(I$100,_xlfn.ANCHORARRAY( $W$5), 0))
    *
    INDEX($AN$5:$AN$77, MATCH($A141,_xlfn.ANCHORARRAY( $W$5), 0))
)</f>
        <v>0.76229174873068051</v>
      </c>
      <c r="J141" s="17" cm="1">
        <f t="array" ref="J141">MMULT(
    MMULT(
        INDEX($X$5:$AM$77, MATCH(J$100,_xlfn.ANCHORARRAY( $W$5), 0), 0),
        $F$5:$U$20
    ),
    TRANSPOSE(
        INDEX($X$5:$AM$77, MATCH($A141,_xlfn.ANCHORARRAY( $W$5), 0), 0)
    )
)
/
(
    INDEX($AN$5:$AN$77, MATCH(J$100,_xlfn.ANCHORARRAY( $W$5), 0))
    *
    INDEX($AN$5:$AN$77, MATCH($A141,_xlfn.ANCHORARRAY( $W$5), 0))
)</f>
        <v>0.88283797457004931</v>
      </c>
      <c r="K141" s="17" cm="1">
        <f t="array" ref="K141">MMULT(
    MMULT(
        INDEX($X$5:$AM$77, MATCH(K$100,_xlfn.ANCHORARRAY( $W$5), 0), 0),
        $F$5:$U$20
    ),
    TRANSPOSE(
        INDEX($X$5:$AM$77, MATCH($A141,_xlfn.ANCHORARRAY( $W$5), 0), 0)
    )
)
/
(
    INDEX($AN$5:$AN$77, MATCH(K$100,_xlfn.ANCHORARRAY( $W$5), 0))
    *
    INDEX($AN$5:$AN$77, MATCH($A141,_xlfn.ANCHORARRAY( $W$5), 0))
)</f>
        <v>0.79526803684890668</v>
      </c>
      <c r="L141" s="17" cm="1">
        <f t="array" ref="L141">MMULT(
    MMULT(
        INDEX($X$5:$AM$77, MATCH(L$100,_xlfn.ANCHORARRAY( $W$5), 0), 0),
        $F$5:$U$20
    ),
    TRANSPOSE(
        INDEX($X$5:$AM$77, MATCH($A141,_xlfn.ANCHORARRAY( $W$5), 0), 0)
    )
)
/
(
    INDEX($AN$5:$AN$77, MATCH(L$100,_xlfn.ANCHORARRAY( $W$5), 0))
    *
    INDEX($AN$5:$AN$77, MATCH($A141,_xlfn.ANCHORARRAY( $W$5), 0))
)</f>
        <v>0.79190808051939732</v>
      </c>
      <c r="M141" s="17" cm="1">
        <f t="array" ref="M141">MMULT(
    MMULT(
        INDEX($X$5:$AM$77, MATCH(M$100,_xlfn.ANCHORARRAY( $W$5), 0), 0),
        $F$5:$U$20
    ),
    TRANSPOSE(
        INDEX($X$5:$AM$77, MATCH($A141,_xlfn.ANCHORARRAY( $W$5), 0), 0)
    )
)
/
(
    INDEX($AN$5:$AN$77, MATCH(M$100,_xlfn.ANCHORARRAY( $W$5), 0))
    *
    INDEX($AN$5:$AN$77, MATCH($A141,_xlfn.ANCHORARRAY( $W$5), 0))
)</f>
        <v>0.82588471505132199</v>
      </c>
      <c r="N141" s="17" cm="1">
        <f t="array" ref="N141">MMULT(
    MMULT(
        INDEX($X$5:$AM$77, MATCH(N$100,_xlfn.ANCHORARRAY( $W$5), 0), 0),
        $F$5:$U$20
    ),
    TRANSPOSE(
        INDEX($X$5:$AM$77, MATCH($A141,_xlfn.ANCHORARRAY( $W$5), 0), 0)
    )
)
/
(
    INDEX($AN$5:$AN$77, MATCH(N$100,_xlfn.ANCHORARRAY( $W$5), 0))
    *
    INDEX($AN$5:$AN$77, MATCH($A141,_xlfn.ANCHORARRAY( $W$5), 0))
)</f>
        <v>0.58373437113516369</v>
      </c>
      <c r="O141" s="17" cm="1">
        <f t="array" ref="O141">MMULT(
    MMULT(
        INDEX($X$5:$AM$77, MATCH(O$100,_xlfn.ANCHORARRAY( $W$5), 0), 0),
        $F$5:$U$20
    ),
    TRANSPOSE(
        INDEX($X$5:$AM$77, MATCH($A141,_xlfn.ANCHORARRAY( $W$5), 0), 0)
    )
)
/
(
    INDEX($AN$5:$AN$77, MATCH(O$100,_xlfn.ANCHORARRAY( $W$5), 0))
    *
    INDEX($AN$5:$AN$77, MATCH($A141,_xlfn.ANCHORARRAY( $W$5), 0))
)</f>
        <v>0.61087429395188875</v>
      </c>
      <c r="P141" s="17" cm="1">
        <f t="array" ref="P141">MMULT(
    MMULT(
        INDEX($X$5:$AM$77, MATCH(P$100,_xlfn.ANCHORARRAY( $W$5), 0), 0),
        $F$5:$U$20
    ),
    TRANSPOSE(
        INDEX($X$5:$AM$77, MATCH($A141,_xlfn.ANCHORARRAY( $W$5), 0), 0)
    )
)
/
(
    INDEX($AN$5:$AN$77, MATCH(P$100,_xlfn.ANCHORARRAY( $W$5), 0))
    *
    INDEX($AN$5:$AN$77, MATCH($A141,_xlfn.ANCHORARRAY( $W$5), 0))
)</f>
        <v>0.71342314976567411</v>
      </c>
      <c r="Q141" s="17" cm="1">
        <f t="array" ref="Q141">MMULT(
    MMULT(
        INDEX($X$5:$AM$77, MATCH(Q$100,_xlfn.ANCHORARRAY( $W$5), 0), 0),
        $F$5:$U$20
    ),
    TRANSPOSE(
        INDEX($X$5:$AM$77, MATCH($A141,_xlfn.ANCHORARRAY( $W$5), 0), 0)
    )
)
/
(
    INDEX($AN$5:$AN$77, MATCH(Q$100,_xlfn.ANCHORARRAY( $W$5), 0))
    *
    INDEX($AN$5:$AN$77, MATCH($A141,_xlfn.ANCHORARRAY( $W$5), 0))
)</f>
        <v>0.76018959996382152</v>
      </c>
      <c r="R141" s="17" cm="1">
        <f t="array" ref="R141">MMULT(
    MMULT(
        INDEX($X$5:$AM$77, MATCH(R$100,_xlfn.ANCHORARRAY( $W$5), 0), 0),
        $F$5:$U$20
    ),
    TRANSPOSE(
        INDEX($X$5:$AM$77, MATCH($A141,_xlfn.ANCHORARRAY( $W$5), 0), 0)
    )
)
/
(
    INDEX($AN$5:$AN$77, MATCH(R$100,_xlfn.ANCHORARRAY( $W$5), 0))
    *
    INDEX($AN$5:$AN$77, MATCH($A141,_xlfn.ANCHORARRAY( $W$5), 0))
)</f>
        <v>0.66063860576308886</v>
      </c>
      <c r="S141" s="17" cm="1">
        <f t="array" ref="S141">MMULT(
    MMULT(
        INDEX($X$5:$AM$77, MATCH(S$100,_xlfn.ANCHORARRAY( $W$5), 0), 0),
        $F$5:$U$20
    ),
    TRANSPOSE(
        INDEX($X$5:$AM$77, MATCH($A141,_xlfn.ANCHORARRAY( $W$5), 0), 0)
    )
)
/
(
    INDEX($AN$5:$AN$77, MATCH(S$100,_xlfn.ANCHORARRAY( $W$5), 0))
    *
    INDEX($AN$5:$AN$77, MATCH($A141,_xlfn.ANCHORARRAY( $W$5), 0))
)</f>
        <v>0.71945821624272599</v>
      </c>
      <c r="T141" s="17" cm="1">
        <f t="array" ref="T141">MMULT(
    MMULT(
        INDEX($X$5:$AM$77, MATCH(T$100,_xlfn.ANCHORARRAY( $W$5), 0), 0),
        $F$5:$U$20
    ),
    TRANSPOSE(
        INDEX($X$5:$AM$77, MATCH($A141,_xlfn.ANCHORARRAY( $W$5), 0), 0)
    )
)
/
(
    INDEX($AN$5:$AN$77, MATCH(T$100,_xlfn.ANCHORARRAY( $W$5), 0))
    *
    INDEX($AN$5:$AN$77, MATCH($A141,_xlfn.ANCHORARRAY( $W$5), 0))
)</f>
        <v>0.43006383757363309</v>
      </c>
      <c r="U141" s="17" cm="1">
        <f t="array" ref="U141">MMULT(
    MMULT(
        INDEX($X$5:$AM$77, MATCH(U$100,_xlfn.ANCHORARRAY( $W$5), 0), 0),
        $F$5:$U$20
    ),
    TRANSPOSE(
        INDEX($X$5:$AM$77, MATCH($A141,_xlfn.ANCHORARRAY( $W$5), 0), 0)
    )
)
/
(
    INDEX($AN$5:$AN$77, MATCH(U$100,_xlfn.ANCHORARRAY( $W$5), 0))
    *
    INDEX($AN$5:$AN$77, MATCH($A141,_xlfn.ANCHORARRAY( $W$5), 0))
)</f>
        <v>0.69863800201160853</v>
      </c>
      <c r="V141" s="17" cm="1">
        <f t="array" ref="V141">MMULT(
    MMULT(
        INDEX($X$5:$AM$77, MATCH(V$100,_xlfn.ANCHORARRAY( $W$5), 0), 0),
        $F$5:$U$20
    ),
    TRANSPOSE(
        INDEX($X$5:$AM$77, MATCH($A141,_xlfn.ANCHORARRAY( $W$5), 0), 0)
    )
)
/
(
    INDEX($AN$5:$AN$77, MATCH(V$100,_xlfn.ANCHORARRAY( $W$5), 0))
    *
    INDEX($AN$5:$AN$77, MATCH($A141,_xlfn.ANCHORARRAY( $W$5), 0))
)</f>
        <v>0.64091025045682881</v>
      </c>
      <c r="W141" s="17" cm="1">
        <f t="array" ref="W141">MMULT(
    MMULT(
        INDEX($X$5:$AM$77, MATCH(W$100,_xlfn.ANCHORARRAY( $W$5), 0), 0),
        $F$5:$U$20
    ),
    TRANSPOSE(
        INDEX($X$5:$AM$77, MATCH($A141,_xlfn.ANCHORARRAY( $W$5), 0), 0)
    )
)
/
(
    INDEX($AN$5:$AN$77, MATCH(W$100,_xlfn.ANCHORARRAY( $W$5), 0))
    *
    INDEX($AN$5:$AN$77, MATCH($A141,_xlfn.ANCHORARRAY( $W$5), 0))
)</f>
        <v>0.60565967616191296</v>
      </c>
      <c r="X141" s="17" cm="1">
        <f t="array" ref="X141">MMULT(
    MMULT(
        INDEX($X$5:$AM$77, MATCH(X$100,_xlfn.ANCHORARRAY( $W$5), 0), 0),
        $F$5:$U$20
    ),
    TRANSPOSE(
        INDEX($X$5:$AM$77, MATCH($A141,_xlfn.ANCHORARRAY( $W$5), 0), 0)
    )
)
/
(
    INDEX($AN$5:$AN$77, MATCH(X$100,_xlfn.ANCHORARRAY( $W$5), 0))
    *
    INDEX($AN$5:$AN$77, MATCH($A141,_xlfn.ANCHORARRAY( $W$5), 0))
)</f>
        <v>0.64428982278569624</v>
      </c>
      <c r="Y141" s="17" cm="1">
        <f t="array" ref="Y141">MMULT(
    MMULT(
        INDEX($X$5:$AM$77, MATCH(Y$100,_xlfn.ANCHORARRAY( $W$5), 0), 0),
        $F$5:$U$20
    ),
    TRANSPOSE(
        INDEX($X$5:$AM$77, MATCH($A141,_xlfn.ANCHORARRAY( $W$5), 0), 0)
    )
)
/
(
    INDEX($AN$5:$AN$77, MATCH(Y$100,_xlfn.ANCHORARRAY( $W$5), 0))
    *
    INDEX($AN$5:$AN$77, MATCH($A141,_xlfn.ANCHORARRAY( $W$5), 0))
)</f>
        <v>0.88625712037754245</v>
      </c>
      <c r="Z141" s="17" cm="1">
        <f t="array" ref="Z141">MMULT(
    MMULT(
        INDEX($X$5:$AM$77, MATCH(Z$100,_xlfn.ANCHORARRAY( $W$5), 0), 0),
        $F$5:$U$20
    ),
    TRANSPOSE(
        INDEX($X$5:$AM$77, MATCH($A141,_xlfn.ANCHORARRAY( $W$5), 0), 0)
    )
)
/
(
    INDEX($AN$5:$AN$77, MATCH(Z$100,_xlfn.ANCHORARRAY( $W$5), 0))
    *
    INDEX($AN$5:$AN$77, MATCH($A141,_xlfn.ANCHORARRAY( $W$5), 0))
)</f>
        <v>0.65852913395462165</v>
      </c>
      <c r="AA141" s="17" cm="1">
        <f t="array" ref="AA141">MMULT(
    MMULT(
        INDEX($X$5:$AM$77, MATCH(AA$100,_xlfn.ANCHORARRAY( $W$5), 0), 0),
        $F$5:$U$20
    ),
    TRANSPOSE(
        INDEX($X$5:$AM$77, MATCH($A141,_xlfn.ANCHORARRAY( $W$5), 0), 0)
    )
)
/
(
    INDEX($AN$5:$AN$77, MATCH(AA$100,_xlfn.ANCHORARRAY( $W$5), 0))
    *
    INDEX($AN$5:$AN$77, MATCH($A141,_xlfn.ANCHORARRAY( $W$5), 0))
)</f>
        <v>0.63041242374961615</v>
      </c>
      <c r="AB141" s="17" cm="1">
        <f t="array" ref="AB141">MMULT(
    MMULT(
        INDEX($X$5:$AM$77, MATCH(AB$100,_xlfn.ANCHORARRAY( $W$5), 0), 0),
        $F$5:$U$20
    ),
    TRANSPOSE(
        INDEX($X$5:$AM$77, MATCH($A141,_xlfn.ANCHORARRAY( $W$5), 0), 0)
    )
)
/
(
    INDEX($AN$5:$AN$77, MATCH(AB$100,_xlfn.ANCHORARRAY( $W$5), 0))
    *
    INDEX($AN$5:$AN$77, MATCH($A141,_xlfn.ANCHORARRAY( $W$5), 0))
)</f>
        <v>0.79678217275130048</v>
      </c>
      <c r="AC141" s="17" cm="1">
        <f t="array" ref="AC141">MMULT(
    MMULT(
        INDEX($X$5:$AM$77, MATCH(AC$100,_xlfn.ANCHORARRAY( $W$5), 0), 0),
        $F$5:$U$20
    ),
    TRANSPOSE(
        INDEX($X$5:$AM$77, MATCH($A141,_xlfn.ANCHORARRAY( $W$5), 0), 0)
    )
)
/
(
    INDEX($AN$5:$AN$77, MATCH(AC$100,_xlfn.ANCHORARRAY( $W$5), 0))
    *
    INDEX($AN$5:$AN$77, MATCH($A141,_xlfn.ANCHORARRAY( $W$5), 0))
)</f>
        <v>0.71090602585929896</v>
      </c>
      <c r="AD141" s="17" cm="1">
        <f t="array" ref="AD141">MMULT(
    MMULT(
        INDEX($X$5:$AM$77, MATCH(AD$100,_xlfn.ANCHORARRAY( $W$5), 0), 0),
        $F$5:$U$20
    ),
    TRANSPOSE(
        INDEX($X$5:$AM$77, MATCH($A141,_xlfn.ANCHORARRAY( $W$5), 0), 0)
    )
)
/
(
    INDEX($AN$5:$AN$77, MATCH(AD$100,_xlfn.ANCHORARRAY( $W$5), 0))
    *
    INDEX($AN$5:$AN$77, MATCH($A141,_xlfn.ANCHORARRAY( $W$5), 0))
)</f>
        <v>0.63832783501400725</v>
      </c>
      <c r="AE141" s="17" cm="1">
        <f t="array" ref="AE141">MMULT(
    MMULT(
        INDEX($X$5:$AM$77, MATCH(AE$100,_xlfn.ANCHORARRAY( $W$5), 0), 0),
        $F$5:$U$20
    ),
    TRANSPOSE(
        INDEX($X$5:$AM$77, MATCH($A141,_xlfn.ANCHORARRAY( $W$5), 0), 0)
    )
)
/
(
    INDEX($AN$5:$AN$77, MATCH(AE$100,_xlfn.ANCHORARRAY( $W$5), 0))
    *
    INDEX($AN$5:$AN$77, MATCH($A141,_xlfn.ANCHORARRAY( $W$5), 0))
)</f>
        <v>0.86616690197004487</v>
      </c>
      <c r="AF141" s="17" cm="1">
        <f t="array" ref="AF141">MMULT(
    MMULT(
        INDEX($X$5:$AM$77, MATCH(AF$100,_xlfn.ANCHORARRAY( $W$5), 0), 0),
        $F$5:$U$20
    ),
    TRANSPOSE(
        INDEX($X$5:$AM$77, MATCH($A141,_xlfn.ANCHORARRAY( $W$5), 0), 0)
    )
)
/
(
    INDEX($AN$5:$AN$77, MATCH(AF$100,_xlfn.ANCHORARRAY( $W$5), 0))
    *
    INDEX($AN$5:$AN$77, MATCH($A141,_xlfn.ANCHORARRAY( $W$5), 0))
)</f>
        <v>0.78525694547824587</v>
      </c>
      <c r="AG141" s="17" cm="1">
        <f t="array" ref="AG141">MMULT(
    MMULT(
        INDEX($X$5:$AM$77, MATCH(AG$100,_xlfn.ANCHORARRAY( $W$5), 0), 0),
        $F$5:$U$20
    ),
    TRANSPOSE(
        INDEX($X$5:$AM$77, MATCH($A141,_xlfn.ANCHORARRAY( $W$5), 0), 0)
    )
)
/
(
    INDEX($AN$5:$AN$77, MATCH(AG$100,_xlfn.ANCHORARRAY( $W$5), 0))
    *
    INDEX($AN$5:$AN$77, MATCH($A141,_xlfn.ANCHORARRAY( $W$5), 0))
)</f>
        <v>0.82044065493619012</v>
      </c>
      <c r="AH141" s="17" cm="1">
        <f t="array" ref="AH141">MMULT(
    MMULT(
        INDEX($X$5:$AM$77, MATCH(AH$100,_xlfn.ANCHORARRAY( $W$5), 0), 0),
        $F$5:$U$20
    ),
    TRANSPOSE(
        INDEX($X$5:$AM$77, MATCH($A141,_xlfn.ANCHORARRAY( $W$5), 0), 0)
    )
)
/
(
    INDEX($AN$5:$AN$77, MATCH(AH$100,_xlfn.ANCHORARRAY( $W$5), 0))
    *
    INDEX($AN$5:$AN$77, MATCH($A141,_xlfn.ANCHORARRAY( $W$5), 0))
)</f>
        <v>0.85603133452464419</v>
      </c>
      <c r="AI141" s="17" cm="1">
        <f t="array" ref="AI141">MMULT(
    MMULT(
        INDEX($X$5:$AM$77, MATCH(AI$100,_xlfn.ANCHORARRAY( $W$5), 0), 0),
        $F$5:$U$20
    ),
    TRANSPOSE(
        INDEX($X$5:$AM$77, MATCH($A141,_xlfn.ANCHORARRAY( $W$5), 0), 0)
    )
)
/
(
    INDEX($AN$5:$AN$77, MATCH(AI$100,_xlfn.ANCHORARRAY( $W$5), 0))
    *
    INDEX($AN$5:$AN$77, MATCH($A141,_xlfn.ANCHORARRAY( $W$5), 0))
)</f>
        <v>0.78293139089822461</v>
      </c>
      <c r="AJ141" s="17" cm="1">
        <f t="array" ref="AJ141">MMULT(
    MMULT(
        INDEX($X$5:$AM$77, MATCH(AJ$100,_xlfn.ANCHORARRAY( $W$5), 0), 0),
        $F$5:$U$20
    ),
    TRANSPOSE(
        INDEX($X$5:$AM$77, MATCH($A141,_xlfn.ANCHORARRAY( $W$5), 0), 0)
    )
)
/
(
    INDEX($AN$5:$AN$77, MATCH(AJ$100,_xlfn.ANCHORARRAY( $W$5), 0))
    *
    INDEX($AN$5:$AN$77, MATCH($A141,_xlfn.ANCHORARRAY( $W$5), 0))
)</f>
        <v>0.68801296431829084</v>
      </c>
      <c r="AK141" s="17" cm="1">
        <f t="array" ref="AK141">MMULT(
    MMULT(
        INDEX($X$5:$AM$77, MATCH(AK$100,_xlfn.ANCHORARRAY( $W$5), 0), 0),
        $F$5:$U$20
    ),
    TRANSPOSE(
        INDEX($X$5:$AM$77, MATCH($A141,_xlfn.ANCHORARRAY( $W$5), 0), 0)
    )
)
/
(
    INDEX($AN$5:$AN$77, MATCH(AK$100,_xlfn.ANCHORARRAY( $W$5), 0))
    *
    INDEX($AN$5:$AN$77, MATCH($A141,_xlfn.ANCHORARRAY( $W$5), 0))
)</f>
        <v>0.80898956581822934</v>
      </c>
      <c r="AL141" s="17" cm="1">
        <f t="array" ref="AL141">MMULT(
    MMULT(
        INDEX($X$5:$AM$77, MATCH(AL$100,_xlfn.ANCHORARRAY( $W$5), 0), 0),
        $F$5:$U$20
    ),
    TRANSPOSE(
        INDEX($X$5:$AM$77, MATCH($A141,_xlfn.ANCHORARRAY( $W$5), 0), 0)
    )
)
/
(
    INDEX($AN$5:$AN$77, MATCH(AL$100,_xlfn.ANCHORARRAY( $W$5), 0))
    *
    INDEX($AN$5:$AN$77, MATCH($A141,_xlfn.ANCHORARRAY( $W$5), 0))
)</f>
        <v>0.56936513522781018</v>
      </c>
      <c r="AM141" s="17" cm="1">
        <f t="array" ref="AM141">MMULT(
    MMULT(
        INDEX($X$5:$AM$77, MATCH(AM$100,_xlfn.ANCHORARRAY( $W$5), 0), 0),
        $F$5:$U$20
    ),
    TRANSPOSE(
        INDEX($X$5:$AM$77, MATCH($A141,_xlfn.ANCHORARRAY( $W$5), 0), 0)
    )
)
/
(
    INDEX($AN$5:$AN$77, MATCH(AM$100,_xlfn.ANCHORARRAY( $W$5), 0))
    *
    INDEX($AN$5:$AN$77, MATCH($A141,_xlfn.ANCHORARRAY( $W$5), 0))
)</f>
        <v>0.76300987110522245</v>
      </c>
      <c r="AN141" s="17" cm="1">
        <f t="array" ref="AN141">MMULT(
    MMULT(
        INDEX($X$5:$AM$77, MATCH(AN$100,_xlfn.ANCHORARRAY( $W$5), 0), 0),
        $F$5:$U$20
    ),
    TRANSPOSE(
        INDEX($X$5:$AM$77, MATCH($A141,_xlfn.ANCHORARRAY( $W$5), 0), 0)
    )
)
/
(
    INDEX($AN$5:$AN$77, MATCH(AN$100,_xlfn.ANCHORARRAY( $W$5), 0))
    *
    INDEX($AN$5:$AN$77, MATCH($A141,_xlfn.ANCHORARRAY( $W$5), 0))
)</f>
        <v>0.74865442050051167</v>
      </c>
      <c r="AO141" s="17" cm="1">
        <f t="array" ref="AO141">MMULT(
    MMULT(
        INDEX($X$5:$AM$77, MATCH(AO$100,_xlfn.ANCHORARRAY( $W$5), 0), 0),
        $F$5:$U$20
    ),
    TRANSPOSE(
        INDEX($X$5:$AM$77, MATCH($A141,_xlfn.ANCHORARRAY( $W$5), 0), 0)
    )
)
/
(
    INDEX($AN$5:$AN$77, MATCH(AO$100,_xlfn.ANCHORARRAY( $W$5), 0))
    *
    INDEX($AN$5:$AN$77, MATCH($A141,_xlfn.ANCHORARRAY( $W$5), 0))
)</f>
        <v>0.7319468033930201</v>
      </c>
      <c r="AP141" s="17" cm="1">
        <f t="array" ref="AP141">MMULT(
    MMULT(
        INDEX($X$5:$AM$77, MATCH(AP$100,_xlfn.ANCHORARRAY( $W$5), 0), 0),
        $F$5:$U$20
    ),
    TRANSPOSE(
        INDEX($X$5:$AM$77, MATCH($A141,_xlfn.ANCHORARRAY( $W$5), 0), 0)
    )
)
/
(
    INDEX($AN$5:$AN$77, MATCH(AP$100,_xlfn.ANCHORARRAY( $W$5), 0))
    *
    INDEX($AN$5:$AN$77, MATCH($A141,_xlfn.ANCHORARRAY( $W$5), 0))
)</f>
        <v>1</v>
      </c>
      <c r="AQ141" s="17" cm="1">
        <f t="array" ref="AQ141">MMULT(
    MMULT(
        INDEX($X$5:$AM$77, MATCH(AQ$100,_xlfn.ANCHORARRAY( $W$5), 0), 0),
        $F$5:$U$20
    ),
    TRANSPOSE(
        INDEX($X$5:$AM$77, MATCH($A141,_xlfn.ANCHORARRAY( $W$5), 0), 0)
    )
)
/
(
    INDEX($AN$5:$AN$77, MATCH(AQ$100,_xlfn.ANCHORARRAY( $W$5), 0))
    *
    INDEX($AN$5:$AN$77, MATCH($A141,_xlfn.ANCHORARRAY( $W$5), 0))
)</f>
        <v>0.64129411400587866</v>
      </c>
      <c r="AR141" s="17" cm="1">
        <f t="array" ref="AR141">MMULT(
    MMULT(
        INDEX($X$5:$AM$77, MATCH(AR$100,_xlfn.ANCHORARRAY( $W$5), 0), 0),
        $F$5:$U$20
    ),
    TRANSPOSE(
        INDEX($X$5:$AM$77, MATCH($A141,_xlfn.ANCHORARRAY( $W$5), 0), 0)
    )
)
/
(
    INDEX($AN$5:$AN$77, MATCH(AR$100,_xlfn.ANCHORARRAY( $W$5), 0))
    *
    INDEX($AN$5:$AN$77, MATCH($A141,_xlfn.ANCHORARRAY( $W$5), 0))
)</f>
        <v>0.69670866596974534</v>
      </c>
      <c r="AS141" s="17" cm="1">
        <f t="array" ref="AS141">MMULT(
    MMULT(
        INDEX($X$5:$AM$77, MATCH(AS$100,_xlfn.ANCHORARRAY( $W$5), 0), 0),
        $F$5:$U$20
    ),
    TRANSPOSE(
        INDEX($X$5:$AM$77, MATCH($A141,_xlfn.ANCHORARRAY( $W$5), 0), 0)
    )
)
/
(
    INDEX($AN$5:$AN$77, MATCH(AS$100,_xlfn.ANCHORARRAY( $W$5), 0))
    *
    INDEX($AN$5:$AN$77, MATCH($A141,_xlfn.ANCHORARRAY( $W$5), 0))
)</f>
        <v>0.74476442980456303</v>
      </c>
      <c r="AT141" s="17" cm="1">
        <f t="array" ref="AT141">MMULT(
    MMULT(
        INDEX($X$5:$AM$77, MATCH(AT$100,_xlfn.ANCHORARRAY( $W$5), 0), 0),
        $F$5:$U$20
    ),
    TRANSPOSE(
        INDEX($X$5:$AM$77, MATCH($A141,_xlfn.ANCHORARRAY( $W$5), 0), 0)
    )
)
/
(
    INDEX($AN$5:$AN$77, MATCH(AT$100,_xlfn.ANCHORARRAY( $W$5), 0))
    *
    INDEX($AN$5:$AN$77, MATCH($A141,_xlfn.ANCHORARRAY( $W$5), 0))
)</f>
        <v>0.88774018270113464</v>
      </c>
      <c r="AU141" s="17" cm="1">
        <f t="array" ref="AU141">MMULT(
    MMULT(
        INDEX($X$5:$AM$77, MATCH(AU$100,_xlfn.ANCHORARRAY( $W$5), 0), 0),
        $F$5:$U$20
    ),
    TRANSPOSE(
        INDEX($X$5:$AM$77, MATCH($A141,_xlfn.ANCHORARRAY( $W$5), 0), 0)
    )
)
/
(
    INDEX($AN$5:$AN$77, MATCH(AU$100,_xlfn.ANCHORARRAY( $W$5), 0))
    *
    INDEX($AN$5:$AN$77, MATCH($A141,_xlfn.ANCHORARRAY( $W$5), 0))
)</f>
        <v>0.69500264346817398</v>
      </c>
      <c r="AV141" s="17" cm="1">
        <f t="array" ref="AV141">MMULT(
    MMULT(
        INDEX($X$5:$AM$77, MATCH(AV$100,_xlfn.ANCHORARRAY( $W$5), 0), 0),
        $F$5:$U$20
    ),
    TRANSPOSE(
        INDEX($X$5:$AM$77, MATCH($A141,_xlfn.ANCHORARRAY( $W$5), 0), 0)
    )
)
/
(
    INDEX($AN$5:$AN$77, MATCH(AV$100,_xlfn.ANCHORARRAY( $W$5), 0))
    *
    INDEX($AN$5:$AN$77, MATCH($A141,_xlfn.ANCHORARRAY( $W$5), 0))
)</f>
        <v>0.63931515260514837</v>
      </c>
      <c r="AW141" s="17" cm="1">
        <f t="array" ref="AW141">MMULT(
    MMULT(
        INDEX($X$5:$AM$77, MATCH(AW$100,_xlfn.ANCHORARRAY( $W$5), 0), 0),
        $F$5:$U$20
    ),
    TRANSPOSE(
        INDEX($X$5:$AM$77, MATCH($A141,_xlfn.ANCHORARRAY( $W$5), 0), 0)
    )
)
/
(
    INDEX($AN$5:$AN$77, MATCH(AW$100,_xlfn.ANCHORARRAY( $W$5), 0))
    *
    INDEX($AN$5:$AN$77, MATCH($A141,_xlfn.ANCHORARRAY( $W$5), 0))
)</f>
        <v>0.80080341110300679</v>
      </c>
      <c r="AX141" s="17" cm="1">
        <f t="array" ref="AX141">MMULT(
    MMULT(
        INDEX($X$5:$AM$77, MATCH(AX$100,_xlfn.ANCHORARRAY( $W$5), 0), 0),
        $F$5:$U$20
    ),
    TRANSPOSE(
        INDEX($X$5:$AM$77, MATCH($A141,_xlfn.ANCHORARRAY( $W$5), 0), 0)
    )
)
/
(
    INDEX($AN$5:$AN$77, MATCH(AX$100,_xlfn.ANCHORARRAY( $W$5), 0))
    *
    INDEX($AN$5:$AN$77, MATCH($A141,_xlfn.ANCHORARRAY( $W$5), 0))
)</f>
        <v>0.6669501623681392</v>
      </c>
      <c r="AY141" s="17" cm="1">
        <f t="array" ref="AY141">MMULT(
    MMULT(
        INDEX($X$5:$AM$77, MATCH(AY$100,_xlfn.ANCHORARRAY( $W$5), 0), 0),
        $F$5:$U$20
    ),
    TRANSPOSE(
        INDEX($X$5:$AM$77, MATCH($A141,_xlfn.ANCHORARRAY( $W$5), 0), 0)
    )
)
/
(
    INDEX($AN$5:$AN$77, MATCH(AY$100,_xlfn.ANCHORARRAY( $W$5), 0))
    *
    INDEX($AN$5:$AN$77, MATCH($A141,_xlfn.ANCHORARRAY( $W$5), 0))
)</f>
        <v>0.88492874944743238</v>
      </c>
      <c r="AZ141" s="17" cm="1">
        <f t="array" ref="AZ141">MMULT(
    MMULT(
        INDEX($X$5:$AM$77, MATCH(AZ$100,_xlfn.ANCHORARRAY( $W$5), 0), 0),
        $F$5:$U$20
    ),
    TRANSPOSE(
        INDEX($X$5:$AM$77, MATCH($A141,_xlfn.ANCHORARRAY( $W$5), 0), 0)
    )
)
/
(
    INDEX($AN$5:$AN$77, MATCH(AZ$100,_xlfn.ANCHORARRAY( $W$5), 0))
    *
    INDEX($AN$5:$AN$77, MATCH($A141,_xlfn.ANCHORARRAY( $W$5), 0))
)</f>
        <v>0.629952294242352</v>
      </c>
      <c r="BA141" s="17" cm="1">
        <f t="array" ref="BA141">MMULT(
    MMULT(
        INDEX($X$5:$AM$77, MATCH(BA$100,_xlfn.ANCHORARRAY( $W$5), 0), 0),
        $F$5:$U$20
    ),
    TRANSPOSE(
        INDEX($X$5:$AM$77, MATCH($A141,_xlfn.ANCHORARRAY( $W$5), 0), 0)
    )
)
/
(
    INDEX($AN$5:$AN$77, MATCH(BA$100,_xlfn.ANCHORARRAY( $W$5), 0))
    *
    INDEX($AN$5:$AN$77, MATCH($A141,_xlfn.ANCHORARRAY( $W$5), 0))
)</f>
        <v>0.66115452742064607</v>
      </c>
      <c r="BB141" s="17" cm="1">
        <f t="array" ref="BB141">MMULT(
    MMULT(
        INDEX($X$5:$AM$77, MATCH(BB$100,_xlfn.ANCHORARRAY( $W$5), 0), 0),
        $F$5:$U$20
    ),
    TRANSPOSE(
        INDEX($X$5:$AM$77, MATCH($A141,_xlfn.ANCHORARRAY( $W$5), 0), 0)
    )
)
/
(
    INDEX($AN$5:$AN$77, MATCH(BB$100,_xlfn.ANCHORARRAY( $W$5), 0))
    *
    INDEX($AN$5:$AN$77, MATCH($A141,_xlfn.ANCHORARRAY( $W$5), 0))
)</f>
        <v>0.6910775038806769</v>
      </c>
      <c r="BC141" s="17" cm="1">
        <f t="array" ref="BC141">MMULT(
    MMULT(
        INDEX($X$5:$AM$77, MATCH(BC$100,_xlfn.ANCHORARRAY( $W$5), 0), 0),
        $F$5:$U$20
    ),
    TRANSPOSE(
        INDEX($X$5:$AM$77, MATCH($A141,_xlfn.ANCHORARRAY( $W$5), 0), 0)
    )
)
/
(
    INDEX($AN$5:$AN$77, MATCH(BC$100,_xlfn.ANCHORARRAY( $W$5), 0))
    *
    INDEX($AN$5:$AN$77, MATCH($A141,_xlfn.ANCHORARRAY( $W$5), 0))
)</f>
        <v>0.83542728286642087</v>
      </c>
      <c r="BD141" s="17" cm="1">
        <f t="array" ref="BD141">MMULT(
    MMULT(
        INDEX($X$5:$AM$77, MATCH(BD$100,_xlfn.ANCHORARRAY( $W$5), 0), 0),
        $F$5:$U$20
    ),
    TRANSPOSE(
        INDEX($X$5:$AM$77, MATCH($A141,_xlfn.ANCHORARRAY( $W$5), 0), 0)
    )
)
/
(
    INDEX($AN$5:$AN$77, MATCH(BD$100,_xlfn.ANCHORARRAY( $W$5), 0))
    *
    INDEX($AN$5:$AN$77, MATCH($A141,_xlfn.ANCHORARRAY( $W$5), 0))
)</f>
        <v>0.59978911456370532</v>
      </c>
      <c r="BE141" s="17" cm="1">
        <f t="array" ref="BE141">MMULT(
    MMULT(
        INDEX($X$5:$AM$77, MATCH(BE$100,_xlfn.ANCHORARRAY( $W$5), 0), 0),
        $F$5:$U$20
    ),
    TRANSPOSE(
        INDEX($X$5:$AM$77, MATCH($A141,_xlfn.ANCHORARRAY( $W$5), 0), 0)
    )
)
/
(
    INDEX($AN$5:$AN$77, MATCH(BE$100,_xlfn.ANCHORARRAY( $W$5), 0))
    *
    INDEX($AN$5:$AN$77, MATCH($A141,_xlfn.ANCHORARRAY( $W$5), 0))
)</f>
        <v>0.80215574658396205</v>
      </c>
      <c r="BF141" s="17" cm="1">
        <f t="array" ref="BF141">MMULT(
    MMULT(
        INDEX($X$5:$AM$77, MATCH(BF$100,_xlfn.ANCHORARRAY( $W$5), 0), 0),
        $F$5:$U$20
    ),
    TRANSPOSE(
        INDEX($X$5:$AM$77, MATCH($A141,_xlfn.ANCHORARRAY( $W$5), 0), 0)
    )
)
/
(
    INDEX($AN$5:$AN$77, MATCH(BF$100,_xlfn.ANCHORARRAY( $W$5), 0))
    *
    INDEX($AN$5:$AN$77, MATCH($A141,_xlfn.ANCHORARRAY( $W$5), 0))
)</f>
        <v>0.69192721543693336</v>
      </c>
      <c r="BG141" s="17" cm="1">
        <f t="array" ref="BG141">MMULT(
    MMULT(
        INDEX($X$5:$AM$77, MATCH(BG$100,_xlfn.ANCHORARRAY( $W$5), 0), 0),
        $F$5:$U$20
    ),
    TRANSPOSE(
        INDEX($X$5:$AM$77, MATCH($A141,_xlfn.ANCHORARRAY( $W$5), 0), 0)
    )
)
/
(
    INDEX($AN$5:$AN$77, MATCH(BG$100,_xlfn.ANCHORARRAY( $W$5), 0))
    *
    INDEX($AN$5:$AN$77, MATCH($A141,_xlfn.ANCHORARRAY( $W$5), 0))
)</f>
        <v>0.77590905091032725</v>
      </c>
      <c r="BH141" s="17" cm="1">
        <f t="array" ref="BH141">MMULT(
    MMULT(
        INDEX($X$5:$AM$77, MATCH(BH$100,_xlfn.ANCHORARRAY( $W$5), 0), 0),
        $F$5:$U$20
    ),
    TRANSPOSE(
        INDEX($X$5:$AM$77, MATCH($A141,_xlfn.ANCHORARRAY( $W$5), 0), 0)
    )
)
/
(
    INDEX($AN$5:$AN$77, MATCH(BH$100,_xlfn.ANCHORARRAY( $W$5), 0))
    *
    INDEX($AN$5:$AN$77, MATCH($A141,_xlfn.ANCHORARRAY( $W$5), 0))
)</f>
        <v>0.72467027466748257</v>
      </c>
      <c r="BI141" s="17" cm="1">
        <f t="array" ref="BI141">MMULT(
    MMULT(
        INDEX($X$5:$AM$77, MATCH(BI$100,_xlfn.ANCHORARRAY( $W$5), 0), 0),
        $F$5:$U$20
    ),
    TRANSPOSE(
        INDEX($X$5:$AM$77, MATCH($A141,_xlfn.ANCHORARRAY( $W$5), 0), 0)
    )
)
/
(
    INDEX($AN$5:$AN$77, MATCH(BI$100,_xlfn.ANCHORARRAY( $W$5), 0))
    *
    INDEX($AN$5:$AN$77, MATCH($A141,_xlfn.ANCHORARRAY( $W$5), 0))
)</f>
        <v>0.92757424603394723</v>
      </c>
      <c r="BJ141" s="17" cm="1">
        <f t="array" ref="BJ141">MMULT(
    MMULT(
        INDEX($X$5:$AM$77, MATCH(BJ$100,_xlfn.ANCHORARRAY( $W$5), 0), 0),
        $F$5:$U$20
    ),
    TRANSPOSE(
        INDEX($X$5:$AM$77, MATCH($A141,_xlfn.ANCHORARRAY( $W$5), 0), 0)
    )
)
/
(
    INDEX($AN$5:$AN$77, MATCH(BJ$100,_xlfn.ANCHORARRAY( $W$5), 0))
    *
    INDEX($AN$5:$AN$77, MATCH($A141,_xlfn.ANCHORARRAY( $W$5), 0))
)</f>
        <v>0.63343415021829075</v>
      </c>
      <c r="BK141" s="17" cm="1">
        <f t="array" ref="BK141">MMULT(
    MMULT(
        INDEX($X$5:$AM$77, MATCH(BK$100,_xlfn.ANCHORARRAY( $W$5), 0), 0),
        $F$5:$U$20
    ),
    TRANSPOSE(
        INDEX($X$5:$AM$77, MATCH($A141,_xlfn.ANCHORARRAY( $W$5), 0), 0)
    )
)
/
(
    INDEX($AN$5:$AN$77, MATCH(BK$100,_xlfn.ANCHORARRAY( $W$5), 0))
    *
    INDEX($AN$5:$AN$77, MATCH($A141,_xlfn.ANCHORARRAY( $W$5), 0))
)</f>
        <v>0.63561902061752629</v>
      </c>
      <c r="BL141" s="17" cm="1">
        <f t="array" ref="BL141">MMULT(
    MMULT(
        INDEX($X$5:$AM$77, MATCH(BL$100,_xlfn.ANCHORARRAY( $W$5), 0), 0),
        $F$5:$U$20
    ),
    TRANSPOSE(
        INDEX($X$5:$AM$77, MATCH($A141,_xlfn.ANCHORARRAY( $W$5), 0), 0)
    )
)
/
(
    INDEX($AN$5:$AN$77, MATCH(BL$100,_xlfn.ANCHORARRAY( $W$5), 0))
    *
    INDEX($AN$5:$AN$77, MATCH($A141,_xlfn.ANCHORARRAY( $W$5), 0))
)</f>
        <v>0.38513415335989815</v>
      </c>
      <c r="BM141" s="17" cm="1">
        <f t="array" ref="BM141">MMULT(
    MMULT(
        INDEX($X$5:$AM$77, MATCH(BM$100,_xlfn.ANCHORARRAY( $W$5), 0), 0),
        $F$5:$U$20
    ),
    TRANSPOSE(
        INDEX($X$5:$AM$77, MATCH($A141,_xlfn.ANCHORARRAY( $W$5), 0), 0)
    )
)
/
(
    INDEX($AN$5:$AN$77, MATCH(BM$100,_xlfn.ANCHORARRAY( $W$5), 0))
    *
    INDEX($AN$5:$AN$77, MATCH($A141,_xlfn.ANCHORARRAY( $W$5), 0))
)</f>
        <v>0.51411308662183997</v>
      </c>
      <c r="BN141" s="17" cm="1">
        <f t="array" ref="BN141">MMULT(
    MMULT(
        INDEX($X$5:$AM$77, MATCH(BN$100,_xlfn.ANCHORARRAY( $W$5), 0), 0),
        $F$5:$U$20
    ),
    TRANSPOSE(
        INDEX($X$5:$AM$77, MATCH($A141,_xlfn.ANCHORARRAY( $W$5), 0), 0)
    )
)
/
(
    INDEX($AN$5:$AN$77, MATCH(BN$100,_xlfn.ANCHORARRAY( $W$5), 0))
    *
    INDEX($AN$5:$AN$77, MATCH($A141,_xlfn.ANCHORARRAY( $W$5), 0))
)</f>
        <v>0.79984913383549983</v>
      </c>
      <c r="BO141" s="17" cm="1">
        <f t="array" ref="BO141">MMULT(
    MMULT(
        INDEX($X$5:$AM$77, MATCH(BO$100,_xlfn.ANCHORARRAY( $W$5), 0), 0),
        $F$5:$U$20
    ),
    TRANSPOSE(
        INDEX($X$5:$AM$77, MATCH($A141,_xlfn.ANCHORARRAY( $W$5), 0), 0)
    )
)
/
(
    INDEX($AN$5:$AN$77, MATCH(BO$100,_xlfn.ANCHORARRAY( $W$5), 0))
    *
    INDEX($AN$5:$AN$77, MATCH($A141,_xlfn.ANCHORARRAY( $W$5), 0))
)</f>
        <v>0.79802003779814989</v>
      </c>
      <c r="BP141" s="17" cm="1">
        <f t="array" ref="BP141">MMULT(
    MMULT(
        INDEX($X$5:$AM$77, MATCH(BP$100,_xlfn.ANCHORARRAY( $W$5), 0), 0),
        $F$5:$U$20
    ),
    TRANSPOSE(
        INDEX($X$5:$AM$77, MATCH($A141,_xlfn.ANCHORARRAY( $W$5), 0), 0)
    )
)
/
(
    INDEX($AN$5:$AN$77, MATCH(BP$100,_xlfn.ANCHORARRAY( $W$5), 0))
    *
    INDEX($AN$5:$AN$77, MATCH($A141,_xlfn.ANCHORARRAY( $W$5), 0))
)</f>
        <v>0.67411987385395244</v>
      </c>
      <c r="BQ141" s="17" cm="1">
        <f t="array" ref="BQ141">MMULT(
    MMULT(
        INDEX($X$5:$AM$77, MATCH(BQ$100,_xlfn.ANCHORARRAY( $W$5), 0), 0),
        $F$5:$U$20
    ),
    TRANSPOSE(
        INDEX($X$5:$AM$77, MATCH($A141,_xlfn.ANCHORARRAY( $W$5), 0), 0)
    )
)
/
(
    INDEX($AN$5:$AN$77, MATCH(BQ$100,_xlfn.ANCHORARRAY( $W$5), 0))
    *
    INDEX($AN$5:$AN$77, MATCH($A141,_xlfn.ANCHORARRAY( $W$5), 0))
)</f>
        <v>0.68337236785282329</v>
      </c>
      <c r="BR141" s="17" cm="1">
        <f t="array" ref="BR141">MMULT(
    MMULT(
        INDEX($X$5:$AM$77, MATCH(BR$100,_xlfn.ANCHORARRAY( $W$5), 0), 0),
        $F$5:$U$20
    ),
    TRANSPOSE(
        INDEX($X$5:$AM$77, MATCH($A141,_xlfn.ANCHORARRAY( $W$5), 0), 0)
    )
)
/
(
    INDEX($AN$5:$AN$77, MATCH(BR$100,_xlfn.ANCHORARRAY( $W$5), 0))
    *
    INDEX($AN$5:$AN$77, MATCH($A141,_xlfn.ANCHORARRAY( $W$5), 0))
)</f>
        <v>0.86304348191309121</v>
      </c>
      <c r="BS141" s="17" cm="1">
        <f t="array" ref="BS141">MMULT(
    MMULT(
        INDEX($X$5:$AM$77, MATCH(BS$100,_xlfn.ANCHORARRAY( $W$5), 0), 0),
        $F$5:$U$20
    ),
    TRANSPOSE(
        INDEX($X$5:$AM$77, MATCH($A141,_xlfn.ANCHORARRAY( $W$5), 0), 0)
    )
)
/
(
    INDEX($AN$5:$AN$77, MATCH(BS$100,_xlfn.ANCHORARRAY( $W$5), 0))
    *
    INDEX($AN$5:$AN$77, MATCH($A141,_xlfn.ANCHORARRAY( $W$5), 0))
)</f>
        <v>0.74618267923845727</v>
      </c>
      <c r="BT141" s="17" cm="1">
        <f t="array" ref="BT141">MMULT(
    MMULT(
        INDEX($X$5:$AM$77, MATCH(BT$100,_xlfn.ANCHORARRAY( $W$5), 0), 0),
        $F$5:$U$20
    ),
    TRANSPOSE(
        INDEX($X$5:$AM$77, MATCH($A141,_xlfn.ANCHORARRAY( $W$5), 0), 0)
    )
)
/
(
    INDEX($AN$5:$AN$77, MATCH(BT$100,_xlfn.ANCHORARRAY( $W$5), 0))
    *
    INDEX($AN$5:$AN$77, MATCH($A141,_xlfn.ANCHORARRAY( $W$5), 0))
)</f>
        <v>0.7265406497889596</v>
      </c>
      <c r="BU141" s="17" cm="1">
        <f t="array" ref="BU141">MMULT(
    MMULT(
        INDEX($X$5:$AM$77, MATCH(BU$100,_xlfn.ANCHORARRAY( $W$5), 0), 0),
        $F$5:$U$20
    ),
    TRANSPOSE(
        INDEX($X$5:$AM$77, MATCH($A141,_xlfn.ANCHORARRAY( $W$5), 0), 0)
    )
)
/
(
    INDEX($AN$5:$AN$77, MATCH(BU$100,_xlfn.ANCHORARRAY( $W$5), 0))
    *
    INDEX($AN$5:$AN$77, MATCH($A141,_xlfn.ANCHORARRAY( $W$5), 0))
)</f>
        <v>0.71991097912733182</v>
      </c>
      <c r="BV141" s="17" cm="1">
        <f t="array" ref="BV141">MMULT(
    MMULT(
        INDEX($X$5:$AM$77, MATCH(BV$100,_xlfn.ANCHORARRAY( $W$5), 0), 0),
        $F$5:$U$20
    ),
    TRANSPOSE(
        INDEX($X$5:$AM$77, MATCH($A141,_xlfn.ANCHORARRAY( $W$5), 0), 0)
    )
)
/
(
    INDEX($AN$5:$AN$77, MATCH(BV$100,_xlfn.ANCHORARRAY( $W$5), 0))
    *
    INDEX($AN$5:$AN$77, MATCH($A141,_xlfn.ANCHORARRAY( $W$5), 0))
)</f>
        <v>0.77628380505822414</v>
      </c>
    </row>
    <row r="142" spans="1:74" x14ac:dyDescent="0.3">
      <c r="A142" s="7" t="str">
        <v>Dayton, Grant</v>
      </c>
      <c r="B142" s="17" cm="1">
        <f t="array" ref="B142">MMULT(
    MMULT(
        INDEX($X$5:$AM$77, MATCH(B$100,_xlfn.ANCHORARRAY( $W$5), 0), 0),
        $F$5:$U$20
    ),
    TRANSPOSE(
        INDEX($X$5:$AM$77, MATCH($A142,_xlfn.ANCHORARRAY( $W$5), 0), 0)
    )
)
/
(
    INDEX($AN$5:$AN$77, MATCH(B$100,_xlfn.ANCHORARRAY( $W$5), 0))
    *
    INDEX($AN$5:$AN$77, MATCH($A142,_xlfn.ANCHORARRAY( $W$5), 0))
)</f>
        <v>0.93487142778852739</v>
      </c>
      <c r="C142" s="17" cm="1">
        <f t="array" ref="C142">MMULT(
    MMULT(
        INDEX($X$5:$AM$77, MATCH(C$100,_xlfn.ANCHORARRAY( $W$5), 0), 0),
        $F$5:$U$20
    ),
    TRANSPOSE(
        INDEX($X$5:$AM$77, MATCH($A142,_xlfn.ANCHORARRAY( $W$5), 0), 0)
    )
)
/
(
    INDEX($AN$5:$AN$77, MATCH(C$100,_xlfn.ANCHORARRAY( $W$5), 0))
    *
    INDEX($AN$5:$AN$77, MATCH($A142,_xlfn.ANCHORARRAY( $W$5), 0))
)</f>
        <v>0.94943443256210902</v>
      </c>
      <c r="D142" s="17" cm="1">
        <f t="array" ref="D142">MMULT(
    MMULT(
        INDEX($X$5:$AM$77, MATCH(D$100,_xlfn.ANCHORARRAY( $W$5), 0), 0),
        $F$5:$U$20
    ),
    TRANSPOSE(
        INDEX($X$5:$AM$77, MATCH($A142,_xlfn.ANCHORARRAY( $W$5), 0), 0)
    )
)
/
(
    INDEX($AN$5:$AN$77, MATCH(D$100,_xlfn.ANCHORARRAY( $W$5), 0))
    *
    INDEX($AN$5:$AN$77, MATCH($A142,_xlfn.ANCHORARRAY( $W$5), 0))
)</f>
        <v>0.79243881410081407</v>
      </c>
      <c r="E142" s="17" cm="1">
        <f t="array" ref="E142">MMULT(
    MMULT(
        INDEX($X$5:$AM$77, MATCH(E$100,_xlfn.ANCHORARRAY( $W$5), 0), 0),
        $F$5:$U$20
    ),
    TRANSPOSE(
        INDEX($X$5:$AM$77, MATCH($A142,_xlfn.ANCHORARRAY( $W$5), 0), 0)
    )
)
/
(
    INDEX($AN$5:$AN$77, MATCH(E$100,_xlfn.ANCHORARRAY( $W$5), 0))
    *
    INDEX($AN$5:$AN$77, MATCH($A142,_xlfn.ANCHORARRAY( $W$5), 0))
)</f>
        <v>0.60178217146311752</v>
      </c>
      <c r="F142" s="17" cm="1">
        <f t="array" ref="F142">MMULT(
    MMULT(
        INDEX($X$5:$AM$77, MATCH(F$100,_xlfn.ANCHORARRAY( $W$5), 0), 0),
        $F$5:$U$20
    ),
    TRANSPOSE(
        INDEX($X$5:$AM$77, MATCH($A142,_xlfn.ANCHORARRAY( $W$5), 0), 0)
    )
)
/
(
    INDEX($AN$5:$AN$77, MATCH(F$100,_xlfn.ANCHORARRAY( $W$5), 0))
    *
    INDEX($AN$5:$AN$77, MATCH($A142,_xlfn.ANCHORARRAY( $W$5), 0))
)</f>
        <v>0.61949306056998876</v>
      </c>
      <c r="G142" s="17" cm="1">
        <f t="array" ref="G142">MMULT(
    MMULT(
        INDEX($X$5:$AM$77, MATCH(G$100,_xlfn.ANCHORARRAY( $W$5), 0), 0),
        $F$5:$U$20
    ),
    TRANSPOSE(
        INDEX($X$5:$AM$77, MATCH($A142,_xlfn.ANCHORARRAY( $W$5), 0), 0)
    )
)
/
(
    INDEX($AN$5:$AN$77, MATCH(G$100,_xlfn.ANCHORARRAY( $W$5), 0))
    *
    INDEX($AN$5:$AN$77, MATCH($A142,_xlfn.ANCHORARRAY( $W$5), 0))
)</f>
        <v>0.84546631526718397</v>
      </c>
      <c r="H142" s="17" cm="1">
        <f t="array" ref="H142">MMULT(
    MMULT(
        INDEX($X$5:$AM$77, MATCH(H$100,_xlfn.ANCHORARRAY( $W$5), 0), 0),
        $F$5:$U$20
    ),
    TRANSPOSE(
        INDEX($X$5:$AM$77, MATCH($A142,_xlfn.ANCHORARRAY( $W$5), 0), 0)
    )
)
/
(
    INDEX($AN$5:$AN$77, MATCH(H$100,_xlfn.ANCHORARRAY( $W$5), 0))
    *
    INDEX($AN$5:$AN$77, MATCH($A142,_xlfn.ANCHORARRAY( $W$5), 0))
)</f>
        <v>0.81390950689029096</v>
      </c>
      <c r="I142" s="17" cm="1">
        <f t="array" ref="I142">MMULT(
    MMULT(
        INDEX($X$5:$AM$77, MATCH(I$100,_xlfn.ANCHORARRAY( $W$5), 0), 0),
        $F$5:$U$20
    ),
    TRANSPOSE(
        INDEX($X$5:$AM$77, MATCH($A142,_xlfn.ANCHORARRAY( $W$5), 0), 0)
    )
)
/
(
    INDEX($AN$5:$AN$77, MATCH(I$100,_xlfn.ANCHORARRAY( $W$5), 0))
    *
    INDEX($AN$5:$AN$77, MATCH($A142,_xlfn.ANCHORARRAY( $W$5), 0))
)</f>
        <v>0.80289963422271837</v>
      </c>
      <c r="J142" s="17" cm="1">
        <f t="array" ref="J142">MMULT(
    MMULT(
        INDEX($X$5:$AM$77, MATCH(J$100,_xlfn.ANCHORARRAY( $W$5), 0), 0),
        $F$5:$U$20
    ),
    TRANSPOSE(
        INDEX($X$5:$AM$77, MATCH($A142,_xlfn.ANCHORARRAY( $W$5), 0), 0)
    )
)
/
(
    INDEX($AN$5:$AN$77, MATCH(J$100,_xlfn.ANCHORARRAY( $W$5), 0))
    *
    INDEX($AN$5:$AN$77, MATCH($A142,_xlfn.ANCHORARRAY( $W$5), 0))
)</f>
        <v>0.86118452275829471</v>
      </c>
      <c r="K142" s="17" cm="1">
        <f t="array" ref="K142">MMULT(
    MMULT(
        INDEX($X$5:$AM$77, MATCH(K$100,_xlfn.ANCHORARRAY( $W$5), 0), 0),
        $F$5:$U$20
    ),
    TRANSPOSE(
        INDEX($X$5:$AM$77, MATCH($A142,_xlfn.ANCHORARRAY( $W$5), 0), 0)
    )
)
/
(
    INDEX($AN$5:$AN$77, MATCH(K$100,_xlfn.ANCHORARRAY( $W$5), 0))
    *
    INDEX($AN$5:$AN$77, MATCH($A142,_xlfn.ANCHORARRAY( $W$5), 0))
)</f>
        <v>0.6971542900547284</v>
      </c>
      <c r="L142" s="17" cm="1">
        <f t="array" ref="L142">MMULT(
    MMULT(
        INDEX($X$5:$AM$77, MATCH(L$100,_xlfn.ANCHORARRAY( $W$5), 0), 0),
        $F$5:$U$20
    ),
    TRANSPOSE(
        INDEX($X$5:$AM$77, MATCH($A142,_xlfn.ANCHORARRAY( $W$5), 0), 0)
    )
)
/
(
    INDEX($AN$5:$AN$77, MATCH(L$100,_xlfn.ANCHORARRAY( $W$5), 0))
    *
    INDEX($AN$5:$AN$77, MATCH($A142,_xlfn.ANCHORARRAY( $W$5), 0))
)</f>
        <v>0.69299948691371893</v>
      </c>
      <c r="M142" s="17" cm="1">
        <f t="array" ref="M142">MMULT(
    MMULT(
        INDEX($X$5:$AM$77, MATCH(M$100,_xlfn.ANCHORARRAY( $W$5), 0), 0),
        $F$5:$U$20
    ),
    TRANSPOSE(
        INDEX($X$5:$AM$77, MATCH($A142,_xlfn.ANCHORARRAY( $W$5), 0), 0)
    )
)
/
(
    INDEX($AN$5:$AN$77, MATCH(M$100,_xlfn.ANCHORARRAY( $W$5), 0))
    *
    INDEX($AN$5:$AN$77, MATCH($A142,_xlfn.ANCHORARRAY( $W$5), 0))
)</f>
        <v>0.7067419649191925</v>
      </c>
      <c r="N142" s="17" cm="1">
        <f t="array" ref="N142">MMULT(
    MMULT(
        INDEX($X$5:$AM$77, MATCH(N$100,_xlfn.ANCHORARRAY( $W$5), 0), 0),
        $F$5:$U$20
    ),
    TRANSPOSE(
        INDEX($X$5:$AM$77, MATCH($A142,_xlfn.ANCHORARRAY( $W$5), 0), 0)
    )
)
/
(
    INDEX($AN$5:$AN$77, MATCH(N$100,_xlfn.ANCHORARRAY( $W$5), 0))
    *
    INDEX($AN$5:$AN$77, MATCH($A142,_xlfn.ANCHORARRAY( $W$5), 0))
)</f>
        <v>0.59966629327460086</v>
      </c>
      <c r="O142" s="17" cm="1">
        <f t="array" ref="O142">MMULT(
    MMULT(
        INDEX($X$5:$AM$77, MATCH(O$100,_xlfn.ANCHORARRAY( $W$5), 0), 0),
        $F$5:$U$20
    ),
    TRANSPOSE(
        INDEX($X$5:$AM$77, MATCH($A142,_xlfn.ANCHORARRAY( $W$5), 0), 0)
    )
)
/
(
    INDEX($AN$5:$AN$77, MATCH(O$100,_xlfn.ANCHORARRAY( $W$5), 0))
    *
    INDEX($AN$5:$AN$77, MATCH($A142,_xlfn.ANCHORARRAY( $W$5), 0))
)</f>
        <v>0.4991651074514919</v>
      </c>
      <c r="P142" s="17" cm="1">
        <f t="array" ref="P142">MMULT(
    MMULT(
        INDEX($X$5:$AM$77, MATCH(P$100,_xlfn.ANCHORARRAY( $W$5), 0), 0),
        $F$5:$U$20
    ),
    TRANSPOSE(
        INDEX($X$5:$AM$77, MATCH($A142,_xlfn.ANCHORARRAY( $W$5), 0), 0)
    )
)
/
(
    INDEX($AN$5:$AN$77, MATCH(P$100,_xlfn.ANCHORARRAY( $W$5), 0))
    *
    INDEX($AN$5:$AN$77, MATCH($A142,_xlfn.ANCHORARRAY( $W$5), 0))
)</f>
        <v>0.7895580027391732</v>
      </c>
      <c r="Q142" s="17" cm="1">
        <f t="array" ref="Q142">MMULT(
    MMULT(
        INDEX($X$5:$AM$77, MATCH(Q$100,_xlfn.ANCHORARRAY( $W$5), 0), 0),
        $F$5:$U$20
    ),
    TRANSPOSE(
        INDEX($X$5:$AM$77, MATCH($A142,_xlfn.ANCHORARRAY( $W$5), 0), 0)
    )
)
/
(
    INDEX($AN$5:$AN$77, MATCH(Q$100,_xlfn.ANCHORARRAY( $W$5), 0))
    *
    INDEX($AN$5:$AN$77, MATCH($A142,_xlfn.ANCHORARRAY( $W$5), 0))
)</f>
        <v>0.87329467597855426</v>
      </c>
      <c r="R142" s="17" cm="1">
        <f t="array" ref="R142">MMULT(
    MMULT(
        INDEX($X$5:$AM$77, MATCH(R$100,_xlfn.ANCHORARRAY( $W$5), 0), 0),
        $F$5:$U$20
    ),
    TRANSPOSE(
        INDEX($X$5:$AM$77, MATCH($A142,_xlfn.ANCHORARRAY( $W$5), 0), 0)
    )
)
/
(
    INDEX($AN$5:$AN$77, MATCH(R$100,_xlfn.ANCHORARRAY( $W$5), 0))
    *
    INDEX($AN$5:$AN$77, MATCH($A142,_xlfn.ANCHORARRAY( $W$5), 0))
)</f>
        <v>0.85150255040420553</v>
      </c>
      <c r="S142" s="17" cm="1">
        <f t="array" ref="S142">MMULT(
    MMULT(
        INDEX($X$5:$AM$77, MATCH(S$100,_xlfn.ANCHORARRAY( $W$5), 0), 0),
        $F$5:$U$20
    ),
    TRANSPOSE(
        INDEX($X$5:$AM$77, MATCH($A142,_xlfn.ANCHORARRAY( $W$5), 0), 0)
    )
)
/
(
    INDEX($AN$5:$AN$77, MATCH(S$100,_xlfn.ANCHORARRAY( $W$5), 0))
    *
    INDEX($AN$5:$AN$77, MATCH($A142,_xlfn.ANCHORARRAY( $W$5), 0))
)</f>
        <v>0.96517696186006419</v>
      </c>
      <c r="T142" s="17" cm="1">
        <f t="array" ref="T142">MMULT(
    MMULT(
        INDEX($X$5:$AM$77, MATCH(T$100,_xlfn.ANCHORARRAY( $W$5), 0), 0),
        $F$5:$U$20
    ),
    TRANSPOSE(
        INDEX($X$5:$AM$77, MATCH($A142,_xlfn.ANCHORARRAY( $W$5), 0), 0)
    )
)
/
(
    INDEX($AN$5:$AN$77, MATCH(T$100,_xlfn.ANCHORARRAY( $W$5), 0))
    *
    INDEX($AN$5:$AN$77, MATCH($A142,_xlfn.ANCHORARRAY( $W$5), 0))
)</f>
        <v>0.73993120121854228</v>
      </c>
      <c r="U142" s="17" cm="1">
        <f t="array" ref="U142">MMULT(
    MMULT(
        INDEX($X$5:$AM$77, MATCH(U$100,_xlfn.ANCHORARRAY( $W$5), 0), 0),
        $F$5:$U$20
    ),
    TRANSPOSE(
        INDEX($X$5:$AM$77, MATCH($A142,_xlfn.ANCHORARRAY( $W$5), 0), 0)
    )
)
/
(
    INDEX($AN$5:$AN$77, MATCH(U$100,_xlfn.ANCHORARRAY( $W$5), 0))
    *
    INDEX($AN$5:$AN$77, MATCH($A142,_xlfn.ANCHORARRAY( $W$5), 0))
)</f>
        <v>0.85117406696622799</v>
      </c>
      <c r="V142" s="17" cm="1">
        <f t="array" ref="V142">MMULT(
    MMULT(
        INDEX($X$5:$AM$77, MATCH(V$100,_xlfn.ANCHORARRAY( $W$5), 0), 0),
        $F$5:$U$20
    ),
    TRANSPOSE(
        INDEX($X$5:$AM$77, MATCH($A142,_xlfn.ANCHORARRAY( $W$5), 0), 0)
    )
)
/
(
    INDEX($AN$5:$AN$77, MATCH(V$100,_xlfn.ANCHORARRAY( $W$5), 0))
    *
    INDEX($AN$5:$AN$77, MATCH($A142,_xlfn.ANCHORARRAY( $W$5), 0))
)</f>
        <v>0.7241773297948132</v>
      </c>
      <c r="W142" s="17" cm="1">
        <f t="array" ref="W142">MMULT(
    MMULT(
        INDEX($X$5:$AM$77, MATCH(W$100,_xlfn.ANCHORARRAY( $W$5), 0), 0),
        $F$5:$U$20
    ),
    TRANSPOSE(
        INDEX($X$5:$AM$77, MATCH($A142,_xlfn.ANCHORARRAY( $W$5), 0), 0)
    )
)
/
(
    INDEX($AN$5:$AN$77, MATCH(W$100,_xlfn.ANCHORARRAY( $W$5), 0))
    *
    INDEX($AN$5:$AN$77, MATCH($A142,_xlfn.ANCHORARRAY( $W$5), 0))
)</f>
        <v>0.47533308913748273</v>
      </c>
      <c r="X142" s="17" cm="1">
        <f t="array" ref="X142">MMULT(
    MMULT(
        INDEX($X$5:$AM$77, MATCH(X$100,_xlfn.ANCHORARRAY( $W$5), 0), 0),
        $F$5:$U$20
    ),
    TRANSPOSE(
        INDEX($X$5:$AM$77, MATCH($A142,_xlfn.ANCHORARRAY( $W$5), 0), 0)
    )
)
/
(
    INDEX($AN$5:$AN$77, MATCH(X$100,_xlfn.ANCHORARRAY( $W$5), 0))
    *
    INDEX($AN$5:$AN$77, MATCH($A142,_xlfn.ANCHORARRAY( $W$5), 0))
)</f>
        <v>0.61577410907357344</v>
      </c>
      <c r="Y142" s="17" cm="1">
        <f t="array" ref="Y142">MMULT(
    MMULT(
        INDEX($X$5:$AM$77, MATCH(Y$100,_xlfn.ANCHORARRAY( $W$5), 0), 0),
        $F$5:$U$20
    ),
    TRANSPOSE(
        INDEX($X$5:$AM$77, MATCH($A142,_xlfn.ANCHORARRAY( $W$5), 0), 0)
    )
)
/
(
    INDEX($AN$5:$AN$77, MATCH(Y$100,_xlfn.ANCHORARRAY( $W$5), 0))
    *
    INDEX($AN$5:$AN$77, MATCH($A142,_xlfn.ANCHORARRAY( $W$5), 0))
)</f>
        <v>0.84656283936578947</v>
      </c>
      <c r="Z142" s="17" cm="1">
        <f t="array" ref="Z142">MMULT(
    MMULT(
        INDEX($X$5:$AM$77, MATCH(Z$100,_xlfn.ANCHORARRAY( $W$5), 0), 0),
        $F$5:$U$20
    ),
    TRANSPOSE(
        INDEX($X$5:$AM$77, MATCH($A142,_xlfn.ANCHORARRAY( $W$5), 0), 0)
    )
)
/
(
    INDEX($AN$5:$AN$77, MATCH(Z$100,_xlfn.ANCHORARRAY( $W$5), 0))
    *
    INDEX($AN$5:$AN$77, MATCH($A142,_xlfn.ANCHORARRAY( $W$5), 0))
)</f>
        <v>0.70297897898380224</v>
      </c>
      <c r="AA142" s="17" cm="1">
        <f t="array" ref="AA142">MMULT(
    MMULT(
        INDEX($X$5:$AM$77, MATCH(AA$100,_xlfn.ANCHORARRAY( $W$5), 0), 0),
        $F$5:$U$20
    ),
    TRANSPOSE(
        INDEX($X$5:$AM$77, MATCH($A142,_xlfn.ANCHORARRAY( $W$5), 0), 0)
    )
)
/
(
    INDEX($AN$5:$AN$77, MATCH(AA$100,_xlfn.ANCHORARRAY( $W$5), 0))
    *
    INDEX($AN$5:$AN$77, MATCH($A142,_xlfn.ANCHORARRAY( $W$5), 0))
)</f>
        <v>0.70603769432489993</v>
      </c>
      <c r="AB142" s="17" cm="1">
        <f t="array" ref="AB142">MMULT(
    MMULT(
        INDEX($X$5:$AM$77, MATCH(AB$100,_xlfn.ANCHORARRAY( $W$5), 0), 0),
        $F$5:$U$20
    ),
    TRANSPOSE(
        INDEX($X$5:$AM$77, MATCH($A142,_xlfn.ANCHORARRAY( $W$5), 0), 0)
    )
)
/
(
    INDEX($AN$5:$AN$77, MATCH(AB$100,_xlfn.ANCHORARRAY( $W$5), 0))
    *
    INDEX($AN$5:$AN$77, MATCH($A142,_xlfn.ANCHORARRAY( $W$5), 0))
)</f>
        <v>0.76861058808642113</v>
      </c>
      <c r="AC142" s="17" cm="1">
        <f t="array" ref="AC142">MMULT(
    MMULT(
        INDEX($X$5:$AM$77, MATCH(AC$100,_xlfn.ANCHORARRAY( $W$5), 0), 0),
        $F$5:$U$20
    ),
    TRANSPOSE(
        INDEX($X$5:$AM$77, MATCH($A142,_xlfn.ANCHORARRAY( $W$5), 0), 0)
    )
)
/
(
    INDEX($AN$5:$AN$77, MATCH(AC$100,_xlfn.ANCHORARRAY( $W$5), 0))
    *
    INDEX($AN$5:$AN$77, MATCH($A142,_xlfn.ANCHORARRAY( $W$5), 0))
)</f>
        <v>0.73535137720056043</v>
      </c>
      <c r="AD142" s="17" cm="1">
        <f t="array" ref="AD142">MMULT(
    MMULT(
        INDEX($X$5:$AM$77, MATCH(AD$100,_xlfn.ANCHORARRAY( $W$5), 0), 0),
        $F$5:$U$20
    ),
    TRANSPOSE(
        INDEX($X$5:$AM$77, MATCH($A142,_xlfn.ANCHORARRAY( $W$5), 0), 0)
    )
)
/
(
    INDEX($AN$5:$AN$77, MATCH(AD$100,_xlfn.ANCHORARRAY( $W$5), 0))
    *
    INDEX($AN$5:$AN$77, MATCH($A142,_xlfn.ANCHORARRAY( $W$5), 0))
)</f>
        <v>0.75112948703910631</v>
      </c>
      <c r="AE142" s="17" cm="1">
        <f t="array" ref="AE142">MMULT(
    MMULT(
        INDEX($X$5:$AM$77, MATCH(AE$100,_xlfn.ANCHORARRAY( $W$5), 0), 0),
        $F$5:$U$20
    ),
    TRANSPOSE(
        INDEX($X$5:$AM$77, MATCH($A142,_xlfn.ANCHORARRAY( $W$5), 0), 0)
    )
)
/
(
    INDEX($AN$5:$AN$77, MATCH(AE$100,_xlfn.ANCHORARRAY( $W$5), 0))
    *
    INDEX($AN$5:$AN$77, MATCH($A142,_xlfn.ANCHORARRAY( $W$5), 0))
)</f>
        <v>0.87447768975195872</v>
      </c>
      <c r="AF142" s="17" cm="1">
        <f t="array" ref="AF142">MMULT(
    MMULT(
        INDEX($X$5:$AM$77, MATCH(AF$100,_xlfn.ANCHORARRAY( $W$5), 0), 0),
        $F$5:$U$20
    ),
    TRANSPOSE(
        INDEX($X$5:$AM$77, MATCH($A142,_xlfn.ANCHORARRAY( $W$5), 0), 0)
    )
)
/
(
    INDEX($AN$5:$AN$77, MATCH(AF$100,_xlfn.ANCHORARRAY( $W$5), 0))
    *
    INDEX($AN$5:$AN$77, MATCH($A142,_xlfn.ANCHORARRAY( $W$5), 0))
)</f>
        <v>0.94685939868401436</v>
      </c>
      <c r="AG142" s="17" cm="1">
        <f t="array" ref="AG142">MMULT(
    MMULT(
        INDEX($X$5:$AM$77, MATCH(AG$100,_xlfn.ANCHORARRAY( $W$5), 0), 0),
        $F$5:$U$20
    ),
    TRANSPOSE(
        INDEX($X$5:$AM$77, MATCH($A142,_xlfn.ANCHORARRAY( $W$5), 0), 0)
    )
)
/
(
    INDEX($AN$5:$AN$77, MATCH(AG$100,_xlfn.ANCHORARRAY( $W$5), 0))
    *
    INDEX($AN$5:$AN$77, MATCH($A142,_xlfn.ANCHORARRAY( $W$5), 0))
)</f>
        <v>0.85978746837930331</v>
      </c>
      <c r="AH142" s="17" cm="1">
        <f t="array" ref="AH142">MMULT(
    MMULT(
        INDEX($X$5:$AM$77, MATCH(AH$100,_xlfn.ANCHORARRAY( $W$5), 0), 0),
        $F$5:$U$20
    ),
    TRANSPOSE(
        INDEX($X$5:$AM$77, MATCH($A142,_xlfn.ANCHORARRAY( $W$5), 0), 0)
    )
)
/
(
    INDEX($AN$5:$AN$77, MATCH(AH$100,_xlfn.ANCHORARRAY( $W$5), 0))
    *
    INDEX($AN$5:$AN$77, MATCH($A142,_xlfn.ANCHORARRAY( $W$5), 0))
)</f>
        <v>0.67896240655618723</v>
      </c>
      <c r="AI142" s="17" cm="1">
        <f t="array" ref="AI142">MMULT(
    MMULT(
        INDEX($X$5:$AM$77, MATCH(AI$100,_xlfn.ANCHORARRAY( $W$5), 0), 0),
        $F$5:$U$20
    ),
    TRANSPOSE(
        INDEX($X$5:$AM$77, MATCH($A142,_xlfn.ANCHORARRAY( $W$5), 0), 0)
    )
)
/
(
    INDEX($AN$5:$AN$77, MATCH(AI$100,_xlfn.ANCHORARRAY( $W$5), 0))
    *
    INDEX($AN$5:$AN$77, MATCH($A142,_xlfn.ANCHORARRAY( $W$5), 0))
)</f>
        <v>0.88735905369157153</v>
      </c>
      <c r="AJ142" s="17" cm="1">
        <f t="array" ref="AJ142">MMULT(
    MMULT(
        INDEX($X$5:$AM$77, MATCH(AJ$100,_xlfn.ANCHORARRAY( $W$5), 0), 0),
        $F$5:$U$20
    ),
    TRANSPOSE(
        INDEX($X$5:$AM$77, MATCH($A142,_xlfn.ANCHORARRAY( $W$5), 0), 0)
    )
)
/
(
    INDEX($AN$5:$AN$77, MATCH(AJ$100,_xlfn.ANCHORARRAY( $W$5), 0))
    *
    INDEX($AN$5:$AN$77, MATCH($A142,_xlfn.ANCHORARRAY( $W$5), 0))
)</f>
        <v>0.78706559908424156</v>
      </c>
      <c r="AK142" s="17" cm="1">
        <f t="array" ref="AK142">MMULT(
    MMULT(
        INDEX($X$5:$AM$77, MATCH(AK$100,_xlfn.ANCHORARRAY( $W$5), 0), 0),
        $F$5:$U$20
    ),
    TRANSPOSE(
        INDEX($X$5:$AM$77, MATCH($A142,_xlfn.ANCHORARRAY( $W$5), 0), 0)
    )
)
/
(
    INDEX($AN$5:$AN$77, MATCH(AK$100,_xlfn.ANCHORARRAY( $W$5), 0))
    *
    INDEX($AN$5:$AN$77, MATCH($A142,_xlfn.ANCHORARRAY( $W$5), 0))
)</f>
        <v>0.76237640498362125</v>
      </c>
      <c r="AL142" s="17" cm="1">
        <f t="array" ref="AL142">MMULT(
    MMULT(
        INDEX($X$5:$AM$77, MATCH(AL$100,_xlfn.ANCHORARRAY( $W$5), 0), 0),
        $F$5:$U$20
    ),
    TRANSPOSE(
        INDEX($X$5:$AM$77, MATCH($A142,_xlfn.ANCHORARRAY( $W$5), 0), 0)
    )
)
/
(
    INDEX($AN$5:$AN$77, MATCH(AL$100,_xlfn.ANCHORARRAY( $W$5), 0))
    *
    INDEX($AN$5:$AN$77, MATCH($A142,_xlfn.ANCHORARRAY( $W$5), 0))
)</f>
        <v>0.55728112363476656</v>
      </c>
      <c r="AM142" s="17" cm="1">
        <f t="array" ref="AM142">MMULT(
    MMULT(
        INDEX($X$5:$AM$77, MATCH(AM$100,_xlfn.ANCHORARRAY( $W$5), 0), 0),
        $F$5:$U$20
    ),
    TRANSPOSE(
        INDEX($X$5:$AM$77, MATCH($A142,_xlfn.ANCHORARRAY( $W$5), 0), 0)
    )
)
/
(
    INDEX($AN$5:$AN$77, MATCH(AM$100,_xlfn.ANCHORARRAY( $W$5), 0))
    *
    INDEX($AN$5:$AN$77, MATCH($A142,_xlfn.ANCHORARRAY( $W$5), 0))
)</f>
        <v>0.64406438374849262</v>
      </c>
      <c r="AN142" s="17" cm="1">
        <f t="array" ref="AN142">MMULT(
    MMULT(
        INDEX($X$5:$AM$77, MATCH(AN$100,_xlfn.ANCHORARRAY( $W$5), 0), 0),
        $F$5:$U$20
    ),
    TRANSPOSE(
        INDEX($X$5:$AM$77, MATCH($A142,_xlfn.ANCHORARRAY( $W$5), 0), 0)
    )
)
/
(
    INDEX($AN$5:$AN$77, MATCH(AN$100,_xlfn.ANCHORARRAY( $W$5), 0))
    *
    INDEX($AN$5:$AN$77, MATCH($A142,_xlfn.ANCHORARRAY( $W$5), 0))
)</f>
        <v>0.79085850653135881</v>
      </c>
      <c r="AO142" s="17" cm="1">
        <f t="array" ref="AO142">MMULT(
    MMULT(
        INDEX($X$5:$AM$77, MATCH(AO$100,_xlfn.ANCHORARRAY( $W$5), 0), 0),
        $F$5:$U$20
    ),
    TRANSPOSE(
        INDEX($X$5:$AM$77, MATCH($A142,_xlfn.ANCHORARRAY( $W$5), 0), 0)
    )
)
/
(
    INDEX($AN$5:$AN$77, MATCH(AO$100,_xlfn.ANCHORARRAY( $W$5), 0))
    *
    INDEX($AN$5:$AN$77, MATCH($A142,_xlfn.ANCHORARRAY( $W$5), 0))
)</f>
        <v>0.65768886948936189</v>
      </c>
      <c r="AP142" s="17" cm="1">
        <f t="array" ref="AP142">MMULT(
    MMULT(
        INDEX($X$5:$AM$77, MATCH(AP$100,_xlfn.ANCHORARRAY( $W$5), 0), 0),
        $F$5:$U$20
    ),
    TRANSPOSE(
        INDEX($X$5:$AM$77, MATCH($A142,_xlfn.ANCHORARRAY( $W$5), 0), 0)
    )
)
/
(
    INDEX($AN$5:$AN$77, MATCH(AP$100,_xlfn.ANCHORARRAY( $W$5), 0))
    *
    INDEX($AN$5:$AN$77, MATCH($A142,_xlfn.ANCHORARRAY( $W$5), 0))
)</f>
        <v>0.64129411400587866</v>
      </c>
      <c r="AQ142" s="17" cm="1">
        <f t="array" ref="AQ142">MMULT(
    MMULT(
        INDEX($X$5:$AM$77, MATCH(AQ$100,_xlfn.ANCHORARRAY( $W$5), 0), 0),
        $F$5:$U$20
    ),
    TRANSPOSE(
        INDEX($X$5:$AM$77, MATCH($A142,_xlfn.ANCHORARRAY( $W$5), 0), 0)
    )
)
/
(
    INDEX($AN$5:$AN$77, MATCH(AQ$100,_xlfn.ANCHORARRAY( $W$5), 0))
    *
    INDEX($AN$5:$AN$77, MATCH($A142,_xlfn.ANCHORARRAY( $W$5), 0))
)</f>
        <v>1</v>
      </c>
      <c r="AR142" s="17" cm="1">
        <f t="array" ref="AR142">MMULT(
    MMULT(
        INDEX($X$5:$AM$77, MATCH(AR$100,_xlfn.ANCHORARRAY( $W$5), 0), 0),
        $F$5:$U$20
    ),
    TRANSPOSE(
        INDEX($X$5:$AM$77, MATCH($A142,_xlfn.ANCHORARRAY( $W$5), 0), 0)
    )
)
/
(
    INDEX($AN$5:$AN$77, MATCH(AR$100,_xlfn.ANCHORARRAY( $W$5), 0))
    *
    INDEX($AN$5:$AN$77, MATCH($A142,_xlfn.ANCHORARRAY( $W$5), 0))
)</f>
        <v>0.82825096096478279</v>
      </c>
      <c r="AS142" s="17" cm="1">
        <f t="array" ref="AS142">MMULT(
    MMULT(
        INDEX($X$5:$AM$77, MATCH(AS$100,_xlfn.ANCHORARRAY( $W$5), 0), 0),
        $F$5:$U$20
    ),
    TRANSPOSE(
        INDEX($X$5:$AM$77, MATCH($A142,_xlfn.ANCHORARRAY( $W$5), 0), 0)
    )
)
/
(
    INDEX($AN$5:$AN$77, MATCH(AS$100,_xlfn.ANCHORARRAY( $W$5), 0))
    *
    INDEX($AN$5:$AN$77, MATCH($A142,_xlfn.ANCHORARRAY( $W$5), 0))
)</f>
        <v>0.6563659441825519</v>
      </c>
      <c r="AT142" s="17" cm="1">
        <f t="array" ref="AT142">MMULT(
    MMULT(
        INDEX($X$5:$AM$77, MATCH(AT$100,_xlfn.ANCHORARRAY( $W$5), 0), 0),
        $F$5:$U$20
    ),
    TRANSPOSE(
        INDEX($X$5:$AM$77, MATCH($A142,_xlfn.ANCHORARRAY( $W$5), 0), 0)
    )
)
/
(
    INDEX($AN$5:$AN$77, MATCH(AT$100,_xlfn.ANCHORARRAY( $W$5), 0))
    *
    INDEX($AN$5:$AN$77, MATCH($A142,_xlfn.ANCHORARRAY( $W$5), 0))
)</f>
        <v>0.79992567528388481</v>
      </c>
      <c r="AU142" s="17" cm="1">
        <f t="array" ref="AU142">MMULT(
    MMULT(
        INDEX($X$5:$AM$77, MATCH(AU$100,_xlfn.ANCHORARRAY( $W$5), 0), 0),
        $F$5:$U$20
    ),
    TRANSPOSE(
        INDEX($X$5:$AM$77, MATCH($A142,_xlfn.ANCHORARRAY( $W$5), 0), 0)
    )
)
/
(
    INDEX($AN$5:$AN$77, MATCH(AU$100,_xlfn.ANCHORARRAY( $W$5), 0))
    *
    INDEX($AN$5:$AN$77, MATCH($A142,_xlfn.ANCHORARRAY( $W$5), 0))
)</f>
        <v>0.64464487424700812</v>
      </c>
      <c r="AV142" s="17" cm="1">
        <f t="array" ref="AV142">MMULT(
    MMULT(
        INDEX($X$5:$AM$77, MATCH(AV$100,_xlfn.ANCHORARRAY( $W$5), 0), 0),
        $F$5:$U$20
    ),
    TRANSPOSE(
        INDEX($X$5:$AM$77, MATCH($A142,_xlfn.ANCHORARRAY( $W$5), 0), 0)
    )
)
/
(
    INDEX($AN$5:$AN$77, MATCH(AV$100,_xlfn.ANCHORARRAY( $W$5), 0))
    *
    INDEX($AN$5:$AN$77, MATCH($A142,_xlfn.ANCHORARRAY( $W$5), 0))
)</f>
        <v>0.66161827225800296</v>
      </c>
      <c r="AW142" s="17" cm="1">
        <f t="array" ref="AW142">MMULT(
    MMULT(
        INDEX($X$5:$AM$77, MATCH(AW$100,_xlfn.ANCHORARRAY( $W$5), 0), 0),
        $F$5:$U$20
    ),
    TRANSPOSE(
        INDEX($X$5:$AM$77, MATCH($A142,_xlfn.ANCHORARRAY( $W$5), 0), 0)
    )
)
/
(
    INDEX($AN$5:$AN$77, MATCH(AW$100,_xlfn.ANCHORARRAY( $W$5), 0))
    *
    INDEX($AN$5:$AN$77, MATCH($A142,_xlfn.ANCHORARRAY( $W$5), 0))
)</f>
        <v>0.60091939170384157</v>
      </c>
      <c r="AX142" s="17" cm="1">
        <f t="array" ref="AX142">MMULT(
    MMULT(
        INDEX($X$5:$AM$77, MATCH(AX$100,_xlfn.ANCHORARRAY( $W$5), 0), 0),
        $F$5:$U$20
    ),
    TRANSPOSE(
        INDEX($X$5:$AM$77, MATCH($A142,_xlfn.ANCHORARRAY( $W$5), 0), 0)
    )
)
/
(
    INDEX($AN$5:$AN$77, MATCH(AX$100,_xlfn.ANCHORARRAY( $W$5), 0))
    *
    INDEX($AN$5:$AN$77, MATCH($A142,_xlfn.ANCHORARRAY( $W$5), 0))
)</f>
        <v>0.71859262273586533</v>
      </c>
      <c r="AY142" s="17" cm="1">
        <f t="array" ref="AY142">MMULT(
    MMULT(
        INDEX($X$5:$AM$77, MATCH(AY$100,_xlfn.ANCHORARRAY( $W$5), 0), 0),
        $F$5:$U$20
    ),
    TRANSPOSE(
        INDEX($X$5:$AM$77, MATCH($A142,_xlfn.ANCHORARRAY( $W$5), 0), 0)
    )
)
/
(
    INDEX($AN$5:$AN$77, MATCH(AY$100,_xlfn.ANCHORARRAY( $W$5), 0))
    *
    INDEX($AN$5:$AN$77, MATCH($A142,_xlfn.ANCHORARRAY( $W$5), 0))
)</f>
        <v>0.58044693304822015</v>
      </c>
      <c r="AZ142" s="17" cm="1">
        <f t="array" ref="AZ142">MMULT(
    MMULT(
        INDEX($X$5:$AM$77, MATCH(AZ$100,_xlfn.ANCHORARRAY( $W$5), 0), 0),
        $F$5:$U$20
    ),
    TRANSPOSE(
        INDEX($X$5:$AM$77, MATCH($A142,_xlfn.ANCHORARRAY( $W$5), 0), 0)
    )
)
/
(
    INDEX($AN$5:$AN$77, MATCH(AZ$100,_xlfn.ANCHORARRAY( $W$5), 0))
    *
    INDEX($AN$5:$AN$77, MATCH($A142,_xlfn.ANCHORARRAY( $W$5), 0))
)</f>
        <v>0.70872827220023382</v>
      </c>
      <c r="BA142" s="17" cm="1">
        <f t="array" ref="BA142">MMULT(
    MMULT(
        INDEX($X$5:$AM$77, MATCH(BA$100,_xlfn.ANCHORARRAY( $W$5), 0), 0),
        $F$5:$U$20
    ),
    TRANSPOSE(
        INDEX($X$5:$AM$77, MATCH($A142,_xlfn.ANCHORARRAY( $W$5), 0), 0)
    )
)
/
(
    INDEX($AN$5:$AN$77, MATCH(BA$100,_xlfn.ANCHORARRAY( $W$5), 0))
    *
    INDEX($AN$5:$AN$77, MATCH($A142,_xlfn.ANCHORARRAY( $W$5), 0))
)</f>
        <v>0.78172179577966716</v>
      </c>
      <c r="BB142" s="17" cm="1">
        <f t="array" ref="BB142">MMULT(
    MMULT(
        INDEX($X$5:$AM$77, MATCH(BB$100,_xlfn.ANCHORARRAY( $W$5), 0), 0),
        $F$5:$U$20
    ),
    TRANSPOSE(
        INDEX($X$5:$AM$77, MATCH($A142,_xlfn.ANCHORARRAY( $W$5), 0), 0)
    )
)
/
(
    INDEX($AN$5:$AN$77, MATCH(BB$100,_xlfn.ANCHORARRAY( $W$5), 0))
    *
    INDEX($AN$5:$AN$77, MATCH($A142,_xlfn.ANCHORARRAY( $W$5), 0))
)</f>
        <v>0.56454231333234361</v>
      </c>
      <c r="BC142" s="17" cm="1">
        <f t="array" ref="BC142">MMULT(
    MMULT(
        INDEX($X$5:$AM$77, MATCH(BC$100,_xlfn.ANCHORARRAY( $W$5), 0), 0),
        $F$5:$U$20
    ),
    TRANSPOSE(
        INDEX($X$5:$AM$77, MATCH($A142,_xlfn.ANCHORARRAY( $W$5), 0), 0)
    )
)
/
(
    INDEX($AN$5:$AN$77, MATCH(BC$100,_xlfn.ANCHORARRAY( $W$5), 0))
    *
    INDEX($AN$5:$AN$77, MATCH($A142,_xlfn.ANCHORARRAY( $W$5), 0))
)</f>
        <v>0.76193464384658049</v>
      </c>
      <c r="BD142" s="17" cm="1">
        <f t="array" ref="BD142">MMULT(
    MMULT(
        INDEX($X$5:$AM$77, MATCH(BD$100,_xlfn.ANCHORARRAY( $W$5), 0), 0),
        $F$5:$U$20
    ),
    TRANSPOSE(
        INDEX($X$5:$AM$77, MATCH($A142,_xlfn.ANCHORARRAY( $W$5), 0), 0)
    )
)
/
(
    INDEX($AN$5:$AN$77, MATCH(BD$100,_xlfn.ANCHORARRAY( $W$5), 0))
    *
    INDEX($AN$5:$AN$77, MATCH($A142,_xlfn.ANCHORARRAY( $W$5), 0))
)</f>
        <v>0.94392630838754688</v>
      </c>
      <c r="BE142" s="17" cm="1">
        <f t="array" ref="BE142">MMULT(
    MMULT(
        INDEX($X$5:$AM$77, MATCH(BE$100,_xlfn.ANCHORARRAY( $W$5), 0), 0),
        $F$5:$U$20
    ),
    TRANSPOSE(
        INDEX($X$5:$AM$77, MATCH($A142,_xlfn.ANCHORARRAY( $W$5), 0), 0)
    )
)
/
(
    INDEX($AN$5:$AN$77, MATCH(BE$100,_xlfn.ANCHORARRAY( $W$5), 0))
    *
    INDEX($AN$5:$AN$77, MATCH($A142,_xlfn.ANCHORARRAY( $W$5), 0))
)</f>
        <v>0.60994169800699294</v>
      </c>
      <c r="BF142" s="17" cm="1">
        <f t="array" ref="BF142">MMULT(
    MMULT(
        INDEX($X$5:$AM$77, MATCH(BF$100,_xlfn.ANCHORARRAY( $W$5), 0), 0),
        $F$5:$U$20
    ),
    TRANSPOSE(
        INDEX($X$5:$AM$77, MATCH($A142,_xlfn.ANCHORARRAY( $W$5), 0), 0)
    )
)
/
(
    INDEX($AN$5:$AN$77, MATCH(BF$100,_xlfn.ANCHORARRAY( $W$5), 0))
    *
    INDEX($AN$5:$AN$77, MATCH($A142,_xlfn.ANCHORARRAY( $W$5), 0))
)</f>
        <v>0.94199636674223386</v>
      </c>
      <c r="BG142" s="17" cm="1">
        <f t="array" ref="BG142">MMULT(
    MMULT(
        INDEX($X$5:$AM$77, MATCH(BG$100,_xlfn.ANCHORARRAY( $W$5), 0), 0),
        $F$5:$U$20
    ),
    TRANSPOSE(
        INDEX($X$5:$AM$77, MATCH($A142,_xlfn.ANCHORARRAY( $W$5), 0), 0)
    )
)
/
(
    INDEX($AN$5:$AN$77, MATCH(BG$100,_xlfn.ANCHORARRAY( $W$5), 0))
    *
    INDEX($AN$5:$AN$77, MATCH($A142,_xlfn.ANCHORARRAY( $W$5), 0))
)</f>
        <v>0.77622441465399128</v>
      </c>
      <c r="BH142" s="17" cm="1">
        <f t="array" ref="BH142">MMULT(
    MMULT(
        INDEX($X$5:$AM$77, MATCH(BH$100,_xlfn.ANCHORARRAY( $W$5), 0), 0),
        $F$5:$U$20
    ),
    TRANSPOSE(
        INDEX($X$5:$AM$77, MATCH($A142,_xlfn.ANCHORARRAY( $W$5), 0), 0)
    )
)
/
(
    INDEX($AN$5:$AN$77, MATCH(BH$100,_xlfn.ANCHORARRAY( $W$5), 0))
    *
    INDEX($AN$5:$AN$77, MATCH($A142,_xlfn.ANCHORARRAY( $W$5), 0))
)</f>
        <v>0.96737428246284007</v>
      </c>
      <c r="BI142" s="17" cm="1">
        <f t="array" ref="BI142">MMULT(
    MMULT(
        INDEX($X$5:$AM$77, MATCH(BI$100,_xlfn.ANCHORARRAY( $W$5), 0), 0),
        $F$5:$U$20
    ),
    TRANSPOSE(
        INDEX($X$5:$AM$77, MATCH($A142,_xlfn.ANCHORARRAY( $W$5), 0), 0)
    )
)
/
(
    INDEX($AN$5:$AN$77, MATCH(BI$100,_xlfn.ANCHORARRAY( $W$5), 0))
    *
    INDEX($AN$5:$AN$77, MATCH($A142,_xlfn.ANCHORARRAY( $W$5), 0))
)</f>
        <v>0.50426434242479956</v>
      </c>
      <c r="BJ142" s="17" cm="1">
        <f t="array" ref="BJ142">MMULT(
    MMULT(
        INDEX($X$5:$AM$77, MATCH(BJ$100,_xlfn.ANCHORARRAY( $W$5), 0), 0),
        $F$5:$U$20
    ),
    TRANSPOSE(
        INDEX($X$5:$AM$77, MATCH($A142,_xlfn.ANCHORARRAY( $W$5), 0), 0)
    )
)
/
(
    INDEX($AN$5:$AN$77, MATCH(BJ$100,_xlfn.ANCHORARRAY( $W$5), 0))
    *
    INDEX($AN$5:$AN$77, MATCH($A142,_xlfn.ANCHORARRAY( $W$5), 0))
)</f>
        <v>0.87286407723276649</v>
      </c>
      <c r="BK142" s="17" cm="1">
        <f t="array" ref="BK142">MMULT(
    MMULT(
        INDEX($X$5:$AM$77, MATCH(BK$100,_xlfn.ANCHORARRAY( $W$5), 0), 0),
        $F$5:$U$20
    ),
    TRANSPOSE(
        INDEX($X$5:$AM$77, MATCH($A142,_xlfn.ANCHORARRAY( $W$5), 0), 0)
    )
)
/
(
    INDEX($AN$5:$AN$77, MATCH(BK$100,_xlfn.ANCHORARRAY( $W$5), 0))
    *
    INDEX($AN$5:$AN$77, MATCH($A142,_xlfn.ANCHORARRAY( $W$5), 0))
)</f>
        <v>0.95250548419325176</v>
      </c>
      <c r="BL142" s="17" cm="1">
        <f t="array" ref="BL142">MMULT(
    MMULT(
        INDEX($X$5:$AM$77, MATCH(BL$100,_xlfn.ANCHORARRAY( $W$5), 0), 0),
        $F$5:$U$20
    ),
    TRANSPOSE(
        INDEX($X$5:$AM$77, MATCH($A142,_xlfn.ANCHORARRAY( $W$5), 0), 0)
    )
)
/
(
    INDEX($AN$5:$AN$77, MATCH(BL$100,_xlfn.ANCHORARRAY( $W$5), 0))
    *
    INDEX($AN$5:$AN$77, MATCH($A142,_xlfn.ANCHORARRAY( $W$5), 0))
)</f>
        <v>0.23936817297431198</v>
      </c>
      <c r="BM142" s="17" cm="1">
        <f t="array" ref="BM142">MMULT(
    MMULT(
        INDEX($X$5:$AM$77, MATCH(BM$100,_xlfn.ANCHORARRAY( $W$5), 0), 0),
        $F$5:$U$20
    ),
    TRANSPOSE(
        INDEX($X$5:$AM$77, MATCH($A142,_xlfn.ANCHORARRAY( $W$5), 0), 0)
    )
)
/
(
    INDEX($AN$5:$AN$77, MATCH(BM$100,_xlfn.ANCHORARRAY( $W$5), 0))
    *
    INDEX($AN$5:$AN$77, MATCH($A142,_xlfn.ANCHORARRAY( $W$5), 0))
)</f>
        <v>0.49645289674649734</v>
      </c>
      <c r="BN142" s="17" cm="1">
        <f t="array" ref="BN142">MMULT(
    MMULT(
        INDEX($X$5:$AM$77, MATCH(BN$100,_xlfn.ANCHORARRAY( $W$5), 0), 0),
        $F$5:$U$20
    ),
    TRANSPOSE(
        INDEX($X$5:$AM$77, MATCH($A142,_xlfn.ANCHORARRAY( $W$5), 0), 0)
    )
)
/
(
    INDEX($AN$5:$AN$77, MATCH(BN$100,_xlfn.ANCHORARRAY( $W$5), 0))
    *
    INDEX($AN$5:$AN$77, MATCH($A142,_xlfn.ANCHORARRAY( $W$5), 0))
)</f>
        <v>0.68811806104749318</v>
      </c>
      <c r="BO142" s="17" cm="1">
        <f t="array" ref="BO142">MMULT(
    MMULT(
        INDEX($X$5:$AM$77, MATCH(BO$100,_xlfn.ANCHORARRAY( $W$5), 0), 0),
        $F$5:$U$20
    ),
    TRANSPOSE(
        INDEX($X$5:$AM$77, MATCH($A142,_xlfn.ANCHORARRAY( $W$5), 0), 0)
    )
)
/
(
    INDEX($AN$5:$AN$77, MATCH(BO$100,_xlfn.ANCHORARRAY( $W$5), 0))
    *
    INDEX($AN$5:$AN$77, MATCH($A142,_xlfn.ANCHORARRAY( $W$5), 0))
)</f>
        <v>0.70284505722400648</v>
      </c>
      <c r="BP142" s="17" cm="1">
        <f t="array" ref="BP142">MMULT(
    MMULT(
        INDEX($X$5:$AM$77, MATCH(BP$100,_xlfn.ANCHORARRAY( $W$5), 0), 0),
        $F$5:$U$20
    ),
    TRANSPOSE(
        INDEX($X$5:$AM$77, MATCH($A142,_xlfn.ANCHORARRAY( $W$5), 0), 0)
    )
)
/
(
    INDEX($AN$5:$AN$77, MATCH(BP$100,_xlfn.ANCHORARRAY( $W$5), 0))
    *
    INDEX($AN$5:$AN$77, MATCH($A142,_xlfn.ANCHORARRAY( $W$5), 0))
)</f>
        <v>0.87182133279231055</v>
      </c>
      <c r="BQ142" s="17" cm="1">
        <f t="array" ref="BQ142">MMULT(
    MMULT(
        INDEX($X$5:$AM$77, MATCH(BQ$100,_xlfn.ANCHORARRAY( $W$5), 0), 0),
        $F$5:$U$20
    ),
    TRANSPOSE(
        INDEX($X$5:$AM$77, MATCH($A142,_xlfn.ANCHORARRAY( $W$5), 0), 0)
    )
)
/
(
    INDEX($AN$5:$AN$77, MATCH(BQ$100,_xlfn.ANCHORARRAY( $W$5), 0))
    *
    INDEX($AN$5:$AN$77, MATCH($A142,_xlfn.ANCHORARRAY( $W$5), 0))
)</f>
        <v>0.60846747797396039</v>
      </c>
      <c r="BR142" s="17" cm="1">
        <f t="array" ref="BR142">MMULT(
    MMULT(
        INDEX($X$5:$AM$77, MATCH(BR$100,_xlfn.ANCHORARRAY( $W$5), 0), 0),
        $F$5:$U$20
    ),
    TRANSPOSE(
        INDEX($X$5:$AM$77, MATCH($A142,_xlfn.ANCHORARRAY( $W$5), 0), 0)
    )
)
/
(
    INDEX($AN$5:$AN$77, MATCH(BR$100,_xlfn.ANCHORARRAY( $W$5), 0))
    *
    INDEX($AN$5:$AN$77, MATCH($A142,_xlfn.ANCHORARRAY( $W$5), 0))
)</f>
        <v>0.71972487412412689</v>
      </c>
      <c r="BS142" s="17" cm="1">
        <f t="array" ref="BS142">MMULT(
    MMULT(
        INDEX($X$5:$AM$77, MATCH(BS$100,_xlfn.ANCHORARRAY( $W$5), 0), 0),
        $F$5:$U$20
    ),
    TRANSPOSE(
        INDEX($X$5:$AM$77, MATCH($A142,_xlfn.ANCHORARRAY( $W$5), 0), 0)
    )
)
/
(
    INDEX($AN$5:$AN$77, MATCH(BS$100,_xlfn.ANCHORARRAY( $W$5), 0))
    *
    INDEX($AN$5:$AN$77, MATCH($A142,_xlfn.ANCHORARRAY( $W$5), 0))
)</f>
        <v>0.5777372414866917</v>
      </c>
      <c r="BT142" s="17" cm="1">
        <f t="array" ref="BT142">MMULT(
    MMULT(
        INDEX($X$5:$AM$77, MATCH(BT$100,_xlfn.ANCHORARRAY( $W$5), 0), 0),
        $F$5:$U$20
    ),
    TRANSPOSE(
        INDEX($X$5:$AM$77, MATCH($A142,_xlfn.ANCHORARRAY( $W$5), 0), 0)
    )
)
/
(
    INDEX($AN$5:$AN$77, MATCH(BT$100,_xlfn.ANCHORARRAY( $W$5), 0))
    *
    INDEX($AN$5:$AN$77, MATCH($A142,_xlfn.ANCHORARRAY( $W$5), 0))
)</f>
        <v>0.80640639374541723</v>
      </c>
      <c r="BU142" s="17" cm="1">
        <f t="array" ref="BU142">MMULT(
    MMULT(
        INDEX($X$5:$AM$77, MATCH(BU$100,_xlfn.ANCHORARRAY( $W$5), 0), 0),
        $F$5:$U$20
    ),
    TRANSPOSE(
        INDEX($X$5:$AM$77, MATCH($A142,_xlfn.ANCHORARRAY( $W$5), 0), 0)
    )
)
/
(
    INDEX($AN$5:$AN$77, MATCH(BU$100,_xlfn.ANCHORARRAY( $W$5), 0))
    *
    INDEX($AN$5:$AN$77, MATCH($A142,_xlfn.ANCHORARRAY( $W$5), 0))
)</f>
        <v>0.97534535206864892</v>
      </c>
      <c r="BV142" s="17" cm="1">
        <f t="array" ref="BV142">MMULT(
    MMULT(
        INDEX($X$5:$AM$77, MATCH(BV$100,_xlfn.ANCHORARRAY( $W$5), 0), 0),
        $F$5:$U$20
    ),
    TRANSPOSE(
        INDEX($X$5:$AM$77, MATCH($A142,_xlfn.ANCHORARRAY( $W$5), 0), 0)
    )
)
/
(
    INDEX($AN$5:$AN$77, MATCH(BV$100,_xlfn.ANCHORARRAY( $W$5), 0))
    *
    INDEX($AN$5:$AN$77, MATCH($A142,_xlfn.ANCHORARRAY( $W$5), 0))
)</f>
        <v>0.68134539761129365</v>
      </c>
    </row>
    <row r="143" spans="1:74" x14ac:dyDescent="0.3">
      <c r="A143" s="7" t="str">
        <v>Muller, Kyle</v>
      </c>
      <c r="B143" s="17" cm="1">
        <f t="array" ref="B143">MMULT(
    MMULT(
        INDEX($X$5:$AM$77, MATCH(B$100,_xlfn.ANCHORARRAY( $W$5), 0), 0),
        $F$5:$U$20
    ),
    TRANSPOSE(
        INDEX($X$5:$AM$77, MATCH($A143,_xlfn.ANCHORARRAY( $W$5), 0), 0)
    )
)
/
(
    INDEX($AN$5:$AN$77, MATCH(B$100,_xlfn.ANCHORARRAY( $W$5), 0))
    *
    INDEX($AN$5:$AN$77, MATCH($A143,_xlfn.ANCHORARRAY( $W$5), 0))
)</f>
        <v>0.94347505792513864</v>
      </c>
      <c r="C143" s="17" cm="1">
        <f t="array" ref="C143">MMULT(
    MMULT(
        INDEX($X$5:$AM$77, MATCH(C$100,_xlfn.ANCHORARRAY( $W$5), 0), 0),
        $F$5:$U$20
    ),
    TRANSPOSE(
        INDEX($X$5:$AM$77, MATCH($A143,_xlfn.ANCHORARRAY( $W$5), 0), 0)
    )
)
/
(
    INDEX($AN$5:$AN$77, MATCH(C$100,_xlfn.ANCHORARRAY( $W$5), 0))
    *
    INDEX($AN$5:$AN$77, MATCH($A143,_xlfn.ANCHORARRAY( $W$5), 0))
)</f>
        <v>0.78726737947990633</v>
      </c>
      <c r="D143" s="17" cm="1">
        <f t="array" ref="D143">MMULT(
    MMULT(
        INDEX($X$5:$AM$77, MATCH(D$100,_xlfn.ANCHORARRAY( $W$5), 0), 0),
        $F$5:$U$20
    ),
    TRANSPOSE(
        INDEX($X$5:$AM$77, MATCH($A143,_xlfn.ANCHORARRAY( $W$5), 0), 0)
    )
)
/
(
    INDEX($AN$5:$AN$77, MATCH(D$100,_xlfn.ANCHORARRAY( $W$5), 0))
    *
    INDEX($AN$5:$AN$77, MATCH($A143,_xlfn.ANCHORARRAY( $W$5), 0))
)</f>
        <v>0.94010323154235109</v>
      </c>
      <c r="E143" s="17" cm="1">
        <f t="array" ref="E143">MMULT(
    MMULT(
        INDEX($X$5:$AM$77, MATCH(E$100,_xlfn.ANCHORARRAY( $W$5), 0), 0),
        $F$5:$U$20
    ),
    TRANSPOSE(
        INDEX($X$5:$AM$77, MATCH($A143,_xlfn.ANCHORARRAY( $W$5), 0), 0)
    )
)
/
(
    INDEX($AN$5:$AN$77, MATCH(E$100,_xlfn.ANCHORARRAY( $W$5), 0))
    *
    INDEX($AN$5:$AN$77, MATCH($A143,_xlfn.ANCHORARRAY( $W$5), 0))
)</f>
        <v>0.82110745841458221</v>
      </c>
      <c r="F143" s="17" cm="1">
        <f t="array" ref="F143">MMULT(
    MMULT(
        INDEX($X$5:$AM$77, MATCH(F$100,_xlfn.ANCHORARRAY( $W$5), 0), 0),
        $F$5:$U$20
    ),
    TRANSPOSE(
        INDEX($X$5:$AM$77, MATCH($A143,_xlfn.ANCHORARRAY( $W$5), 0), 0)
    )
)
/
(
    INDEX($AN$5:$AN$77, MATCH(F$100,_xlfn.ANCHORARRAY( $W$5), 0))
    *
    INDEX($AN$5:$AN$77, MATCH($A143,_xlfn.ANCHORARRAY( $W$5), 0))
)</f>
        <v>0.91887996495481916</v>
      </c>
      <c r="G143" s="17" cm="1">
        <f t="array" ref="G143">MMULT(
    MMULT(
        INDEX($X$5:$AM$77, MATCH(G$100,_xlfn.ANCHORARRAY( $W$5), 0), 0),
        $F$5:$U$20
    ),
    TRANSPOSE(
        INDEX($X$5:$AM$77, MATCH($A143,_xlfn.ANCHORARRAY( $W$5), 0), 0)
    )
)
/
(
    INDEX($AN$5:$AN$77, MATCH(G$100,_xlfn.ANCHORARRAY( $W$5), 0))
    *
    INDEX($AN$5:$AN$77, MATCH($A143,_xlfn.ANCHORARRAY( $W$5), 0))
)</f>
        <v>0.74223471490926429</v>
      </c>
      <c r="H143" s="17" cm="1">
        <f t="array" ref="H143">MMULT(
    MMULT(
        INDEX($X$5:$AM$77, MATCH(H$100,_xlfn.ANCHORARRAY( $W$5), 0), 0),
        $F$5:$U$20
    ),
    TRANSPOSE(
        INDEX($X$5:$AM$77, MATCH($A143,_xlfn.ANCHORARRAY( $W$5), 0), 0)
    )
)
/
(
    INDEX($AN$5:$AN$77, MATCH(H$100,_xlfn.ANCHORARRAY( $W$5), 0))
    *
    INDEX($AN$5:$AN$77, MATCH($A143,_xlfn.ANCHORARRAY( $W$5), 0))
)</f>
        <v>0.70055805260549742</v>
      </c>
      <c r="I143" s="17" cm="1">
        <f t="array" ref="I143">MMULT(
    MMULT(
        INDEX($X$5:$AM$77, MATCH(I$100,_xlfn.ANCHORARRAY( $W$5), 0), 0),
        $F$5:$U$20
    ),
    TRANSPOSE(
        INDEX($X$5:$AM$77, MATCH($A143,_xlfn.ANCHORARRAY( $W$5), 0), 0)
    )
)
/
(
    INDEX($AN$5:$AN$77, MATCH(I$100,_xlfn.ANCHORARRAY( $W$5), 0))
    *
    INDEX($AN$5:$AN$77, MATCH($A143,_xlfn.ANCHORARRAY( $W$5), 0))
)</f>
        <v>0.79110788362616835</v>
      </c>
      <c r="J143" s="17" cm="1">
        <f t="array" ref="J143">MMULT(
    MMULT(
        INDEX($X$5:$AM$77, MATCH(J$100,_xlfn.ANCHORARRAY( $W$5), 0), 0),
        $F$5:$U$20
    ),
    TRANSPOSE(
        INDEX($X$5:$AM$77, MATCH($A143,_xlfn.ANCHORARRAY( $W$5), 0), 0)
    )
)
/
(
    INDEX($AN$5:$AN$77, MATCH(J$100,_xlfn.ANCHORARRAY( $W$5), 0))
    *
    INDEX($AN$5:$AN$77, MATCH($A143,_xlfn.ANCHORARRAY( $W$5), 0))
)</f>
        <v>0.91729934342676744</v>
      </c>
      <c r="K143" s="17" cm="1">
        <f t="array" ref="K143">MMULT(
    MMULT(
        INDEX($X$5:$AM$77, MATCH(K$100,_xlfn.ANCHORARRAY( $W$5), 0), 0),
        $F$5:$U$20
    ),
    TRANSPOSE(
        INDEX($X$5:$AM$77, MATCH($A143,_xlfn.ANCHORARRAY( $W$5), 0), 0)
    )
)
/
(
    INDEX($AN$5:$AN$77, MATCH(K$100,_xlfn.ANCHORARRAY( $W$5), 0))
    *
    INDEX($AN$5:$AN$77, MATCH($A143,_xlfn.ANCHORARRAY( $W$5), 0))
)</f>
        <v>0.81647479141561907</v>
      </c>
      <c r="L143" s="17" cm="1">
        <f t="array" ref="L143">MMULT(
    MMULT(
        INDEX($X$5:$AM$77, MATCH(L$100,_xlfn.ANCHORARRAY( $W$5), 0), 0),
        $F$5:$U$20
    ),
    TRANSPOSE(
        INDEX($X$5:$AM$77, MATCH($A143,_xlfn.ANCHORARRAY( $W$5), 0), 0)
    )
)
/
(
    INDEX($AN$5:$AN$77, MATCH(L$100,_xlfn.ANCHORARRAY( $W$5), 0))
    *
    INDEX($AN$5:$AN$77, MATCH($A143,_xlfn.ANCHORARRAY( $W$5), 0))
)</f>
        <v>0.60790356587165284</v>
      </c>
      <c r="M143" s="17" cm="1">
        <f t="array" ref="M143">MMULT(
    MMULT(
        INDEX($X$5:$AM$77, MATCH(M$100,_xlfn.ANCHORARRAY( $W$5), 0), 0),
        $F$5:$U$20
    ),
    TRANSPOSE(
        INDEX($X$5:$AM$77, MATCH($A143,_xlfn.ANCHORARRAY( $W$5), 0), 0)
    )
)
/
(
    INDEX($AN$5:$AN$77, MATCH(M$100,_xlfn.ANCHORARRAY( $W$5), 0))
    *
    INDEX($AN$5:$AN$77, MATCH($A143,_xlfn.ANCHORARRAY( $W$5), 0))
)</f>
        <v>0.77241372990768531</v>
      </c>
      <c r="N143" s="17" cm="1">
        <f t="array" ref="N143">MMULT(
    MMULT(
        INDEX($X$5:$AM$77, MATCH(N$100,_xlfn.ANCHORARRAY( $W$5), 0), 0),
        $F$5:$U$20
    ),
    TRANSPOSE(
        INDEX($X$5:$AM$77, MATCH($A143,_xlfn.ANCHORARRAY( $W$5), 0), 0)
    )
)
/
(
    INDEX($AN$5:$AN$77, MATCH(N$100,_xlfn.ANCHORARRAY( $W$5), 0))
    *
    INDEX($AN$5:$AN$77, MATCH($A143,_xlfn.ANCHORARRAY( $W$5), 0))
)</f>
        <v>0.94135871598671983</v>
      </c>
      <c r="O143" s="17" cm="1">
        <f t="array" ref="O143">MMULT(
    MMULT(
        INDEX($X$5:$AM$77, MATCH(O$100,_xlfn.ANCHORARRAY( $W$5), 0), 0),
        $F$5:$U$20
    ),
    TRANSPOSE(
        INDEX($X$5:$AM$77, MATCH($A143,_xlfn.ANCHORARRAY( $W$5), 0), 0)
    )
)
/
(
    INDEX($AN$5:$AN$77, MATCH(O$100,_xlfn.ANCHORARRAY( $W$5), 0))
    *
    INDEX($AN$5:$AN$77, MATCH($A143,_xlfn.ANCHORARRAY( $W$5), 0))
)</f>
        <v>0.88225182430336457</v>
      </c>
      <c r="P143" s="17" cm="1">
        <f t="array" ref="P143">MMULT(
    MMULT(
        INDEX($X$5:$AM$77, MATCH(P$100,_xlfn.ANCHORARRAY( $W$5), 0), 0),
        $F$5:$U$20
    ),
    TRANSPOSE(
        INDEX($X$5:$AM$77, MATCH($A143,_xlfn.ANCHORARRAY( $W$5), 0), 0)
    )
)
/
(
    INDEX($AN$5:$AN$77, MATCH(P$100,_xlfn.ANCHORARRAY( $W$5), 0))
    *
    INDEX($AN$5:$AN$77, MATCH($A143,_xlfn.ANCHORARRAY( $W$5), 0))
)</f>
        <v>0.98480683575770256</v>
      </c>
      <c r="Q143" s="17" cm="1">
        <f t="array" ref="Q143">MMULT(
    MMULT(
        INDEX($X$5:$AM$77, MATCH(Q$100,_xlfn.ANCHORARRAY( $W$5), 0), 0),
        $F$5:$U$20
    ),
    TRANSPOSE(
        INDEX($X$5:$AM$77, MATCH($A143,_xlfn.ANCHORARRAY( $W$5), 0), 0)
    )
)
/
(
    INDEX($AN$5:$AN$77, MATCH(Q$100,_xlfn.ANCHORARRAY( $W$5), 0))
    *
    INDEX($AN$5:$AN$77, MATCH($A143,_xlfn.ANCHORARRAY( $W$5), 0))
)</f>
        <v>0.7299098490599476</v>
      </c>
      <c r="R143" s="17" cm="1">
        <f t="array" ref="R143">MMULT(
    MMULT(
        INDEX($X$5:$AM$77, MATCH(R$100,_xlfn.ANCHORARRAY( $W$5), 0), 0),
        $F$5:$U$20
    ),
    TRANSPOSE(
        INDEX($X$5:$AM$77, MATCH($A143,_xlfn.ANCHORARRAY( $W$5), 0), 0)
    )
)
/
(
    INDEX($AN$5:$AN$77, MATCH(R$100,_xlfn.ANCHORARRAY( $W$5), 0))
    *
    INDEX($AN$5:$AN$77, MATCH($A143,_xlfn.ANCHORARRAY( $W$5), 0))
)</f>
        <v>0.90186024970226464</v>
      </c>
      <c r="S143" s="17" cm="1">
        <f t="array" ref="S143">MMULT(
    MMULT(
        INDEX($X$5:$AM$77, MATCH(S$100,_xlfn.ANCHORARRAY( $W$5), 0), 0),
        $F$5:$U$20
    ),
    TRANSPOSE(
        INDEX($X$5:$AM$77, MATCH($A143,_xlfn.ANCHORARRAY( $W$5), 0), 0)
    )
)
/
(
    INDEX($AN$5:$AN$77, MATCH(S$100,_xlfn.ANCHORARRAY( $W$5), 0))
    *
    INDEX($AN$5:$AN$77, MATCH($A143,_xlfn.ANCHORARRAY( $W$5), 0))
)</f>
        <v>0.8555295484060349</v>
      </c>
      <c r="T143" s="17" cm="1">
        <f t="array" ref="T143">MMULT(
    MMULT(
        INDEX($X$5:$AM$77, MATCH(T$100,_xlfn.ANCHORARRAY( $W$5), 0), 0),
        $F$5:$U$20
    ),
    TRANSPOSE(
        INDEX($X$5:$AM$77, MATCH($A143,_xlfn.ANCHORARRAY( $W$5), 0), 0)
    )
)
/
(
    INDEX($AN$5:$AN$77, MATCH(T$100,_xlfn.ANCHORARRAY( $W$5), 0))
    *
    INDEX($AN$5:$AN$77, MATCH($A143,_xlfn.ANCHORARRAY( $W$5), 0))
)</f>
        <v>0.59528738056741959</v>
      </c>
      <c r="U143" s="17" cm="1">
        <f t="array" ref="U143">MMULT(
    MMULT(
        INDEX($X$5:$AM$77, MATCH(U$100,_xlfn.ANCHORARRAY( $W$5), 0), 0),
        $F$5:$U$20
    ),
    TRANSPOSE(
        INDEX($X$5:$AM$77, MATCH($A143,_xlfn.ANCHORARRAY( $W$5), 0), 0)
    )
)
/
(
    INDEX($AN$5:$AN$77, MATCH(U$100,_xlfn.ANCHORARRAY( $W$5), 0))
    *
    INDEX($AN$5:$AN$77, MATCH($A143,_xlfn.ANCHORARRAY( $W$5), 0))
)</f>
        <v>0.97440564313335731</v>
      </c>
      <c r="V143" s="17" cm="1">
        <f t="array" ref="V143">MMULT(
    MMULT(
        INDEX($X$5:$AM$77, MATCH(V$100,_xlfn.ANCHORARRAY( $W$5), 0), 0),
        $F$5:$U$20
    ),
    TRANSPOSE(
        INDEX($X$5:$AM$77, MATCH($A143,_xlfn.ANCHORARRAY( $W$5), 0), 0)
    )
)
/
(
    INDEX($AN$5:$AN$77, MATCH(V$100,_xlfn.ANCHORARRAY( $W$5), 0))
    *
    INDEX($AN$5:$AN$77, MATCH($A143,_xlfn.ANCHORARRAY( $W$5), 0))
)</f>
        <v>0.59395692466827077</v>
      </c>
      <c r="W143" s="17" cm="1">
        <f t="array" ref="W143">MMULT(
    MMULT(
        INDEX($X$5:$AM$77, MATCH(W$100,_xlfn.ANCHORARRAY( $W$5), 0), 0),
        $F$5:$U$20
    ),
    TRANSPOSE(
        INDEX($X$5:$AM$77, MATCH($A143,_xlfn.ANCHORARRAY( $W$5), 0), 0)
    )
)
/
(
    INDEX($AN$5:$AN$77, MATCH(W$100,_xlfn.ANCHORARRAY( $W$5), 0))
    *
    INDEX($AN$5:$AN$77, MATCH($A143,_xlfn.ANCHORARRAY( $W$5), 0))
)</f>
        <v>0.67369355338030945</v>
      </c>
      <c r="X143" s="17" cm="1">
        <f t="array" ref="X143">MMULT(
    MMULT(
        INDEX($X$5:$AM$77, MATCH(X$100,_xlfn.ANCHORARRAY( $W$5), 0), 0),
        $F$5:$U$20
    ),
    TRANSPOSE(
        INDEX($X$5:$AM$77, MATCH($A143,_xlfn.ANCHORARRAY( $W$5), 0), 0)
    )
)
/
(
    INDEX($AN$5:$AN$77, MATCH(X$100,_xlfn.ANCHORARRAY( $W$5), 0))
    *
    INDEX($AN$5:$AN$77, MATCH($A143,_xlfn.ANCHORARRAY( $W$5), 0))
)</f>
        <v>0.92276692222749901</v>
      </c>
      <c r="Y143" s="17" cm="1">
        <f t="array" ref="Y143">MMULT(
    MMULT(
        INDEX($X$5:$AM$77, MATCH(Y$100,_xlfn.ANCHORARRAY( $W$5), 0), 0),
        $F$5:$U$20
    ),
    TRANSPOSE(
        INDEX($X$5:$AM$77, MATCH($A143,_xlfn.ANCHORARRAY( $W$5), 0), 0)
    )
)
/
(
    INDEX($AN$5:$AN$77, MATCH(Y$100,_xlfn.ANCHORARRAY( $W$5), 0))
    *
    INDEX($AN$5:$AN$77, MATCH($A143,_xlfn.ANCHORARRAY( $W$5), 0))
)</f>
        <v>0.7355317331833876</v>
      </c>
      <c r="Z143" s="17" cm="1">
        <f t="array" ref="Z143">MMULT(
    MMULT(
        INDEX($X$5:$AM$77, MATCH(Z$100,_xlfn.ANCHORARRAY( $W$5), 0), 0),
        $F$5:$U$20
    ),
    TRANSPOSE(
        INDEX($X$5:$AM$77, MATCH($A143,_xlfn.ANCHORARRAY( $W$5), 0), 0)
    )
)
/
(
    INDEX($AN$5:$AN$77, MATCH(Z$100,_xlfn.ANCHORARRAY( $W$5), 0))
    *
    INDEX($AN$5:$AN$77, MATCH($A143,_xlfn.ANCHORARRAY( $W$5), 0))
)</f>
        <v>0.9351443537061509</v>
      </c>
      <c r="AA143" s="17" cm="1">
        <f t="array" ref="AA143">MMULT(
    MMULT(
        INDEX($X$5:$AM$77, MATCH(AA$100,_xlfn.ANCHORARRAY( $W$5), 0), 0),
        $F$5:$U$20
    ),
    TRANSPOSE(
        INDEX($X$5:$AM$77, MATCH($A143,_xlfn.ANCHORARRAY( $W$5), 0), 0)
    )
)
/
(
    INDEX($AN$5:$AN$77, MATCH(AA$100,_xlfn.ANCHORARRAY( $W$5), 0))
    *
    INDEX($AN$5:$AN$77, MATCH($A143,_xlfn.ANCHORARRAY( $W$5), 0))
)</f>
        <v>0.97147767738594271</v>
      </c>
      <c r="AB143" s="17" cm="1">
        <f t="array" ref="AB143">MMULT(
    MMULT(
        INDEX($X$5:$AM$77, MATCH(AB$100,_xlfn.ANCHORARRAY( $W$5), 0), 0),
        $F$5:$U$20
    ),
    TRANSPOSE(
        INDEX($X$5:$AM$77, MATCH($A143,_xlfn.ANCHORARRAY( $W$5), 0), 0)
    )
)
/
(
    INDEX($AN$5:$AN$77, MATCH(AB$100,_xlfn.ANCHORARRAY( $W$5), 0))
    *
    INDEX($AN$5:$AN$77, MATCH($A143,_xlfn.ANCHORARRAY( $W$5), 0))
)</f>
        <v>0.92993189022161049</v>
      </c>
      <c r="AC143" s="17" cm="1">
        <f t="array" ref="AC143">MMULT(
    MMULT(
        INDEX($X$5:$AM$77, MATCH(AC$100,_xlfn.ANCHORARRAY( $W$5), 0), 0),
        $F$5:$U$20
    ),
    TRANSPOSE(
        INDEX($X$5:$AM$77, MATCH($A143,_xlfn.ANCHORARRAY( $W$5), 0), 0)
    )
)
/
(
    INDEX($AN$5:$AN$77, MATCH(AC$100,_xlfn.ANCHORARRAY( $W$5), 0))
    *
    INDEX($AN$5:$AN$77, MATCH($A143,_xlfn.ANCHORARRAY( $W$5), 0))
)</f>
        <v>0.80484862402453217</v>
      </c>
      <c r="AD143" s="17" cm="1">
        <f t="array" ref="AD143">MMULT(
    MMULT(
        INDEX($X$5:$AM$77, MATCH(AD$100,_xlfn.ANCHORARRAY( $W$5), 0), 0),
        $F$5:$U$20
    ),
    TRANSPOSE(
        INDEX($X$5:$AM$77, MATCH($A143,_xlfn.ANCHORARRAY( $W$5), 0), 0)
    )
)
/
(
    INDEX($AN$5:$AN$77, MATCH(AD$100,_xlfn.ANCHORARRAY( $W$5), 0))
    *
    INDEX($AN$5:$AN$77, MATCH($A143,_xlfn.ANCHORARRAY( $W$5), 0))
)</f>
        <v>0.92980094911955924</v>
      </c>
      <c r="AE143" s="17" cm="1">
        <f t="array" ref="AE143">MMULT(
    MMULT(
        INDEX($X$5:$AM$77, MATCH(AE$100,_xlfn.ANCHORARRAY( $W$5), 0), 0),
        $F$5:$U$20
    ),
    TRANSPOSE(
        INDEX($X$5:$AM$77, MATCH($A143,_xlfn.ANCHORARRAY( $W$5), 0), 0)
    )
)
/
(
    INDEX($AN$5:$AN$77, MATCH(AE$100,_xlfn.ANCHORARRAY( $W$5), 0))
    *
    INDEX($AN$5:$AN$77, MATCH($A143,_xlfn.ANCHORARRAY( $W$5), 0))
)</f>
        <v>0.85421142041059916</v>
      </c>
      <c r="AF143" s="17" cm="1">
        <f t="array" ref="AF143">MMULT(
    MMULT(
        INDEX($X$5:$AM$77, MATCH(AF$100,_xlfn.ANCHORARRAY( $W$5), 0), 0),
        $F$5:$U$20
    ),
    TRANSPOSE(
        INDEX($X$5:$AM$77, MATCH($A143,_xlfn.ANCHORARRAY( $W$5), 0), 0)
    )
)
/
(
    INDEX($AN$5:$AN$77, MATCH(AF$100,_xlfn.ANCHORARRAY( $W$5), 0))
    *
    INDEX($AN$5:$AN$77, MATCH($A143,_xlfn.ANCHORARRAY( $W$5), 0))
)</f>
        <v>0.84602134264259499</v>
      </c>
      <c r="AG143" s="17" cm="1">
        <f t="array" ref="AG143">MMULT(
    MMULT(
        INDEX($X$5:$AM$77, MATCH(AG$100,_xlfn.ANCHORARRAY( $W$5), 0), 0),
        $F$5:$U$20
    ),
    TRANSPOSE(
        INDEX($X$5:$AM$77, MATCH($A143,_xlfn.ANCHORARRAY( $W$5), 0), 0)
    )
)
/
(
    INDEX($AN$5:$AN$77, MATCH(AG$100,_xlfn.ANCHORARRAY( $W$5), 0))
    *
    INDEX($AN$5:$AN$77, MATCH($A143,_xlfn.ANCHORARRAY( $W$5), 0))
)</f>
        <v>0.79406281792885214</v>
      </c>
      <c r="AH143" s="17" cm="1">
        <f t="array" ref="AH143">MMULT(
    MMULT(
        INDEX($X$5:$AM$77, MATCH(AH$100,_xlfn.ANCHORARRAY( $W$5), 0), 0),
        $F$5:$U$20
    ),
    TRANSPOSE(
        INDEX($X$5:$AM$77, MATCH($A143,_xlfn.ANCHORARRAY( $W$5), 0), 0)
    )
)
/
(
    INDEX($AN$5:$AN$77, MATCH(AH$100,_xlfn.ANCHORARRAY( $W$5), 0))
    *
    INDEX($AN$5:$AN$77, MATCH($A143,_xlfn.ANCHORARRAY( $W$5), 0))
)</f>
        <v>0.61214174023132606</v>
      </c>
      <c r="AI143" s="17" cm="1">
        <f t="array" ref="AI143">MMULT(
    MMULT(
        INDEX($X$5:$AM$77, MATCH(AI$100,_xlfn.ANCHORARRAY( $W$5), 0), 0),
        $F$5:$U$20
    ),
    TRANSPOSE(
        INDEX($X$5:$AM$77, MATCH($A143,_xlfn.ANCHORARRAY( $W$5), 0), 0)
    )
)
/
(
    INDEX($AN$5:$AN$77, MATCH(AI$100,_xlfn.ANCHORARRAY( $W$5), 0))
    *
    INDEX($AN$5:$AN$77, MATCH($A143,_xlfn.ANCHORARRAY( $W$5), 0))
)</f>
        <v>0.84061400106511219</v>
      </c>
      <c r="AJ143" s="17" cm="1">
        <f t="array" ref="AJ143">MMULT(
    MMULT(
        INDEX($X$5:$AM$77, MATCH(AJ$100,_xlfn.ANCHORARRAY( $W$5), 0), 0),
        $F$5:$U$20
    ),
    TRANSPOSE(
        INDEX($X$5:$AM$77, MATCH($A143,_xlfn.ANCHORARRAY( $W$5), 0), 0)
    )
)
/
(
    INDEX($AN$5:$AN$77, MATCH(AJ$100,_xlfn.ANCHORARRAY( $W$5), 0))
    *
    INDEX($AN$5:$AN$77, MATCH($A143,_xlfn.ANCHORARRAY( $W$5), 0))
)</f>
        <v>0.99740146448525113</v>
      </c>
      <c r="AK143" s="17" cm="1">
        <f t="array" ref="AK143">MMULT(
    MMULT(
        INDEX($X$5:$AM$77, MATCH(AK$100,_xlfn.ANCHORARRAY( $W$5), 0), 0),
        $F$5:$U$20
    ),
    TRANSPOSE(
        INDEX($X$5:$AM$77, MATCH($A143,_xlfn.ANCHORARRAY( $W$5), 0), 0)
    )
)
/
(
    INDEX($AN$5:$AN$77, MATCH(AK$100,_xlfn.ANCHORARRAY( $W$5), 0))
    *
    INDEX($AN$5:$AN$77, MATCH($A143,_xlfn.ANCHORARRAY( $W$5), 0))
)</f>
        <v>0.80998716350832778</v>
      </c>
      <c r="AL143" s="17" cm="1">
        <f t="array" ref="AL143">MMULT(
    MMULT(
        INDEX($X$5:$AM$77, MATCH(AL$100,_xlfn.ANCHORARRAY( $W$5), 0), 0),
        $F$5:$U$20
    ),
    TRANSPOSE(
        INDEX($X$5:$AM$77, MATCH($A143,_xlfn.ANCHORARRAY( $W$5), 0), 0)
    )
)
/
(
    INDEX($AN$5:$AN$77, MATCH(AL$100,_xlfn.ANCHORARRAY( $W$5), 0))
    *
    INDEX($AN$5:$AN$77, MATCH($A143,_xlfn.ANCHORARRAY( $W$5), 0))
)</f>
        <v>0.90303162006356696</v>
      </c>
      <c r="AM143" s="17" cm="1">
        <f t="array" ref="AM143">MMULT(
    MMULT(
        INDEX($X$5:$AM$77, MATCH(AM$100,_xlfn.ANCHORARRAY( $W$5), 0), 0),
        $F$5:$U$20
    ),
    TRANSPOSE(
        INDEX($X$5:$AM$77, MATCH($A143,_xlfn.ANCHORARRAY( $W$5), 0), 0)
    )
)
/
(
    INDEX($AN$5:$AN$77, MATCH(AM$100,_xlfn.ANCHORARRAY( $W$5), 0))
    *
    INDEX($AN$5:$AN$77, MATCH($A143,_xlfn.ANCHORARRAY( $W$5), 0))
)</f>
        <v>0.68046475870410317</v>
      </c>
      <c r="AN143" s="17" cm="1">
        <f t="array" ref="AN143">MMULT(
    MMULT(
        INDEX($X$5:$AM$77, MATCH(AN$100,_xlfn.ANCHORARRAY( $W$5), 0), 0),
        $F$5:$U$20
    ),
    TRANSPOSE(
        INDEX($X$5:$AM$77, MATCH($A143,_xlfn.ANCHORARRAY( $W$5), 0), 0)
    )
)
/
(
    INDEX($AN$5:$AN$77, MATCH(AN$100,_xlfn.ANCHORARRAY( $W$5), 0))
    *
    INDEX($AN$5:$AN$77, MATCH($A143,_xlfn.ANCHORARRAY( $W$5), 0))
)</f>
        <v>0.69989906527998091</v>
      </c>
      <c r="AO143" s="17" cm="1">
        <f t="array" ref="AO143">MMULT(
    MMULT(
        INDEX($X$5:$AM$77, MATCH(AO$100,_xlfn.ANCHORARRAY( $W$5), 0), 0),
        $F$5:$U$20
    ),
    TRANSPOSE(
        INDEX($X$5:$AM$77, MATCH($A143,_xlfn.ANCHORARRAY( $W$5), 0), 0)
    )
)
/
(
    INDEX($AN$5:$AN$77, MATCH(AO$100,_xlfn.ANCHORARRAY( $W$5), 0))
    *
    INDEX($AN$5:$AN$77, MATCH($A143,_xlfn.ANCHORARRAY( $W$5), 0))
)</f>
        <v>0.64184902329081528</v>
      </c>
      <c r="AP143" s="17" cm="1">
        <f t="array" ref="AP143">MMULT(
    MMULT(
        INDEX($X$5:$AM$77, MATCH(AP$100,_xlfn.ANCHORARRAY( $W$5), 0), 0),
        $F$5:$U$20
    ),
    TRANSPOSE(
        INDEX($X$5:$AM$77, MATCH($A143,_xlfn.ANCHORARRAY( $W$5), 0), 0)
    )
)
/
(
    INDEX($AN$5:$AN$77, MATCH(AP$100,_xlfn.ANCHORARRAY( $W$5), 0))
    *
    INDEX($AN$5:$AN$77, MATCH($A143,_xlfn.ANCHORARRAY( $W$5), 0))
)</f>
        <v>0.69670866596974534</v>
      </c>
      <c r="AQ143" s="17" cm="1">
        <f t="array" ref="AQ143">MMULT(
    MMULT(
        INDEX($X$5:$AM$77, MATCH(AQ$100,_xlfn.ANCHORARRAY( $W$5), 0), 0),
        $F$5:$U$20
    ),
    TRANSPOSE(
        INDEX($X$5:$AM$77, MATCH($A143,_xlfn.ANCHORARRAY( $W$5), 0), 0)
    )
)
/
(
    INDEX($AN$5:$AN$77, MATCH(AQ$100,_xlfn.ANCHORARRAY( $W$5), 0))
    *
    INDEX($AN$5:$AN$77, MATCH($A143,_xlfn.ANCHORARRAY( $W$5), 0))
)</f>
        <v>0.82825096096478279</v>
      </c>
      <c r="AR143" s="17" cm="1">
        <f t="array" ref="AR143">MMULT(
    MMULT(
        INDEX($X$5:$AM$77, MATCH(AR$100,_xlfn.ANCHORARRAY( $W$5), 0), 0),
        $F$5:$U$20
    ),
    TRANSPOSE(
        INDEX($X$5:$AM$77, MATCH($A143,_xlfn.ANCHORARRAY( $W$5), 0), 0)
    )
)
/
(
    INDEX($AN$5:$AN$77, MATCH(AR$100,_xlfn.ANCHORARRAY( $W$5), 0))
    *
    INDEX($AN$5:$AN$77, MATCH($A143,_xlfn.ANCHORARRAY( $W$5), 0))
)</f>
        <v>1</v>
      </c>
      <c r="AS143" s="17" cm="1">
        <f t="array" ref="AS143">MMULT(
    MMULT(
        INDEX($X$5:$AM$77, MATCH(AS$100,_xlfn.ANCHORARRAY( $W$5), 0), 0),
        $F$5:$U$20
    ),
    TRANSPOSE(
        INDEX($X$5:$AM$77, MATCH($A143,_xlfn.ANCHORARRAY( $W$5), 0), 0)
    )
)
/
(
    INDEX($AN$5:$AN$77, MATCH(AS$100,_xlfn.ANCHORARRAY( $W$5), 0))
    *
    INDEX($AN$5:$AN$77, MATCH($A143,_xlfn.ANCHORARRAY( $W$5), 0))
)</f>
        <v>0.88672113340886227</v>
      </c>
      <c r="AT143" s="17" cm="1">
        <f t="array" ref="AT143">MMULT(
    MMULT(
        INDEX($X$5:$AM$77, MATCH(AT$100,_xlfn.ANCHORARRAY( $W$5), 0), 0),
        $F$5:$U$20
    ),
    TRANSPOSE(
        INDEX($X$5:$AM$77, MATCH($A143,_xlfn.ANCHORARRAY( $W$5), 0), 0)
    )
)
/
(
    INDEX($AN$5:$AN$77, MATCH(AT$100,_xlfn.ANCHORARRAY( $W$5), 0))
    *
    INDEX($AN$5:$AN$77, MATCH($A143,_xlfn.ANCHORARRAY( $W$5), 0))
)</f>
        <v>0.72375470065437331</v>
      </c>
      <c r="AU143" s="17" cm="1">
        <f t="array" ref="AU143">MMULT(
    MMULT(
        INDEX($X$5:$AM$77, MATCH(AU$100,_xlfn.ANCHORARRAY( $W$5), 0), 0),
        $F$5:$U$20
    ),
    TRANSPOSE(
        INDEX($X$5:$AM$77, MATCH($A143,_xlfn.ANCHORARRAY( $W$5), 0), 0)
    )
)
/
(
    INDEX($AN$5:$AN$77, MATCH(AU$100,_xlfn.ANCHORARRAY( $W$5), 0))
    *
    INDEX($AN$5:$AN$77, MATCH($A143,_xlfn.ANCHORARRAY( $W$5), 0))
)</f>
        <v>0.91894695865729314</v>
      </c>
      <c r="AV143" s="17" cm="1">
        <f t="array" ref="AV143">MMULT(
    MMULT(
        INDEX($X$5:$AM$77, MATCH(AV$100,_xlfn.ANCHORARRAY( $W$5), 0), 0),
        $F$5:$U$20
    ),
    TRANSPOSE(
        INDEX($X$5:$AM$77, MATCH($A143,_xlfn.ANCHORARRAY( $W$5), 0), 0)
    )
)
/
(
    INDEX($AN$5:$AN$77, MATCH(AV$100,_xlfn.ANCHORARRAY( $W$5), 0))
    *
    INDEX($AN$5:$AN$77, MATCH($A143,_xlfn.ANCHORARRAY( $W$5), 0))
)</f>
        <v>0.92579939008080381</v>
      </c>
      <c r="AW143" s="17" cm="1">
        <f t="array" ref="AW143">MMULT(
    MMULT(
        INDEX($X$5:$AM$77, MATCH(AW$100,_xlfn.ANCHORARRAY( $W$5), 0), 0),
        $F$5:$U$20
    ),
    TRANSPOSE(
        INDEX($X$5:$AM$77, MATCH($A143,_xlfn.ANCHORARRAY( $W$5), 0), 0)
    )
)
/
(
    INDEX($AN$5:$AN$77, MATCH(AW$100,_xlfn.ANCHORARRAY( $W$5), 0))
    *
    INDEX($AN$5:$AN$77, MATCH($A143,_xlfn.ANCHORARRAY( $W$5), 0))
)</f>
        <v>0.70219099575228805</v>
      </c>
      <c r="AX143" s="17" cm="1">
        <f t="array" ref="AX143">MMULT(
    MMULT(
        INDEX($X$5:$AM$77, MATCH(AX$100,_xlfn.ANCHORARRAY( $W$5), 0), 0),
        $F$5:$U$20
    ),
    TRANSPOSE(
        INDEX($X$5:$AM$77, MATCH($A143,_xlfn.ANCHORARRAY( $W$5), 0), 0)
    )
)
/
(
    INDEX($AN$5:$AN$77, MATCH(AX$100,_xlfn.ANCHORARRAY( $W$5), 0))
    *
    INDEX($AN$5:$AN$77, MATCH($A143,_xlfn.ANCHORARRAY( $W$5), 0))
)</f>
        <v>0.59365995802241089</v>
      </c>
      <c r="AY143" s="17" cm="1">
        <f t="array" ref="AY143">MMULT(
    MMULT(
        INDEX($X$5:$AM$77, MATCH(AY$100,_xlfn.ANCHORARRAY( $W$5), 0), 0),
        $F$5:$U$20
    ),
    TRANSPOSE(
        INDEX($X$5:$AM$77, MATCH($A143,_xlfn.ANCHORARRAY( $W$5), 0), 0)
    )
)
/
(
    INDEX($AN$5:$AN$77, MATCH(AY$100,_xlfn.ANCHORARRAY( $W$5), 0))
    *
    INDEX($AN$5:$AN$77, MATCH($A143,_xlfn.ANCHORARRAY( $W$5), 0))
)</f>
        <v>0.58528824671795188</v>
      </c>
      <c r="AZ143" s="17" cm="1">
        <f t="array" ref="AZ143">MMULT(
    MMULT(
        INDEX($X$5:$AM$77, MATCH(AZ$100,_xlfn.ANCHORARRAY( $W$5), 0), 0),
        $F$5:$U$20
    ),
    TRANSPOSE(
        INDEX($X$5:$AM$77, MATCH($A143,_xlfn.ANCHORARRAY( $W$5), 0), 0)
    )
)
/
(
    INDEX($AN$5:$AN$77, MATCH(AZ$100,_xlfn.ANCHORARRAY( $W$5), 0))
    *
    INDEX($AN$5:$AN$77, MATCH($A143,_xlfn.ANCHORARRAY( $W$5), 0))
)</f>
        <v>0.93272629945348218</v>
      </c>
      <c r="BA143" s="17" cm="1">
        <f t="array" ref="BA143">MMULT(
    MMULT(
        INDEX($X$5:$AM$77, MATCH(BA$100,_xlfn.ANCHORARRAY( $W$5), 0), 0),
        $F$5:$U$20
    ),
    TRANSPOSE(
        INDEX($X$5:$AM$77, MATCH($A143,_xlfn.ANCHORARRAY( $W$5), 0), 0)
    )
)
/
(
    INDEX($AN$5:$AN$77, MATCH(BA$100,_xlfn.ANCHORARRAY( $W$5), 0))
    *
    INDEX($AN$5:$AN$77, MATCH($A143,_xlfn.ANCHORARRAY( $W$5), 0))
)</f>
        <v>0.98128818400736628</v>
      </c>
      <c r="BB143" s="17" cm="1">
        <f t="array" ref="BB143">MMULT(
    MMULT(
        INDEX($X$5:$AM$77, MATCH(BB$100,_xlfn.ANCHORARRAY( $W$5), 0), 0),
        $F$5:$U$20
    ),
    TRANSPOSE(
        INDEX($X$5:$AM$77, MATCH($A143,_xlfn.ANCHORARRAY( $W$5), 0), 0)
    )
)
/
(
    INDEX($AN$5:$AN$77, MATCH(BB$100,_xlfn.ANCHORARRAY( $W$5), 0))
    *
    INDEX($AN$5:$AN$77, MATCH($A143,_xlfn.ANCHORARRAY( $W$5), 0))
)</f>
        <v>0.73969460842489188</v>
      </c>
      <c r="BC143" s="17" cm="1">
        <f t="array" ref="BC143">MMULT(
    MMULT(
        INDEX($X$5:$AM$77, MATCH(BC$100,_xlfn.ANCHORARRAY( $W$5), 0), 0),
        $F$5:$U$20
    ),
    TRANSPOSE(
        INDEX($X$5:$AM$77, MATCH($A143,_xlfn.ANCHORARRAY( $W$5), 0), 0)
    )
)
/
(
    INDEX($AN$5:$AN$77, MATCH(BC$100,_xlfn.ANCHORARRAY( $W$5), 0))
    *
    INDEX($AN$5:$AN$77, MATCH($A143,_xlfn.ANCHORARRAY( $W$5), 0))
)</f>
        <v>0.76579903465711707</v>
      </c>
      <c r="BD143" s="17" cm="1">
        <f t="array" ref="BD143">MMULT(
    MMULT(
        INDEX($X$5:$AM$77, MATCH(BD$100,_xlfn.ANCHORARRAY( $W$5), 0), 0),
        $F$5:$U$20
    ),
    TRANSPOSE(
        INDEX($X$5:$AM$77, MATCH($A143,_xlfn.ANCHORARRAY( $W$5), 0), 0)
    )
)
/
(
    INDEX($AN$5:$AN$77, MATCH(BD$100,_xlfn.ANCHORARRAY( $W$5), 0))
    *
    INDEX($AN$5:$AN$77, MATCH($A143,_xlfn.ANCHORARRAY( $W$5), 0))
)</f>
        <v>0.77076057300690926</v>
      </c>
      <c r="BE143" s="17" cm="1">
        <f t="array" ref="BE143">MMULT(
    MMULT(
        INDEX($X$5:$AM$77, MATCH(BE$100,_xlfn.ANCHORARRAY( $W$5), 0), 0),
        $F$5:$U$20
    ),
    TRANSPOSE(
        INDEX($X$5:$AM$77, MATCH($A143,_xlfn.ANCHORARRAY( $W$5), 0), 0)
    )
)
/
(
    INDEX($AN$5:$AN$77, MATCH(BE$100,_xlfn.ANCHORARRAY( $W$5), 0))
    *
    INDEX($AN$5:$AN$77, MATCH($A143,_xlfn.ANCHORARRAY( $W$5), 0))
)</f>
        <v>0.67859907151013699</v>
      </c>
      <c r="BF143" s="17" cm="1">
        <f t="array" ref="BF143">MMULT(
    MMULT(
        INDEX($X$5:$AM$77, MATCH(BF$100,_xlfn.ANCHORARRAY( $W$5), 0), 0),
        $F$5:$U$20
    ),
    TRANSPOSE(
        INDEX($X$5:$AM$77, MATCH($A143,_xlfn.ANCHORARRAY( $W$5), 0), 0)
    )
)
/
(
    INDEX($AN$5:$AN$77, MATCH(BF$100,_xlfn.ANCHORARRAY( $W$5), 0))
    *
    INDEX($AN$5:$AN$77, MATCH($A143,_xlfn.ANCHORARRAY( $W$5), 0))
)</f>
        <v>0.96622441099136203</v>
      </c>
      <c r="BG143" s="17" cm="1">
        <f t="array" ref="BG143">MMULT(
    MMULT(
        INDEX($X$5:$AM$77, MATCH(BG$100,_xlfn.ANCHORARRAY( $W$5), 0), 0),
        $F$5:$U$20
    ),
    TRANSPOSE(
        INDEX($X$5:$AM$77, MATCH($A143,_xlfn.ANCHORARRAY( $W$5), 0), 0)
    )
)
/
(
    INDEX($AN$5:$AN$77, MATCH(BG$100,_xlfn.ANCHORARRAY( $W$5), 0))
    *
    INDEX($AN$5:$AN$77, MATCH($A143,_xlfn.ANCHORARRAY( $W$5), 0))
)</f>
        <v>0.98542312712703206</v>
      </c>
      <c r="BH143" s="17" cm="1">
        <f t="array" ref="BH143">MMULT(
    MMULT(
        INDEX($X$5:$AM$77, MATCH(BH$100,_xlfn.ANCHORARRAY( $W$5), 0), 0),
        $F$5:$U$20
    ),
    TRANSPOSE(
        INDEX($X$5:$AM$77, MATCH($A143,_xlfn.ANCHORARRAY( $W$5), 0), 0)
    )
)
/
(
    INDEX($AN$5:$AN$77, MATCH(BH$100,_xlfn.ANCHORARRAY( $W$5), 0))
    *
    INDEX($AN$5:$AN$77, MATCH($A143,_xlfn.ANCHORARRAY( $W$5), 0))
)</f>
        <v>0.81791932660887001</v>
      </c>
      <c r="BI143" s="17" cm="1">
        <f t="array" ref="BI143">MMULT(
    MMULT(
        INDEX($X$5:$AM$77, MATCH(BI$100,_xlfn.ANCHORARRAY( $W$5), 0), 0),
        $F$5:$U$20
    ),
    TRANSPOSE(
        INDEX($X$5:$AM$77, MATCH($A143,_xlfn.ANCHORARRAY( $W$5), 0), 0)
    )
)
/
(
    INDEX($AN$5:$AN$77, MATCH(BI$100,_xlfn.ANCHORARRAY( $W$5), 0))
    *
    INDEX($AN$5:$AN$77, MATCH($A143,_xlfn.ANCHORARRAY( $W$5), 0))
)</f>
        <v>0.56656421887552255</v>
      </c>
      <c r="BJ143" s="17" cm="1">
        <f t="array" ref="BJ143">MMULT(
    MMULT(
        INDEX($X$5:$AM$77, MATCH(BJ$100,_xlfn.ANCHORARRAY( $W$5), 0), 0),
        $F$5:$U$20
    ),
    TRANSPOSE(
        INDEX($X$5:$AM$77, MATCH($A143,_xlfn.ANCHORARRAY( $W$5), 0), 0)
    )
)
/
(
    INDEX($AN$5:$AN$77, MATCH(BJ$100,_xlfn.ANCHORARRAY( $W$5), 0))
    *
    INDEX($AN$5:$AN$77, MATCH($A143,_xlfn.ANCHORARRAY( $W$5), 0))
)</f>
        <v>0.83503040996435418</v>
      </c>
      <c r="BK143" s="17" cm="1">
        <f t="array" ref="BK143">MMULT(
    MMULT(
        INDEX($X$5:$AM$77, MATCH(BK$100,_xlfn.ANCHORARRAY( $W$5), 0), 0),
        $F$5:$U$20
    ),
    TRANSPOSE(
        INDEX($X$5:$AM$77, MATCH($A143,_xlfn.ANCHORARRAY( $W$5), 0), 0)
    )
)
/
(
    INDEX($AN$5:$AN$77, MATCH(BK$100,_xlfn.ANCHORARRAY( $W$5), 0))
    *
    INDEX($AN$5:$AN$77, MATCH($A143,_xlfn.ANCHORARRAY( $W$5), 0))
)</f>
        <v>0.78213456048842167</v>
      </c>
      <c r="BL143" s="17" cm="1">
        <f t="array" ref="BL143">MMULT(
    MMULT(
        INDEX($X$5:$AM$77, MATCH(BL$100,_xlfn.ANCHORARRAY( $W$5), 0), 0),
        $F$5:$U$20
    ),
    TRANSPOSE(
        INDEX($X$5:$AM$77, MATCH($A143,_xlfn.ANCHORARRAY( $W$5), 0), 0)
    )
)
/
(
    INDEX($AN$5:$AN$77, MATCH(BL$100,_xlfn.ANCHORARRAY( $W$5), 0))
    *
    INDEX($AN$5:$AN$77, MATCH($A143,_xlfn.ANCHORARRAY( $W$5), 0))
)</f>
        <v>0.73482073923313951</v>
      </c>
      <c r="BM143" s="17" cm="1">
        <f t="array" ref="BM143">MMULT(
    MMULT(
        INDEX($X$5:$AM$77, MATCH(BM$100,_xlfn.ANCHORARRAY( $W$5), 0), 0),
        $F$5:$U$20
    ),
    TRANSPOSE(
        INDEX($X$5:$AM$77, MATCH($A143,_xlfn.ANCHORARRAY( $W$5), 0), 0)
    )
)
/
(
    INDEX($AN$5:$AN$77, MATCH(BM$100,_xlfn.ANCHORARRAY( $W$5), 0))
    *
    INDEX($AN$5:$AN$77, MATCH($A143,_xlfn.ANCHORARRAY( $W$5), 0))
)</f>
        <v>0.73839246206438247</v>
      </c>
      <c r="BN143" s="17" cm="1">
        <f t="array" ref="BN143">MMULT(
    MMULT(
        INDEX($X$5:$AM$77, MATCH(BN$100,_xlfn.ANCHORARRAY( $W$5), 0), 0),
        $F$5:$U$20
    ),
    TRANSPOSE(
        INDEX($X$5:$AM$77, MATCH($A143,_xlfn.ANCHORARRAY( $W$5), 0), 0)
    )
)
/
(
    INDEX($AN$5:$AN$77, MATCH(BN$100,_xlfn.ANCHORARRAY( $W$5), 0))
    *
    INDEX($AN$5:$AN$77, MATCH($A143,_xlfn.ANCHORARRAY( $W$5), 0))
)</f>
        <v>0.66505923701774339</v>
      </c>
      <c r="BO143" s="17" cm="1">
        <f t="array" ref="BO143">MMULT(
    MMULT(
        INDEX($X$5:$AM$77, MATCH(BO$100,_xlfn.ANCHORARRAY( $W$5), 0), 0),
        $F$5:$U$20
    ),
    TRANSPOSE(
        INDEX($X$5:$AM$77, MATCH($A143,_xlfn.ANCHORARRAY( $W$5), 0), 0)
    )
)
/
(
    INDEX($AN$5:$AN$77, MATCH(BO$100,_xlfn.ANCHORARRAY( $W$5), 0))
    *
    INDEX($AN$5:$AN$77, MATCH($A143,_xlfn.ANCHORARRAY( $W$5), 0))
)</f>
        <v>0.83416951270498219</v>
      </c>
      <c r="BP143" s="17" cm="1">
        <f t="array" ref="BP143">MMULT(
    MMULT(
        INDEX($X$5:$AM$77, MATCH(BP$100,_xlfn.ANCHORARRAY( $W$5), 0), 0),
        $F$5:$U$20
    ),
    TRANSPOSE(
        INDEX($X$5:$AM$77, MATCH($A143,_xlfn.ANCHORARRAY( $W$5), 0), 0)
    )
)
/
(
    INDEX($AN$5:$AN$77, MATCH(BP$100,_xlfn.ANCHORARRAY( $W$5), 0))
    *
    INDEX($AN$5:$AN$77, MATCH($A143,_xlfn.ANCHORARRAY( $W$5), 0))
)</f>
        <v>0.89559628640645905</v>
      </c>
      <c r="BQ143" s="17" cm="1">
        <f t="array" ref="BQ143">MMULT(
    MMULT(
        INDEX($X$5:$AM$77, MATCH(BQ$100,_xlfn.ANCHORARRAY( $W$5), 0), 0),
        $F$5:$U$20
    ),
    TRANSPOSE(
        INDEX($X$5:$AM$77, MATCH($A143,_xlfn.ANCHORARRAY( $W$5), 0), 0)
    )
)
/
(
    INDEX($AN$5:$AN$77, MATCH(BQ$100,_xlfn.ANCHORARRAY( $W$5), 0))
    *
    INDEX($AN$5:$AN$77, MATCH($A143,_xlfn.ANCHORARRAY( $W$5), 0))
)</f>
        <v>0.72287199821414239</v>
      </c>
      <c r="BR143" s="17" cm="1">
        <f t="array" ref="BR143">MMULT(
    MMULT(
        INDEX($X$5:$AM$77, MATCH(BR$100,_xlfn.ANCHORARRAY( $W$5), 0), 0),
        $F$5:$U$20
    ),
    TRANSPOSE(
        INDEX($X$5:$AM$77, MATCH($A143,_xlfn.ANCHORARRAY( $W$5), 0), 0)
    )
)
/
(
    INDEX($AN$5:$AN$77, MATCH(BR$100,_xlfn.ANCHORARRAY( $W$5), 0))
    *
    INDEX($AN$5:$AN$77, MATCH($A143,_xlfn.ANCHORARRAY( $W$5), 0))
)</f>
        <v>0.84096073265297278</v>
      </c>
      <c r="BS143" s="17" cm="1">
        <f t="array" ref="BS143">MMULT(
    MMULT(
        INDEX($X$5:$AM$77, MATCH(BS$100,_xlfn.ANCHORARRAY( $W$5), 0), 0),
        $F$5:$U$20
    ),
    TRANSPOSE(
        INDEX($X$5:$AM$77, MATCH($A143,_xlfn.ANCHORARRAY( $W$5), 0), 0)
    )
)
/
(
    INDEX($AN$5:$AN$77, MATCH(BS$100,_xlfn.ANCHORARRAY( $W$5), 0))
    *
    INDEX($AN$5:$AN$77, MATCH($A143,_xlfn.ANCHORARRAY( $W$5), 0))
)</f>
        <v>0.88893329637866658</v>
      </c>
      <c r="BT143" s="17" cm="1">
        <f t="array" ref="BT143">MMULT(
    MMULT(
        INDEX($X$5:$AM$77, MATCH(BT$100,_xlfn.ANCHORARRAY( $W$5), 0), 0),
        $F$5:$U$20
    ),
    TRANSPOSE(
        INDEX($X$5:$AM$77, MATCH($A143,_xlfn.ANCHORARRAY( $W$5), 0), 0)
    )
)
/
(
    INDEX($AN$5:$AN$77, MATCH(BT$100,_xlfn.ANCHORARRAY( $W$5), 0))
    *
    INDEX($AN$5:$AN$77, MATCH($A143,_xlfn.ANCHORARRAY( $W$5), 0))
)</f>
        <v>0.87706561299849417</v>
      </c>
      <c r="BU143" s="17" cm="1">
        <f t="array" ref="BU143">MMULT(
    MMULT(
        INDEX($X$5:$AM$77, MATCH(BU$100,_xlfn.ANCHORARRAY( $W$5), 0), 0),
        $F$5:$U$20
    ),
    TRANSPOSE(
        INDEX($X$5:$AM$77, MATCH($A143,_xlfn.ANCHORARRAY( $W$5), 0), 0)
    )
)
/
(
    INDEX($AN$5:$AN$77, MATCH(BU$100,_xlfn.ANCHORARRAY( $W$5), 0))
    *
    INDEX($AN$5:$AN$77, MATCH($A143,_xlfn.ANCHORARRAY( $W$5), 0))
)</f>
        <v>0.83844685503417427</v>
      </c>
      <c r="BV143" s="17" cm="1">
        <f t="array" ref="BV143">MMULT(
    MMULT(
        INDEX($X$5:$AM$77, MATCH(BV$100,_xlfn.ANCHORARRAY( $W$5), 0), 0),
        $F$5:$U$20
    ),
    TRANSPOSE(
        INDEX($X$5:$AM$77, MATCH($A143,_xlfn.ANCHORARRAY( $W$5), 0), 0)
    )
)
/
(
    INDEX($AN$5:$AN$77, MATCH(BV$100,_xlfn.ANCHORARRAY( $W$5), 0))
    *
    INDEX($AN$5:$AN$77, MATCH($A143,_xlfn.ANCHORARRAY( $W$5), 0))
)</f>
        <v>0.71475621938297662</v>
      </c>
    </row>
    <row r="144" spans="1:74" x14ac:dyDescent="0.3">
      <c r="A144" s="7" t="str">
        <v>Shuster, Jared</v>
      </c>
      <c r="B144" s="17" cm="1">
        <f t="array" ref="B144">MMULT(
    MMULT(
        INDEX($X$5:$AM$77, MATCH(B$100,_xlfn.ANCHORARRAY( $W$5), 0), 0),
        $F$5:$U$20
    ),
    TRANSPOSE(
        INDEX($X$5:$AM$77, MATCH($A144,_xlfn.ANCHORARRAY( $W$5), 0), 0)
    )
)
/
(
    INDEX($AN$5:$AN$77, MATCH(B$100,_xlfn.ANCHORARRAY( $W$5), 0))
    *
    INDEX($AN$5:$AN$77, MATCH($A144,_xlfn.ANCHORARRAY( $W$5), 0))
)</f>
        <v>0.83791302557564351</v>
      </c>
      <c r="C144" s="17" cm="1">
        <f t="array" ref="C144">MMULT(
    MMULT(
        INDEX($X$5:$AM$77, MATCH(C$100,_xlfn.ANCHORARRAY( $W$5), 0), 0),
        $F$5:$U$20
    ),
    TRANSPOSE(
        INDEX($X$5:$AM$77, MATCH($A144,_xlfn.ANCHORARRAY( $W$5), 0), 0)
    )
)
/
(
    INDEX($AN$5:$AN$77, MATCH(C$100,_xlfn.ANCHORARRAY( $W$5), 0))
    *
    INDEX($AN$5:$AN$77, MATCH($A144,_xlfn.ANCHORARRAY( $W$5), 0))
)</f>
        <v>0.59601086600435094</v>
      </c>
      <c r="D144" s="17" cm="1">
        <f t="array" ref="D144">MMULT(
    MMULT(
        INDEX($X$5:$AM$77, MATCH(D$100,_xlfn.ANCHORARRAY( $W$5), 0), 0),
        $F$5:$U$20
    ),
    TRANSPOSE(
        INDEX($X$5:$AM$77, MATCH($A144,_xlfn.ANCHORARRAY( $W$5), 0), 0)
    )
)
/
(
    INDEX($AN$5:$AN$77, MATCH(D$100,_xlfn.ANCHORARRAY( $W$5), 0))
    *
    INDEX($AN$5:$AN$77, MATCH($A144,_xlfn.ANCHORARRAY( $W$5), 0))
)</f>
        <v>0.94190349419895936</v>
      </c>
      <c r="E144" s="17" cm="1">
        <f t="array" ref="E144">MMULT(
    MMULT(
        INDEX($X$5:$AM$77, MATCH(E$100,_xlfn.ANCHORARRAY( $W$5), 0), 0),
        $F$5:$U$20
    ),
    TRANSPOSE(
        INDEX($X$5:$AM$77, MATCH($A144,_xlfn.ANCHORARRAY( $W$5), 0), 0)
    )
)
/
(
    INDEX($AN$5:$AN$77, MATCH(E$100,_xlfn.ANCHORARRAY( $W$5), 0))
    *
    INDEX($AN$5:$AN$77, MATCH($A144,_xlfn.ANCHORARRAY( $W$5), 0))
)</f>
        <v>0.8725688035214515</v>
      </c>
      <c r="F144" s="17" cm="1">
        <f t="array" ref="F144">MMULT(
    MMULT(
        INDEX($X$5:$AM$77, MATCH(F$100,_xlfn.ANCHORARRAY( $W$5), 0), 0),
        $F$5:$U$20
    ),
    TRANSPOSE(
        INDEX($X$5:$AM$77, MATCH($A144,_xlfn.ANCHORARRAY( $W$5), 0), 0)
    )
)
/
(
    INDEX($AN$5:$AN$77, MATCH(F$100,_xlfn.ANCHORARRAY( $W$5), 0))
    *
    INDEX($AN$5:$AN$77, MATCH($A144,_xlfn.ANCHORARRAY( $W$5), 0))
)</f>
        <v>0.96675858945181792</v>
      </c>
      <c r="G144" s="17" cm="1">
        <f t="array" ref="G144">MMULT(
    MMULT(
        INDEX($X$5:$AM$77, MATCH(G$100,_xlfn.ANCHORARRAY( $W$5), 0), 0),
        $F$5:$U$20
    ),
    TRANSPOSE(
        INDEX($X$5:$AM$77, MATCH($A144,_xlfn.ANCHORARRAY( $W$5), 0), 0)
    )
)
/
(
    INDEX($AN$5:$AN$77, MATCH(G$100,_xlfn.ANCHORARRAY( $W$5), 0))
    *
    INDEX($AN$5:$AN$77, MATCH($A144,_xlfn.ANCHORARRAY( $W$5), 0))
)</f>
        <v>0.78987103024750849</v>
      </c>
      <c r="H144" s="17" cm="1">
        <f t="array" ref="H144">MMULT(
    MMULT(
        INDEX($X$5:$AM$77, MATCH(H$100,_xlfn.ANCHORARRAY( $W$5), 0), 0),
        $F$5:$U$20
    ),
    TRANSPOSE(
        INDEX($X$5:$AM$77, MATCH($A144,_xlfn.ANCHORARRAY( $W$5), 0), 0)
    )
)
/
(
    INDEX($AN$5:$AN$77, MATCH(H$100,_xlfn.ANCHORARRAY( $W$5), 0))
    *
    INDEX($AN$5:$AN$77, MATCH($A144,_xlfn.ANCHORARRAY( $W$5), 0))
)</f>
        <v>0.75442321630590092</v>
      </c>
      <c r="I144" s="17" cm="1">
        <f t="array" ref="I144">MMULT(
    MMULT(
        INDEX($X$5:$AM$77, MATCH(I$100,_xlfn.ANCHORARRAY( $W$5), 0), 0),
        $F$5:$U$20
    ),
    TRANSPOSE(
        INDEX($X$5:$AM$77, MATCH($A144,_xlfn.ANCHORARRAY( $W$5), 0), 0)
    )
)
/
(
    INDEX($AN$5:$AN$77, MATCH(I$100,_xlfn.ANCHORARRAY( $W$5), 0))
    *
    INDEX($AN$5:$AN$77, MATCH($A144,_xlfn.ANCHORARRAY( $W$5), 0))
)</f>
        <v>0.72017222491509236</v>
      </c>
      <c r="J144" s="17" cm="1">
        <f t="array" ref="J144">MMULT(
    MMULT(
        INDEX($X$5:$AM$77, MATCH(J$100,_xlfn.ANCHORARRAY( $W$5), 0), 0),
        $F$5:$U$20
    ),
    TRANSPOSE(
        INDEX($X$5:$AM$77, MATCH($A144,_xlfn.ANCHORARRAY( $W$5), 0), 0)
    )
)
/
(
    INDEX($AN$5:$AN$77, MATCH(J$100,_xlfn.ANCHORARRAY( $W$5), 0))
    *
    INDEX($AN$5:$AN$77, MATCH($A144,_xlfn.ANCHORARRAY( $W$5), 0))
)</f>
        <v>0.8760623285998772</v>
      </c>
      <c r="K144" s="17" cm="1">
        <f t="array" ref="K144">MMULT(
    MMULT(
        INDEX($X$5:$AM$77, MATCH(K$100,_xlfn.ANCHORARRAY( $W$5), 0), 0),
        $F$5:$U$20
    ),
    TRANSPOSE(
        INDEX($X$5:$AM$77, MATCH($A144,_xlfn.ANCHORARRAY( $W$5), 0), 0)
    )
)
/
(
    INDEX($AN$5:$AN$77, MATCH(K$100,_xlfn.ANCHORARRAY( $W$5), 0))
    *
    INDEX($AN$5:$AN$77, MATCH($A144,_xlfn.ANCHORARRAY( $W$5), 0))
)</f>
        <v>0.87021630312465581</v>
      </c>
      <c r="L144" s="17" cm="1">
        <f t="array" ref="L144">MMULT(
    MMULT(
        INDEX($X$5:$AM$77, MATCH(L$100,_xlfn.ANCHORARRAY( $W$5), 0), 0),
        $F$5:$U$20
    ),
    TRANSPOSE(
        INDEX($X$5:$AM$77, MATCH($A144,_xlfn.ANCHORARRAY( $W$5), 0), 0)
    )
)
/
(
    INDEX($AN$5:$AN$77, MATCH(L$100,_xlfn.ANCHORARRAY( $W$5), 0))
    *
    INDEX($AN$5:$AN$77, MATCH($A144,_xlfn.ANCHORARRAY( $W$5), 0))
)</f>
        <v>0.63402249117310805</v>
      </c>
      <c r="M144" s="17" cm="1">
        <f t="array" ref="M144">MMULT(
    MMULT(
        INDEX($X$5:$AM$77, MATCH(M$100,_xlfn.ANCHORARRAY( $W$5), 0), 0),
        $F$5:$U$20
    ),
    TRANSPOSE(
        INDEX($X$5:$AM$77, MATCH($A144,_xlfn.ANCHORARRAY( $W$5), 0), 0)
    )
)
/
(
    INDEX($AN$5:$AN$77, MATCH(M$100,_xlfn.ANCHORARRAY( $W$5), 0))
    *
    INDEX($AN$5:$AN$77, MATCH($A144,_xlfn.ANCHORARRAY( $W$5), 0))
)</f>
        <v>0.92441708025802927</v>
      </c>
      <c r="N144" s="17" cm="1">
        <f t="array" ref="N144">MMULT(
    MMULT(
        INDEX($X$5:$AM$77, MATCH(N$100,_xlfn.ANCHORARRAY( $W$5), 0), 0),
        $F$5:$U$20
    ),
    TRANSPOSE(
        INDEX($X$5:$AM$77, MATCH($A144,_xlfn.ANCHORARRAY( $W$5), 0), 0)
    )
)
/
(
    INDEX($AN$5:$AN$77, MATCH(N$100,_xlfn.ANCHORARRAY( $W$5), 0))
    *
    INDEX($AN$5:$AN$77, MATCH($A144,_xlfn.ANCHORARRAY( $W$5), 0))
)</f>
        <v>0.86090087642038571</v>
      </c>
      <c r="O144" s="17" cm="1">
        <f t="array" ref="O144">MMULT(
    MMULT(
        INDEX($X$5:$AM$77, MATCH(O$100,_xlfn.ANCHORARRAY( $W$5), 0), 0),
        $F$5:$U$20
    ),
    TRANSPOSE(
        INDEX($X$5:$AM$77, MATCH($A144,_xlfn.ANCHORARRAY( $W$5), 0), 0)
    )
)
/
(
    INDEX($AN$5:$AN$77, MATCH(O$100,_xlfn.ANCHORARRAY( $W$5), 0))
    *
    INDEX($AN$5:$AN$77, MATCH($A144,_xlfn.ANCHORARRAY( $W$5), 0))
)</f>
        <v>0.92947071303417872</v>
      </c>
      <c r="P144" s="17" cm="1">
        <f t="array" ref="P144">MMULT(
    MMULT(
        INDEX($X$5:$AM$77, MATCH(P$100,_xlfn.ANCHORARRAY( $W$5), 0), 0),
        $F$5:$U$20
    ),
    TRANSPOSE(
        INDEX($X$5:$AM$77, MATCH($A144,_xlfn.ANCHORARRAY( $W$5), 0), 0)
    )
)
/
(
    INDEX($AN$5:$AN$77, MATCH(P$100,_xlfn.ANCHORARRAY( $W$5), 0))
    *
    INDEX($AN$5:$AN$77, MATCH($A144,_xlfn.ANCHORARRAY( $W$5), 0))
)</f>
        <v>0.87718933091602325</v>
      </c>
      <c r="Q144" s="17" cm="1">
        <f t="array" ref="Q144">MMULT(
    MMULT(
        INDEX($X$5:$AM$77, MATCH(Q$100,_xlfn.ANCHORARRAY( $W$5), 0), 0),
        $F$5:$U$20
    ),
    TRANSPOSE(
        INDEX($X$5:$AM$77, MATCH($A144,_xlfn.ANCHORARRAY( $W$5), 0), 0)
    )
)
/
(
    INDEX($AN$5:$AN$77, MATCH(Q$100,_xlfn.ANCHORARRAY( $W$5), 0))
    *
    INDEX($AN$5:$AN$77, MATCH($A144,_xlfn.ANCHORARRAY( $W$5), 0))
)</f>
        <v>0.62805703141115321</v>
      </c>
      <c r="R144" s="17" cm="1">
        <f t="array" ref="R144">MMULT(
    MMULT(
        INDEX($X$5:$AM$77, MATCH(R$100,_xlfn.ANCHORARRAY( $W$5), 0), 0),
        $F$5:$U$20
    ),
    TRANSPOSE(
        INDEX($X$5:$AM$77, MATCH($A144,_xlfn.ANCHORARRAY( $W$5), 0), 0)
    )
)
/
(
    INDEX($AN$5:$AN$77, MATCH(R$100,_xlfn.ANCHORARRAY( $W$5), 0))
    *
    INDEX($AN$5:$AN$77, MATCH($A144,_xlfn.ANCHORARRAY( $W$5), 0))
)</f>
        <v>0.87921098560979516</v>
      </c>
      <c r="S144" s="17" cm="1">
        <f t="array" ref="S144">MMULT(
    MMULT(
        INDEX($X$5:$AM$77, MATCH(S$100,_xlfn.ANCHORARRAY( $W$5), 0), 0),
        $F$5:$U$20
    ),
    TRANSPOSE(
        INDEX($X$5:$AM$77, MATCH($A144,_xlfn.ANCHORARRAY( $W$5), 0), 0)
    )
)
/
(
    INDEX($AN$5:$AN$77, MATCH(S$100,_xlfn.ANCHORARRAY( $W$5), 0))
    *
    INDEX($AN$5:$AN$77, MATCH($A144,_xlfn.ANCHORARRAY( $W$5), 0))
)</f>
        <v>0.78573700289877246</v>
      </c>
      <c r="T144" s="17" cm="1">
        <f t="array" ref="T144">MMULT(
    MMULT(
        INDEX($X$5:$AM$77, MATCH(T$100,_xlfn.ANCHORARRAY( $W$5), 0), 0),
        $F$5:$U$20
    ),
    TRANSPOSE(
        INDEX($X$5:$AM$77, MATCH($A144,_xlfn.ANCHORARRAY( $W$5), 0), 0)
    )
)
/
(
    INDEX($AN$5:$AN$77, MATCH(T$100,_xlfn.ANCHORARRAY( $W$5), 0))
    *
    INDEX($AN$5:$AN$77, MATCH($A144,_xlfn.ANCHORARRAY( $W$5), 0))
)</f>
        <v>0.25979050977191159</v>
      </c>
      <c r="U144" s="17" cm="1">
        <f t="array" ref="U144">MMULT(
    MMULT(
        INDEX($X$5:$AM$77, MATCH(U$100,_xlfn.ANCHORARRAY( $W$5), 0), 0),
        $F$5:$U$20
    ),
    TRANSPOSE(
        INDEX($X$5:$AM$77, MATCH($A144,_xlfn.ANCHORARRAY( $W$5), 0), 0)
    )
)
/
(
    INDEX($AN$5:$AN$77, MATCH(U$100,_xlfn.ANCHORARRAY( $W$5), 0))
    *
    INDEX($AN$5:$AN$77, MATCH($A144,_xlfn.ANCHORARRAY( $W$5), 0))
)</f>
        <v>0.91822892724590655</v>
      </c>
      <c r="V144" s="17" cm="1">
        <f t="array" ref="V144">MMULT(
    MMULT(
        INDEX($X$5:$AM$77, MATCH(V$100,_xlfn.ANCHORARRAY( $W$5), 0), 0),
        $F$5:$U$20
    ),
    TRANSPOSE(
        INDEX($X$5:$AM$77, MATCH($A144,_xlfn.ANCHORARRAY( $W$5), 0), 0)
    )
)
/
(
    INDEX($AN$5:$AN$77, MATCH(V$100,_xlfn.ANCHORARRAY( $W$5), 0))
    *
    INDEX($AN$5:$AN$77, MATCH($A144,_xlfn.ANCHORARRAY( $W$5), 0))
)</f>
        <v>0.43449804320177066</v>
      </c>
      <c r="W144" s="17" cm="1">
        <f t="array" ref="W144">MMULT(
    MMULT(
        INDEX($X$5:$AM$77, MATCH(W$100,_xlfn.ANCHORARRAY( $W$5), 0), 0),
        $F$5:$U$20
    ),
    TRANSPOSE(
        INDEX($X$5:$AM$77, MATCH($A144,_xlfn.ANCHORARRAY( $W$5), 0), 0)
    )
)
/
(
    INDEX($AN$5:$AN$77, MATCH(W$100,_xlfn.ANCHORARRAY( $W$5), 0))
    *
    INDEX($AN$5:$AN$77, MATCH($A144,_xlfn.ANCHORARRAY( $W$5), 0))
)</f>
        <v>0.65292849870842851</v>
      </c>
      <c r="X144" s="17" cm="1">
        <f t="array" ref="X144">MMULT(
    MMULT(
        INDEX($X$5:$AM$77, MATCH(X$100,_xlfn.ANCHORARRAY( $W$5), 0), 0),
        $F$5:$U$20
    ),
    TRANSPOSE(
        INDEX($X$5:$AM$77, MATCH($A144,_xlfn.ANCHORARRAY( $W$5), 0), 0)
    )
)
/
(
    INDEX($AN$5:$AN$77, MATCH(X$100,_xlfn.ANCHORARRAY( $W$5), 0))
    *
    INDEX($AN$5:$AN$77, MATCH($A144,_xlfn.ANCHORARRAY( $W$5), 0))
)</f>
        <v>0.94832636086735622</v>
      </c>
      <c r="Y144" s="17" cm="1">
        <f t="array" ref="Y144">MMULT(
    MMULT(
        INDEX($X$5:$AM$77, MATCH(Y$100,_xlfn.ANCHORARRAY( $W$5), 0), 0),
        $F$5:$U$20
    ),
    TRANSPOSE(
        INDEX($X$5:$AM$77, MATCH($A144,_xlfn.ANCHORARRAY( $W$5), 0), 0)
    )
)
/
(
    INDEX($AN$5:$AN$77, MATCH(Y$100,_xlfn.ANCHORARRAY( $W$5), 0))
    *
    INDEX($AN$5:$AN$77, MATCH($A144,_xlfn.ANCHORARRAY( $W$5), 0))
)</f>
        <v>0.63913967242453329</v>
      </c>
      <c r="Z144" s="17" cm="1">
        <f t="array" ref="Z144">MMULT(
    MMULT(
        INDEX($X$5:$AM$77, MATCH(Z$100,_xlfn.ANCHORARRAY( $W$5), 0), 0),
        $F$5:$U$20
    ),
    TRANSPOSE(
        INDEX($X$5:$AM$77, MATCH($A144,_xlfn.ANCHORARRAY( $W$5), 0), 0)
    )
)
/
(
    INDEX($AN$5:$AN$77, MATCH(Z$100,_xlfn.ANCHORARRAY( $W$5), 0))
    *
    INDEX($AN$5:$AN$77, MATCH($A144,_xlfn.ANCHORARRAY( $W$5), 0))
)</f>
        <v>0.9507381434299611</v>
      </c>
      <c r="AA144" s="17" cm="1">
        <f t="array" ref="AA144">MMULT(
    MMULT(
        INDEX($X$5:$AM$77, MATCH(AA$100,_xlfn.ANCHORARRAY( $W$5), 0), 0),
        $F$5:$U$20
    ),
    TRANSPOSE(
        INDEX($X$5:$AM$77, MATCH($A144,_xlfn.ANCHORARRAY( $W$5), 0), 0)
    )
)
/
(
    INDEX($AN$5:$AN$77, MATCH(AA$100,_xlfn.ANCHORARRAY( $W$5), 0))
    *
    INDEX($AN$5:$AN$77, MATCH($A144,_xlfn.ANCHORARRAY( $W$5), 0))
)</f>
        <v>0.9011452772427504</v>
      </c>
      <c r="AB144" s="17" cm="1">
        <f t="array" ref="AB144">MMULT(
    MMULT(
        INDEX($X$5:$AM$77, MATCH(AB$100,_xlfn.ANCHORARRAY( $W$5), 0), 0),
        $F$5:$U$20
    ),
    TRANSPOSE(
        INDEX($X$5:$AM$77, MATCH($A144,_xlfn.ANCHORARRAY( $W$5), 0), 0)
    )
)
/
(
    INDEX($AN$5:$AN$77, MATCH(AB$100,_xlfn.ANCHORARRAY( $W$5), 0))
    *
    INDEX($AN$5:$AN$77, MATCH($A144,_xlfn.ANCHORARRAY( $W$5), 0))
)</f>
        <v>0.90885915586646471</v>
      </c>
      <c r="AC144" s="17" cm="1">
        <f t="array" ref="AC144">MMULT(
    MMULT(
        INDEX($X$5:$AM$77, MATCH(AC$100,_xlfn.ANCHORARRAY( $W$5), 0), 0),
        $F$5:$U$20
    ),
    TRANSPOSE(
        INDEX($X$5:$AM$77, MATCH($A144,_xlfn.ANCHORARRAY( $W$5), 0), 0)
    )
)
/
(
    INDEX($AN$5:$AN$77, MATCH(AC$100,_xlfn.ANCHORARRAY( $W$5), 0))
    *
    INDEX($AN$5:$AN$77, MATCH($A144,_xlfn.ANCHORARRAY( $W$5), 0))
)</f>
        <v>0.6875475588105342</v>
      </c>
      <c r="AD144" s="17" cm="1">
        <f t="array" ref="AD144">MMULT(
    MMULT(
        INDEX($X$5:$AM$77, MATCH(AD$100,_xlfn.ANCHORARRAY( $W$5), 0), 0),
        $F$5:$U$20
    ),
    TRANSPOSE(
        INDEX($X$5:$AM$77, MATCH($A144,_xlfn.ANCHORARRAY( $W$5), 0), 0)
    )
)
/
(
    INDEX($AN$5:$AN$77, MATCH(AD$100,_xlfn.ANCHORARRAY( $W$5), 0))
    *
    INDEX($AN$5:$AN$77, MATCH($A144,_xlfn.ANCHORARRAY( $W$5), 0))
)</f>
        <v>0.91907705839804388</v>
      </c>
      <c r="AE144" s="17" cm="1">
        <f t="array" ref="AE144">MMULT(
    MMULT(
        INDEX($X$5:$AM$77, MATCH(AE$100,_xlfn.ANCHORARRAY( $W$5), 0), 0),
        $F$5:$U$20
    ),
    TRANSPOSE(
        INDEX($X$5:$AM$77, MATCH($A144,_xlfn.ANCHORARRAY( $W$5), 0), 0)
    )
)
/
(
    INDEX($AN$5:$AN$77, MATCH(AE$100,_xlfn.ANCHORARRAY( $W$5), 0))
    *
    INDEX($AN$5:$AN$77, MATCH($A144,_xlfn.ANCHORARRAY( $W$5), 0))
)</f>
        <v>0.85641656656743592</v>
      </c>
      <c r="AF144" s="17" cm="1">
        <f t="array" ref="AF144">MMULT(
    MMULT(
        INDEX($X$5:$AM$77, MATCH(AF$100,_xlfn.ANCHORARRAY( $W$5), 0), 0),
        $F$5:$U$20
    ),
    TRANSPOSE(
        INDEX($X$5:$AM$77, MATCH($A144,_xlfn.ANCHORARRAY( $W$5), 0), 0)
    )
)
/
(
    INDEX($AN$5:$AN$77, MATCH(AF$100,_xlfn.ANCHORARRAY( $W$5), 0))
    *
    INDEX($AN$5:$AN$77, MATCH($A144,_xlfn.ANCHORARRAY( $W$5), 0))
)</f>
        <v>0.72684178296160673</v>
      </c>
      <c r="AG144" s="17" cm="1">
        <f t="array" ref="AG144">MMULT(
    MMULT(
        INDEX($X$5:$AM$77, MATCH(AG$100,_xlfn.ANCHORARRAY( $W$5), 0), 0),
        $F$5:$U$20
    ),
    TRANSPOSE(
        INDEX($X$5:$AM$77, MATCH($A144,_xlfn.ANCHORARRAY( $W$5), 0), 0)
    )
)
/
(
    INDEX($AN$5:$AN$77, MATCH(AG$100,_xlfn.ANCHORARRAY( $W$5), 0))
    *
    INDEX($AN$5:$AN$77, MATCH($A144,_xlfn.ANCHORARRAY( $W$5), 0))
)</f>
        <v>0.80432224655400097</v>
      </c>
      <c r="AH144" s="17" cm="1">
        <f t="array" ref="AH144">MMULT(
    MMULT(
        INDEX($X$5:$AM$77, MATCH(AH$100,_xlfn.ANCHORARRAY( $W$5), 0), 0),
        $F$5:$U$20
    ),
    TRANSPOSE(
        INDEX($X$5:$AM$77, MATCH($A144,_xlfn.ANCHORARRAY( $W$5), 0), 0)
    )
)
/
(
    INDEX($AN$5:$AN$77, MATCH(AH$100,_xlfn.ANCHORARRAY( $W$5), 0))
    *
    INDEX($AN$5:$AN$77, MATCH($A144,_xlfn.ANCHORARRAY( $W$5), 0))
)</f>
        <v>0.74772771845890196</v>
      </c>
      <c r="AI144" s="17" cm="1">
        <f t="array" ref="AI144">MMULT(
    MMULT(
        INDEX($X$5:$AM$77, MATCH(AI$100,_xlfn.ANCHORARRAY( $W$5), 0), 0),
        $F$5:$U$20
    ),
    TRANSPOSE(
        INDEX($X$5:$AM$77, MATCH($A144,_xlfn.ANCHORARRAY( $W$5), 0), 0)
    )
)
/
(
    INDEX($AN$5:$AN$77, MATCH(AI$100,_xlfn.ANCHORARRAY( $W$5), 0))
    *
    INDEX($AN$5:$AN$77, MATCH($A144,_xlfn.ANCHORARRAY( $W$5), 0))
)</f>
        <v>0.86542745872856242</v>
      </c>
      <c r="AJ144" s="17" cm="1">
        <f t="array" ref="AJ144">MMULT(
    MMULT(
        INDEX($X$5:$AM$77, MATCH(AJ$100,_xlfn.ANCHORARRAY( $W$5), 0), 0),
        $F$5:$U$20
    ),
    TRANSPOSE(
        INDEX($X$5:$AM$77, MATCH($A144,_xlfn.ANCHORARRAY( $W$5), 0), 0)
    )
)
/
(
    INDEX($AN$5:$AN$77, MATCH(AJ$100,_xlfn.ANCHORARRAY( $W$5), 0))
    *
    INDEX($AN$5:$AN$77, MATCH($A144,_xlfn.ANCHORARRAY( $W$5), 0))
)</f>
        <v>0.90092417729987595</v>
      </c>
      <c r="AK144" s="17" cm="1">
        <f t="array" ref="AK144">MMULT(
    MMULT(
        INDEX($X$5:$AM$77, MATCH(AK$100,_xlfn.ANCHORARRAY( $W$5), 0), 0),
        $F$5:$U$20
    ),
    TRANSPOSE(
        INDEX($X$5:$AM$77, MATCH($A144,_xlfn.ANCHORARRAY( $W$5), 0), 0)
    )
)
/
(
    INDEX($AN$5:$AN$77, MATCH(AK$100,_xlfn.ANCHORARRAY( $W$5), 0))
    *
    INDEX($AN$5:$AN$77, MATCH($A144,_xlfn.ANCHORARRAY( $W$5), 0))
)</f>
        <v>0.84778245076168135</v>
      </c>
      <c r="AL144" s="17" cm="1">
        <f t="array" ref="AL144">MMULT(
    MMULT(
        INDEX($X$5:$AM$77, MATCH(AL$100,_xlfn.ANCHORARRAY( $W$5), 0), 0),
        $F$5:$U$20
    ),
    TRANSPOSE(
        INDEX($X$5:$AM$77, MATCH($A144,_xlfn.ANCHORARRAY( $W$5), 0), 0)
    )
)
/
(
    INDEX($AN$5:$AN$77, MATCH(AL$100,_xlfn.ANCHORARRAY( $W$5), 0))
    *
    INDEX($AN$5:$AN$77, MATCH($A144,_xlfn.ANCHORARRAY( $W$5), 0))
)</f>
        <v>0.89360342081687061</v>
      </c>
      <c r="AM144" s="17" cm="1">
        <f t="array" ref="AM144">MMULT(
    MMULT(
        INDEX($X$5:$AM$77, MATCH(AM$100,_xlfn.ANCHORARRAY( $W$5), 0), 0),
        $F$5:$U$20
    ),
    TRANSPOSE(
        INDEX($X$5:$AM$77, MATCH($A144,_xlfn.ANCHORARRAY( $W$5), 0), 0)
    )
)
/
(
    INDEX($AN$5:$AN$77, MATCH(AM$100,_xlfn.ANCHORARRAY( $W$5), 0))
    *
    INDEX($AN$5:$AN$77, MATCH($A144,_xlfn.ANCHORARRAY( $W$5), 0))
)</f>
        <v>0.69746065601327811</v>
      </c>
      <c r="AN144" s="17" cm="1">
        <f t="array" ref="AN144">MMULT(
    MMULT(
        INDEX($X$5:$AM$77, MATCH(AN$100,_xlfn.ANCHORARRAY( $W$5), 0), 0),
        $F$5:$U$20
    ),
    TRANSPOSE(
        INDEX($X$5:$AM$77, MATCH($A144,_xlfn.ANCHORARRAY( $W$5), 0), 0)
    )
)
/
(
    INDEX($AN$5:$AN$77, MATCH(AN$100,_xlfn.ANCHORARRAY( $W$5), 0))
    *
    INDEX($AN$5:$AN$77, MATCH($A144,_xlfn.ANCHORARRAY( $W$5), 0))
)</f>
        <v>0.83024006624757751</v>
      </c>
      <c r="AO144" s="17" cm="1">
        <f t="array" ref="AO144">MMULT(
    MMULT(
        INDEX($X$5:$AM$77, MATCH(AO$100,_xlfn.ANCHORARRAY( $W$5), 0), 0),
        $F$5:$U$20
    ),
    TRANSPOSE(
        INDEX($X$5:$AM$77, MATCH($A144,_xlfn.ANCHORARRAY( $W$5), 0), 0)
    )
)
/
(
    INDEX($AN$5:$AN$77, MATCH(AO$100,_xlfn.ANCHORARRAY( $W$5), 0))
    *
    INDEX($AN$5:$AN$77, MATCH($A144,_xlfn.ANCHORARRAY( $W$5), 0))
)</f>
        <v>0.63086606922876398</v>
      </c>
      <c r="AP144" s="17" cm="1">
        <f t="array" ref="AP144">MMULT(
    MMULT(
        INDEX($X$5:$AM$77, MATCH(AP$100,_xlfn.ANCHORARRAY( $W$5), 0), 0),
        $F$5:$U$20
    ),
    TRANSPOSE(
        INDEX($X$5:$AM$77, MATCH($A144,_xlfn.ANCHORARRAY( $W$5), 0), 0)
    )
)
/
(
    INDEX($AN$5:$AN$77, MATCH(AP$100,_xlfn.ANCHORARRAY( $W$5), 0))
    *
    INDEX($AN$5:$AN$77, MATCH($A144,_xlfn.ANCHORARRAY( $W$5), 0))
)</f>
        <v>0.74476442980456303</v>
      </c>
      <c r="AQ144" s="17" cm="1">
        <f t="array" ref="AQ144">MMULT(
    MMULT(
        INDEX($X$5:$AM$77, MATCH(AQ$100,_xlfn.ANCHORARRAY( $W$5), 0), 0),
        $F$5:$U$20
    ),
    TRANSPOSE(
        INDEX($X$5:$AM$77, MATCH($A144,_xlfn.ANCHORARRAY( $W$5), 0), 0)
    )
)
/
(
    INDEX($AN$5:$AN$77, MATCH(AQ$100,_xlfn.ANCHORARRAY( $W$5), 0))
    *
    INDEX($AN$5:$AN$77, MATCH($A144,_xlfn.ANCHORARRAY( $W$5), 0))
)</f>
        <v>0.6563659441825519</v>
      </c>
      <c r="AR144" s="17" cm="1">
        <f t="array" ref="AR144">MMULT(
    MMULT(
        INDEX($X$5:$AM$77, MATCH(AR$100,_xlfn.ANCHORARRAY( $W$5), 0), 0),
        $F$5:$U$20
    ),
    TRANSPOSE(
        INDEX($X$5:$AM$77, MATCH($A144,_xlfn.ANCHORARRAY( $W$5), 0), 0)
    )
)
/
(
    INDEX($AN$5:$AN$77, MATCH(AR$100,_xlfn.ANCHORARRAY( $W$5), 0))
    *
    INDEX($AN$5:$AN$77, MATCH($A144,_xlfn.ANCHORARRAY( $W$5), 0))
)</f>
        <v>0.88672113340886227</v>
      </c>
      <c r="AS144" s="17" cm="1">
        <f t="array" ref="AS144">MMULT(
    MMULT(
        INDEX($X$5:$AM$77, MATCH(AS$100,_xlfn.ANCHORARRAY( $W$5), 0), 0),
        $F$5:$U$20
    ),
    TRANSPOSE(
        INDEX($X$5:$AM$77, MATCH($A144,_xlfn.ANCHORARRAY( $W$5), 0), 0)
    )
)
/
(
    INDEX($AN$5:$AN$77, MATCH(AS$100,_xlfn.ANCHORARRAY( $W$5), 0))
    *
    INDEX($AN$5:$AN$77, MATCH($A144,_xlfn.ANCHORARRAY( $W$5), 0))
)</f>
        <v>1</v>
      </c>
      <c r="AT144" s="17" cm="1">
        <f t="array" ref="AT144">MMULT(
    MMULT(
        INDEX($X$5:$AM$77, MATCH(AT$100,_xlfn.ANCHORARRAY( $W$5), 0), 0),
        $F$5:$U$20
    ),
    TRANSPOSE(
        INDEX($X$5:$AM$77, MATCH($A144,_xlfn.ANCHORARRAY( $W$5), 0), 0)
    )
)
/
(
    INDEX($AN$5:$AN$77, MATCH(AT$100,_xlfn.ANCHORARRAY( $W$5), 0))
    *
    INDEX($AN$5:$AN$77, MATCH($A144,_xlfn.ANCHORARRAY( $W$5), 0))
)</f>
        <v>0.7680345863442668</v>
      </c>
      <c r="AU144" s="17" cm="1">
        <f t="array" ref="AU144">MMULT(
    MMULT(
        INDEX($X$5:$AM$77, MATCH(AU$100,_xlfn.ANCHORARRAY( $W$5), 0), 0),
        $F$5:$U$20
    ),
    TRANSPOSE(
        INDEX($X$5:$AM$77, MATCH($A144,_xlfn.ANCHORARRAY( $W$5), 0), 0)
    )
)
/
(
    INDEX($AN$5:$AN$77, MATCH(AU$100,_xlfn.ANCHORARRAY( $W$5), 0))
    *
    INDEX($AN$5:$AN$77, MATCH($A144,_xlfn.ANCHORARRAY( $W$5), 0))
)</f>
        <v>0.98425415033910746</v>
      </c>
      <c r="AV144" s="17" cm="1">
        <f t="array" ref="AV144">MMULT(
    MMULT(
        INDEX($X$5:$AM$77, MATCH(AV$100,_xlfn.ANCHORARRAY( $W$5), 0), 0),
        $F$5:$U$20
    ),
    TRANSPOSE(
        INDEX($X$5:$AM$77, MATCH($A144,_xlfn.ANCHORARRAY( $W$5), 0), 0)
    )
)
/
(
    INDEX($AN$5:$AN$77, MATCH(AV$100,_xlfn.ANCHORARRAY( $W$5), 0))
    *
    INDEX($AN$5:$AN$77, MATCH($A144,_xlfn.ANCHORARRAY( $W$5), 0))
)</f>
        <v>0.91500599077447686</v>
      </c>
      <c r="AW144" s="17" cm="1">
        <f t="array" ref="AW144">MMULT(
    MMULT(
        INDEX($X$5:$AM$77, MATCH(AW$100,_xlfn.ANCHORARRAY( $W$5), 0), 0),
        $F$5:$U$20
    ),
    TRANSPOSE(
        INDEX($X$5:$AM$77, MATCH($A144,_xlfn.ANCHORARRAY( $W$5), 0), 0)
    )
)
/
(
    INDEX($AN$5:$AN$77, MATCH(AW$100,_xlfn.ANCHORARRAY( $W$5), 0))
    *
    INDEX($AN$5:$AN$77, MATCH($A144,_xlfn.ANCHORARRAY( $W$5), 0))
)</f>
        <v>0.86181553490310825</v>
      </c>
      <c r="AX144" s="17" cm="1">
        <f t="array" ref="AX144">MMULT(
    MMULT(
        INDEX($X$5:$AM$77, MATCH(AX$100,_xlfn.ANCHORARRAY( $W$5), 0), 0),
        $F$5:$U$20
    ),
    TRANSPOSE(
        INDEX($X$5:$AM$77, MATCH($A144,_xlfn.ANCHORARRAY( $W$5), 0), 0)
    )
)
/
(
    INDEX($AN$5:$AN$77, MATCH(AX$100,_xlfn.ANCHORARRAY( $W$5), 0))
    *
    INDEX($AN$5:$AN$77, MATCH($A144,_xlfn.ANCHORARRAY( $W$5), 0))
)</f>
        <v>0.45814587863335787</v>
      </c>
      <c r="AY144" s="17" cm="1">
        <f t="array" ref="AY144">MMULT(
    MMULT(
        INDEX($X$5:$AM$77, MATCH(AY$100,_xlfn.ANCHORARRAY( $W$5), 0), 0),
        $F$5:$U$20
    ),
    TRANSPOSE(
        INDEX($X$5:$AM$77, MATCH($A144,_xlfn.ANCHORARRAY( $W$5), 0), 0)
    )
)
/
(
    INDEX($AN$5:$AN$77, MATCH(AY$100,_xlfn.ANCHORARRAY( $W$5), 0))
    *
    INDEX($AN$5:$AN$77, MATCH($A144,_xlfn.ANCHORARRAY( $W$5), 0))
)</f>
        <v>0.74487233930823471</v>
      </c>
      <c r="AZ144" s="17" cm="1">
        <f t="array" ref="AZ144">MMULT(
    MMULT(
        INDEX($X$5:$AM$77, MATCH(AZ$100,_xlfn.ANCHORARRAY( $W$5), 0), 0),
        $F$5:$U$20
    ),
    TRANSPOSE(
        INDEX($X$5:$AM$77, MATCH($A144,_xlfn.ANCHORARRAY( $W$5), 0), 0)
    )
)
/
(
    INDEX($AN$5:$AN$77, MATCH(AZ$100,_xlfn.ANCHORARRAY( $W$5), 0))
    *
    INDEX($AN$5:$AN$77, MATCH($A144,_xlfn.ANCHORARRAY( $W$5), 0))
)</f>
        <v>0.9222088046278204</v>
      </c>
      <c r="BA144" s="17" cm="1">
        <f t="array" ref="BA144">MMULT(
    MMULT(
        INDEX($X$5:$AM$77, MATCH(BA$100,_xlfn.ANCHORARRAY( $W$5), 0), 0),
        $F$5:$U$20
    ),
    TRANSPOSE(
        INDEX($X$5:$AM$77, MATCH($A144,_xlfn.ANCHORARRAY( $W$5), 0), 0)
    )
)
/
(
    INDEX($AN$5:$AN$77, MATCH(BA$100,_xlfn.ANCHORARRAY( $W$5), 0))
    *
    INDEX($AN$5:$AN$77, MATCH($A144,_xlfn.ANCHORARRAY( $W$5), 0))
)</f>
        <v>0.91142957472795805</v>
      </c>
      <c r="BB144" s="17" cm="1">
        <f t="array" ref="BB144">MMULT(
    MMULT(
        INDEX($X$5:$AM$77, MATCH(BB$100,_xlfn.ANCHORARRAY( $W$5), 0), 0),
        $F$5:$U$20
    ),
    TRANSPOSE(
        INDEX($X$5:$AM$77, MATCH($A144,_xlfn.ANCHORARRAY( $W$5), 0), 0)
    )
)
/
(
    INDEX($AN$5:$AN$77, MATCH(BB$100,_xlfn.ANCHORARRAY( $W$5), 0))
    *
    INDEX($AN$5:$AN$77, MATCH($A144,_xlfn.ANCHORARRAY( $W$5), 0))
)</f>
        <v>0.72730373443306329</v>
      </c>
      <c r="BC144" s="17" cm="1">
        <f t="array" ref="BC144">MMULT(
    MMULT(
        INDEX($X$5:$AM$77, MATCH(BC$100,_xlfn.ANCHORARRAY( $W$5), 0), 0),
        $F$5:$U$20
    ),
    TRANSPOSE(
        INDEX($X$5:$AM$77, MATCH($A144,_xlfn.ANCHORARRAY( $W$5), 0), 0)
    )
)
/
(
    INDEX($AN$5:$AN$77, MATCH(BC$100,_xlfn.ANCHORARRAY( $W$5), 0))
    *
    INDEX($AN$5:$AN$77, MATCH($A144,_xlfn.ANCHORARRAY( $W$5), 0))
)</f>
        <v>0.88258692391598714</v>
      </c>
      <c r="BD144" s="17" cm="1">
        <f t="array" ref="BD144">MMULT(
    MMULT(
        INDEX($X$5:$AM$77, MATCH(BD$100,_xlfn.ANCHORARRAY( $W$5), 0), 0),
        $F$5:$U$20
    ),
    TRANSPOSE(
        INDEX($X$5:$AM$77, MATCH($A144,_xlfn.ANCHORARRAY( $W$5), 0), 0)
    )
)
/
(
    INDEX($AN$5:$AN$77, MATCH(BD$100,_xlfn.ANCHORARRAY( $W$5), 0))
    *
    INDEX($AN$5:$AN$77, MATCH($A144,_xlfn.ANCHORARRAY( $W$5), 0))
)</f>
        <v>0.50760054358292905</v>
      </c>
      <c r="BE144" s="17" cm="1">
        <f t="array" ref="BE144">MMULT(
    MMULT(
        INDEX($X$5:$AM$77, MATCH(BE$100,_xlfn.ANCHORARRAY( $W$5), 0), 0),
        $F$5:$U$20
    ),
    TRANSPOSE(
        INDEX($X$5:$AM$77, MATCH($A144,_xlfn.ANCHORARRAY( $W$5), 0), 0)
    )
)
/
(
    INDEX($AN$5:$AN$77, MATCH(BE$100,_xlfn.ANCHORARRAY( $W$5), 0))
    *
    INDEX($AN$5:$AN$77, MATCH($A144,_xlfn.ANCHORARRAY( $W$5), 0))
)</f>
        <v>0.74099589096107854</v>
      </c>
      <c r="BF144" s="17" cm="1">
        <f t="array" ref="BF144">MMULT(
    MMULT(
        INDEX($X$5:$AM$77, MATCH(BF$100,_xlfn.ANCHORARRAY( $W$5), 0), 0),
        $F$5:$U$20
    ),
    TRANSPOSE(
        INDEX($X$5:$AM$77, MATCH($A144,_xlfn.ANCHORARRAY( $W$5), 0), 0)
    )
)
/
(
    INDEX($AN$5:$AN$77, MATCH(BF$100,_xlfn.ANCHORARRAY( $W$5), 0))
    *
    INDEX($AN$5:$AN$77, MATCH($A144,_xlfn.ANCHORARRAY( $W$5), 0))
)</f>
        <v>0.80444960456052605</v>
      </c>
      <c r="BG144" s="17" cm="1">
        <f t="array" ref="BG144">MMULT(
    MMULT(
        INDEX($X$5:$AM$77, MATCH(BG$100,_xlfn.ANCHORARRAY( $W$5), 0), 0),
        $F$5:$U$20
    ),
    TRANSPOSE(
        INDEX($X$5:$AM$77, MATCH($A144,_xlfn.ANCHORARRAY( $W$5), 0), 0)
    )
)
/
(
    INDEX($AN$5:$AN$77, MATCH(BG$100,_xlfn.ANCHORARRAY( $W$5), 0))
    *
    INDEX($AN$5:$AN$77, MATCH($A144,_xlfn.ANCHORARRAY( $W$5), 0))
)</f>
        <v>0.90361304386243935</v>
      </c>
      <c r="BH144" s="17" cm="1">
        <f t="array" ref="BH144">MMULT(
    MMULT(
        INDEX($X$5:$AM$77, MATCH(BH$100,_xlfn.ANCHORARRAY( $W$5), 0), 0),
        $F$5:$U$20
    ),
    TRANSPOSE(
        INDEX($X$5:$AM$77, MATCH($A144,_xlfn.ANCHORARRAY( $W$5), 0), 0)
    )
)
/
(
    INDEX($AN$5:$AN$77, MATCH(BH$100,_xlfn.ANCHORARRAY( $W$5), 0))
    *
    INDEX($AN$5:$AN$77, MATCH($A144,_xlfn.ANCHORARRAY( $W$5), 0))
)</f>
        <v>0.73163854477909307</v>
      </c>
      <c r="BI144" s="17" cm="1">
        <f t="array" ref="BI144">MMULT(
    MMULT(
        INDEX($X$5:$AM$77, MATCH(BI$100,_xlfn.ANCHORARRAY( $W$5), 0), 0),
        $F$5:$U$20
    ),
    TRANSPOSE(
        INDEX($X$5:$AM$77, MATCH($A144,_xlfn.ANCHORARRAY( $W$5), 0), 0)
    )
)
/
(
    INDEX($AN$5:$AN$77, MATCH(BI$100,_xlfn.ANCHORARRAY( $W$5), 0))
    *
    INDEX($AN$5:$AN$77, MATCH($A144,_xlfn.ANCHORARRAY( $W$5), 0))
)</f>
        <v>0.69328586233566702</v>
      </c>
      <c r="BJ144" s="17" cm="1">
        <f t="array" ref="BJ144">MMULT(
    MMULT(
        INDEX($X$5:$AM$77, MATCH(BJ$100,_xlfn.ANCHORARRAY( $W$5), 0), 0),
        $F$5:$U$20
    ),
    TRANSPOSE(
        INDEX($X$5:$AM$77, MATCH($A144,_xlfn.ANCHORARRAY( $W$5), 0), 0)
    )
)
/
(
    INDEX($AN$5:$AN$77, MATCH(BJ$100,_xlfn.ANCHORARRAY( $W$5), 0))
    *
    INDEX($AN$5:$AN$77, MATCH($A144,_xlfn.ANCHORARRAY( $W$5), 0))
)</f>
        <v>0.82422280112770696</v>
      </c>
      <c r="BK144" s="17" cm="1">
        <f t="array" ref="BK144">MMULT(
    MMULT(
        INDEX($X$5:$AM$77, MATCH(BK$100,_xlfn.ANCHORARRAY( $W$5), 0), 0),
        $F$5:$U$20
    ),
    TRANSPOSE(
        INDEX($X$5:$AM$77, MATCH($A144,_xlfn.ANCHORARRAY( $W$5), 0), 0)
    )
)
/
(
    INDEX($AN$5:$AN$77, MATCH(BK$100,_xlfn.ANCHORARRAY( $W$5), 0))
    *
    INDEX($AN$5:$AN$77, MATCH($A144,_xlfn.ANCHORARRAY( $W$5), 0))
)</f>
        <v>0.5410957902664405</v>
      </c>
      <c r="BL144" s="17" cm="1">
        <f t="array" ref="BL144">MMULT(
    MMULT(
        INDEX($X$5:$AM$77, MATCH(BL$100,_xlfn.ANCHORARRAY( $W$5), 0), 0),
        $F$5:$U$20
    ),
    TRANSPOSE(
        INDEX($X$5:$AM$77, MATCH($A144,_xlfn.ANCHORARRAY( $W$5), 0), 0)
    )
)
/
(
    INDEX($AN$5:$AN$77, MATCH(BL$100,_xlfn.ANCHORARRAY( $W$5), 0))
    *
    INDEX($AN$5:$AN$77, MATCH($A144,_xlfn.ANCHORARRAY( $W$5), 0))
)</f>
        <v>0.67254836023223863</v>
      </c>
      <c r="BM144" s="17" cm="1">
        <f t="array" ref="BM144">MMULT(
    MMULT(
        INDEX($X$5:$AM$77, MATCH(BM$100,_xlfn.ANCHORARRAY( $W$5), 0), 0),
        $F$5:$U$20
    ),
    TRANSPOSE(
        INDEX($X$5:$AM$77, MATCH($A144,_xlfn.ANCHORARRAY( $W$5), 0), 0)
    )
)
/
(
    INDEX($AN$5:$AN$77, MATCH(BM$100,_xlfn.ANCHORARRAY( $W$5), 0))
    *
    INDEX($AN$5:$AN$77, MATCH($A144,_xlfn.ANCHORARRAY( $W$5), 0))
)</f>
        <v>0.72968204229171685</v>
      </c>
      <c r="BN144" s="17" cm="1">
        <f t="array" ref="BN144">MMULT(
    MMULT(
        INDEX($X$5:$AM$77, MATCH(BN$100,_xlfn.ANCHORARRAY( $W$5), 0), 0),
        $F$5:$U$20
    ),
    TRANSPOSE(
        INDEX($X$5:$AM$77, MATCH($A144,_xlfn.ANCHORARRAY( $W$5), 0), 0)
    )
)
/
(
    INDEX($AN$5:$AN$77, MATCH(BN$100,_xlfn.ANCHORARRAY( $W$5), 0))
    *
    INDEX($AN$5:$AN$77, MATCH($A144,_xlfn.ANCHORARRAY( $W$5), 0))
)</f>
        <v>0.71073231930495584</v>
      </c>
      <c r="BO144" s="17" cm="1">
        <f t="array" ref="BO144">MMULT(
    MMULT(
        INDEX($X$5:$AM$77, MATCH(BO$100,_xlfn.ANCHORARRAY( $W$5), 0), 0),
        $F$5:$U$20
    ),
    TRANSPOSE(
        INDEX($X$5:$AM$77, MATCH($A144,_xlfn.ANCHORARRAY( $W$5), 0), 0)
    )
)
/
(
    INDEX($AN$5:$AN$77, MATCH(BO$100,_xlfn.ANCHORARRAY( $W$5), 0))
    *
    INDEX($AN$5:$AN$77, MATCH($A144,_xlfn.ANCHORARRAY( $W$5), 0))
)</f>
        <v>0.9754954380405968</v>
      </c>
      <c r="BP144" s="17" cm="1">
        <f t="array" ref="BP144">MMULT(
    MMULT(
        INDEX($X$5:$AM$77, MATCH(BP$100,_xlfn.ANCHORARRAY( $W$5), 0), 0),
        $F$5:$U$20
    ),
    TRANSPOSE(
        INDEX($X$5:$AM$77, MATCH($A144,_xlfn.ANCHORARRAY( $W$5), 0), 0)
    )
)
/
(
    INDEX($AN$5:$AN$77, MATCH(BP$100,_xlfn.ANCHORARRAY( $W$5), 0))
    *
    INDEX($AN$5:$AN$77, MATCH($A144,_xlfn.ANCHORARRAY( $W$5), 0))
)</f>
        <v>0.83084006513044451</v>
      </c>
      <c r="BQ144" s="17" cm="1">
        <f t="array" ref="BQ144">MMULT(
    MMULT(
        INDEX($X$5:$AM$77, MATCH(BQ$100,_xlfn.ANCHORARRAY( $W$5), 0), 0),
        $F$5:$U$20
    ),
    TRANSPOSE(
        INDEX($X$5:$AM$77, MATCH($A144,_xlfn.ANCHORARRAY( $W$5), 0), 0)
    )
)
/
(
    INDEX($AN$5:$AN$77, MATCH(BQ$100,_xlfn.ANCHORARRAY( $W$5), 0))
    *
    INDEX($AN$5:$AN$77, MATCH($A144,_xlfn.ANCHORARRAY( $W$5), 0))
)</f>
        <v>0.63931146739174649</v>
      </c>
      <c r="BR144" s="17" cm="1">
        <f t="array" ref="BR144">MMULT(
    MMULT(
        INDEX($X$5:$AM$77, MATCH(BR$100,_xlfn.ANCHORARRAY( $W$5), 0), 0),
        $F$5:$U$20
    ),
    TRANSPOSE(
        INDEX($X$5:$AM$77, MATCH($A144,_xlfn.ANCHORARRAY( $W$5), 0), 0)
    )
)
/
(
    INDEX($AN$5:$AN$77, MATCH(BR$100,_xlfn.ANCHORARRAY( $W$5), 0))
    *
    INDEX($AN$5:$AN$77, MATCH($A144,_xlfn.ANCHORARRAY( $W$5), 0))
)</f>
        <v>0.90272514534344583</v>
      </c>
      <c r="BS144" s="17" cm="1">
        <f t="array" ref="BS144">MMULT(
    MMULT(
        INDEX($X$5:$AM$77, MATCH(BS$100,_xlfn.ANCHORARRAY( $W$5), 0), 0),
        $F$5:$U$20
    ),
    TRANSPOSE(
        INDEX($X$5:$AM$77, MATCH($A144,_xlfn.ANCHORARRAY( $W$5), 0), 0)
    )
)
/
(
    INDEX($AN$5:$AN$77, MATCH(BS$100,_xlfn.ANCHORARRAY( $W$5), 0))
    *
    INDEX($AN$5:$AN$77, MATCH($A144,_xlfn.ANCHORARRAY( $W$5), 0))
)</f>
        <v>0.94706926148872705</v>
      </c>
      <c r="BT144" s="17" cm="1">
        <f t="array" ref="BT144">MMULT(
    MMULT(
        INDEX($X$5:$AM$77, MATCH(BT$100,_xlfn.ANCHORARRAY( $W$5), 0), 0),
        $F$5:$U$20
    ),
    TRANSPOSE(
        INDEX($X$5:$AM$77, MATCH($A144,_xlfn.ANCHORARRAY( $W$5), 0), 0)
    )
)
/
(
    INDEX($AN$5:$AN$77, MATCH(BT$100,_xlfn.ANCHORARRAY( $W$5), 0))
    *
    INDEX($AN$5:$AN$77, MATCH($A144,_xlfn.ANCHORARRAY( $W$5), 0))
)</f>
        <v>0.87051481190700619</v>
      </c>
      <c r="BU144" s="17" cm="1">
        <f t="array" ref="BU144">MMULT(
    MMULT(
        INDEX($X$5:$AM$77, MATCH(BU$100,_xlfn.ANCHORARRAY( $W$5), 0), 0),
        $F$5:$U$20
    ),
    TRANSPOSE(
        INDEX($X$5:$AM$77, MATCH($A144,_xlfn.ANCHORARRAY( $W$5), 0), 0)
    )
)
/
(
    INDEX($AN$5:$AN$77, MATCH(BU$100,_xlfn.ANCHORARRAY( $W$5), 0))
    *
    INDEX($AN$5:$AN$77, MATCH($A144,_xlfn.ANCHORARRAY( $W$5), 0))
)</f>
        <v>0.73820711161670283</v>
      </c>
      <c r="BV144" s="17" cm="1">
        <f t="array" ref="BV144">MMULT(
    MMULT(
        INDEX($X$5:$AM$77, MATCH(BV$100,_xlfn.ANCHORARRAY( $W$5), 0), 0),
        $F$5:$U$20
    ),
    TRANSPOSE(
        INDEX($X$5:$AM$77, MATCH($A144,_xlfn.ANCHORARRAY( $W$5), 0), 0)
    )
)
/
(
    INDEX($AN$5:$AN$77, MATCH(BV$100,_xlfn.ANCHORARRAY( $W$5), 0))
    *
    INDEX($AN$5:$AN$77, MATCH($A144,_xlfn.ANCHORARRAY( $W$5), 0))
)</f>
        <v>0.89522190701339555</v>
      </c>
    </row>
    <row r="145" spans="1:74" x14ac:dyDescent="0.3">
      <c r="A145" s="7" t="str">
        <v>Odorizzi, Jake</v>
      </c>
      <c r="B145" s="17" cm="1">
        <f t="array" ref="B145">MMULT(
    MMULT(
        INDEX($X$5:$AM$77, MATCH(B$100,_xlfn.ANCHORARRAY( $W$5), 0), 0),
        $F$5:$U$20
    ),
    TRANSPOSE(
        INDEX($X$5:$AM$77, MATCH($A145,_xlfn.ANCHORARRAY( $W$5), 0), 0)
    )
)
/
(
    INDEX($AN$5:$AN$77, MATCH(B$100,_xlfn.ANCHORARRAY( $W$5), 0))
    *
    INDEX($AN$5:$AN$77, MATCH($A145,_xlfn.ANCHORARRAY( $W$5), 0))
)</f>
        <v>0.85067360933330438</v>
      </c>
      <c r="C145" s="17" cm="1">
        <f t="array" ref="C145">MMULT(
    MMULT(
        INDEX($X$5:$AM$77, MATCH(C$100,_xlfn.ANCHORARRAY( $W$5), 0), 0),
        $F$5:$U$20
    ),
    TRANSPOSE(
        INDEX($X$5:$AM$77, MATCH($A145,_xlfn.ANCHORARRAY( $W$5), 0), 0)
    )
)
/
(
    INDEX($AN$5:$AN$77, MATCH(C$100,_xlfn.ANCHORARRAY( $W$5), 0))
    *
    INDEX($AN$5:$AN$77, MATCH($A145,_xlfn.ANCHORARRAY( $W$5), 0))
)</f>
        <v>0.762948615638114</v>
      </c>
      <c r="D145" s="17" cm="1">
        <f t="array" ref="D145">MMULT(
    MMULT(
        INDEX($X$5:$AM$77, MATCH(D$100,_xlfn.ANCHORARRAY( $W$5), 0), 0),
        $F$5:$U$20
    ),
    TRANSPOSE(
        INDEX($X$5:$AM$77, MATCH($A145,_xlfn.ANCHORARRAY( $W$5), 0), 0)
    )
)
/
(
    INDEX($AN$5:$AN$77, MATCH(D$100,_xlfn.ANCHORARRAY( $W$5), 0))
    *
    INDEX($AN$5:$AN$77, MATCH($A145,_xlfn.ANCHORARRAY( $W$5), 0))
)</f>
        <v>0.81309481215946944</v>
      </c>
      <c r="E145" s="17" cm="1">
        <f t="array" ref="E145">MMULT(
    MMULT(
        INDEX($X$5:$AM$77, MATCH(E$100,_xlfn.ANCHORARRAY( $W$5), 0), 0),
        $F$5:$U$20
    ),
    TRANSPOSE(
        INDEX($X$5:$AM$77, MATCH($A145,_xlfn.ANCHORARRAY( $W$5), 0), 0)
    )
)
/
(
    INDEX($AN$5:$AN$77, MATCH(E$100,_xlfn.ANCHORARRAY( $W$5), 0))
    *
    INDEX($AN$5:$AN$77, MATCH($A145,_xlfn.ANCHORARRAY( $W$5), 0))
)</f>
        <v>0.79454660317842452</v>
      </c>
      <c r="F145" s="17" cm="1">
        <f t="array" ref="F145">MMULT(
    MMULT(
        INDEX($X$5:$AM$77, MATCH(F$100,_xlfn.ANCHORARRAY( $W$5), 0), 0),
        $F$5:$U$20
    ),
    TRANSPOSE(
        INDEX($X$5:$AM$77, MATCH($A145,_xlfn.ANCHORARRAY( $W$5), 0), 0)
    )
)
/
(
    INDEX($AN$5:$AN$77, MATCH(F$100,_xlfn.ANCHORARRAY( $W$5), 0))
    *
    INDEX($AN$5:$AN$77, MATCH($A145,_xlfn.ANCHORARRAY( $W$5), 0))
)</f>
        <v>0.71179771716512352</v>
      </c>
      <c r="G145" s="17" cm="1">
        <f t="array" ref="G145">MMULT(
    MMULT(
        INDEX($X$5:$AM$77, MATCH(G$100,_xlfn.ANCHORARRAY( $W$5), 0), 0),
        $F$5:$U$20
    ),
    TRANSPOSE(
        INDEX($X$5:$AM$77, MATCH($A145,_xlfn.ANCHORARRAY( $W$5), 0), 0)
    )
)
/
(
    INDEX($AN$5:$AN$77, MATCH(G$100,_xlfn.ANCHORARRAY( $W$5), 0))
    *
    INDEX($AN$5:$AN$77, MATCH($A145,_xlfn.ANCHORARRAY( $W$5), 0))
)</f>
        <v>0.82033765792473379</v>
      </c>
      <c r="H145" s="17" cm="1">
        <f t="array" ref="H145">MMULT(
    MMULT(
        INDEX($X$5:$AM$77, MATCH(H$100,_xlfn.ANCHORARRAY( $W$5), 0), 0),
        $F$5:$U$20
    ),
    TRANSPOSE(
        INDEX($X$5:$AM$77, MATCH($A145,_xlfn.ANCHORARRAY( $W$5), 0), 0)
    )
)
/
(
    INDEX($AN$5:$AN$77, MATCH(H$100,_xlfn.ANCHORARRAY( $W$5), 0))
    *
    INDEX($AN$5:$AN$77, MATCH($A145,_xlfn.ANCHORARRAY( $W$5), 0))
)</f>
        <v>0.95591183459186924</v>
      </c>
      <c r="I145" s="17" cm="1">
        <f t="array" ref="I145">MMULT(
    MMULT(
        INDEX($X$5:$AM$77, MATCH(I$100,_xlfn.ANCHORARRAY( $W$5), 0), 0),
        $F$5:$U$20
    ),
    TRANSPOSE(
        INDEX($X$5:$AM$77, MATCH($A145,_xlfn.ANCHORARRAY( $W$5), 0), 0)
    )
)
/
(
    INDEX($AN$5:$AN$77, MATCH(I$100,_xlfn.ANCHORARRAY( $W$5), 0))
    *
    INDEX($AN$5:$AN$77, MATCH($A145,_xlfn.ANCHORARRAY( $W$5), 0))
)</f>
        <v>0.78310337522787354</v>
      </c>
      <c r="J145" s="17" cm="1">
        <f t="array" ref="J145">MMULT(
    MMULT(
        INDEX($X$5:$AM$77, MATCH(J$100,_xlfn.ANCHORARRAY( $W$5), 0), 0),
        $F$5:$U$20
    ),
    TRANSPOSE(
        INDEX($X$5:$AM$77, MATCH($A145,_xlfn.ANCHORARRAY( $W$5), 0), 0)
    )
)
/
(
    INDEX($AN$5:$AN$77, MATCH(J$100,_xlfn.ANCHORARRAY( $W$5), 0))
    *
    INDEX($AN$5:$AN$77, MATCH($A145,_xlfn.ANCHORARRAY( $W$5), 0))
)</f>
        <v>0.93411211858730503</v>
      </c>
      <c r="K145" s="17" cm="1">
        <f t="array" ref="K145">MMULT(
    MMULT(
        INDEX($X$5:$AM$77, MATCH(K$100,_xlfn.ANCHORARRAY( $W$5), 0), 0),
        $F$5:$U$20
    ),
    TRANSPOSE(
        INDEX($X$5:$AM$77, MATCH($A145,_xlfn.ANCHORARRAY( $W$5), 0), 0)
    )
)
/
(
    INDEX($AN$5:$AN$77, MATCH(K$100,_xlfn.ANCHORARRAY( $W$5), 0))
    *
    INDEX($AN$5:$AN$77, MATCH($A145,_xlfn.ANCHORARRAY( $W$5), 0))
)</f>
        <v>0.87580979840864759</v>
      </c>
      <c r="L145" s="17" cm="1">
        <f t="array" ref="L145">MMULT(
    MMULT(
        INDEX($X$5:$AM$77, MATCH(L$100,_xlfn.ANCHORARRAY( $W$5), 0), 0),
        $F$5:$U$20
    ),
    TRANSPOSE(
        INDEX($X$5:$AM$77, MATCH($A145,_xlfn.ANCHORARRAY( $W$5), 0), 0)
    )
)
/
(
    INDEX($AN$5:$AN$77, MATCH(L$100,_xlfn.ANCHORARRAY( $W$5), 0))
    *
    INDEX($AN$5:$AN$77, MATCH($A145,_xlfn.ANCHORARRAY( $W$5), 0))
)</f>
        <v>0.92333653601159849</v>
      </c>
      <c r="M145" s="17" cm="1">
        <f t="array" ref="M145">MMULT(
    MMULT(
        INDEX($X$5:$AM$77, MATCH(M$100,_xlfn.ANCHORARRAY( $W$5), 0), 0),
        $F$5:$U$20
    ),
    TRANSPOSE(
        INDEX($X$5:$AM$77, MATCH($A145,_xlfn.ANCHORARRAY( $W$5), 0), 0)
    )
)
/
(
    INDEX($AN$5:$AN$77, MATCH(M$100,_xlfn.ANCHORARRAY( $W$5), 0))
    *
    INDEX($AN$5:$AN$77, MATCH($A145,_xlfn.ANCHORARRAY( $W$5), 0))
)</f>
        <v>0.88247055194044599</v>
      </c>
      <c r="N145" s="17" cm="1">
        <f t="array" ref="N145">MMULT(
    MMULT(
        INDEX($X$5:$AM$77, MATCH(N$100,_xlfn.ANCHORARRAY( $W$5), 0), 0),
        $F$5:$U$20
    ),
    TRANSPOSE(
        INDEX($X$5:$AM$77, MATCH($A145,_xlfn.ANCHORARRAY( $W$5), 0), 0)
    )
)
/
(
    INDEX($AN$5:$AN$77, MATCH(N$100,_xlfn.ANCHORARRAY( $W$5), 0))
    *
    INDEX($AN$5:$AN$77, MATCH($A145,_xlfn.ANCHORARRAY( $W$5), 0))
)</f>
        <v>0.55978389000965845</v>
      </c>
      <c r="O145" s="17" cm="1">
        <f t="array" ref="O145">MMULT(
    MMULT(
        INDEX($X$5:$AM$77, MATCH(O$100,_xlfn.ANCHORARRAY( $W$5), 0), 0),
        $F$5:$U$20
    ),
    TRANSPOSE(
        INDEX($X$5:$AM$77, MATCH($A145,_xlfn.ANCHORARRAY( $W$5), 0), 0)
    )
)
/
(
    INDEX($AN$5:$AN$77, MATCH(O$100,_xlfn.ANCHORARRAY( $W$5), 0))
    *
    INDEX($AN$5:$AN$77, MATCH($A145,_xlfn.ANCHORARRAY( $W$5), 0))
)</f>
        <v>0.58255347182204487</v>
      </c>
      <c r="P145" s="17" cm="1">
        <f t="array" ref="P145">MMULT(
    MMULT(
        INDEX($X$5:$AM$77, MATCH(P$100,_xlfn.ANCHORARRAY( $W$5), 0), 0),
        $F$5:$U$20
    ),
    TRANSPOSE(
        INDEX($X$5:$AM$77, MATCH($A145,_xlfn.ANCHORARRAY( $W$5), 0), 0)
    )
)
/
(
    INDEX($AN$5:$AN$77, MATCH(P$100,_xlfn.ANCHORARRAY( $W$5), 0))
    *
    INDEX($AN$5:$AN$77, MATCH($A145,_xlfn.ANCHORARRAY( $W$5), 0))
)</f>
        <v>0.74842709061874224</v>
      </c>
      <c r="Q145" s="17" cm="1">
        <f t="array" ref="Q145">MMULT(
    MMULT(
        INDEX($X$5:$AM$77, MATCH(Q$100,_xlfn.ANCHORARRAY( $W$5), 0), 0),
        $F$5:$U$20
    ),
    TRANSPOSE(
        INDEX($X$5:$AM$77, MATCH($A145,_xlfn.ANCHORARRAY( $W$5), 0), 0)
    )
)
/
(
    INDEX($AN$5:$AN$77, MATCH(Q$100,_xlfn.ANCHORARRAY( $W$5), 0))
    *
    INDEX($AN$5:$AN$77, MATCH($A145,_xlfn.ANCHORARRAY( $W$5), 0))
)</f>
        <v>0.89669449735835527</v>
      </c>
      <c r="R145" s="17" cm="1">
        <f t="array" ref="R145">MMULT(
    MMULT(
        INDEX($X$5:$AM$77, MATCH(R$100,_xlfn.ANCHORARRAY( $W$5), 0), 0),
        $F$5:$U$20
    ),
    TRANSPOSE(
        INDEX($X$5:$AM$77, MATCH($A145,_xlfn.ANCHORARRAY( $W$5), 0), 0)
    )
)
/
(
    INDEX($AN$5:$AN$77, MATCH(R$100,_xlfn.ANCHORARRAY( $W$5), 0))
    *
    INDEX($AN$5:$AN$77, MATCH($A145,_xlfn.ANCHORARRAY( $W$5), 0))
)</f>
        <v>0.85198771330302325</v>
      </c>
      <c r="S145" s="17" cm="1">
        <f t="array" ref="S145">MMULT(
    MMULT(
        INDEX($X$5:$AM$77, MATCH(S$100,_xlfn.ANCHORARRAY( $W$5), 0), 0),
        $F$5:$U$20
    ),
    TRANSPOSE(
        INDEX($X$5:$AM$77, MATCH($A145,_xlfn.ANCHORARRAY( $W$5), 0), 0)
    )
)
/
(
    INDEX($AN$5:$AN$77, MATCH(S$100,_xlfn.ANCHORARRAY( $W$5), 0))
    *
    INDEX($AN$5:$AN$77, MATCH($A145,_xlfn.ANCHORARRAY( $W$5), 0))
)</f>
        <v>0.89991670178317806</v>
      </c>
      <c r="T145" s="17" cm="1">
        <f t="array" ref="T145">MMULT(
    MMULT(
        INDEX($X$5:$AM$77, MATCH(T$100,_xlfn.ANCHORARRAY( $W$5), 0), 0),
        $F$5:$U$20
    ),
    TRANSPOSE(
        INDEX($X$5:$AM$77, MATCH($A145,_xlfn.ANCHORARRAY( $W$5), 0), 0)
    )
)
/
(
    INDEX($AN$5:$AN$77, MATCH(T$100,_xlfn.ANCHORARRAY( $W$5), 0))
    *
    INDEX($AN$5:$AN$77, MATCH($A145,_xlfn.ANCHORARRAY( $W$5), 0))
)</f>
        <v>0.35582829584430514</v>
      </c>
      <c r="U145" s="17" cm="1">
        <f t="array" ref="U145">MMULT(
    MMULT(
        INDEX($X$5:$AM$77, MATCH(U$100,_xlfn.ANCHORARRAY( $W$5), 0), 0),
        $F$5:$U$20
    ),
    TRANSPOSE(
        INDEX($X$5:$AM$77, MATCH($A145,_xlfn.ANCHORARRAY( $W$5), 0), 0)
    )
)
/
(
    INDEX($AN$5:$AN$77, MATCH(U$100,_xlfn.ANCHORARRAY( $W$5), 0))
    *
    INDEX($AN$5:$AN$77, MATCH($A145,_xlfn.ANCHORARRAY( $W$5), 0))
)</f>
        <v>0.80619041483116594</v>
      </c>
      <c r="V145" s="17" cm="1">
        <f t="array" ref="V145">MMULT(
    MMULT(
        INDEX($X$5:$AM$77, MATCH(V$100,_xlfn.ANCHORARRAY( $W$5), 0), 0),
        $F$5:$U$20
    ),
    TRANSPOSE(
        INDEX($X$5:$AM$77, MATCH($A145,_xlfn.ANCHORARRAY( $W$5), 0), 0)
    )
)
/
(
    INDEX($AN$5:$AN$77, MATCH(V$100,_xlfn.ANCHORARRAY( $W$5), 0))
    *
    INDEX($AN$5:$AN$77, MATCH($A145,_xlfn.ANCHORARRAY( $W$5), 0))
)</f>
        <v>0.70281353032786043</v>
      </c>
      <c r="W145" s="17" cm="1">
        <f t="array" ref="W145">MMULT(
    MMULT(
        INDEX($X$5:$AM$77, MATCH(W$100,_xlfn.ANCHORARRAY( $W$5), 0), 0),
        $F$5:$U$20
    ),
    TRANSPOSE(
        INDEX($X$5:$AM$77, MATCH($A145,_xlfn.ANCHORARRAY( $W$5), 0), 0)
    )
)
/
(
    INDEX($AN$5:$AN$77, MATCH(W$100,_xlfn.ANCHORARRAY( $W$5), 0))
    *
    INDEX($AN$5:$AN$77, MATCH($A145,_xlfn.ANCHORARRAY( $W$5), 0))
)</f>
        <v>0.6385774844000649</v>
      </c>
      <c r="X145" s="17" cm="1">
        <f t="array" ref="X145">MMULT(
    MMULT(
        INDEX($X$5:$AM$77, MATCH(X$100,_xlfn.ANCHORARRAY( $W$5), 0), 0),
        $F$5:$U$20
    ),
    TRANSPOSE(
        INDEX($X$5:$AM$77, MATCH($A145,_xlfn.ANCHORARRAY( $W$5), 0), 0)
    )
)
/
(
    INDEX($AN$5:$AN$77, MATCH(X$100,_xlfn.ANCHORARRAY( $W$5), 0))
    *
    INDEX($AN$5:$AN$77, MATCH($A145,_xlfn.ANCHORARRAY( $W$5), 0))
)</f>
        <v>0.68161770985912629</v>
      </c>
      <c r="Y145" s="17" cm="1">
        <f t="array" ref="Y145">MMULT(
    MMULT(
        INDEX($X$5:$AM$77, MATCH(Y$100,_xlfn.ANCHORARRAY( $W$5), 0), 0),
        $F$5:$U$20
    ),
    TRANSPOSE(
        INDEX($X$5:$AM$77, MATCH($A145,_xlfn.ANCHORARRAY( $W$5), 0), 0)
    )
)
/
(
    INDEX($AN$5:$AN$77, MATCH(Y$100,_xlfn.ANCHORARRAY( $W$5), 0))
    *
    INDEX($AN$5:$AN$77, MATCH($A145,_xlfn.ANCHORARRAY( $W$5), 0))
)</f>
        <v>0.8552916388829962</v>
      </c>
      <c r="Z145" s="17" cm="1">
        <f t="array" ref="Z145">MMULT(
    MMULT(
        INDEX($X$5:$AM$77, MATCH(Z$100,_xlfn.ANCHORARRAY( $W$5), 0), 0),
        $F$5:$U$20
    ),
    TRANSPOSE(
        INDEX($X$5:$AM$77, MATCH($A145,_xlfn.ANCHORARRAY( $W$5), 0), 0)
    )
)
/
(
    INDEX($AN$5:$AN$77, MATCH(Z$100,_xlfn.ANCHORARRAY( $W$5), 0))
    *
    INDEX($AN$5:$AN$77, MATCH($A145,_xlfn.ANCHORARRAY( $W$5), 0))
)</f>
        <v>0.74899538712434843</v>
      </c>
      <c r="AA145" s="17" cm="1">
        <f t="array" ref="AA145">MMULT(
    MMULT(
        INDEX($X$5:$AM$77, MATCH(AA$100,_xlfn.ANCHORARRAY( $W$5), 0), 0),
        $F$5:$U$20
    ),
    TRANSPOSE(
        INDEX($X$5:$AM$77, MATCH($A145,_xlfn.ANCHORARRAY( $W$5), 0), 0)
    )
)
/
(
    INDEX($AN$5:$AN$77, MATCH(AA$100,_xlfn.ANCHORARRAY( $W$5), 0))
    *
    INDEX($AN$5:$AN$77, MATCH($A145,_xlfn.ANCHORARRAY( $W$5), 0))
)</f>
        <v>0.66913545236743954</v>
      </c>
      <c r="AB145" s="17" cm="1">
        <f t="array" ref="AB145">MMULT(
    MMULT(
        INDEX($X$5:$AM$77, MATCH(AB$100,_xlfn.ANCHORARRAY( $W$5), 0), 0),
        $F$5:$U$20
    ),
    TRANSPOSE(
        INDEX($X$5:$AM$77, MATCH($A145,_xlfn.ANCHORARRAY( $W$5), 0), 0)
    )
)
/
(
    INDEX($AN$5:$AN$77, MATCH(AB$100,_xlfn.ANCHORARRAY( $W$5), 0))
    *
    INDEX($AN$5:$AN$77, MATCH($A145,_xlfn.ANCHORARRAY( $W$5), 0))
)</f>
        <v>0.83741305311118686</v>
      </c>
      <c r="AC145" s="17" cm="1">
        <f t="array" ref="AC145">MMULT(
    MMULT(
        INDEX($X$5:$AM$77, MATCH(AC$100,_xlfn.ANCHORARRAY( $W$5), 0), 0),
        $F$5:$U$20
    ),
    TRANSPOSE(
        INDEX($X$5:$AM$77, MATCH($A145,_xlfn.ANCHORARRAY( $W$5), 0), 0)
    )
)
/
(
    INDEX($AN$5:$AN$77, MATCH(AC$100,_xlfn.ANCHORARRAY( $W$5), 0))
    *
    INDEX($AN$5:$AN$77, MATCH($A145,_xlfn.ANCHORARRAY( $W$5), 0))
)</f>
        <v>0.75069528696696686</v>
      </c>
      <c r="AD145" s="17" cm="1">
        <f t="array" ref="AD145">MMULT(
    MMULT(
        INDEX($X$5:$AM$77, MATCH(AD$100,_xlfn.ANCHORARRAY( $W$5), 0), 0),
        $F$5:$U$20
    ),
    TRANSPOSE(
        INDEX($X$5:$AM$77, MATCH($A145,_xlfn.ANCHORARRAY( $W$5), 0), 0)
    )
)
/
(
    INDEX($AN$5:$AN$77, MATCH(AD$100,_xlfn.ANCHORARRAY( $W$5), 0))
    *
    INDEX($AN$5:$AN$77, MATCH($A145,_xlfn.ANCHORARRAY( $W$5), 0))
)</f>
        <v>0.77352553520227729</v>
      </c>
      <c r="AE145" s="17" cm="1">
        <f t="array" ref="AE145">MMULT(
    MMULT(
        INDEX($X$5:$AM$77, MATCH(AE$100,_xlfn.ANCHORARRAY( $W$5), 0), 0),
        $F$5:$U$20
    ),
    TRANSPOSE(
        INDEX($X$5:$AM$77, MATCH($A145,_xlfn.ANCHORARRAY( $W$5), 0), 0)
    )
)
/
(
    INDEX($AN$5:$AN$77, MATCH(AE$100,_xlfn.ANCHORARRAY( $W$5), 0))
    *
    INDEX($AN$5:$AN$77, MATCH($A145,_xlfn.ANCHORARRAY( $W$5), 0))
)</f>
        <v>0.90233995092277552</v>
      </c>
      <c r="AF145" s="17" cm="1">
        <f t="array" ref="AF145">MMULT(
    MMULT(
        INDEX($X$5:$AM$77, MATCH(AF$100,_xlfn.ANCHORARRAY( $W$5), 0), 0),
        $F$5:$U$20
    ),
    TRANSPOSE(
        INDEX($X$5:$AM$77, MATCH($A145,_xlfn.ANCHORARRAY( $W$5), 0), 0)
    )
)
/
(
    INDEX($AN$5:$AN$77, MATCH(AF$100,_xlfn.ANCHORARRAY( $W$5), 0))
    *
    INDEX($AN$5:$AN$77, MATCH($A145,_xlfn.ANCHORARRAY( $W$5), 0))
)</f>
        <v>0.87280133422917616</v>
      </c>
      <c r="AG145" s="17" cm="1">
        <f t="array" ref="AG145">MMULT(
    MMULT(
        INDEX($X$5:$AM$77, MATCH(AG$100,_xlfn.ANCHORARRAY( $W$5), 0), 0),
        $F$5:$U$20
    ),
    TRANSPOSE(
        INDEX($X$5:$AM$77, MATCH($A145,_xlfn.ANCHORARRAY( $W$5), 0), 0)
    )
)
/
(
    INDEX($AN$5:$AN$77, MATCH(AG$100,_xlfn.ANCHORARRAY( $W$5), 0))
    *
    INDEX($AN$5:$AN$77, MATCH($A145,_xlfn.ANCHORARRAY( $W$5), 0))
)</f>
        <v>0.97698093913340978</v>
      </c>
      <c r="AH145" s="17" cm="1">
        <f t="array" ref="AH145">MMULT(
    MMULT(
        INDEX($X$5:$AM$77, MATCH(AH$100,_xlfn.ANCHORARRAY( $W$5), 0), 0),
        $F$5:$U$20
    ),
    TRANSPOSE(
        INDEX($X$5:$AM$77, MATCH($A145,_xlfn.ANCHORARRAY( $W$5), 0), 0)
    )
)
/
(
    INDEX($AN$5:$AN$77, MATCH(AH$100,_xlfn.ANCHORARRAY( $W$5), 0))
    *
    INDEX($AN$5:$AN$77, MATCH($A145,_xlfn.ANCHORARRAY( $W$5), 0))
)</f>
        <v>0.87471722316626688</v>
      </c>
      <c r="AI145" s="17" cm="1">
        <f t="array" ref="AI145">MMULT(
    MMULT(
        INDEX($X$5:$AM$77, MATCH(AI$100,_xlfn.ANCHORARRAY( $W$5), 0), 0),
        $F$5:$U$20
    ),
    TRANSPOSE(
        INDEX($X$5:$AM$77, MATCH($A145,_xlfn.ANCHORARRAY( $W$5), 0), 0)
    )
)
/
(
    INDEX($AN$5:$AN$77, MATCH(AI$100,_xlfn.ANCHORARRAY( $W$5), 0))
    *
    INDEX($AN$5:$AN$77, MATCH($A145,_xlfn.ANCHORARRAY( $W$5), 0))
)</f>
        <v>0.93485609963257921</v>
      </c>
      <c r="AJ145" s="17" cm="1">
        <f t="array" ref="AJ145">MMULT(
    MMULT(
        INDEX($X$5:$AM$77, MATCH(AJ$100,_xlfn.ANCHORARRAY( $W$5), 0), 0),
        $F$5:$U$20
    ),
    TRANSPOSE(
        INDEX($X$5:$AM$77, MATCH($A145,_xlfn.ANCHORARRAY( $W$5), 0), 0)
    )
)
/
(
    INDEX($AN$5:$AN$77, MATCH(AJ$100,_xlfn.ANCHORARRAY( $W$5), 0))
    *
    INDEX($AN$5:$AN$77, MATCH($A145,_xlfn.ANCHORARRAY( $W$5), 0))
)</f>
        <v>0.70149754901072581</v>
      </c>
      <c r="AK145" s="17" cm="1">
        <f t="array" ref="AK145">MMULT(
    MMULT(
        INDEX($X$5:$AM$77, MATCH(AK$100,_xlfn.ANCHORARRAY( $W$5), 0), 0),
        $F$5:$U$20
    ),
    TRANSPOSE(
        INDEX($X$5:$AM$77, MATCH($A145,_xlfn.ANCHORARRAY( $W$5), 0), 0)
    )
)
/
(
    INDEX($AN$5:$AN$77, MATCH(AK$100,_xlfn.ANCHORARRAY( $W$5), 0))
    *
    INDEX($AN$5:$AN$77, MATCH($A145,_xlfn.ANCHORARRAY( $W$5), 0))
)</f>
        <v>0.9450229199694985</v>
      </c>
      <c r="AL145" s="17" cm="1">
        <f t="array" ref="AL145">MMULT(
    MMULT(
        INDEX($X$5:$AM$77, MATCH(AL$100,_xlfn.ANCHORARRAY( $W$5), 0), 0),
        $F$5:$U$20
    ),
    TRANSPOSE(
        INDEX($X$5:$AM$77, MATCH($A145,_xlfn.ANCHORARRAY( $W$5), 0), 0)
    )
)
/
(
    INDEX($AN$5:$AN$77, MATCH(AL$100,_xlfn.ANCHORARRAY( $W$5), 0))
    *
    INDEX($AN$5:$AN$77, MATCH($A145,_xlfn.ANCHORARRAY( $W$5), 0))
)</f>
        <v>0.6000700153039803</v>
      </c>
      <c r="AM145" s="17" cm="1">
        <f t="array" ref="AM145">MMULT(
    MMULT(
        INDEX($X$5:$AM$77, MATCH(AM$100,_xlfn.ANCHORARRAY( $W$5), 0), 0),
        $F$5:$U$20
    ),
    TRANSPOSE(
        INDEX($X$5:$AM$77, MATCH($A145,_xlfn.ANCHORARRAY( $W$5), 0), 0)
    )
)
/
(
    INDEX($AN$5:$AN$77, MATCH(AM$100,_xlfn.ANCHORARRAY( $W$5), 0))
    *
    INDEX($AN$5:$AN$77, MATCH($A145,_xlfn.ANCHORARRAY( $W$5), 0))
)</f>
        <v>0.87269343267207133</v>
      </c>
      <c r="AN145" s="17" cm="1">
        <f t="array" ref="AN145">MMULT(
    MMULT(
        INDEX($X$5:$AM$77, MATCH(AN$100,_xlfn.ANCHORARRAY( $W$5), 0), 0),
        $F$5:$U$20
    ),
    TRANSPOSE(
        INDEX($X$5:$AM$77, MATCH($A145,_xlfn.ANCHORARRAY( $W$5), 0), 0)
    )
)
/
(
    INDEX($AN$5:$AN$77, MATCH(AN$100,_xlfn.ANCHORARRAY( $W$5), 0))
    *
    INDEX($AN$5:$AN$77, MATCH($A145,_xlfn.ANCHORARRAY( $W$5), 0))
)</f>
        <v>0.8636683829226105</v>
      </c>
      <c r="AO145" s="17" cm="1">
        <f t="array" ref="AO145">MMULT(
    MMULT(
        INDEX($X$5:$AM$77, MATCH(AO$100,_xlfn.ANCHORARRAY( $W$5), 0), 0),
        $F$5:$U$20
    ),
    TRANSPOSE(
        INDEX($X$5:$AM$77, MATCH($A145,_xlfn.ANCHORARRAY( $W$5), 0), 0)
    )
)
/
(
    INDEX($AN$5:$AN$77, MATCH(AO$100,_xlfn.ANCHORARRAY( $W$5), 0))
    *
    INDEX($AN$5:$AN$77, MATCH($A145,_xlfn.ANCHORARRAY( $W$5), 0))
)</f>
        <v>0.88328384169251895</v>
      </c>
      <c r="AP145" s="17" cm="1">
        <f t="array" ref="AP145">MMULT(
    MMULT(
        INDEX($X$5:$AM$77, MATCH(AP$100,_xlfn.ANCHORARRAY( $W$5), 0), 0),
        $F$5:$U$20
    ),
    TRANSPOSE(
        INDEX($X$5:$AM$77, MATCH($A145,_xlfn.ANCHORARRAY( $W$5), 0), 0)
    )
)
/
(
    INDEX($AN$5:$AN$77, MATCH(AP$100,_xlfn.ANCHORARRAY( $W$5), 0))
    *
    INDEX($AN$5:$AN$77, MATCH($A145,_xlfn.ANCHORARRAY( $W$5), 0))
)</f>
        <v>0.88774018270113464</v>
      </c>
      <c r="AQ145" s="17" cm="1">
        <f t="array" ref="AQ145">MMULT(
    MMULT(
        INDEX($X$5:$AM$77, MATCH(AQ$100,_xlfn.ANCHORARRAY( $W$5), 0), 0),
        $F$5:$U$20
    ),
    TRANSPOSE(
        INDEX($X$5:$AM$77, MATCH($A145,_xlfn.ANCHORARRAY( $W$5), 0), 0)
    )
)
/
(
    INDEX($AN$5:$AN$77, MATCH(AQ$100,_xlfn.ANCHORARRAY( $W$5), 0))
    *
    INDEX($AN$5:$AN$77, MATCH($A145,_xlfn.ANCHORARRAY( $W$5), 0))
)</f>
        <v>0.79992567528388481</v>
      </c>
      <c r="AR145" s="17" cm="1">
        <f t="array" ref="AR145">MMULT(
    MMULT(
        INDEX($X$5:$AM$77, MATCH(AR$100,_xlfn.ANCHORARRAY( $W$5), 0), 0),
        $F$5:$U$20
    ),
    TRANSPOSE(
        INDEX($X$5:$AM$77, MATCH($A145,_xlfn.ANCHORARRAY( $W$5), 0), 0)
    )
)
/
(
    INDEX($AN$5:$AN$77, MATCH(AR$100,_xlfn.ANCHORARRAY( $W$5), 0))
    *
    INDEX($AN$5:$AN$77, MATCH($A145,_xlfn.ANCHORARRAY( $W$5), 0))
)</f>
        <v>0.72375470065437331</v>
      </c>
      <c r="AS145" s="17" cm="1">
        <f t="array" ref="AS145">MMULT(
    MMULT(
        INDEX($X$5:$AM$77, MATCH(AS$100,_xlfn.ANCHORARRAY( $W$5), 0), 0),
        $F$5:$U$20
    ),
    TRANSPOSE(
        INDEX($X$5:$AM$77, MATCH($A145,_xlfn.ANCHORARRAY( $W$5), 0), 0)
    )
)
/
(
    INDEX($AN$5:$AN$77, MATCH(AS$100,_xlfn.ANCHORARRAY( $W$5), 0))
    *
    INDEX($AN$5:$AN$77, MATCH($A145,_xlfn.ANCHORARRAY( $W$5), 0))
)</f>
        <v>0.7680345863442668</v>
      </c>
      <c r="AT145" s="17" cm="1">
        <f t="array" ref="AT145">MMULT(
    MMULT(
        INDEX($X$5:$AM$77, MATCH(AT$100,_xlfn.ANCHORARRAY( $W$5), 0), 0),
        $F$5:$U$20
    ),
    TRANSPOSE(
        INDEX($X$5:$AM$77, MATCH($A145,_xlfn.ANCHORARRAY( $W$5), 0), 0)
    )
)
/
(
    INDEX($AN$5:$AN$77, MATCH(AT$100,_xlfn.ANCHORARRAY( $W$5), 0))
    *
    INDEX($AN$5:$AN$77, MATCH($A145,_xlfn.ANCHORARRAY( $W$5), 0))
)</f>
        <v>1</v>
      </c>
      <c r="AU145" s="17" cm="1">
        <f t="array" ref="AU145">MMULT(
    MMULT(
        INDEX($X$5:$AM$77, MATCH(AU$100,_xlfn.ANCHORARRAY( $W$5), 0), 0),
        $F$5:$U$20
    ),
    TRANSPOSE(
        INDEX($X$5:$AM$77, MATCH($A145,_xlfn.ANCHORARRAY( $W$5), 0), 0)
    )
)
/
(
    INDEX($AN$5:$AN$77, MATCH(AU$100,_xlfn.ANCHORARRAY( $W$5), 0))
    *
    INDEX($AN$5:$AN$77, MATCH($A145,_xlfn.ANCHORARRAY( $W$5), 0))
)</f>
        <v>0.72851924785007327</v>
      </c>
      <c r="AV145" s="17" cm="1">
        <f t="array" ref="AV145">MMULT(
    MMULT(
        INDEX($X$5:$AM$77, MATCH(AV$100,_xlfn.ANCHORARRAY( $W$5), 0), 0),
        $F$5:$U$20
    ),
    TRANSPOSE(
        INDEX($X$5:$AM$77, MATCH($A145,_xlfn.ANCHORARRAY( $W$5), 0), 0)
    )
)
/
(
    INDEX($AN$5:$AN$77, MATCH(AV$100,_xlfn.ANCHORARRAY( $W$5), 0))
    *
    INDEX($AN$5:$AN$77, MATCH($A145,_xlfn.ANCHORARRAY( $W$5), 0))
)</f>
        <v>0.7189784929234927</v>
      </c>
      <c r="AW145" s="17" cm="1">
        <f t="array" ref="AW145">MMULT(
    MMULT(
        INDEX($X$5:$AM$77, MATCH(AW$100,_xlfn.ANCHORARRAY( $W$5), 0), 0),
        $F$5:$U$20
    ),
    TRANSPOSE(
        INDEX($X$5:$AM$77, MATCH($A145,_xlfn.ANCHORARRAY( $W$5), 0), 0)
    )
)
/
(
    INDEX($AN$5:$AN$77, MATCH(AW$100,_xlfn.ANCHORARRAY( $W$5), 0))
    *
    INDEX($AN$5:$AN$77, MATCH($A145,_xlfn.ANCHORARRAY( $W$5), 0))
)</f>
        <v>0.80992294795352848</v>
      </c>
      <c r="AX145" s="17" cm="1">
        <f t="array" ref="AX145">MMULT(
    MMULT(
        INDEX($X$5:$AM$77, MATCH(AX$100,_xlfn.ANCHORARRAY( $W$5), 0), 0),
        $F$5:$U$20
    ),
    TRANSPOSE(
        INDEX($X$5:$AM$77, MATCH($A145,_xlfn.ANCHORARRAY( $W$5), 0), 0)
    )
)
/
(
    INDEX($AN$5:$AN$77, MATCH(AX$100,_xlfn.ANCHORARRAY( $W$5), 0))
    *
    INDEX($AN$5:$AN$77, MATCH($A145,_xlfn.ANCHORARRAY( $W$5), 0))
)</f>
        <v>0.7430390844128707</v>
      </c>
      <c r="AY145" s="17" cm="1">
        <f t="array" ref="AY145">MMULT(
    MMULT(
        INDEX($X$5:$AM$77, MATCH(AY$100,_xlfn.ANCHORARRAY( $W$5), 0), 0),
        $F$5:$U$20
    ),
    TRANSPOSE(
        INDEX($X$5:$AM$77, MATCH($A145,_xlfn.ANCHORARRAY( $W$5), 0), 0)
    )
)
/
(
    INDEX($AN$5:$AN$77, MATCH(AY$100,_xlfn.ANCHORARRAY( $W$5), 0))
    *
    INDEX($AN$5:$AN$77, MATCH($A145,_xlfn.ANCHORARRAY( $W$5), 0))
)</f>
        <v>0.82461681367570061</v>
      </c>
      <c r="AZ145" s="17" cm="1">
        <f t="array" ref="AZ145">MMULT(
    MMULT(
        INDEX($X$5:$AM$77, MATCH(AZ$100,_xlfn.ANCHORARRAY( $W$5), 0), 0),
        $F$5:$U$20
    ),
    TRANSPOSE(
        INDEX($X$5:$AM$77, MATCH($A145,_xlfn.ANCHORARRAY( $W$5), 0), 0)
    )
)
/
(
    INDEX($AN$5:$AN$77, MATCH(AZ$100,_xlfn.ANCHORARRAY( $W$5), 0))
    *
    INDEX($AN$5:$AN$77, MATCH($A145,_xlfn.ANCHORARRAY( $W$5), 0))
)</f>
        <v>0.73926244992252854</v>
      </c>
      <c r="BA145" s="17" cm="1">
        <f t="array" ref="BA145">MMULT(
    MMULT(
        INDEX($X$5:$AM$77, MATCH(BA$100,_xlfn.ANCHORARRAY( $W$5), 0), 0),
        $F$5:$U$20
    ),
    TRANSPOSE(
        INDEX($X$5:$AM$77, MATCH($A145,_xlfn.ANCHORARRAY( $W$5), 0), 0)
    )
)
/
(
    INDEX($AN$5:$AN$77, MATCH(BA$100,_xlfn.ANCHORARRAY( $W$5), 0))
    *
    INDEX($AN$5:$AN$77, MATCH($A145,_xlfn.ANCHORARRAY( $W$5), 0))
)</f>
        <v>0.73694589480899131</v>
      </c>
      <c r="BB145" s="17" cm="1">
        <f t="array" ref="BB145">MMULT(
    MMULT(
        INDEX($X$5:$AM$77, MATCH(BB$100,_xlfn.ANCHORARRAY( $W$5), 0), 0),
        $F$5:$U$20
    ),
    TRANSPOSE(
        INDEX($X$5:$AM$77, MATCH($A145,_xlfn.ANCHORARRAY( $W$5), 0), 0)
    )
)
/
(
    INDEX($AN$5:$AN$77, MATCH(BB$100,_xlfn.ANCHORARRAY( $W$5), 0))
    *
    INDEX($AN$5:$AN$77, MATCH($A145,_xlfn.ANCHORARRAY( $W$5), 0))
)</f>
        <v>0.74912313067943914</v>
      </c>
      <c r="BC145" s="17" cm="1">
        <f t="array" ref="BC145">MMULT(
    MMULT(
        INDEX($X$5:$AM$77, MATCH(BC$100,_xlfn.ANCHORARRAY( $W$5), 0), 0),
        $F$5:$U$20
    ),
    TRANSPOSE(
        INDEX($X$5:$AM$77, MATCH($A145,_xlfn.ANCHORARRAY( $W$5), 0), 0)
    )
)
/
(
    INDEX($AN$5:$AN$77, MATCH(BC$100,_xlfn.ANCHORARRAY( $W$5), 0))
    *
    INDEX($AN$5:$AN$77, MATCH($A145,_xlfn.ANCHORARRAY( $W$5), 0))
)</f>
        <v>0.92942824925327838</v>
      </c>
      <c r="BD145" s="17" cm="1">
        <f t="array" ref="BD145">MMULT(
    MMULT(
        INDEX($X$5:$AM$77, MATCH(BD$100,_xlfn.ANCHORARRAY( $W$5), 0), 0),
        $F$5:$U$20
    ),
    TRANSPOSE(
        INDEX($X$5:$AM$77, MATCH($A145,_xlfn.ANCHORARRAY( $W$5), 0), 0)
    )
)
/
(
    INDEX($AN$5:$AN$77, MATCH(BD$100,_xlfn.ANCHORARRAY( $W$5), 0))
    *
    INDEX($AN$5:$AN$77, MATCH($A145,_xlfn.ANCHORARRAY( $W$5), 0))
)</f>
        <v>0.65552740935666409</v>
      </c>
      <c r="BE145" s="17" cm="1">
        <f t="array" ref="BE145">MMULT(
    MMULT(
        INDEX($X$5:$AM$77, MATCH(BE$100,_xlfn.ANCHORARRAY( $W$5), 0), 0),
        $F$5:$U$20
    ),
    TRANSPOSE(
        INDEX($X$5:$AM$77, MATCH($A145,_xlfn.ANCHORARRAY( $W$5), 0), 0)
    )
)
/
(
    INDEX($AN$5:$AN$77, MATCH(BE$100,_xlfn.ANCHORARRAY( $W$5), 0))
    *
    INDEX($AN$5:$AN$77, MATCH($A145,_xlfn.ANCHORARRAY( $W$5), 0))
)</f>
        <v>0.86906527290161828</v>
      </c>
      <c r="BF145" s="17" cm="1">
        <f t="array" ref="BF145">MMULT(
    MMULT(
        INDEX($X$5:$AM$77, MATCH(BF$100,_xlfn.ANCHORARRAY( $W$5), 0), 0),
        $F$5:$U$20
    ),
    TRANSPOSE(
        INDEX($X$5:$AM$77, MATCH($A145,_xlfn.ANCHORARRAY( $W$5), 0), 0)
    )
)
/
(
    INDEX($AN$5:$AN$77, MATCH(BF$100,_xlfn.ANCHORARRAY( $W$5), 0))
    *
    INDEX($AN$5:$AN$77, MATCH($A145,_xlfn.ANCHORARRAY( $W$5), 0))
)</f>
        <v>0.7826649749428648</v>
      </c>
      <c r="BG145" s="17" cm="1">
        <f t="array" ref="BG145">MMULT(
    MMULT(
        INDEX($X$5:$AM$77, MATCH(BG$100,_xlfn.ANCHORARRAY( $W$5), 0), 0),
        $F$5:$U$20
    ),
    TRANSPOSE(
        INDEX($X$5:$AM$77, MATCH($A145,_xlfn.ANCHORARRAY( $W$5), 0), 0)
    )
)
/
(
    INDEX($AN$5:$AN$77, MATCH(BG$100,_xlfn.ANCHORARRAY( $W$5), 0))
    *
    INDEX($AN$5:$AN$77, MATCH($A145,_xlfn.ANCHORARRAY( $W$5), 0))
)</f>
        <v>0.74680334891591948</v>
      </c>
      <c r="BH145" s="17" cm="1">
        <f t="array" ref="BH145">MMULT(
    MMULT(
        INDEX($X$5:$AM$77, MATCH(BH$100,_xlfn.ANCHORARRAY( $W$5), 0), 0),
        $F$5:$U$20
    ),
    TRANSPOSE(
        INDEX($X$5:$AM$77, MATCH($A145,_xlfn.ANCHORARRAY( $W$5), 0), 0)
    )
)
/
(
    INDEX($AN$5:$AN$77, MATCH(BH$100,_xlfn.ANCHORARRAY( $W$5), 0))
    *
    INDEX($AN$5:$AN$77, MATCH($A145,_xlfn.ANCHORARRAY( $W$5), 0))
)</f>
        <v>0.82642776909839155</v>
      </c>
      <c r="BI145" s="17" cm="1">
        <f t="array" ref="BI145">MMULT(
    MMULT(
        INDEX($X$5:$AM$77, MATCH(BI$100,_xlfn.ANCHORARRAY( $W$5), 0), 0),
        $F$5:$U$20
    ),
    TRANSPOSE(
        INDEX($X$5:$AM$77, MATCH($A145,_xlfn.ANCHORARRAY( $W$5), 0), 0)
    )
)
/
(
    INDEX($AN$5:$AN$77, MATCH(BI$100,_xlfn.ANCHORARRAY( $W$5), 0))
    *
    INDEX($AN$5:$AN$77, MATCH($A145,_xlfn.ANCHORARRAY( $W$5), 0))
)</f>
        <v>0.8422340596295298</v>
      </c>
      <c r="BJ145" s="17" cm="1">
        <f t="array" ref="BJ145">MMULT(
    MMULT(
        INDEX($X$5:$AM$77, MATCH(BJ$100,_xlfn.ANCHORARRAY( $W$5), 0), 0),
        $F$5:$U$20
    ),
    TRANSPOSE(
        INDEX($X$5:$AM$77, MATCH($A145,_xlfn.ANCHORARRAY( $W$5), 0), 0)
    )
)
/
(
    INDEX($AN$5:$AN$77, MATCH(BJ$100,_xlfn.ANCHORARRAY( $W$5), 0))
    *
    INDEX($AN$5:$AN$77, MATCH($A145,_xlfn.ANCHORARRAY( $W$5), 0))
)</f>
        <v>0.87037923966102038</v>
      </c>
      <c r="BK145" s="17" cm="1">
        <f t="array" ref="BK145">MMULT(
    MMULT(
        INDEX($X$5:$AM$77, MATCH(BK$100,_xlfn.ANCHORARRAY( $W$5), 0), 0),
        $F$5:$U$20
    ),
    TRANSPOSE(
        INDEX($X$5:$AM$77, MATCH($A145,_xlfn.ANCHORARRAY( $W$5), 0), 0)
    )
)
/
(
    INDEX($AN$5:$AN$77, MATCH(BK$100,_xlfn.ANCHORARRAY( $W$5), 0))
    *
    INDEX($AN$5:$AN$77, MATCH($A145,_xlfn.ANCHORARRAY( $W$5), 0))
)</f>
        <v>0.68416394466562358</v>
      </c>
      <c r="BL145" s="17" cm="1">
        <f t="array" ref="BL145">MMULT(
    MMULT(
        INDEX($X$5:$AM$77, MATCH(BL$100,_xlfn.ANCHORARRAY( $W$5), 0), 0),
        $F$5:$U$20
    ),
    TRANSPOSE(
        INDEX($X$5:$AM$77, MATCH($A145,_xlfn.ANCHORARRAY( $W$5), 0), 0)
    )
)
/
(
    INDEX($AN$5:$AN$77, MATCH(BL$100,_xlfn.ANCHORARRAY( $W$5), 0))
    *
    INDEX($AN$5:$AN$77, MATCH($A145,_xlfn.ANCHORARRAY( $W$5), 0))
)</f>
        <v>0.23245721558609878</v>
      </c>
      <c r="BM145" s="17" cm="1">
        <f t="array" ref="BM145">MMULT(
    MMULT(
        INDEX($X$5:$AM$77, MATCH(BM$100,_xlfn.ANCHORARRAY( $W$5), 0), 0),
        $F$5:$U$20
    ),
    TRANSPOSE(
        INDEX($X$5:$AM$77, MATCH($A145,_xlfn.ANCHORARRAY( $W$5), 0), 0)
    )
)
/
(
    INDEX($AN$5:$AN$77, MATCH(BM$100,_xlfn.ANCHORARRAY( $W$5), 0))
    *
    INDEX($AN$5:$AN$77, MATCH($A145,_xlfn.ANCHORARRAY( $W$5), 0))
)</f>
        <v>0.55730755030290657</v>
      </c>
      <c r="BN145" s="17" cm="1">
        <f t="array" ref="BN145">MMULT(
    MMULT(
        INDEX($X$5:$AM$77, MATCH(BN$100,_xlfn.ANCHORARRAY( $W$5), 0), 0),
        $F$5:$U$20
    ),
    TRANSPOSE(
        INDEX($X$5:$AM$77, MATCH($A145,_xlfn.ANCHORARRAY( $W$5), 0), 0)
    )
)
/
(
    INDEX($AN$5:$AN$77, MATCH(BN$100,_xlfn.ANCHORARRAY( $W$5), 0))
    *
    INDEX($AN$5:$AN$77, MATCH($A145,_xlfn.ANCHORARRAY( $W$5), 0))
)</f>
        <v>0.92452358091025733</v>
      </c>
      <c r="BO145" s="17" cm="1">
        <f t="array" ref="BO145">MMULT(
    MMULT(
        INDEX($X$5:$AM$77, MATCH(BO$100,_xlfn.ANCHORARRAY( $W$5), 0), 0),
        $F$5:$U$20
    ),
    TRANSPOSE(
        INDEX($X$5:$AM$77, MATCH($A145,_xlfn.ANCHORARRAY( $W$5), 0), 0)
    )
)
/
(
    INDEX($AN$5:$AN$77, MATCH(BO$100,_xlfn.ANCHORARRAY( $W$5), 0))
    *
    INDEX($AN$5:$AN$77, MATCH($A145,_xlfn.ANCHORARRAY( $W$5), 0))
)</f>
        <v>0.84219552978057199</v>
      </c>
      <c r="BP145" s="17" cm="1">
        <f t="array" ref="BP145">MMULT(
    MMULT(
        INDEX($X$5:$AM$77, MATCH(BP$100,_xlfn.ANCHORARRAY( $W$5), 0), 0),
        $F$5:$U$20
    ),
    TRANSPOSE(
        INDEX($X$5:$AM$77, MATCH($A145,_xlfn.ANCHORARRAY( $W$5), 0), 0)
    )
)
/
(
    INDEX($AN$5:$AN$77, MATCH(BP$100,_xlfn.ANCHORARRAY( $W$5), 0))
    *
    INDEX($AN$5:$AN$77, MATCH($A145,_xlfn.ANCHORARRAY( $W$5), 0))
)</f>
        <v>0.81680520198521878</v>
      </c>
      <c r="BQ145" s="17" cm="1">
        <f t="array" ref="BQ145">MMULT(
    MMULT(
        INDEX($X$5:$AM$77, MATCH(BQ$100,_xlfn.ANCHORARRAY( $W$5), 0), 0),
        $F$5:$U$20
    ),
    TRANSPOSE(
        INDEX($X$5:$AM$77, MATCH($A145,_xlfn.ANCHORARRAY( $W$5), 0), 0)
    )
)
/
(
    INDEX($AN$5:$AN$77, MATCH(BQ$100,_xlfn.ANCHORARRAY( $W$5), 0))
    *
    INDEX($AN$5:$AN$77, MATCH($A145,_xlfn.ANCHORARRAY( $W$5), 0))
)</f>
        <v>0.71804313676840048</v>
      </c>
      <c r="BR145" s="17" cm="1">
        <f t="array" ref="BR145">MMULT(
    MMULT(
        INDEX($X$5:$AM$77, MATCH(BR$100,_xlfn.ANCHORARRAY( $W$5), 0), 0),
        $F$5:$U$20
    ),
    TRANSPOSE(
        INDEX($X$5:$AM$77, MATCH($A145,_xlfn.ANCHORARRAY( $W$5), 0), 0)
    )
)
/
(
    INDEX($AN$5:$AN$77, MATCH(BR$100,_xlfn.ANCHORARRAY( $W$5), 0))
    *
    INDEX($AN$5:$AN$77, MATCH($A145,_xlfn.ANCHORARRAY( $W$5), 0))
)</f>
        <v>0.82073452902424227</v>
      </c>
      <c r="BS145" s="17" cm="1">
        <f t="array" ref="BS145">MMULT(
    MMULT(
        INDEX($X$5:$AM$77, MATCH(BS$100,_xlfn.ANCHORARRAY( $W$5), 0), 0),
        $F$5:$U$20
    ),
    TRANSPOSE(
        INDEX($X$5:$AM$77, MATCH($A145,_xlfn.ANCHORARRAY( $W$5), 0), 0)
    )
)
/
(
    INDEX($AN$5:$AN$77, MATCH(BS$100,_xlfn.ANCHORARRAY( $W$5), 0))
    *
    INDEX($AN$5:$AN$77, MATCH($A145,_xlfn.ANCHORARRAY( $W$5), 0))
)</f>
        <v>0.7100974125436349</v>
      </c>
      <c r="BT145" s="17" cm="1">
        <f t="array" ref="BT145">MMULT(
    MMULT(
        INDEX($X$5:$AM$77, MATCH(BT$100,_xlfn.ANCHORARRAY( $W$5), 0), 0),
        $F$5:$U$20
    ),
    TRANSPOSE(
        INDEX($X$5:$AM$77, MATCH($A145,_xlfn.ANCHORARRAY( $W$5), 0), 0)
    )
)
/
(
    INDEX($AN$5:$AN$77, MATCH(BT$100,_xlfn.ANCHORARRAY( $W$5), 0))
    *
    INDEX($AN$5:$AN$77, MATCH($A145,_xlfn.ANCHORARRAY( $W$5), 0))
)</f>
        <v>0.8984725680951009</v>
      </c>
      <c r="BU145" s="17" cm="1">
        <f t="array" ref="BU145">MMULT(
    MMULT(
        INDEX($X$5:$AM$77, MATCH(BU$100,_xlfn.ANCHORARRAY( $W$5), 0), 0),
        $F$5:$U$20
    ),
    TRANSPOSE(
        INDEX($X$5:$AM$77, MATCH($A145,_xlfn.ANCHORARRAY( $W$5), 0), 0)
    )
)
/
(
    INDEX($AN$5:$AN$77, MATCH(BU$100,_xlfn.ANCHORARRAY( $W$5), 0))
    *
    INDEX($AN$5:$AN$77, MATCH($A145,_xlfn.ANCHORARRAY( $W$5), 0))
)</f>
        <v>0.82382170614526151</v>
      </c>
      <c r="BV145" s="17" cm="1">
        <f t="array" ref="BV145">MMULT(
    MMULT(
        INDEX($X$5:$AM$77, MATCH(BV$100,_xlfn.ANCHORARRAY( $W$5), 0), 0),
        $F$5:$U$20
    ),
    TRANSPOSE(
        INDEX($X$5:$AM$77, MATCH($A145,_xlfn.ANCHORARRAY( $W$5), 0), 0)
    )
)
/
(
    INDEX($AN$5:$AN$77, MATCH(BV$100,_xlfn.ANCHORARRAY( $W$5), 0))
    *
    INDEX($AN$5:$AN$77, MATCH($A145,_xlfn.ANCHORARRAY( $W$5), 0))
)</f>
        <v>0.80749717021397849</v>
      </c>
    </row>
    <row r="146" spans="1:74" x14ac:dyDescent="0.3">
      <c r="A146" s="7" t="str">
        <v>De Los Santos, Enyel</v>
      </c>
      <c r="B146" s="17" cm="1">
        <f t="array" ref="B146">MMULT(
    MMULT(
        INDEX($X$5:$AM$77, MATCH(B$100,_xlfn.ANCHORARRAY( $W$5), 0), 0),
        $F$5:$U$20
    ),
    TRANSPOSE(
        INDEX($X$5:$AM$77, MATCH($A146,_xlfn.ANCHORARRAY( $W$5), 0), 0)
    )
)
/
(
    INDEX($AN$5:$AN$77, MATCH(B$100,_xlfn.ANCHORARRAY( $W$5), 0))
    *
    INDEX($AN$5:$AN$77, MATCH($A146,_xlfn.ANCHORARRAY( $W$5), 0))
)</f>
        <v>0.83022957647962325</v>
      </c>
      <c r="C146" s="17" cm="1">
        <f t="array" ref="C146">MMULT(
    MMULT(
        INDEX($X$5:$AM$77, MATCH(C$100,_xlfn.ANCHORARRAY( $W$5), 0), 0),
        $F$5:$U$20
    ),
    TRANSPOSE(
        INDEX($X$5:$AM$77, MATCH($A146,_xlfn.ANCHORARRAY( $W$5), 0), 0)
    )
)
/
(
    INDEX($AN$5:$AN$77, MATCH(C$100,_xlfn.ANCHORARRAY( $W$5), 0))
    *
    INDEX($AN$5:$AN$77, MATCH($A146,_xlfn.ANCHORARRAY( $W$5), 0))
)</f>
        <v>0.56532517450226527</v>
      </c>
      <c r="D146" s="17" cm="1">
        <f t="array" ref="D146">MMULT(
    MMULT(
        INDEX($X$5:$AM$77, MATCH(D$100,_xlfn.ANCHORARRAY( $W$5), 0), 0),
        $F$5:$U$20
    ),
    TRANSPOSE(
        INDEX($X$5:$AM$77, MATCH($A146,_xlfn.ANCHORARRAY( $W$5), 0), 0)
    )
)
/
(
    INDEX($AN$5:$AN$77, MATCH(D$100,_xlfn.ANCHORARRAY( $W$5), 0))
    *
    INDEX($AN$5:$AN$77, MATCH($A146,_xlfn.ANCHORARRAY( $W$5), 0))
)</f>
        <v>0.96311225641596421</v>
      </c>
      <c r="E146" s="17" cm="1">
        <f t="array" ref="E146">MMULT(
    MMULT(
        INDEX($X$5:$AM$77, MATCH(E$100,_xlfn.ANCHORARRAY( $W$5), 0), 0),
        $F$5:$U$20
    ),
    TRANSPOSE(
        INDEX($X$5:$AM$77, MATCH($A146,_xlfn.ANCHORARRAY( $W$5), 0), 0)
    )
)
/
(
    INDEX($AN$5:$AN$77, MATCH(E$100,_xlfn.ANCHORARRAY( $W$5), 0))
    *
    INDEX($AN$5:$AN$77, MATCH($A146,_xlfn.ANCHORARRAY( $W$5), 0))
)</f>
        <v>0.88364493605529915</v>
      </c>
      <c r="F146" s="17" cm="1">
        <f t="array" ref="F146">MMULT(
    MMULT(
        INDEX($X$5:$AM$77, MATCH(F$100,_xlfn.ANCHORARRAY( $W$5), 0), 0),
        $F$5:$U$20
    ),
    TRANSPOSE(
        INDEX($X$5:$AM$77, MATCH($A146,_xlfn.ANCHORARRAY( $W$5), 0), 0)
    )
)
/
(
    INDEX($AN$5:$AN$77, MATCH(F$100,_xlfn.ANCHORARRAY( $W$5), 0))
    *
    INDEX($AN$5:$AN$77, MATCH($A146,_xlfn.ANCHORARRAY( $W$5), 0))
)</f>
        <v>0.99500630731332518</v>
      </c>
      <c r="G146" s="17" cm="1">
        <f t="array" ref="G146">MMULT(
    MMULT(
        INDEX($X$5:$AM$77, MATCH(G$100,_xlfn.ANCHORARRAY( $W$5), 0), 0),
        $F$5:$U$20
    ),
    TRANSPOSE(
        INDEX($X$5:$AM$77, MATCH($A146,_xlfn.ANCHORARRAY( $W$5), 0), 0)
    )
)
/
(
    INDEX($AN$5:$AN$77, MATCH(G$100,_xlfn.ANCHORARRAY( $W$5), 0))
    *
    INDEX($AN$5:$AN$77, MATCH($A146,_xlfn.ANCHORARRAY( $W$5), 0))
)</f>
        <v>0.70104129796169823</v>
      </c>
      <c r="H146" s="17" cm="1">
        <f t="array" ref="H146">MMULT(
    MMULT(
        INDEX($X$5:$AM$77, MATCH(H$100,_xlfn.ANCHORARRAY( $W$5), 0), 0),
        $F$5:$U$20
    ),
    TRANSPOSE(
        INDEX($X$5:$AM$77, MATCH($A146,_xlfn.ANCHORARRAY( $W$5), 0), 0)
    )
)
/
(
    INDEX($AN$5:$AN$77, MATCH(H$100,_xlfn.ANCHORARRAY( $W$5), 0))
    *
    INDEX($AN$5:$AN$77, MATCH($A146,_xlfn.ANCHORARRAY( $W$5), 0))
)</f>
        <v>0.71209791779059228</v>
      </c>
      <c r="I146" s="17" cm="1">
        <f t="array" ref="I146">MMULT(
    MMULT(
        INDEX($X$5:$AM$77, MATCH(I$100,_xlfn.ANCHORARRAY( $W$5), 0), 0),
        $F$5:$U$20
    ),
    TRANSPOSE(
        INDEX($X$5:$AM$77, MATCH($A146,_xlfn.ANCHORARRAY( $W$5), 0), 0)
    )
)
/
(
    INDEX($AN$5:$AN$77, MATCH(I$100,_xlfn.ANCHORARRAY( $W$5), 0))
    *
    INDEX($AN$5:$AN$77, MATCH($A146,_xlfn.ANCHORARRAY( $W$5), 0))
)</f>
        <v>0.69294996032309331</v>
      </c>
      <c r="J146" s="17" cm="1">
        <f t="array" ref="J146">MMULT(
    MMULT(
        INDEX($X$5:$AM$77, MATCH(J$100,_xlfn.ANCHORARRAY( $W$5), 0), 0),
        $F$5:$U$20
    ),
    TRANSPOSE(
        INDEX($X$5:$AM$77, MATCH($A146,_xlfn.ANCHORARRAY( $W$5), 0), 0)
    )
)
/
(
    INDEX($AN$5:$AN$77, MATCH(J$100,_xlfn.ANCHORARRAY( $W$5), 0))
    *
    INDEX($AN$5:$AN$77, MATCH($A146,_xlfn.ANCHORARRAY( $W$5), 0))
)</f>
        <v>0.87175055969957682</v>
      </c>
      <c r="K146" s="17" cm="1">
        <f t="array" ref="K146">MMULT(
    MMULT(
        INDEX($X$5:$AM$77, MATCH(K$100,_xlfn.ANCHORARRAY( $W$5), 0), 0),
        $F$5:$U$20
    ),
    TRANSPOSE(
        INDEX($X$5:$AM$77, MATCH($A146,_xlfn.ANCHORARRAY( $W$5), 0), 0)
    )
)
/
(
    INDEX($AN$5:$AN$77, MATCH(K$100,_xlfn.ANCHORARRAY( $W$5), 0))
    *
    INDEX($AN$5:$AN$77, MATCH($A146,_xlfn.ANCHORARRAY( $W$5), 0))
)</f>
        <v>0.86421721684869302</v>
      </c>
      <c r="L146" s="17" cm="1">
        <f t="array" ref="L146">MMULT(
    MMULT(
        INDEX($X$5:$AM$77, MATCH(L$100,_xlfn.ANCHORARRAY( $W$5), 0), 0),
        $F$5:$U$20
    ),
    TRANSPOSE(
        INDEX($X$5:$AM$77, MATCH($A146,_xlfn.ANCHORARRAY( $W$5), 0), 0)
    )
)
/
(
    INDEX($AN$5:$AN$77, MATCH(L$100,_xlfn.ANCHORARRAY( $W$5), 0))
    *
    INDEX($AN$5:$AN$77, MATCH($A146,_xlfn.ANCHORARRAY( $W$5), 0))
)</f>
        <v>0.59947474511409615</v>
      </c>
      <c r="M146" s="17" cm="1">
        <f t="array" ref="M146">MMULT(
    MMULT(
        INDEX($X$5:$AM$77, MATCH(M$100,_xlfn.ANCHORARRAY( $W$5), 0), 0),
        $F$5:$U$20
    ),
    TRANSPOSE(
        INDEX($X$5:$AM$77, MATCH($A146,_xlfn.ANCHORARRAY( $W$5), 0), 0)
    )
)
/
(
    INDEX($AN$5:$AN$77, MATCH(M$100,_xlfn.ANCHORARRAY( $W$5), 0))
    *
    INDEX($AN$5:$AN$77, MATCH($A146,_xlfn.ANCHORARRAY( $W$5), 0))
)</f>
        <v>0.86105267006208963</v>
      </c>
      <c r="N146" s="17" cm="1">
        <f t="array" ref="N146">MMULT(
    MMULT(
        INDEX($X$5:$AM$77, MATCH(N$100,_xlfn.ANCHORARRAY( $W$5), 0), 0),
        $F$5:$U$20
    ),
    TRANSPOSE(
        INDEX($X$5:$AM$77, MATCH($A146,_xlfn.ANCHORARRAY( $W$5), 0), 0)
    )
)
/
(
    INDEX($AN$5:$AN$77, MATCH(N$100,_xlfn.ANCHORARRAY( $W$5), 0))
    *
    INDEX($AN$5:$AN$77, MATCH($A146,_xlfn.ANCHORARRAY( $W$5), 0))
)</f>
        <v>0.92819646246697651</v>
      </c>
      <c r="O146" s="17" cm="1">
        <f t="array" ref="O146">MMULT(
    MMULT(
        INDEX($X$5:$AM$77, MATCH(O$100,_xlfn.ANCHORARRAY( $W$5), 0), 0),
        $F$5:$U$20
    ),
    TRANSPOSE(
        INDEX($X$5:$AM$77, MATCH($A146,_xlfn.ANCHORARRAY( $W$5), 0), 0)
    )
)
/
(
    INDEX($AN$5:$AN$77, MATCH(O$100,_xlfn.ANCHORARRAY( $W$5), 0))
    *
    INDEX($AN$5:$AN$77, MATCH($A146,_xlfn.ANCHORARRAY( $W$5), 0))
)</f>
        <v>0.97155705992145502</v>
      </c>
      <c r="P146" s="17" cm="1">
        <f t="array" ref="P146">MMULT(
    MMULT(
        INDEX($X$5:$AM$77, MATCH(P$100,_xlfn.ANCHORARRAY( $W$5), 0), 0),
        $F$5:$U$20
    ),
    TRANSPOSE(
        INDEX($X$5:$AM$77, MATCH($A146,_xlfn.ANCHORARRAY( $W$5), 0), 0)
    )
)
/
(
    INDEX($AN$5:$AN$77, MATCH(P$100,_xlfn.ANCHORARRAY( $W$5), 0))
    *
    INDEX($AN$5:$AN$77, MATCH($A146,_xlfn.ANCHORARRAY( $W$5), 0))
)</f>
        <v>0.91987059167246843</v>
      </c>
      <c r="Q146" s="17" cm="1">
        <f t="array" ref="Q146">MMULT(
    MMULT(
        INDEX($X$5:$AM$77, MATCH(Q$100,_xlfn.ANCHORARRAY( $W$5), 0), 0),
        $F$5:$U$20
    ),
    TRANSPOSE(
        INDEX($X$5:$AM$77, MATCH($A146,_xlfn.ANCHORARRAY( $W$5), 0), 0)
    )
)
/
(
    INDEX($AN$5:$AN$77, MATCH(Q$100,_xlfn.ANCHORARRAY( $W$5), 0))
    *
    INDEX($AN$5:$AN$77, MATCH($A146,_xlfn.ANCHORARRAY( $W$5), 0))
)</f>
        <v>0.60600772233738776</v>
      </c>
      <c r="R146" s="17" cm="1">
        <f t="array" ref="R146">MMULT(
    MMULT(
        INDEX($X$5:$AM$77, MATCH(R$100,_xlfn.ANCHORARRAY( $W$5), 0), 0),
        $F$5:$U$20
    ),
    TRANSPOSE(
        INDEX($X$5:$AM$77, MATCH($A146,_xlfn.ANCHORARRAY( $W$5), 0), 0)
    )
)
/
(
    INDEX($AN$5:$AN$77, MATCH(R$100,_xlfn.ANCHORARRAY( $W$5), 0))
    *
    INDEX($AN$5:$AN$77, MATCH($A146,_xlfn.ANCHORARRAY( $W$5), 0))
)</f>
        <v>0.89816933981297054</v>
      </c>
      <c r="S146" s="17" cm="1">
        <f t="array" ref="S146">MMULT(
    MMULT(
        INDEX($X$5:$AM$77, MATCH(S$100,_xlfn.ANCHORARRAY( $W$5), 0), 0),
        $F$5:$U$20
    ),
    TRANSPOSE(
        INDEX($X$5:$AM$77, MATCH($A146,_xlfn.ANCHORARRAY( $W$5), 0), 0)
    )
)
/
(
    INDEX($AN$5:$AN$77, MATCH(S$100,_xlfn.ANCHORARRAY( $W$5), 0))
    *
    INDEX($AN$5:$AN$77, MATCH($A146,_xlfn.ANCHORARRAY( $W$5), 0))
)</f>
        <v>0.76648473685790364</v>
      </c>
      <c r="T146" s="17" cm="1">
        <f t="array" ref="T146">MMULT(
    MMULT(
        INDEX($X$5:$AM$77, MATCH(T$100,_xlfn.ANCHORARRAY( $W$5), 0), 0),
        $F$5:$U$20
    ),
    TRANSPOSE(
        INDEX($X$5:$AM$77, MATCH($A146,_xlfn.ANCHORARRAY( $W$5), 0), 0)
    )
)
/
(
    INDEX($AN$5:$AN$77, MATCH(T$100,_xlfn.ANCHORARRAY( $W$5), 0))
    *
    INDEX($AN$5:$AN$77, MATCH($A146,_xlfn.ANCHORARRAY( $W$5), 0))
)</f>
        <v>0.25614397959334528</v>
      </c>
      <c r="U146" s="17" cm="1">
        <f t="array" ref="U146">MMULT(
    MMULT(
        INDEX($X$5:$AM$77, MATCH(U$100,_xlfn.ANCHORARRAY( $W$5), 0), 0),
        $F$5:$U$20
    ),
    TRANSPOSE(
        INDEX($X$5:$AM$77, MATCH($A146,_xlfn.ANCHORARRAY( $W$5), 0), 0)
    )
)
/
(
    INDEX($AN$5:$AN$77, MATCH(U$100,_xlfn.ANCHORARRAY( $W$5), 0))
    *
    INDEX($AN$5:$AN$77, MATCH($A146,_xlfn.ANCHORARRAY( $W$5), 0))
)</f>
        <v>0.94175047319459282</v>
      </c>
      <c r="V146" s="17" cm="1">
        <f t="array" ref="V146">MMULT(
    MMULT(
        INDEX($X$5:$AM$77, MATCH(V$100,_xlfn.ANCHORARRAY( $W$5), 0), 0),
        $F$5:$U$20
    ),
    TRANSPOSE(
        INDEX($X$5:$AM$77, MATCH($A146,_xlfn.ANCHORARRAY( $W$5), 0), 0)
    )
)
/
(
    INDEX($AN$5:$AN$77, MATCH(V$100,_xlfn.ANCHORARRAY( $W$5), 0))
    *
    INDEX($AN$5:$AN$77, MATCH($A146,_xlfn.ANCHORARRAY( $W$5), 0))
)</f>
        <v>0.42560891573461063</v>
      </c>
      <c r="W146" s="17" cm="1">
        <f t="array" ref="W146">MMULT(
    MMULT(
        INDEX($X$5:$AM$77, MATCH(W$100,_xlfn.ANCHORARRAY( $W$5), 0), 0),
        $F$5:$U$20
    ),
    TRANSPOSE(
        INDEX($X$5:$AM$77, MATCH($A146,_xlfn.ANCHORARRAY( $W$5), 0), 0)
    )
)
/
(
    INDEX($AN$5:$AN$77, MATCH(W$100,_xlfn.ANCHORARRAY( $W$5), 0))
    *
    INDEX($AN$5:$AN$77, MATCH($A146,_xlfn.ANCHORARRAY( $W$5), 0))
)</f>
        <v>0.69167116850603894</v>
      </c>
      <c r="X146" s="17" cm="1">
        <f t="array" ref="X146">MMULT(
    MMULT(
        INDEX($X$5:$AM$77, MATCH(X$100,_xlfn.ANCHORARRAY( $W$5), 0), 0),
        $F$5:$U$20
    ),
    TRANSPOSE(
        INDEX($X$5:$AM$77, MATCH($A146,_xlfn.ANCHORARRAY( $W$5), 0), 0)
    )
)
/
(
    INDEX($AN$5:$AN$77, MATCH(X$100,_xlfn.ANCHORARRAY( $W$5), 0))
    *
    INDEX($AN$5:$AN$77, MATCH($A146,_xlfn.ANCHORARRAY( $W$5), 0))
)</f>
        <v>0.98934010354958501</v>
      </c>
      <c r="Y146" s="17" cm="1">
        <f t="array" ref="Y146">MMULT(
    MMULT(
        INDEX($X$5:$AM$77, MATCH(Y$100,_xlfn.ANCHORARRAY( $W$5), 0), 0),
        $F$5:$U$20
    ),
    TRANSPOSE(
        INDEX($X$5:$AM$77, MATCH($A146,_xlfn.ANCHORARRAY( $W$5), 0), 0)
    )
)
/
(
    INDEX($AN$5:$AN$77, MATCH(Y$100,_xlfn.ANCHORARRAY( $W$5), 0))
    *
    INDEX($AN$5:$AN$77, MATCH($A146,_xlfn.ANCHORARRAY( $W$5), 0))
)</f>
        <v>0.59271584550243106</v>
      </c>
      <c r="Z146" s="17" cm="1">
        <f t="array" ref="Z146">MMULT(
    MMULT(
        INDEX($X$5:$AM$77, MATCH(Z$100,_xlfn.ANCHORARRAY( $W$5), 0), 0),
        $F$5:$U$20
    ),
    TRANSPOSE(
        INDEX($X$5:$AM$77, MATCH($A146,_xlfn.ANCHORARRAY( $W$5), 0), 0)
    )
)
/
(
    INDEX($AN$5:$AN$77, MATCH(Z$100,_xlfn.ANCHORARRAY( $W$5), 0))
    *
    INDEX($AN$5:$AN$77, MATCH($A146,_xlfn.ANCHORARRAY( $W$5), 0))
)</f>
        <v>0.98499927026141842</v>
      </c>
      <c r="AA146" s="17" cm="1">
        <f t="array" ref="AA146">MMULT(
    MMULT(
        INDEX($X$5:$AM$77, MATCH(AA$100,_xlfn.ANCHORARRAY( $W$5), 0), 0),
        $F$5:$U$20
    ),
    TRANSPOSE(
        INDEX($X$5:$AM$77, MATCH($A146,_xlfn.ANCHORARRAY( $W$5), 0), 0)
    )
)
/
(
    INDEX($AN$5:$AN$77, MATCH(AA$100,_xlfn.ANCHORARRAY( $W$5), 0))
    *
    INDEX($AN$5:$AN$77, MATCH($A146,_xlfn.ANCHORARRAY( $W$5), 0))
)</f>
        <v>0.95643939172940229</v>
      </c>
      <c r="AB146" s="17" cm="1">
        <f t="array" ref="AB146">MMULT(
    MMULT(
        INDEX($X$5:$AM$77, MATCH(AB$100,_xlfn.ANCHORARRAY( $W$5), 0), 0),
        $F$5:$U$20
    ),
    TRANSPOSE(
        INDEX($X$5:$AM$77, MATCH($A146,_xlfn.ANCHORARRAY( $W$5), 0), 0)
    )
)
/
(
    INDEX($AN$5:$AN$77, MATCH(AB$100,_xlfn.ANCHORARRAY( $W$5), 0))
    *
    INDEX($AN$5:$AN$77, MATCH($A146,_xlfn.ANCHORARRAY( $W$5), 0))
)</f>
        <v>0.91983186220120294</v>
      </c>
      <c r="AC146" s="17" cm="1">
        <f t="array" ref="AC146">MMULT(
    MMULT(
        INDEX($X$5:$AM$77, MATCH(AC$100,_xlfn.ANCHORARRAY( $W$5), 0), 0),
        $F$5:$U$20
    ),
    TRANSPOSE(
        INDEX($X$5:$AM$77, MATCH($A146,_xlfn.ANCHORARRAY( $W$5), 0), 0)
    )
)
/
(
    INDEX($AN$5:$AN$77, MATCH(AC$100,_xlfn.ANCHORARRAY( $W$5), 0))
    *
    INDEX($AN$5:$AN$77, MATCH($A146,_xlfn.ANCHORARRAY( $W$5), 0))
)</f>
        <v>0.70953885359028523</v>
      </c>
      <c r="AD146" s="17" cm="1">
        <f t="array" ref="AD146">MMULT(
    MMULT(
        INDEX($X$5:$AM$77, MATCH(AD$100,_xlfn.ANCHORARRAY( $W$5), 0), 0),
        $F$5:$U$20
    ),
    TRANSPOSE(
        INDEX($X$5:$AM$77, MATCH($A146,_xlfn.ANCHORARRAY( $W$5), 0), 0)
    )
)
/
(
    INDEX($AN$5:$AN$77, MATCH(AD$100,_xlfn.ANCHORARRAY( $W$5), 0))
    *
    INDEX($AN$5:$AN$77, MATCH($A146,_xlfn.ANCHORARRAY( $W$5), 0))
)</f>
        <v>0.95808062972326269</v>
      </c>
      <c r="AE146" s="17" cm="1">
        <f t="array" ref="AE146">MMULT(
    MMULT(
        INDEX($X$5:$AM$77, MATCH(AE$100,_xlfn.ANCHORARRAY( $W$5), 0), 0),
        $F$5:$U$20
    ),
    TRANSPOSE(
        INDEX($X$5:$AM$77, MATCH($A146,_xlfn.ANCHORARRAY( $W$5), 0), 0)
    )
)
/
(
    INDEX($AN$5:$AN$77, MATCH(AE$100,_xlfn.ANCHORARRAY( $W$5), 0))
    *
    INDEX($AN$5:$AN$77, MATCH($A146,_xlfn.ANCHORARRAY( $W$5), 0))
)</f>
        <v>0.81604384250623374</v>
      </c>
      <c r="AF146" s="17" cm="1">
        <f t="array" ref="AF146">MMULT(
    MMULT(
        INDEX($X$5:$AM$77, MATCH(AF$100,_xlfn.ANCHORARRAY( $W$5), 0), 0),
        $F$5:$U$20
    ),
    TRANSPOSE(
        INDEX($X$5:$AM$77, MATCH($A146,_xlfn.ANCHORARRAY( $W$5), 0), 0)
    )
)
/
(
    INDEX($AN$5:$AN$77, MATCH(AF$100,_xlfn.ANCHORARRAY( $W$5), 0))
    *
    INDEX($AN$5:$AN$77, MATCH($A146,_xlfn.ANCHORARRAY( $W$5), 0))
)</f>
        <v>0.70157898157108856</v>
      </c>
      <c r="AG146" s="17" cm="1">
        <f t="array" ref="AG146">MMULT(
    MMULT(
        INDEX($X$5:$AM$77, MATCH(AG$100,_xlfn.ANCHORARRAY( $W$5), 0), 0),
        $F$5:$U$20
    ),
    TRANSPOSE(
        INDEX($X$5:$AM$77, MATCH($A146,_xlfn.ANCHORARRAY( $W$5), 0), 0)
    )
)
/
(
    INDEX($AN$5:$AN$77, MATCH(AG$100,_xlfn.ANCHORARRAY( $W$5), 0))
    *
    INDEX($AN$5:$AN$77, MATCH($A146,_xlfn.ANCHORARRAY( $W$5), 0))
)</f>
        <v>0.78145779651811098</v>
      </c>
      <c r="AH146" s="17" cm="1">
        <f t="array" ref="AH146">MMULT(
    MMULT(
        INDEX($X$5:$AM$77, MATCH(AH$100,_xlfn.ANCHORARRAY( $W$5), 0), 0),
        $F$5:$U$20
    ),
    TRANSPOSE(
        INDEX($X$5:$AM$77, MATCH($A146,_xlfn.ANCHORARRAY( $W$5), 0), 0)
    )
)
/
(
    INDEX($AN$5:$AN$77, MATCH(AH$100,_xlfn.ANCHORARRAY( $W$5), 0))
    *
    INDEX($AN$5:$AN$77, MATCH($A146,_xlfn.ANCHORARRAY( $W$5), 0))
)</f>
        <v>0.67172969915988834</v>
      </c>
      <c r="AI146" s="17" cm="1">
        <f t="array" ref="AI146">MMULT(
    MMULT(
        INDEX($X$5:$AM$77, MATCH(AI$100,_xlfn.ANCHORARRAY( $W$5), 0), 0),
        $F$5:$U$20
    ),
    TRANSPOSE(
        INDEX($X$5:$AM$77, MATCH($A146,_xlfn.ANCHORARRAY( $W$5), 0), 0)
    )
)
/
(
    INDEX($AN$5:$AN$77, MATCH(AI$100,_xlfn.ANCHORARRAY( $W$5), 0))
    *
    INDEX($AN$5:$AN$77, MATCH($A146,_xlfn.ANCHORARRAY( $W$5), 0))
)</f>
        <v>0.82997492589057409</v>
      </c>
      <c r="AJ146" s="17" cm="1">
        <f t="array" ref="AJ146">MMULT(
    MMULT(
        INDEX($X$5:$AM$77, MATCH(AJ$100,_xlfn.ANCHORARRAY( $W$5), 0), 0),
        $F$5:$U$20
    ),
    TRANSPOSE(
        INDEX($X$5:$AM$77, MATCH($A146,_xlfn.ANCHORARRAY( $W$5), 0), 0)
    )
)
/
(
    INDEX($AN$5:$AN$77, MATCH(AJ$100,_xlfn.ANCHORARRAY( $W$5), 0))
    *
    INDEX($AN$5:$AN$77, MATCH($A146,_xlfn.ANCHORARRAY( $W$5), 0))
)</f>
        <v>0.93656584174353463</v>
      </c>
      <c r="AK146" s="17" cm="1">
        <f t="array" ref="AK146">MMULT(
    MMULT(
        INDEX($X$5:$AM$77, MATCH(AK$100,_xlfn.ANCHORARRAY( $W$5), 0), 0),
        $F$5:$U$20
    ),
    TRANSPOSE(
        INDEX($X$5:$AM$77, MATCH($A146,_xlfn.ANCHORARRAY( $W$5), 0), 0)
    )
)
/
(
    INDEX($AN$5:$AN$77, MATCH(AK$100,_xlfn.ANCHORARRAY( $W$5), 0))
    *
    INDEX($AN$5:$AN$77, MATCH($A146,_xlfn.ANCHORARRAY( $W$5), 0))
)</f>
        <v>0.83910712953909039</v>
      </c>
      <c r="AL146" s="17" cm="1">
        <f t="array" ref="AL146">MMULT(
    MMULT(
        INDEX($X$5:$AM$77, MATCH(AL$100,_xlfn.ANCHORARRAY( $W$5), 0), 0),
        $F$5:$U$20
    ),
    TRANSPOSE(
        INDEX($X$5:$AM$77, MATCH($A146,_xlfn.ANCHORARRAY( $W$5), 0), 0)
    )
)
/
(
    INDEX($AN$5:$AN$77, MATCH(AL$100,_xlfn.ANCHORARRAY( $W$5), 0))
    *
    INDEX($AN$5:$AN$77, MATCH($A146,_xlfn.ANCHORARRAY( $W$5), 0))
)</f>
        <v>0.95848110473252024</v>
      </c>
      <c r="AM146" s="17" cm="1">
        <f t="array" ref="AM146">MMULT(
    MMULT(
        INDEX($X$5:$AM$77, MATCH(AM$100,_xlfn.ANCHORARRAY( $W$5), 0), 0),
        $F$5:$U$20
    ),
    TRANSPOSE(
        INDEX($X$5:$AM$77, MATCH($A146,_xlfn.ANCHORARRAY( $W$5), 0), 0)
    )
)
/
(
    INDEX($AN$5:$AN$77, MATCH(AM$100,_xlfn.ANCHORARRAY( $W$5), 0))
    *
    INDEX($AN$5:$AN$77, MATCH($A146,_xlfn.ANCHORARRAY( $W$5), 0))
)</f>
        <v>0.69563434496049259</v>
      </c>
      <c r="AN146" s="17" cm="1">
        <f t="array" ref="AN146">MMULT(
    MMULT(
        INDEX($X$5:$AM$77, MATCH(AN$100,_xlfn.ANCHORARRAY( $W$5), 0), 0),
        $F$5:$U$20
    ),
    TRANSPOSE(
        INDEX($X$5:$AM$77, MATCH($A146,_xlfn.ANCHORARRAY( $W$5), 0), 0)
    )
)
/
(
    INDEX($AN$5:$AN$77, MATCH(AN$100,_xlfn.ANCHORARRAY( $W$5), 0))
    *
    INDEX($AN$5:$AN$77, MATCH($A146,_xlfn.ANCHORARRAY( $W$5), 0))
)</f>
        <v>0.74180513570505657</v>
      </c>
      <c r="AO146" s="17" cm="1">
        <f t="array" ref="AO146">MMULT(
    MMULT(
        INDEX($X$5:$AM$77, MATCH(AO$100,_xlfn.ANCHORARRAY( $W$5), 0), 0),
        $F$5:$U$20
    ),
    TRANSPOSE(
        INDEX($X$5:$AM$77, MATCH($A146,_xlfn.ANCHORARRAY( $W$5), 0), 0)
    )
)
/
(
    INDEX($AN$5:$AN$77, MATCH(AO$100,_xlfn.ANCHORARRAY( $W$5), 0))
    *
    INDEX($AN$5:$AN$77, MATCH($A146,_xlfn.ANCHORARRAY( $W$5), 0))
)</f>
        <v>0.63523647412673989</v>
      </c>
      <c r="AP146" s="17" cm="1">
        <f t="array" ref="AP146">MMULT(
    MMULT(
        INDEX($X$5:$AM$77, MATCH(AP$100,_xlfn.ANCHORARRAY( $W$5), 0), 0),
        $F$5:$U$20
    ),
    TRANSPOSE(
        INDEX($X$5:$AM$77, MATCH($A146,_xlfn.ANCHORARRAY( $W$5), 0), 0)
    )
)
/
(
    INDEX($AN$5:$AN$77, MATCH(AP$100,_xlfn.ANCHORARRAY( $W$5), 0))
    *
    INDEX($AN$5:$AN$77, MATCH($A146,_xlfn.ANCHORARRAY( $W$5), 0))
)</f>
        <v>0.69500264346817398</v>
      </c>
      <c r="AQ146" s="17" cm="1">
        <f t="array" ref="AQ146">MMULT(
    MMULT(
        INDEX($X$5:$AM$77, MATCH(AQ$100,_xlfn.ANCHORARRAY( $W$5), 0), 0),
        $F$5:$U$20
    ),
    TRANSPOSE(
        INDEX($X$5:$AM$77, MATCH($A146,_xlfn.ANCHORARRAY( $W$5), 0), 0)
    )
)
/
(
    INDEX($AN$5:$AN$77, MATCH(AQ$100,_xlfn.ANCHORARRAY( $W$5), 0))
    *
    INDEX($AN$5:$AN$77, MATCH($A146,_xlfn.ANCHORARRAY( $W$5), 0))
)</f>
        <v>0.64464487424700812</v>
      </c>
      <c r="AR146" s="17" cm="1">
        <f t="array" ref="AR146">MMULT(
    MMULT(
        INDEX($X$5:$AM$77, MATCH(AR$100,_xlfn.ANCHORARRAY( $W$5), 0), 0),
        $F$5:$U$20
    ),
    TRANSPOSE(
        INDEX($X$5:$AM$77, MATCH($A146,_xlfn.ANCHORARRAY( $W$5), 0), 0)
    )
)
/
(
    INDEX($AN$5:$AN$77, MATCH(AR$100,_xlfn.ANCHORARRAY( $W$5), 0))
    *
    INDEX($AN$5:$AN$77, MATCH($A146,_xlfn.ANCHORARRAY( $W$5), 0))
)</f>
        <v>0.91894695865729314</v>
      </c>
      <c r="AS146" s="17" cm="1">
        <f t="array" ref="AS146">MMULT(
    MMULT(
        INDEX($X$5:$AM$77, MATCH(AS$100,_xlfn.ANCHORARRAY( $W$5), 0), 0),
        $F$5:$U$20
    ),
    TRANSPOSE(
        INDEX($X$5:$AM$77, MATCH($A146,_xlfn.ANCHORARRAY( $W$5), 0), 0)
    )
)
/
(
    INDEX($AN$5:$AN$77, MATCH(AS$100,_xlfn.ANCHORARRAY( $W$5), 0))
    *
    INDEX($AN$5:$AN$77, MATCH($A146,_xlfn.ANCHORARRAY( $W$5), 0))
)</f>
        <v>0.98425415033910746</v>
      </c>
      <c r="AT146" s="17" cm="1">
        <f t="array" ref="AT146">MMULT(
    MMULT(
        INDEX($X$5:$AM$77, MATCH(AT$100,_xlfn.ANCHORARRAY( $W$5), 0), 0),
        $F$5:$U$20
    ),
    TRANSPOSE(
        INDEX($X$5:$AM$77, MATCH($A146,_xlfn.ANCHORARRAY( $W$5), 0), 0)
    )
)
/
(
    INDEX($AN$5:$AN$77, MATCH(AT$100,_xlfn.ANCHORARRAY( $W$5), 0))
    *
    INDEX($AN$5:$AN$77, MATCH($A146,_xlfn.ANCHORARRAY( $W$5), 0))
)</f>
        <v>0.72851924785007338</v>
      </c>
      <c r="AU146" s="17" cm="1">
        <f t="array" ref="AU146">MMULT(
    MMULT(
        INDEX($X$5:$AM$77, MATCH(AU$100,_xlfn.ANCHORARRAY( $W$5), 0), 0),
        $F$5:$U$20
    ),
    TRANSPOSE(
        INDEX($X$5:$AM$77, MATCH($A146,_xlfn.ANCHORARRAY( $W$5), 0), 0)
    )
)
/
(
    INDEX($AN$5:$AN$77, MATCH(AU$100,_xlfn.ANCHORARRAY( $W$5), 0))
    *
    INDEX($AN$5:$AN$77, MATCH($A146,_xlfn.ANCHORARRAY( $W$5), 0))
)</f>
        <v>0.99999999999999989</v>
      </c>
      <c r="AV146" s="17" cm="1">
        <f t="array" ref="AV146">MMULT(
    MMULT(
        INDEX($X$5:$AM$77, MATCH(AV$100,_xlfn.ANCHORARRAY( $W$5), 0), 0),
        $F$5:$U$20
    ),
    TRANSPOSE(
        INDEX($X$5:$AM$77, MATCH($A146,_xlfn.ANCHORARRAY( $W$5), 0), 0)
    )
)
/
(
    INDEX($AN$5:$AN$77, MATCH(AV$100,_xlfn.ANCHORARRAY( $W$5), 0))
    *
    INDEX($AN$5:$AN$77, MATCH($A146,_xlfn.ANCHORARRAY( $W$5), 0))
)</f>
        <v>0.96720481893481591</v>
      </c>
      <c r="AW146" s="17" cm="1">
        <f t="array" ref="AW146">MMULT(
    MMULT(
        INDEX($X$5:$AM$77, MATCH(AW$100,_xlfn.ANCHORARRAY( $W$5), 0), 0),
        $F$5:$U$20
    ),
    TRANSPOSE(
        INDEX($X$5:$AM$77, MATCH($A146,_xlfn.ANCHORARRAY( $W$5), 0), 0)
    )
)
/
(
    INDEX($AN$5:$AN$77, MATCH(AW$100,_xlfn.ANCHORARRAY( $W$5), 0))
    *
    INDEX($AN$5:$AN$77, MATCH($A146,_xlfn.ANCHORARRAY( $W$5), 0))
)</f>
        <v>0.7994323229339243</v>
      </c>
      <c r="AX146" s="17" cm="1">
        <f t="array" ref="AX146">MMULT(
    MMULT(
        INDEX($X$5:$AM$77, MATCH(AX$100,_xlfn.ANCHORARRAY( $W$5), 0), 0),
        $F$5:$U$20
    ),
    TRANSPOSE(
        INDEX($X$5:$AM$77, MATCH($A146,_xlfn.ANCHORARRAY( $W$5), 0), 0)
    )
)
/
(
    INDEX($AN$5:$AN$77, MATCH(AX$100,_xlfn.ANCHORARRAY( $W$5), 0))
    *
    INDEX($AN$5:$AN$77, MATCH($A146,_xlfn.ANCHORARRAY( $W$5), 0))
)</f>
        <v>0.44639962645596359</v>
      </c>
      <c r="AY146" s="17" cm="1">
        <f t="array" ref="AY146">MMULT(
    MMULT(
        INDEX($X$5:$AM$77, MATCH(AY$100,_xlfn.ANCHORARRAY( $W$5), 0), 0),
        $F$5:$U$20
    ),
    TRANSPOSE(
        INDEX($X$5:$AM$77, MATCH($A146,_xlfn.ANCHORARRAY( $W$5), 0), 0)
    )
)
/
(
    INDEX($AN$5:$AN$77, MATCH(AY$100,_xlfn.ANCHORARRAY( $W$5), 0))
    *
    INDEX($AN$5:$AN$77, MATCH($A146,_xlfn.ANCHORARRAY( $W$5), 0))
)</f>
        <v>0.66789366789256355</v>
      </c>
      <c r="AZ146" s="17" cm="1">
        <f t="array" ref="AZ146">MMULT(
    MMULT(
        INDEX($X$5:$AM$77, MATCH(AZ$100,_xlfn.ANCHORARRAY( $W$5), 0), 0),
        $F$5:$U$20
    ),
    TRANSPOSE(
        INDEX($X$5:$AM$77, MATCH($A146,_xlfn.ANCHORARRAY( $W$5), 0), 0)
    )
)
/
(
    INDEX($AN$5:$AN$77, MATCH(AZ$100,_xlfn.ANCHORARRAY( $W$5), 0))
    *
    INDEX($AN$5:$AN$77, MATCH($A146,_xlfn.ANCHORARRAY( $W$5), 0))
)</f>
        <v>0.96834785125501954</v>
      </c>
      <c r="BA146" s="17" cm="1">
        <f t="array" ref="BA146">MMULT(
    MMULT(
        INDEX($X$5:$AM$77, MATCH(BA$100,_xlfn.ANCHORARRAY( $W$5), 0), 0),
        $F$5:$U$20
    ),
    TRANSPOSE(
        INDEX($X$5:$AM$77, MATCH($A146,_xlfn.ANCHORARRAY( $W$5), 0), 0)
    )
)
/
(
    INDEX($AN$5:$AN$77, MATCH(BA$100,_xlfn.ANCHORARRAY( $W$5), 0))
    *
    INDEX($AN$5:$AN$77, MATCH($A146,_xlfn.ANCHORARRAY( $W$5), 0))
)</f>
        <v>0.95500266960664593</v>
      </c>
      <c r="BB146" s="17" cm="1">
        <f t="array" ref="BB146">MMULT(
    MMULT(
        INDEX($X$5:$AM$77, MATCH(BB$100,_xlfn.ANCHORARRAY( $W$5), 0), 0),
        $F$5:$U$20
    ),
    TRANSPOSE(
        INDEX($X$5:$AM$77, MATCH($A146,_xlfn.ANCHORARRAY( $W$5), 0), 0)
    )
)
/
(
    INDEX($AN$5:$AN$77, MATCH(BB$100,_xlfn.ANCHORARRAY( $W$5), 0))
    *
    INDEX($AN$5:$AN$77, MATCH($A146,_xlfn.ANCHORARRAY( $W$5), 0))
)</f>
        <v>0.76243509056552694</v>
      </c>
      <c r="BC146" s="17" cm="1">
        <f t="array" ref="BC146">MMULT(
    MMULT(
        INDEX($X$5:$AM$77, MATCH(BC$100,_xlfn.ANCHORARRAY( $W$5), 0), 0),
        $F$5:$U$20
    ),
    TRANSPOSE(
        INDEX($X$5:$AM$77, MATCH($A146,_xlfn.ANCHORARRAY( $W$5), 0), 0)
    )
)
/
(
    INDEX($AN$5:$AN$77, MATCH(BC$100,_xlfn.ANCHORARRAY( $W$5), 0))
    *
    INDEX($AN$5:$AN$77, MATCH($A146,_xlfn.ANCHORARRAY( $W$5), 0))
)</f>
        <v>0.82115076881220672</v>
      </c>
      <c r="BD146" s="17" cm="1">
        <f t="array" ref="BD146">MMULT(
    MMULT(
        INDEX($X$5:$AM$77, MATCH(BD$100,_xlfn.ANCHORARRAY( $W$5), 0), 0),
        $F$5:$U$20
    ),
    TRANSPOSE(
        INDEX($X$5:$AM$77, MATCH($A146,_xlfn.ANCHORARRAY( $W$5), 0), 0)
    )
)
/
(
    INDEX($AN$5:$AN$77, MATCH(BD$100,_xlfn.ANCHORARRAY( $W$5), 0))
    *
    INDEX($AN$5:$AN$77, MATCH($A146,_xlfn.ANCHORARRAY( $W$5), 0))
)</f>
        <v>0.49866740302568313</v>
      </c>
      <c r="BE146" s="17" cm="1">
        <f t="array" ref="BE146">MMULT(
    MMULT(
        INDEX($X$5:$AM$77, MATCH(BE$100,_xlfn.ANCHORARRAY( $W$5), 0), 0),
        $F$5:$U$20
    ),
    TRANSPOSE(
        INDEX($X$5:$AM$77, MATCH($A146,_xlfn.ANCHORARRAY( $W$5), 0), 0)
    )
)
/
(
    INDEX($AN$5:$AN$77, MATCH(BE$100,_xlfn.ANCHORARRAY( $W$5), 0))
    *
    INDEX($AN$5:$AN$77, MATCH($A146,_xlfn.ANCHORARRAY( $W$5), 0))
)</f>
        <v>0.72158578682818675</v>
      </c>
      <c r="BF146" s="17" cm="1">
        <f t="array" ref="BF146">MMULT(
    MMULT(
        INDEX($X$5:$AM$77, MATCH(BF$100,_xlfn.ANCHORARRAY( $W$5), 0), 0),
        $F$5:$U$20
    ),
    TRANSPOSE(
        INDEX($X$5:$AM$77, MATCH($A146,_xlfn.ANCHORARRAY( $W$5), 0), 0)
    )
)
/
(
    INDEX($AN$5:$AN$77, MATCH(BF$100,_xlfn.ANCHORARRAY( $W$5), 0))
    *
    INDEX($AN$5:$AN$77, MATCH($A146,_xlfn.ANCHORARRAY( $W$5), 0))
)</f>
        <v>0.82509884714100756</v>
      </c>
      <c r="BG146" s="17" cm="1">
        <f t="array" ref="BG146">MMULT(
    MMULT(
        INDEX($X$5:$AM$77, MATCH(BG$100,_xlfn.ANCHORARRAY( $W$5), 0), 0),
        $F$5:$U$20
    ),
    TRANSPOSE(
        INDEX($X$5:$AM$77, MATCH($A146,_xlfn.ANCHORARRAY( $W$5), 0), 0)
    )
)
/
(
    INDEX($AN$5:$AN$77, MATCH(BG$100,_xlfn.ANCHORARRAY( $W$5), 0))
    *
    INDEX($AN$5:$AN$77, MATCH($A146,_xlfn.ANCHORARRAY( $W$5), 0))
)</f>
        <v>0.93076351682535929</v>
      </c>
      <c r="BH146" s="17" cm="1">
        <f t="array" ref="BH146">MMULT(
    MMULT(
        INDEX($X$5:$AM$77, MATCH(BH$100,_xlfn.ANCHORARRAY( $W$5), 0), 0),
        $F$5:$U$20
    ),
    TRANSPOSE(
        INDEX($X$5:$AM$77, MATCH($A146,_xlfn.ANCHORARRAY( $W$5), 0), 0)
    )
)
/
(
    INDEX($AN$5:$AN$77, MATCH(BH$100,_xlfn.ANCHORARRAY( $W$5), 0))
    *
    INDEX($AN$5:$AN$77, MATCH($A146,_xlfn.ANCHORARRAY( $W$5), 0))
)</f>
        <v>0.68233922356886301</v>
      </c>
      <c r="BI146" s="17" cm="1">
        <f t="array" ref="BI146">MMULT(
    MMULT(
        INDEX($X$5:$AM$77, MATCH(BI$100,_xlfn.ANCHORARRAY( $W$5), 0), 0),
        $F$5:$U$20
    ),
    TRANSPOSE(
        INDEX($X$5:$AM$77, MATCH($A146,_xlfn.ANCHORARRAY( $W$5), 0), 0)
    )
)
/
(
    INDEX($AN$5:$AN$77, MATCH(BI$100,_xlfn.ANCHORARRAY( $W$5), 0))
    *
    INDEX($AN$5:$AN$77, MATCH($A146,_xlfn.ANCHORARRAY( $W$5), 0))
)</f>
        <v>0.63953258497634224</v>
      </c>
      <c r="BJ146" s="17" cm="1">
        <f t="array" ref="BJ146">MMULT(
    MMULT(
        INDEX($X$5:$AM$77, MATCH(BJ$100,_xlfn.ANCHORARRAY( $W$5), 0), 0),
        $F$5:$U$20
    ),
    TRANSPOSE(
        INDEX($X$5:$AM$77, MATCH($A146,_xlfn.ANCHORARRAY( $W$5), 0), 0)
    )
)
/
(
    INDEX($AN$5:$AN$77, MATCH(BJ$100,_xlfn.ANCHORARRAY( $W$5), 0))
    *
    INDEX($AN$5:$AN$77, MATCH($A146,_xlfn.ANCHORARRAY( $W$5), 0))
)</f>
        <v>0.8281563932155851</v>
      </c>
      <c r="BK146" s="17" cm="1">
        <f t="array" ref="BK146">MMULT(
    MMULT(
        INDEX($X$5:$AM$77, MATCH(BK$100,_xlfn.ANCHORARRAY( $W$5), 0), 0),
        $F$5:$U$20
    ),
    TRANSPOSE(
        INDEX($X$5:$AM$77, MATCH($A146,_xlfn.ANCHORARRAY( $W$5), 0), 0)
    )
)
/
(
    INDEX($AN$5:$AN$77, MATCH(BK$100,_xlfn.ANCHORARRAY( $W$5), 0))
    *
    INDEX($AN$5:$AN$77, MATCH($A146,_xlfn.ANCHORARRAY( $W$5), 0))
)</f>
        <v>0.52511083490981048</v>
      </c>
      <c r="BL146" s="17" cm="1">
        <f t="array" ref="BL146">MMULT(
    MMULT(
        INDEX($X$5:$AM$77, MATCH(BL$100,_xlfn.ANCHORARRAY( $W$5), 0), 0),
        $F$5:$U$20
    ),
    TRANSPOSE(
        INDEX($X$5:$AM$77, MATCH($A146,_xlfn.ANCHORARRAY( $W$5), 0), 0)
    )
)
/
(
    INDEX($AN$5:$AN$77, MATCH(BL$100,_xlfn.ANCHORARRAY( $W$5), 0))
    *
    INDEX($AN$5:$AN$77, MATCH($A146,_xlfn.ANCHORARRAY( $W$5), 0))
)</f>
        <v>0.76097865385628205</v>
      </c>
      <c r="BM146" s="17" cm="1">
        <f t="array" ref="BM146">MMULT(
    MMULT(
        INDEX($X$5:$AM$77, MATCH(BM$100,_xlfn.ANCHORARRAY( $W$5), 0), 0),
        $F$5:$U$20
    ),
    TRANSPOSE(
        INDEX($X$5:$AM$77, MATCH($A146,_xlfn.ANCHORARRAY( $W$5), 0), 0)
    )
)
/
(
    INDEX($AN$5:$AN$77, MATCH(BM$100,_xlfn.ANCHORARRAY( $W$5), 0))
    *
    INDEX($AN$5:$AN$77, MATCH($A146,_xlfn.ANCHORARRAY( $W$5), 0))
)</f>
        <v>0.77613642827680818</v>
      </c>
      <c r="BN146" s="17" cm="1">
        <f t="array" ref="BN146">MMULT(
    MMULT(
        INDEX($X$5:$AM$77, MATCH(BN$100,_xlfn.ANCHORARRAY( $W$5), 0), 0),
        $F$5:$U$20
    ),
    TRANSPOSE(
        INDEX($X$5:$AM$77, MATCH($A146,_xlfn.ANCHORARRAY( $W$5), 0), 0)
    )
)
/
(
    INDEX($AN$5:$AN$77, MATCH(BN$100,_xlfn.ANCHORARRAY( $W$5), 0))
    *
    INDEX($AN$5:$AN$77, MATCH($A146,_xlfn.ANCHORARRAY( $W$5), 0))
)</f>
        <v>0.68488523247658062</v>
      </c>
      <c r="BO146" s="17" cm="1">
        <f t="array" ref="BO146">MMULT(
    MMULT(
        INDEX($X$5:$AM$77, MATCH(BO$100,_xlfn.ANCHORARRAY( $W$5), 0), 0),
        $F$5:$U$20
    ),
    TRANSPOSE(
        INDEX($X$5:$AM$77, MATCH($A146,_xlfn.ANCHORARRAY( $W$5), 0), 0)
    )
)
/
(
    INDEX($AN$5:$AN$77, MATCH(BO$100,_xlfn.ANCHORARRAY( $W$5), 0))
    *
    INDEX($AN$5:$AN$77, MATCH($A146,_xlfn.ANCHORARRAY( $W$5), 0))
)</f>
        <v>0.92810247506413013</v>
      </c>
      <c r="BP146" s="17" cm="1">
        <f t="array" ref="BP146">MMULT(
    MMULT(
        INDEX($X$5:$AM$77, MATCH(BP$100,_xlfn.ANCHORARRAY( $W$5), 0), 0),
        $F$5:$U$20
    ),
    TRANSPOSE(
        INDEX($X$5:$AM$77, MATCH($A146,_xlfn.ANCHORARRAY( $W$5), 0), 0)
    )
)
/
(
    INDEX($AN$5:$AN$77, MATCH(BP$100,_xlfn.ANCHORARRAY( $W$5), 0))
    *
    INDEX($AN$5:$AN$77, MATCH($A146,_xlfn.ANCHORARRAY( $W$5), 0))
)</f>
        <v>0.84217275441008543</v>
      </c>
      <c r="BQ146" s="17" cm="1">
        <f t="array" ref="BQ146">MMULT(
    MMULT(
        INDEX($X$5:$AM$77, MATCH(BQ$100,_xlfn.ANCHORARRAY( $W$5), 0), 0),
        $F$5:$U$20
    ),
    TRANSPOSE(
        INDEX($X$5:$AM$77, MATCH($A146,_xlfn.ANCHORARRAY( $W$5), 0), 0)
    )
)
/
(
    INDEX($AN$5:$AN$77, MATCH(BQ$100,_xlfn.ANCHORARRAY( $W$5), 0))
    *
    INDEX($AN$5:$AN$77, MATCH($A146,_xlfn.ANCHORARRAY( $W$5), 0))
)</f>
        <v>0.6680500023146404</v>
      </c>
      <c r="BR146" s="17" cm="1">
        <f t="array" ref="BR146">MMULT(
    MMULT(
        INDEX($X$5:$AM$77, MATCH(BR$100,_xlfn.ANCHORARRAY( $W$5), 0), 0),
        $F$5:$U$20
    ),
    TRANSPOSE(
        INDEX($X$5:$AM$77, MATCH($A146,_xlfn.ANCHORARRAY( $W$5), 0), 0)
    )
)
/
(
    INDEX($AN$5:$AN$77, MATCH(BR$100,_xlfn.ANCHORARRAY( $W$5), 0))
    *
    INDEX($AN$5:$AN$77, MATCH($A146,_xlfn.ANCHORARRAY( $W$5), 0))
)</f>
        <v>0.8534134701061975</v>
      </c>
      <c r="BS146" s="17" cm="1">
        <f t="array" ref="BS146">MMULT(
    MMULT(
        INDEX($X$5:$AM$77, MATCH(BS$100,_xlfn.ANCHORARRAY( $W$5), 0), 0),
        $F$5:$U$20
    ),
    TRANSPOSE(
        INDEX($X$5:$AM$77, MATCH($A146,_xlfn.ANCHORARRAY( $W$5), 0), 0)
    )
)
/
(
    INDEX($AN$5:$AN$77, MATCH(BS$100,_xlfn.ANCHORARRAY( $W$5), 0))
    *
    INDEX($AN$5:$AN$77, MATCH($A146,_xlfn.ANCHORARRAY( $W$5), 0))
)</f>
        <v>0.97217881067264222</v>
      </c>
      <c r="BT146" s="17" cm="1">
        <f t="array" ref="BT146">MMULT(
    MMULT(
        INDEX($X$5:$AM$77, MATCH(BT$100,_xlfn.ANCHORARRAY( $W$5), 0), 0),
        $F$5:$U$20
    ),
    TRANSPOSE(
        INDEX($X$5:$AM$77, MATCH($A146,_xlfn.ANCHORARRAY( $W$5), 0), 0)
    )
)
/
(
    INDEX($AN$5:$AN$77, MATCH(BT$100,_xlfn.ANCHORARRAY( $W$5), 0))
    *
    INDEX($AN$5:$AN$77, MATCH($A146,_xlfn.ANCHORARRAY( $W$5), 0))
)</f>
        <v>0.88928279828259915</v>
      </c>
      <c r="BU146" s="17" cm="1">
        <f t="array" ref="BU146">MMULT(
    MMULT(
        INDEX($X$5:$AM$77, MATCH(BU$100,_xlfn.ANCHORARRAY( $W$5), 0), 0),
        $F$5:$U$20
    ),
    TRANSPOSE(
        INDEX($X$5:$AM$77, MATCH($A146,_xlfn.ANCHORARRAY( $W$5), 0), 0)
    )
)
/
(
    INDEX($AN$5:$AN$77, MATCH(BU$100,_xlfn.ANCHORARRAY( $W$5), 0))
    *
    INDEX($AN$5:$AN$77, MATCH($A146,_xlfn.ANCHORARRAY( $W$5), 0))
)</f>
        <v>0.69688518122247334</v>
      </c>
      <c r="BV146" s="17" cm="1">
        <f t="array" ref="BV146">MMULT(
    MMULT(
        INDEX($X$5:$AM$77, MATCH(BV$100,_xlfn.ANCHORARRAY( $W$5), 0), 0),
        $F$5:$U$20
    ),
    TRANSPOSE(
        INDEX($X$5:$AM$77, MATCH($A146,_xlfn.ANCHORARRAY( $W$5), 0), 0)
    )
)
/
(
    INDEX($AN$5:$AN$77, MATCH(BV$100,_xlfn.ANCHORARRAY( $W$5), 0))
    *
    INDEX($AN$5:$AN$77, MATCH($A146,_xlfn.ANCHORARRAY( $W$5), 0))
)</f>
        <v>0.80551573156049672</v>
      </c>
    </row>
    <row r="147" spans="1:74" x14ac:dyDescent="0.3">
      <c r="A147" s="7" t="str">
        <v>O'Day, Darren</v>
      </c>
      <c r="B147" s="17" cm="1">
        <f t="array" ref="B147">MMULT(
    MMULT(
        INDEX($X$5:$AM$77, MATCH(B$100,_xlfn.ANCHORARRAY( $W$5), 0), 0),
        $F$5:$U$20
    ),
    TRANSPOSE(
        INDEX($X$5:$AM$77, MATCH($A147,_xlfn.ANCHORARRAY( $W$5), 0), 0)
    )
)
/
(
    INDEX($AN$5:$AN$77, MATCH(B$100,_xlfn.ANCHORARRAY( $W$5), 0))
    *
    INDEX($AN$5:$AN$77, MATCH($A147,_xlfn.ANCHORARRAY( $W$5), 0))
)</f>
        <v>0.82769981274707272</v>
      </c>
      <c r="C147" s="17" cm="1">
        <f t="array" ref="C147">MMULT(
    MMULT(
        INDEX($X$5:$AM$77, MATCH(C$100,_xlfn.ANCHORARRAY( $W$5), 0), 0),
        $F$5:$U$20
    ),
    TRANSPOSE(
        INDEX($X$5:$AM$77, MATCH($A147,_xlfn.ANCHORARRAY( $W$5), 0), 0)
    )
)
/
(
    INDEX($AN$5:$AN$77, MATCH(C$100,_xlfn.ANCHORARRAY( $W$5), 0))
    *
    INDEX($AN$5:$AN$77, MATCH($A147,_xlfn.ANCHORARRAY( $W$5), 0))
)</f>
        <v>0.56032797300939496</v>
      </c>
      <c r="D147" s="17" cm="1">
        <f t="array" ref="D147">MMULT(
    MMULT(
        INDEX($X$5:$AM$77, MATCH(D$100,_xlfn.ANCHORARRAY( $W$5), 0), 0),
        $F$5:$U$20
    ),
    TRANSPOSE(
        INDEX($X$5:$AM$77, MATCH($A147,_xlfn.ANCHORARRAY( $W$5), 0), 0)
    )
)
/
(
    INDEX($AN$5:$AN$77, MATCH(D$100,_xlfn.ANCHORARRAY( $W$5), 0))
    *
    INDEX($AN$5:$AN$77, MATCH($A147,_xlfn.ANCHORARRAY( $W$5), 0))
)</f>
        <v>0.96641584410881987</v>
      </c>
      <c r="E147" s="17" cm="1">
        <f t="array" ref="E147">MMULT(
    MMULT(
        INDEX($X$5:$AM$77, MATCH(E$100,_xlfn.ANCHORARRAY( $W$5), 0), 0),
        $F$5:$U$20
    ),
    TRANSPOSE(
        INDEX($X$5:$AM$77, MATCH($A147,_xlfn.ANCHORARRAY( $W$5), 0), 0)
    )
)
/
(
    INDEX($AN$5:$AN$77, MATCH(E$100,_xlfn.ANCHORARRAY( $W$5), 0))
    *
    INDEX($AN$5:$AN$77, MATCH($A147,_xlfn.ANCHORARRAY( $W$5), 0))
)</f>
        <v>0.90146984572545574</v>
      </c>
      <c r="F147" s="17" cm="1">
        <f t="array" ref="F147">MMULT(
    MMULT(
        INDEX($X$5:$AM$77, MATCH(F$100,_xlfn.ANCHORARRAY( $W$5), 0), 0),
        $F$5:$U$20
    ),
    TRANSPOSE(
        INDEX($X$5:$AM$77, MATCH($A147,_xlfn.ANCHORARRAY( $W$5), 0), 0)
    )
)
/
(
    INDEX($AN$5:$AN$77, MATCH(F$100,_xlfn.ANCHORARRAY( $W$5), 0))
    *
    INDEX($AN$5:$AN$77, MATCH($A147,_xlfn.ANCHORARRAY( $W$5), 0))
)</f>
        <v>0.98128533905686444</v>
      </c>
      <c r="G147" s="17" cm="1">
        <f t="array" ref="G147">MMULT(
    MMULT(
        INDEX($X$5:$AM$77, MATCH(G$100,_xlfn.ANCHORARRAY( $W$5), 0), 0),
        $F$5:$U$20
    ),
    TRANSPOSE(
        INDEX($X$5:$AM$77, MATCH($A147,_xlfn.ANCHORARRAY( $W$5), 0), 0)
    )
)
/
(
    INDEX($AN$5:$AN$77, MATCH(G$100,_xlfn.ANCHORARRAY( $W$5), 0))
    *
    INDEX($AN$5:$AN$77, MATCH($A147,_xlfn.ANCHORARRAY( $W$5), 0))
)</f>
        <v>0.59034454819147653</v>
      </c>
      <c r="H147" s="17" cm="1">
        <f t="array" ref="H147">MMULT(
    MMULT(
        INDEX($X$5:$AM$77, MATCH(H$100,_xlfn.ANCHORARRAY( $W$5), 0), 0),
        $F$5:$U$20
    ),
    TRANSPOSE(
        INDEX($X$5:$AM$77, MATCH($A147,_xlfn.ANCHORARRAY( $W$5), 0), 0)
    )
)
/
(
    INDEX($AN$5:$AN$77, MATCH(H$100,_xlfn.ANCHORARRAY( $W$5), 0))
    *
    INDEX($AN$5:$AN$77, MATCH($A147,_xlfn.ANCHORARRAY( $W$5), 0))
)</f>
        <v>0.6946775378670198</v>
      </c>
      <c r="I147" s="17" cm="1">
        <f t="array" ref="I147">MMULT(
    MMULT(
        INDEX($X$5:$AM$77, MATCH(I$100,_xlfn.ANCHORARRAY( $W$5), 0), 0),
        $F$5:$U$20
    ),
    TRANSPOSE(
        INDEX($X$5:$AM$77, MATCH($A147,_xlfn.ANCHORARRAY( $W$5), 0), 0)
    )
)
/
(
    INDEX($AN$5:$AN$77, MATCH(I$100,_xlfn.ANCHORARRAY( $W$5), 0))
    *
    INDEX($AN$5:$AN$77, MATCH($A147,_xlfn.ANCHORARRAY( $W$5), 0))
)</f>
        <v>0.68235902056987785</v>
      </c>
      <c r="J147" s="17" cm="1">
        <f t="array" ref="J147">MMULT(
    MMULT(
        INDEX($X$5:$AM$77, MATCH(J$100,_xlfn.ANCHORARRAY( $W$5), 0), 0),
        $F$5:$U$20
    ),
    TRANSPOSE(
        INDEX($X$5:$AM$77, MATCH($A147,_xlfn.ANCHORARRAY( $W$5), 0), 0)
    )
)
/
(
    INDEX($AN$5:$AN$77, MATCH(J$100,_xlfn.ANCHORARRAY( $W$5), 0))
    *
    INDEX($AN$5:$AN$77, MATCH($A147,_xlfn.ANCHORARRAY( $W$5), 0))
)</f>
        <v>0.87055792720040104</v>
      </c>
      <c r="K147" s="17" cm="1">
        <f t="array" ref="K147">MMULT(
    MMULT(
        INDEX($X$5:$AM$77, MATCH(K$100,_xlfn.ANCHORARRAY( $W$5), 0), 0),
        $F$5:$U$20
    ),
    TRANSPOSE(
        INDEX($X$5:$AM$77, MATCH($A147,_xlfn.ANCHORARRAY( $W$5), 0), 0)
    )
)
/
(
    INDEX($AN$5:$AN$77, MATCH(K$100,_xlfn.ANCHORARRAY( $W$5), 0))
    *
    INDEX($AN$5:$AN$77, MATCH($A147,_xlfn.ANCHORARRAY( $W$5), 0))
)</f>
        <v>0.8779857775718497</v>
      </c>
      <c r="L147" s="17" cm="1">
        <f t="array" ref="L147">MMULT(
    MMULT(
        INDEX($X$5:$AM$77, MATCH(L$100,_xlfn.ANCHORARRAY( $W$5), 0), 0),
        $F$5:$U$20
    ),
    TRANSPOSE(
        INDEX($X$5:$AM$77, MATCH($A147,_xlfn.ANCHORARRAY( $W$5), 0), 0)
    )
)
/
(
    INDEX($AN$5:$AN$77, MATCH(L$100,_xlfn.ANCHORARRAY( $W$5), 0))
    *
    INDEX($AN$5:$AN$77, MATCH($A147,_xlfn.ANCHORARRAY( $W$5), 0))
)</f>
        <v>0.61663709042130421</v>
      </c>
      <c r="M147" s="17" cm="1">
        <f t="array" ref="M147">MMULT(
    MMULT(
        INDEX($X$5:$AM$77, MATCH(M$100,_xlfn.ANCHORARRAY( $W$5), 0), 0),
        $F$5:$U$20
    ),
    TRANSPOSE(
        INDEX($X$5:$AM$77, MATCH($A147,_xlfn.ANCHORARRAY( $W$5), 0), 0)
    )
)
/
(
    INDEX($AN$5:$AN$77, MATCH(M$100,_xlfn.ANCHORARRAY( $W$5), 0))
    *
    INDEX($AN$5:$AN$77, MATCH($A147,_xlfn.ANCHORARRAY( $W$5), 0))
)</f>
        <v>0.77918289634872118</v>
      </c>
      <c r="N147" s="17" cm="1">
        <f t="array" ref="N147">MMULT(
    MMULT(
        INDEX($X$5:$AM$77, MATCH(N$100,_xlfn.ANCHORARRAY( $W$5), 0), 0),
        $F$5:$U$20
    ),
    TRANSPOSE(
        INDEX($X$5:$AM$77, MATCH($A147,_xlfn.ANCHORARRAY( $W$5), 0), 0)
    )
)
/
(
    INDEX($AN$5:$AN$77, MATCH(N$100,_xlfn.ANCHORARRAY( $W$5), 0))
    *
    INDEX($AN$5:$AN$77, MATCH($A147,_xlfn.ANCHORARRAY( $W$5), 0))
)</f>
        <v>0.95094177868280383</v>
      </c>
      <c r="O147" s="17" cm="1">
        <f t="array" ref="O147">MMULT(
    MMULT(
        INDEX($X$5:$AM$77, MATCH(O$100,_xlfn.ANCHORARRAY( $W$5), 0), 0),
        $F$5:$U$20
    ),
    TRANSPOSE(
        INDEX($X$5:$AM$77, MATCH($A147,_xlfn.ANCHORARRAY( $W$5), 0), 0)
    )
)
/
(
    INDEX($AN$5:$AN$77, MATCH(O$100,_xlfn.ANCHORARRAY( $W$5), 0))
    *
    INDEX($AN$5:$AN$77, MATCH($A147,_xlfn.ANCHORARRAY( $W$5), 0))
)</f>
        <v>0.95257546219102662</v>
      </c>
      <c r="P147" s="17" cm="1">
        <f t="array" ref="P147">MMULT(
    MMULT(
        INDEX($X$5:$AM$77, MATCH(P$100,_xlfn.ANCHORARRAY( $W$5), 0), 0),
        $F$5:$U$20
    ),
    TRANSPOSE(
        INDEX($X$5:$AM$77, MATCH($A147,_xlfn.ANCHORARRAY( $W$5), 0), 0)
    )
)
/
(
    INDEX($AN$5:$AN$77, MATCH(P$100,_xlfn.ANCHORARRAY( $W$5), 0))
    *
    INDEX($AN$5:$AN$77, MATCH($A147,_xlfn.ANCHORARRAY( $W$5), 0))
)</f>
        <v>0.94375418612019679</v>
      </c>
      <c r="Q147" s="17" cm="1">
        <f t="array" ref="Q147">MMULT(
    MMULT(
        INDEX($X$5:$AM$77, MATCH(Q$100,_xlfn.ANCHORARRAY( $W$5), 0), 0),
        $F$5:$U$20
    ),
    TRANSPOSE(
        INDEX($X$5:$AM$77, MATCH($A147,_xlfn.ANCHORARRAY( $W$5), 0), 0)
    )
)
/
(
    INDEX($AN$5:$AN$77, MATCH(Q$100,_xlfn.ANCHORARRAY( $W$5), 0))
    *
    INDEX($AN$5:$AN$77, MATCH($A147,_xlfn.ANCHORARRAY( $W$5), 0))
)</f>
        <v>0.62415405263758716</v>
      </c>
      <c r="R147" s="17" cm="1">
        <f t="array" ref="R147">MMULT(
    MMULT(
        INDEX($X$5:$AM$77, MATCH(R$100,_xlfn.ANCHORARRAY( $W$5), 0), 0),
        $F$5:$U$20
    ),
    TRANSPOSE(
        INDEX($X$5:$AM$77, MATCH($A147,_xlfn.ANCHORARRAY( $W$5), 0), 0)
    )
)
/
(
    INDEX($AN$5:$AN$77, MATCH(R$100,_xlfn.ANCHORARRAY( $W$5), 0))
    *
    INDEX($AN$5:$AN$77, MATCH($A147,_xlfn.ANCHORARRAY( $W$5), 0))
)</f>
        <v>0.92120396380557723</v>
      </c>
      <c r="S147" s="17" cm="1">
        <f t="array" ref="S147">MMULT(
    MMULT(
        INDEX($X$5:$AM$77, MATCH(S$100,_xlfn.ANCHORARRAY( $W$5), 0), 0),
        $F$5:$U$20
    ),
    TRANSPOSE(
        INDEX($X$5:$AM$77, MATCH($A147,_xlfn.ANCHORARRAY( $W$5), 0), 0)
    )
)
/
(
    INDEX($AN$5:$AN$77, MATCH(S$100,_xlfn.ANCHORARRAY( $W$5), 0))
    *
    INDEX($AN$5:$AN$77, MATCH($A147,_xlfn.ANCHORARRAY( $W$5), 0))
)</f>
        <v>0.76597314443310827</v>
      </c>
      <c r="T147" s="17" cm="1">
        <f t="array" ref="T147">MMULT(
    MMULT(
        INDEX($X$5:$AM$77, MATCH(T$100,_xlfn.ANCHORARRAY( $W$5), 0), 0),
        $F$5:$U$20
    ),
    TRANSPOSE(
        INDEX($X$5:$AM$77, MATCH($A147,_xlfn.ANCHORARRAY( $W$5), 0), 0)
    )
)
/
(
    INDEX($AN$5:$AN$77, MATCH(T$100,_xlfn.ANCHORARRAY( $W$5), 0))
    *
    INDEX($AN$5:$AN$77, MATCH($A147,_xlfn.ANCHORARRAY( $W$5), 0))
)</f>
        <v>0.26392869799780483</v>
      </c>
      <c r="U147" s="17" cm="1">
        <f t="array" ref="U147">MMULT(
    MMULT(
        INDEX($X$5:$AM$77, MATCH(U$100,_xlfn.ANCHORARRAY( $W$5), 0), 0),
        $F$5:$U$20
    ),
    TRANSPOSE(
        INDEX($X$5:$AM$77, MATCH($A147,_xlfn.ANCHORARRAY( $W$5), 0), 0)
    )
)
/
(
    INDEX($AN$5:$AN$77, MATCH(U$100,_xlfn.ANCHORARRAY( $W$5), 0))
    *
    INDEX($AN$5:$AN$77, MATCH($A147,_xlfn.ANCHORARRAY( $W$5), 0))
)</f>
        <v>0.95041066908170879</v>
      </c>
      <c r="V147" s="17" cm="1">
        <f t="array" ref="V147">MMULT(
    MMULT(
        INDEX($X$5:$AM$77, MATCH(V$100,_xlfn.ANCHORARRAY( $W$5), 0), 0),
        $F$5:$U$20
    ),
    TRANSPOSE(
        INDEX($X$5:$AM$77, MATCH($A147,_xlfn.ANCHORARRAY( $W$5), 0), 0)
    )
)
/
(
    INDEX($AN$5:$AN$77, MATCH(V$100,_xlfn.ANCHORARRAY( $W$5), 0))
    *
    INDEX($AN$5:$AN$77, MATCH($A147,_xlfn.ANCHORARRAY( $W$5), 0))
)</f>
        <v>0.48667062116262194</v>
      </c>
      <c r="W147" s="17" cm="1">
        <f t="array" ref="W147">MMULT(
    MMULT(
        INDEX($X$5:$AM$77, MATCH(W$100,_xlfn.ANCHORARRAY( $W$5), 0), 0),
        $F$5:$U$20
    ),
    TRANSPOSE(
        INDEX($X$5:$AM$77, MATCH($A147,_xlfn.ANCHORARRAY( $W$5), 0), 0)
    )
)
/
(
    INDEX($AN$5:$AN$77, MATCH(W$100,_xlfn.ANCHORARRAY( $W$5), 0))
    *
    INDEX($AN$5:$AN$77, MATCH($A147,_xlfn.ANCHORARRAY( $W$5), 0))
)</f>
        <v>0.72712199857674309</v>
      </c>
      <c r="X147" s="17" cm="1">
        <f t="array" ref="X147">MMULT(
    MMULT(
        INDEX($X$5:$AM$77, MATCH(X$100,_xlfn.ANCHORARRAY( $W$5), 0), 0),
        $F$5:$U$20
    ),
    TRANSPOSE(
        INDEX($X$5:$AM$77, MATCH($A147,_xlfn.ANCHORARRAY( $W$5), 0), 0)
    )
)
/
(
    INDEX($AN$5:$AN$77, MATCH(X$100,_xlfn.ANCHORARRAY( $W$5), 0))
    *
    INDEX($AN$5:$AN$77, MATCH($A147,_xlfn.ANCHORARRAY( $W$5), 0))
)</f>
        <v>0.9882749643345653</v>
      </c>
      <c r="Y147" s="17" cm="1">
        <f t="array" ref="Y147">MMULT(
    MMULT(
        INDEX($X$5:$AM$77, MATCH(Y$100,_xlfn.ANCHORARRAY( $W$5), 0), 0),
        $F$5:$U$20
    ),
    TRANSPOSE(
        INDEX($X$5:$AM$77, MATCH($A147,_xlfn.ANCHORARRAY( $W$5), 0), 0)
    )
)
/
(
    INDEX($AN$5:$AN$77, MATCH(Y$100,_xlfn.ANCHORARRAY( $W$5), 0))
    *
    INDEX($AN$5:$AN$77, MATCH($A147,_xlfn.ANCHORARRAY( $W$5), 0))
)</f>
        <v>0.57734824711777077</v>
      </c>
      <c r="Z147" s="17" cm="1">
        <f t="array" ref="Z147">MMULT(
    MMULT(
        INDEX($X$5:$AM$77, MATCH(Z$100,_xlfn.ANCHORARRAY( $W$5), 0), 0),
        $F$5:$U$20
    ),
    TRANSPOSE(
        INDEX($X$5:$AM$77, MATCH($A147,_xlfn.ANCHORARRAY( $W$5), 0), 0)
    )
)
/
(
    INDEX($AN$5:$AN$77, MATCH(Z$100,_xlfn.ANCHORARRAY( $W$5), 0))
    *
    INDEX($AN$5:$AN$77, MATCH($A147,_xlfn.ANCHORARRAY( $W$5), 0))
)</f>
        <v>0.9893250007228056</v>
      </c>
      <c r="AA147" s="17" cm="1">
        <f t="array" ref="AA147">MMULT(
    MMULT(
        INDEX($X$5:$AM$77, MATCH(AA$100,_xlfn.ANCHORARRAY( $W$5), 0), 0),
        $F$5:$U$20
    ),
    TRANSPOSE(
        INDEX($X$5:$AM$77, MATCH($A147,_xlfn.ANCHORARRAY( $W$5), 0), 0)
    )
)
/
(
    INDEX($AN$5:$AN$77, MATCH(AA$100,_xlfn.ANCHORARRAY( $W$5), 0))
    *
    INDEX($AN$5:$AN$77, MATCH($A147,_xlfn.ANCHORARRAY( $W$5), 0))
)</f>
        <v>0.97982414914749261</v>
      </c>
      <c r="AB147" s="17" cm="1">
        <f t="array" ref="AB147">MMULT(
    MMULT(
        INDEX($X$5:$AM$77, MATCH(AB$100,_xlfn.ANCHORARRAY( $W$5), 0), 0),
        $F$5:$U$20
    ),
    TRANSPOSE(
        INDEX($X$5:$AM$77, MATCH($A147,_xlfn.ANCHORARRAY( $W$5), 0), 0)
    )
)
/
(
    INDEX($AN$5:$AN$77, MATCH(AB$100,_xlfn.ANCHORARRAY( $W$5), 0))
    *
    INDEX($AN$5:$AN$77, MATCH($A147,_xlfn.ANCHORARRAY( $W$5), 0))
)</f>
        <v>0.93222678524171099</v>
      </c>
      <c r="AC147" s="17" cm="1">
        <f t="array" ref="AC147">MMULT(
    MMULT(
        INDEX($X$5:$AM$77, MATCH(AC$100,_xlfn.ANCHORARRAY( $W$5), 0), 0),
        $F$5:$U$20
    ),
    TRANSPOSE(
        INDEX($X$5:$AM$77, MATCH($A147,_xlfn.ANCHORARRAY( $W$5), 0), 0)
    )
)
/
(
    INDEX($AN$5:$AN$77, MATCH(AC$100,_xlfn.ANCHORARRAY( $W$5), 0))
    *
    INDEX($AN$5:$AN$77, MATCH($A147,_xlfn.ANCHORARRAY( $W$5), 0))
)</f>
        <v>0.76881243261204157</v>
      </c>
      <c r="AD147" s="17" cm="1">
        <f t="array" ref="AD147">MMULT(
    MMULT(
        INDEX($X$5:$AM$77, MATCH(AD$100,_xlfn.ANCHORARRAY( $W$5), 0), 0),
        $F$5:$U$20
    ),
    TRANSPOSE(
        INDEX($X$5:$AM$77, MATCH($A147,_xlfn.ANCHORARRAY( $W$5), 0), 0)
    )
)
/
(
    INDEX($AN$5:$AN$77, MATCH(AD$100,_xlfn.ANCHORARRAY( $W$5), 0))
    *
    INDEX($AN$5:$AN$77, MATCH($A147,_xlfn.ANCHORARRAY( $W$5), 0))
)</f>
        <v>0.9816131241724273</v>
      </c>
      <c r="AE147" s="17" cm="1">
        <f t="array" ref="AE147">MMULT(
    MMULT(
        INDEX($X$5:$AM$77, MATCH(AE$100,_xlfn.ANCHORARRAY( $W$5), 0), 0),
        $F$5:$U$20
    ),
    TRANSPOSE(
        INDEX($X$5:$AM$77, MATCH($A147,_xlfn.ANCHORARRAY( $W$5), 0), 0)
    )
)
/
(
    INDEX($AN$5:$AN$77, MATCH(AE$100,_xlfn.ANCHORARRAY( $W$5), 0))
    *
    INDEX($AN$5:$AN$77, MATCH($A147,_xlfn.ANCHORARRAY( $W$5), 0))
)</f>
        <v>0.76042226293087278</v>
      </c>
      <c r="AF147" s="17" cm="1">
        <f t="array" ref="AF147">MMULT(
    MMULT(
        INDEX($X$5:$AM$77, MATCH(AF$100,_xlfn.ANCHORARRAY( $W$5), 0), 0),
        $F$5:$U$20
    ),
    TRANSPOSE(
        INDEX($X$5:$AM$77, MATCH($A147,_xlfn.ANCHORARRAY( $W$5), 0), 0)
    )
)
/
(
    INDEX($AN$5:$AN$77, MATCH(AF$100,_xlfn.ANCHORARRAY( $W$5), 0))
    *
    INDEX($AN$5:$AN$77, MATCH($A147,_xlfn.ANCHORARRAY( $W$5), 0))
)</f>
        <v>0.70879716441981466</v>
      </c>
      <c r="AG147" s="17" cm="1">
        <f t="array" ref="AG147">MMULT(
    MMULT(
        INDEX($X$5:$AM$77, MATCH(AG$100,_xlfn.ANCHORARRAY( $W$5), 0), 0),
        $F$5:$U$20
    ),
    TRANSPOSE(
        INDEX($X$5:$AM$77, MATCH($A147,_xlfn.ANCHORARRAY( $W$5), 0), 0)
    )
)
/
(
    INDEX($AN$5:$AN$77, MATCH(AG$100,_xlfn.ANCHORARRAY( $W$5), 0))
    *
    INDEX($AN$5:$AN$77, MATCH($A147,_xlfn.ANCHORARRAY( $W$5), 0))
)</f>
        <v>0.78504519354222291</v>
      </c>
      <c r="AH147" s="17" cm="1">
        <f t="array" ref="AH147">MMULT(
    MMULT(
        INDEX($X$5:$AM$77, MATCH(AH$100,_xlfn.ANCHORARRAY( $W$5), 0), 0),
        $F$5:$U$20
    ),
    TRANSPOSE(
        INDEX($X$5:$AM$77, MATCH($A147,_xlfn.ANCHORARRAY( $W$5), 0), 0)
    )
)
/
(
    INDEX($AN$5:$AN$77, MATCH(AH$100,_xlfn.ANCHORARRAY( $W$5), 0))
    *
    INDEX($AN$5:$AN$77, MATCH($A147,_xlfn.ANCHORARRAY( $W$5), 0))
)</f>
        <v>0.5791426623964836</v>
      </c>
      <c r="AI147" s="17" cm="1">
        <f t="array" ref="AI147">MMULT(
    MMULT(
        INDEX($X$5:$AM$77, MATCH(AI$100,_xlfn.ANCHORARRAY( $W$5), 0), 0),
        $F$5:$U$20
    ),
    TRANSPOSE(
        INDEX($X$5:$AM$77, MATCH($A147,_xlfn.ANCHORARRAY( $W$5), 0), 0)
    )
)
/
(
    INDEX($AN$5:$AN$77, MATCH(AI$100,_xlfn.ANCHORARRAY( $W$5), 0))
    *
    INDEX($AN$5:$AN$77, MATCH($A147,_xlfn.ANCHORARRAY( $W$5), 0))
)</f>
        <v>0.80829089073717963</v>
      </c>
      <c r="AJ147" s="17" cm="1">
        <f t="array" ref="AJ147">MMULT(
    MMULT(
        INDEX($X$5:$AM$77, MATCH(AJ$100,_xlfn.ANCHORARRAY( $W$5), 0), 0),
        $F$5:$U$20
    ),
    TRANSPOSE(
        INDEX($X$5:$AM$77, MATCH($A147,_xlfn.ANCHORARRAY( $W$5), 0), 0)
    )
)
/
(
    INDEX($AN$5:$AN$77, MATCH(AJ$100,_xlfn.ANCHORARRAY( $W$5), 0))
    *
    INDEX($AN$5:$AN$77, MATCH($A147,_xlfn.ANCHORARRAY( $W$5), 0))
)</f>
        <v>0.93964710513750005</v>
      </c>
      <c r="AK147" s="17" cm="1">
        <f t="array" ref="AK147">MMULT(
    MMULT(
        INDEX($X$5:$AM$77, MATCH(AK$100,_xlfn.ANCHORARRAY( $W$5), 0), 0),
        $F$5:$U$20
    ),
    TRANSPOSE(
        INDEX($X$5:$AM$77, MATCH($A147,_xlfn.ANCHORARRAY( $W$5), 0), 0)
    )
)
/
(
    INDEX($AN$5:$AN$77, MATCH(AK$100,_xlfn.ANCHORARRAY( $W$5), 0))
    *
    INDEX($AN$5:$AN$77, MATCH($A147,_xlfn.ANCHORARRAY( $W$5), 0))
)</f>
        <v>0.85082439118484021</v>
      </c>
      <c r="AL147" s="17" cm="1">
        <f t="array" ref="AL147">MMULT(
    MMULT(
        INDEX($X$5:$AM$77, MATCH(AL$100,_xlfn.ANCHORARRAY( $W$5), 0), 0),
        $F$5:$U$20
    ),
    TRANSPOSE(
        INDEX($X$5:$AM$77, MATCH($A147,_xlfn.ANCHORARRAY( $W$5), 0), 0)
    )
)
/
(
    INDEX($AN$5:$AN$77, MATCH(AL$100,_xlfn.ANCHORARRAY( $W$5), 0))
    *
    INDEX($AN$5:$AN$77, MATCH($A147,_xlfn.ANCHORARRAY( $W$5), 0))
)</f>
        <v>0.98236370803947137</v>
      </c>
      <c r="AM147" s="17" cm="1">
        <f t="array" ref="AM147">MMULT(
    MMULT(
        INDEX($X$5:$AM$77, MATCH(AM$100,_xlfn.ANCHORARRAY( $W$5), 0), 0),
        $F$5:$U$20
    ),
    TRANSPOSE(
        INDEX($X$5:$AM$77, MATCH($A147,_xlfn.ANCHORARRAY( $W$5), 0), 0)
    )
)
/
(
    INDEX($AN$5:$AN$77, MATCH(AM$100,_xlfn.ANCHORARRAY( $W$5), 0))
    *
    INDEX($AN$5:$AN$77, MATCH($A147,_xlfn.ANCHORARRAY( $W$5), 0))
)</f>
        <v>0.74203515012751187</v>
      </c>
      <c r="AN147" s="17" cm="1">
        <f t="array" ref="AN147">MMULT(
    MMULT(
        INDEX($X$5:$AM$77, MATCH(AN$100,_xlfn.ANCHORARRAY( $W$5), 0), 0),
        $F$5:$U$20
    ),
    TRANSPOSE(
        INDEX($X$5:$AM$77, MATCH($A147,_xlfn.ANCHORARRAY( $W$5), 0), 0)
    )
)
/
(
    INDEX($AN$5:$AN$77, MATCH(AN$100,_xlfn.ANCHORARRAY( $W$5), 0))
    *
    INDEX($AN$5:$AN$77, MATCH($A147,_xlfn.ANCHORARRAY( $W$5), 0))
)</f>
        <v>0.63503791877521631</v>
      </c>
      <c r="AO147" s="17" cm="1">
        <f t="array" ref="AO147">MMULT(
    MMULT(
        INDEX($X$5:$AM$77, MATCH(AO$100,_xlfn.ANCHORARRAY( $W$5), 0), 0),
        $F$5:$U$20
    ),
    TRANSPOSE(
        INDEX($X$5:$AM$77, MATCH($A147,_xlfn.ANCHORARRAY( $W$5), 0), 0)
    )
)
/
(
    INDEX($AN$5:$AN$77, MATCH(AO$100,_xlfn.ANCHORARRAY( $W$5), 0))
    *
    INDEX($AN$5:$AN$77, MATCH($A147,_xlfn.ANCHORARRAY( $W$5), 0))
)</f>
        <v>0.69101113732007158</v>
      </c>
      <c r="AP147" s="17" cm="1">
        <f t="array" ref="AP147">MMULT(
    MMULT(
        INDEX($X$5:$AM$77, MATCH(AP$100,_xlfn.ANCHORARRAY( $W$5), 0), 0),
        $F$5:$U$20
    ),
    TRANSPOSE(
        INDEX($X$5:$AM$77, MATCH($A147,_xlfn.ANCHORARRAY( $W$5), 0), 0)
    )
)
/
(
    INDEX($AN$5:$AN$77, MATCH(AP$100,_xlfn.ANCHORARRAY( $W$5), 0))
    *
    INDEX($AN$5:$AN$77, MATCH($A147,_xlfn.ANCHORARRAY( $W$5), 0))
)</f>
        <v>0.63931515260514837</v>
      </c>
      <c r="AQ147" s="17" cm="1">
        <f t="array" ref="AQ147">MMULT(
    MMULT(
        INDEX($X$5:$AM$77, MATCH(AQ$100,_xlfn.ANCHORARRAY( $W$5), 0), 0),
        $F$5:$U$20
    ),
    TRANSPOSE(
        INDEX($X$5:$AM$77, MATCH($A147,_xlfn.ANCHORARRAY( $W$5), 0), 0)
    )
)
/
(
    INDEX($AN$5:$AN$77, MATCH(AQ$100,_xlfn.ANCHORARRAY( $W$5), 0))
    *
    INDEX($AN$5:$AN$77, MATCH($A147,_xlfn.ANCHORARRAY( $W$5), 0))
)</f>
        <v>0.66161827225800307</v>
      </c>
      <c r="AR147" s="17" cm="1">
        <f t="array" ref="AR147">MMULT(
    MMULT(
        INDEX($X$5:$AM$77, MATCH(AR$100,_xlfn.ANCHORARRAY( $W$5), 0), 0),
        $F$5:$U$20
    ),
    TRANSPOSE(
        INDEX($X$5:$AM$77, MATCH($A147,_xlfn.ANCHORARRAY( $W$5), 0), 0)
    )
)
/
(
    INDEX($AN$5:$AN$77, MATCH(AR$100,_xlfn.ANCHORARRAY( $W$5), 0))
    *
    INDEX($AN$5:$AN$77, MATCH($A147,_xlfn.ANCHORARRAY( $W$5), 0))
)</f>
        <v>0.92579939008080392</v>
      </c>
      <c r="AS147" s="17" cm="1">
        <f t="array" ref="AS147">MMULT(
    MMULT(
        INDEX($X$5:$AM$77, MATCH(AS$100,_xlfn.ANCHORARRAY( $W$5), 0), 0),
        $F$5:$U$20
    ),
    TRANSPOSE(
        INDEX($X$5:$AM$77, MATCH($A147,_xlfn.ANCHORARRAY( $W$5), 0), 0)
    )
)
/
(
    INDEX($AN$5:$AN$77, MATCH(AS$100,_xlfn.ANCHORARRAY( $W$5), 0))
    *
    INDEX($AN$5:$AN$77, MATCH($A147,_xlfn.ANCHORARRAY( $W$5), 0))
)</f>
        <v>0.91500599077447686</v>
      </c>
      <c r="AT147" s="17" cm="1">
        <f t="array" ref="AT147">MMULT(
    MMULT(
        INDEX($X$5:$AM$77, MATCH(AT$100,_xlfn.ANCHORARRAY( $W$5), 0), 0),
        $F$5:$U$20
    ),
    TRANSPOSE(
        INDEX($X$5:$AM$77, MATCH($A147,_xlfn.ANCHORARRAY( $W$5), 0), 0)
    )
)
/
(
    INDEX($AN$5:$AN$77, MATCH(AT$100,_xlfn.ANCHORARRAY( $W$5), 0))
    *
    INDEX($AN$5:$AN$77, MATCH($A147,_xlfn.ANCHORARRAY( $W$5), 0))
)</f>
        <v>0.71897849292349281</v>
      </c>
      <c r="AU147" s="17" cm="1">
        <f t="array" ref="AU147">MMULT(
    MMULT(
        INDEX($X$5:$AM$77, MATCH(AU$100,_xlfn.ANCHORARRAY( $W$5), 0), 0),
        $F$5:$U$20
    ),
    TRANSPOSE(
        INDEX($X$5:$AM$77, MATCH($A147,_xlfn.ANCHORARRAY( $W$5), 0), 0)
    )
)
/
(
    INDEX($AN$5:$AN$77, MATCH(AU$100,_xlfn.ANCHORARRAY( $W$5), 0))
    *
    INDEX($AN$5:$AN$77, MATCH($A147,_xlfn.ANCHORARRAY( $W$5), 0))
)</f>
        <v>0.96720481893481591</v>
      </c>
      <c r="AV147" s="17" cm="1">
        <f t="array" ref="AV147">MMULT(
    MMULT(
        INDEX($X$5:$AM$77, MATCH(AV$100,_xlfn.ANCHORARRAY( $W$5), 0), 0),
        $F$5:$U$20
    ),
    TRANSPOSE(
        INDEX($X$5:$AM$77, MATCH($A147,_xlfn.ANCHORARRAY( $W$5), 0), 0)
    )
)
/
(
    INDEX($AN$5:$AN$77, MATCH(AV$100,_xlfn.ANCHORARRAY( $W$5), 0))
    *
    INDEX($AN$5:$AN$77, MATCH($A147,_xlfn.ANCHORARRAY( $W$5), 0))
)</f>
        <v>1</v>
      </c>
      <c r="AW147" s="17" cm="1">
        <f t="array" ref="AW147">MMULT(
    MMULT(
        INDEX($X$5:$AM$77, MATCH(AW$100,_xlfn.ANCHORARRAY( $W$5), 0), 0),
        $F$5:$U$20
    ),
    TRANSPOSE(
        INDEX($X$5:$AM$77, MATCH($A147,_xlfn.ANCHORARRAY( $W$5), 0), 0)
    )
)
/
(
    INDEX($AN$5:$AN$77, MATCH(AW$100,_xlfn.ANCHORARRAY( $W$5), 0))
    *
    INDEX($AN$5:$AN$77, MATCH($A147,_xlfn.ANCHORARRAY( $W$5), 0))
)</f>
        <v>0.71946897109094232</v>
      </c>
      <c r="AX147" s="17" cm="1">
        <f t="array" ref="AX147">MMULT(
    MMULT(
        INDEX($X$5:$AM$77, MATCH(AX$100,_xlfn.ANCHORARRAY( $W$5), 0), 0),
        $F$5:$U$20
    ),
    TRANSPOSE(
        INDEX($X$5:$AM$77, MATCH($A147,_xlfn.ANCHORARRAY( $W$5), 0), 0)
    )
)
/
(
    INDEX($AN$5:$AN$77, MATCH(AX$100,_xlfn.ANCHORARRAY( $W$5), 0))
    *
    INDEX($AN$5:$AN$77, MATCH($A147,_xlfn.ANCHORARRAY( $W$5), 0))
)</f>
        <v>0.47478574667959555</v>
      </c>
      <c r="AY147" s="17" cm="1">
        <f t="array" ref="AY147">MMULT(
    MMULT(
        INDEX($X$5:$AM$77, MATCH(AY$100,_xlfn.ANCHORARRAY( $W$5), 0), 0),
        $F$5:$U$20
    ),
    TRANSPOSE(
        INDEX($X$5:$AM$77, MATCH($A147,_xlfn.ANCHORARRAY( $W$5), 0), 0)
    )
)
/
(
    INDEX($AN$5:$AN$77, MATCH(AY$100,_xlfn.ANCHORARRAY( $W$5), 0))
    *
    INDEX($AN$5:$AN$77, MATCH($A147,_xlfn.ANCHORARRAY( $W$5), 0))
)</f>
        <v>0.56001028092406357</v>
      </c>
      <c r="AZ147" s="17" cm="1">
        <f t="array" ref="AZ147">MMULT(
    MMULT(
        INDEX($X$5:$AM$77, MATCH(AZ$100,_xlfn.ANCHORARRAY( $W$5), 0), 0),
        $F$5:$U$20
    ),
    TRANSPOSE(
        INDEX($X$5:$AM$77, MATCH($A147,_xlfn.ANCHORARRAY( $W$5), 0), 0)
    )
)
/
(
    INDEX($AN$5:$AN$77, MATCH(AZ$100,_xlfn.ANCHORARRAY( $W$5), 0))
    *
    INDEX($AN$5:$AN$77, MATCH($A147,_xlfn.ANCHORARRAY( $W$5), 0))
)</f>
        <v>0.99245925574616378</v>
      </c>
      <c r="BA147" s="17" cm="1">
        <f t="array" ref="BA147">MMULT(
    MMULT(
        INDEX($X$5:$AM$77, MATCH(BA$100,_xlfn.ANCHORARRAY( $W$5), 0), 0),
        $F$5:$U$20
    ),
    TRANSPOSE(
        INDEX($X$5:$AM$77, MATCH($A147,_xlfn.ANCHORARRAY( $W$5), 0), 0)
    )
)
/
(
    INDEX($AN$5:$AN$77, MATCH(BA$100,_xlfn.ANCHORARRAY( $W$5), 0))
    *
    INDEX($AN$5:$AN$77, MATCH($A147,_xlfn.ANCHORARRAY( $W$5), 0))
)</f>
        <v>0.97603561208251954</v>
      </c>
      <c r="BB147" s="17" cm="1">
        <f t="array" ref="BB147">MMULT(
    MMULT(
        INDEX($X$5:$AM$77, MATCH(BB$100,_xlfn.ANCHORARRAY( $W$5), 0), 0),
        $F$5:$U$20
    ),
    TRANSPOSE(
        INDEX($X$5:$AM$77, MATCH($A147,_xlfn.ANCHORARRAY( $W$5), 0), 0)
    )
)
/
(
    INDEX($AN$5:$AN$77, MATCH(BB$100,_xlfn.ANCHORARRAY( $W$5), 0))
    *
    INDEX($AN$5:$AN$77, MATCH($A147,_xlfn.ANCHORARRAY( $W$5), 0))
)</f>
        <v>0.84007893485810747</v>
      </c>
      <c r="BC147" s="17" cm="1">
        <f t="array" ref="BC147">MMULT(
    MMULT(
        INDEX($X$5:$AM$77, MATCH(BC$100,_xlfn.ANCHORARRAY( $W$5), 0), 0),
        $F$5:$U$20
    ),
    TRANSPOSE(
        INDEX($X$5:$AM$77, MATCH($A147,_xlfn.ANCHORARRAY( $W$5), 0), 0)
    )
)
/
(
    INDEX($AN$5:$AN$77, MATCH(BC$100,_xlfn.ANCHORARRAY( $W$5), 0))
    *
    INDEX($AN$5:$AN$77, MATCH($A147,_xlfn.ANCHORARRAY( $W$5), 0))
)</f>
        <v>0.74505629520194938</v>
      </c>
      <c r="BD147" s="17" cm="1">
        <f t="array" ref="BD147">MMULT(
    MMULT(
        INDEX($X$5:$AM$77, MATCH(BD$100,_xlfn.ANCHORARRAY( $W$5), 0), 0),
        $F$5:$U$20
    ),
    TRANSPOSE(
        INDEX($X$5:$AM$77, MATCH($A147,_xlfn.ANCHORARRAY( $W$5), 0), 0)
    )
)
/
(
    INDEX($AN$5:$AN$77, MATCH(BD$100,_xlfn.ANCHORARRAY( $W$5), 0))
    *
    INDEX($AN$5:$AN$77, MATCH($A147,_xlfn.ANCHORARRAY( $W$5), 0))
)</f>
        <v>0.51919655223437156</v>
      </c>
      <c r="BE147" s="17" cm="1">
        <f t="array" ref="BE147">MMULT(
    MMULT(
        INDEX($X$5:$AM$77, MATCH(BE$100,_xlfn.ANCHORARRAY( $W$5), 0), 0),
        $F$5:$U$20
    ),
    TRANSPOSE(
        INDEX($X$5:$AM$77, MATCH($A147,_xlfn.ANCHORARRAY( $W$5), 0), 0)
    )
)
/
(
    INDEX($AN$5:$AN$77, MATCH(BE$100,_xlfn.ANCHORARRAY( $W$5), 0))
    *
    INDEX($AN$5:$AN$77, MATCH($A147,_xlfn.ANCHORARRAY( $W$5), 0))
)</f>
        <v>0.7297708259087845</v>
      </c>
      <c r="BF147" s="17" cm="1">
        <f t="array" ref="BF147">MMULT(
    MMULT(
        INDEX($X$5:$AM$77, MATCH(BF$100,_xlfn.ANCHORARRAY( $W$5), 0), 0),
        $F$5:$U$20
    ),
    TRANSPOSE(
        INDEX($X$5:$AM$77, MATCH($A147,_xlfn.ANCHORARRAY( $W$5), 0), 0)
    )
)
/
(
    INDEX($AN$5:$AN$77, MATCH(BF$100,_xlfn.ANCHORARRAY( $W$5), 0))
    *
    INDEX($AN$5:$AN$77, MATCH($A147,_xlfn.ANCHORARRAY( $W$5), 0))
)</f>
        <v>0.84888869552473345</v>
      </c>
      <c r="BG147" s="17" cm="1">
        <f t="array" ref="BG147">MMULT(
    MMULT(
        INDEX($X$5:$AM$77, MATCH(BG$100,_xlfn.ANCHORARRAY( $W$5), 0), 0),
        $F$5:$U$20
    ),
    TRANSPOSE(
        INDEX($X$5:$AM$77, MATCH($A147,_xlfn.ANCHORARRAY( $W$5), 0), 0)
    )
)
/
(
    INDEX($AN$5:$AN$77, MATCH(BG$100,_xlfn.ANCHORARRAY( $W$5), 0))
    *
    INDEX($AN$5:$AN$77, MATCH($A147,_xlfn.ANCHORARRAY( $W$5), 0))
)</f>
        <v>0.92381467991521082</v>
      </c>
      <c r="BH147" s="17" cm="1">
        <f t="array" ref="BH147">MMULT(
    MMULT(
        INDEX($X$5:$AM$77, MATCH(BH$100,_xlfn.ANCHORARRAY( $W$5), 0), 0),
        $F$5:$U$20
    ),
    TRANSPOSE(
        INDEX($X$5:$AM$77, MATCH($A147,_xlfn.ANCHORARRAY( $W$5), 0), 0)
    )
)
/
(
    INDEX($AN$5:$AN$77, MATCH(BH$100,_xlfn.ANCHORARRAY( $W$5), 0))
    *
    INDEX($AN$5:$AN$77, MATCH($A147,_xlfn.ANCHORARRAY( $W$5), 0))
)</f>
        <v>0.63786877702960487</v>
      </c>
      <c r="BI147" s="17" cm="1">
        <f t="array" ref="BI147">MMULT(
    MMULT(
        INDEX($X$5:$AM$77, MATCH(BI$100,_xlfn.ANCHORARRAY( $W$5), 0), 0),
        $F$5:$U$20
    ),
    TRANSPOSE(
        INDEX($X$5:$AM$77, MATCH($A147,_xlfn.ANCHORARRAY( $W$5), 0), 0)
    )
)
/
(
    INDEX($AN$5:$AN$77, MATCH(BI$100,_xlfn.ANCHORARRAY( $W$5), 0))
    *
    INDEX($AN$5:$AN$77, MATCH($A147,_xlfn.ANCHORARRAY( $W$5), 0))
)</f>
        <v>0.60078545722072862</v>
      </c>
      <c r="BJ147" s="17" cm="1">
        <f t="array" ref="BJ147">MMULT(
    MMULT(
        INDEX($X$5:$AM$77, MATCH(BJ$100,_xlfn.ANCHORARRAY( $W$5), 0), 0),
        $F$5:$U$20
    ),
    TRANSPOSE(
        INDEX($X$5:$AM$77, MATCH($A147,_xlfn.ANCHORARRAY( $W$5), 0), 0)
    )
)
/
(
    INDEX($AN$5:$AN$77, MATCH(BJ$100,_xlfn.ANCHORARRAY( $W$5), 0))
    *
    INDEX($AN$5:$AN$77, MATCH($A147,_xlfn.ANCHORARRAY( $W$5), 0))
)</f>
        <v>0.84869325361002224</v>
      </c>
      <c r="BK147" s="17" cm="1">
        <f t="array" ref="BK147">MMULT(
    MMULT(
        INDEX($X$5:$AM$77, MATCH(BK$100,_xlfn.ANCHORARRAY( $W$5), 0), 0),
        $F$5:$U$20
    ),
    TRANSPOSE(
        INDEX($X$5:$AM$77, MATCH($A147,_xlfn.ANCHORARRAY( $W$5), 0), 0)
    )
)
/
(
    INDEX($AN$5:$AN$77, MATCH(BK$100,_xlfn.ANCHORARRAY( $W$5), 0))
    *
    INDEX($AN$5:$AN$77, MATCH($A147,_xlfn.ANCHORARRAY( $W$5), 0))
)</f>
        <v>0.5286059030639888</v>
      </c>
      <c r="BL147" s="17" cm="1">
        <f t="array" ref="BL147">MMULT(
    MMULT(
        INDEX($X$5:$AM$77, MATCH(BL$100,_xlfn.ANCHORARRAY( $W$5), 0), 0),
        $F$5:$U$20
    ),
    TRANSPOSE(
        INDEX($X$5:$AM$77, MATCH($A147,_xlfn.ANCHORARRAY( $W$5), 0), 0)
    )
)
/
(
    INDEX($AN$5:$AN$77, MATCH(BL$100,_xlfn.ANCHORARRAY( $W$5), 0))
    *
    INDEX($AN$5:$AN$77, MATCH($A147,_xlfn.ANCHORARRAY( $W$5), 0))
)</f>
        <v>0.77929260514361476</v>
      </c>
      <c r="BM147" s="17" cm="1">
        <f t="array" ref="BM147">MMULT(
    MMULT(
        INDEX($X$5:$AM$77, MATCH(BM$100,_xlfn.ANCHORARRAY( $W$5), 0), 0),
        $F$5:$U$20
    ),
    TRANSPOSE(
        INDEX($X$5:$AM$77, MATCH($A147,_xlfn.ANCHORARRAY( $W$5), 0), 0)
    )
)
/
(
    INDEX($AN$5:$AN$77, MATCH(BM$100,_xlfn.ANCHORARRAY( $W$5), 0))
    *
    INDEX($AN$5:$AN$77, MATCH($A147,_xlfn.ANCHORARRAY( $W$5), 0))
)</f>
        <v>0.80655368743496381</v>
      </c>
      <c r="BN147" s="17" cm="1">
        <f t="array" ref="BN147">MMULT(
    MMULT(
        INDEX($X$5:$AM$77, MATCH(BN$100,_xlfn.ANCHORARRAY( $W$5), 0), 0),
        $F$5:$U$20
    ),
    TRANSPOSE(
        INDEX($X$5:$AM$77, MATCH($A147,_xlfn.ANCHORARRAY( $W$5), 0), 0)
    )
)
/
(
    INDEX($AN$5:$AN$77, MATCH(BN$100,_xlfn.ANCHORARRAY( $W$5), 0))
    *
    INDEX($AN$5:$AN$77, MATCH($A147,_xlfn.ANCHORARRAY( $W$5), 0))
)</f>
        <v>0.70773900027674486</v>
      </c>
      <c r="BO147" s="17" cm="1">
        <f t="array" ref="BO147">MMULT(
    MMULT(
        INDEX($X$5:$AM$77, MATCH(BO$100,_xlfn.ANCHORARRAY( $W$5), 0), 0),
        $F$5:$U$20
    ),
    TRANSPOSE(
        INDEX($X$5:$AM$77, MATCH($A147,_xlfn.ANCHORARRAY( $W$5), 0), 0)
    )
)
/
(
    INDEX($AN$5:$AN$77, MATCH(BO$100,_xlfn.ANCHORARRAY( $W$5), 0))
    *
    INDEX($AN$5:$AN$77, MATCH($A147,_xlfn.ANCHORARRAY( $W$5), 0))
)</f>
        <v>0.84195082722432923</v>
      </c>
      <c r="BP147" s="17" cm="1">
        <f t="array" ref="BP147">MMULT(
    MMULT(
        INDEX($X$5:$AM$77, MATCH(BP$100,_xlfn.ANCHORARRAY( $W$5), 0), 0),
        $F$5:$U$20
    ),
    TRANSPOSE(
        INDEX($X$5:$AM$77, MATCH($A147,_xlfn.ANCHORARRAY( $W$5), 0), 0)
    )
)
/
(
    INDEX($AN$5:$AN$77, MATCH(BP$100,_xlfn.ANCHORARRAY( $W$5), 0))
    *
    INDEX($AN$5:$AN$77, MATCH($A147,_xlfn.ANCHORARRAY( $W$5), 0))
)</f>
        <v>0.85496069351663384</v>
      </c>
      <c r="BQ147" s="17" cm="1">
        <f t="array" ref="BQ147">MMULT(
    MMULT(
        INDEX($X$5:$AM$77, MATCH(BQ$100,_xlfn.ANCHORARRAY( $W$5), 0), 0),
        $F$5:$U$20
    ),
    TRANSPOSE(
        INDEX($X$5:$AM$77, MATCH($A147,_xlfn.ANCHORARRAY( $W$5), 0), 0)
    )
)
/
(
    INDEX($AN$5:$AN$77, MATCH(BQ$100,_xlfn.ANCHORARRAY( $W$5), 0))
    *
    INDEX($AN$5:$AN$77, MATCH($A147,_xlfn.ANCHORARRAY( $W$5), 0))
)</f>
        <v>0.7087196464580634</v>
      </c>
      <c r="BR147" s="17" cm="1">
        <f t="array" ref="BR147">MMULT(
    MMULT(
        INDEX($X$5:$AM$77, MATCH(BR$100,_xlfn.ANCHORARRAY( $W$5), 0), 0),
        $F$5:$U$20
    ),
    TRANSPOSE(
        INDEX($X$5:$AM$77, MATCH($A147,_xlfn.ANCHORARRAY( $W$5), 0), 0)
    )
)
/
(
    INDEX($AN$5:$AN$77, MATCH(BR$100,_xlfn.ANCHORARRAY( $W$5), 0))
    *
    INDEX($AN$5:$AN$77, MATCH($A147,_xlfn.ANCHORARRAY( $W$5), 0))
)</f>
        <v>0.78111927011802729</v>
      </c>
      <c r="BS147" s="17" cm="1">
        <f t="array" ref="BS147">MMULT(
    MMULT(
        INDEX($X$5:$AM$77, MATCH(BS$100,_xlfn.ANCHORARRAY( $W$5), 0), 0),
        $F$5:$U$20
    ),
    TRANSPOSE(
        INDEX($X$5:$AM$77, MATCH($A147,_xlfn.ANCHORARRAY( $W$5), 0), 0)
    )
)
/
(
    INDEX($AN$5:$AN$77, MATCH(BS$100,_xlfn.ANCHORARRAY( $W$5), 0))
    *
    INDEX($AN$5:$AN$77, MATCH($A147,_xlfn.ANCHORARRAY( $W$5), 0))
)</f>
        <v>0.94456518772996878</v>
      </c>
      <c r="BT147" s="17" cm="1">
        <f t="array" ref="BT147">MMULT(
    MMULT(
        INDEX($X$5:$AM$77, MATCH(BT$100,_xlfn.ANCHORARRAY( $W$5), 0), 0),
        $F$5:$U$20
    ),
    TRANSPOSE(
        INDEX($X$5:$AM$77, MATCH($A147,_xlfn.ANCHORARRAY( $W$5), 0), 0)
    )
)
/
(
    INDEX($AN$5:$AN$77, MATCH(BT$100,_xlfn.ANCHORARRAY( $W$5), 0))
    *
    INDEX($AN$5:$AN$77, MATCH($A147,_xlfn.ANCHORARRAY( $W$5), 0))
)</f>
        <v>0.91837553497922275</v>
      </c>
      <c r="BU147" s="17" cm="1">
        <f t="array" ref="BU147">MMULT(
    MMULT(
        INDEX($X$5:$AM$77, MATCH(BU$100,_xlfn.ANCHORARRAY( $W$5), 0), 0),
        $F$5:$U$20
    ),
    TRANSPOSE(
        INDEX($X$5:$AM$77, MATCH($A147,_xlfn.ANCHORARRAY( $W$5), 0), 0)
    )
)
/
(
    INDEX($AN$5:$AN$77, MATCH(BU$100,_xlfn.ANCHORARRAY( $W$5), 0))
    *
    INDEX($AN$5:$AN$77, MATCH($A147,_xlfn.ANCHORARRAY( $W$5), 0))
)</f>
        <v>0.66072490666470751</v>
      </c>
      <c r="BV147" s="17" cm="1">
        <f t="array" ref="BV147">MMULT(
    MMULT(
        INDEX($X$5:$AM$77, MATCH(BV$100,_xlfn.ANCHORARRAY( $W$5), 0), 0),
        $F$5:$U$20
    ),
    TRANSPOSE(
        INDEX($X$5:$AM$77, MATCH($A147,_xlfn.ANCHORARRAY( $W$5), 0), 0)
    )
)
/
(
    INDEX($AN$5:$AN$77, MATCH(BV$100,_xlfn.ANCHORARRAY( $W$5), 0))
    *
    INDEX($AN$5:$AN$77, MATCH($A147,_xlfn.ANCHORARRAY( $W$5), 0))
)</f>
        <v>0.66976262570923639</v>
      </c>
    </row>
    <row r="148" spans="1:74" x14ac:dyDescent="0.3">
      <c r="A148" s="7" t="str">
        <v>Winans, Allan</v>
      </c>
      <c r="B148" s="17" cm="1">
        <f t="array" ref="B148">MMULT(
    MMULT(
        INDEX($X$5:$AM$77, MATCH(B$100,_xlfn.ANCHORARRAY( $W$5), 0), 0),
        $F$5:$U$20
    ),
    TRANSPOSE(
        INDEX($X$5:$AM$77, MATCH($A148,_xlfn.ANCHORARRAY( $W$5), 0), 0)
    )
)
/
(
    INDEX($AN$5:$AN$77, MATCH(B$100,_xlfn.ANCHORARRAY( $W$5), 0))
    *
    INDEX($AN$5:$AN$77, MATCH($A148,_xlfn.ANCHORARRAY( $W$5), 0))
)</f>
        <v>0.78245848258382522</v>
      </c>
      <c r="C148" s="17" cm="1">
        <f t="array" ref="C148">MMULT(
    MMULT(
        INDEX($X$5:$AM$77, MATCH(C$100,_xlfn.ANCHORARRAY( $W$5), 0), 0),
        $F$5:$U$20
    ),
    TRANSPOSE(
        INDEX($X$5:$AM$77, MATCH($A148,_xlfn.ANCHORARRAY( $W$5), 0), 0)
    )
)
/
(
    INDEX($AN$5:$AN$77, MATCH(C$100,_xlfn.ANCHORARRAY( $W$5), 0))
    *
    INDEX($AN$5:$AN$77, MATCH($A148,_xlfn.ANCHORARRAY( $W$5), 0))
)</f>
        <v>0.61341824234981834</v>
      </c>
      <c r="D148" s="17" cm="1">
        <f t="array" ref="D148">MMULT(
    MMULT(
        INDEX($X$5:$AM$77, MATCH(D$100,_xlfn.ANCHORARRAY( $W$5), 0), 0),
        $F$5:$U$20
    ),
    TRANSPOSE(
        INDEX($X$5:$AM$77, MATCH($A148,_xlfn.ANCHORARRAY( $W$5), 0), 0)
    )
)
/
(
    INDEX($AN$5:$AN$77, MATCH(D$100,_xlfn.ANCHORARRAY( $W$5), 0))
    *
    INDEX($AN$5:$AN$77, MATCH($A148,_xlfn.ANCHORARRAY( $W$5), 0))
)</f>
        <v>0.76825817887990333</v>
      </c>
      <c r="E148" s="17" cm="1">
        <f t="array" ref="E148">MMULT(
    MMULT(
        INDEX($X$5:$AM$77, MATCH(E$100,_xlfn.ANCHORARRAY( $W$5), 0), 0),
        $F$5:$U$20
    ),
    TRANSPOSE(
        INDEX($X$5:$AM$77, MATCH($A148,_xlfn.ANCHORARRAY( $W$5), 0), 0)
    )
)
/
(
    INDEX($AN$5:$AN$77, MATCH(E$100,_xlfn.ANCHORARRAY( $W$5), 0))
    *
    INDEX($AN$5:$AN$77, MATCH($A148,_xlfn.ANCHORARRAY( $W$5), 0))
)</f>
        <v>0.8563272937300962</v>
      </c>
      <c r="F148" s="17" cm="1">
        <f t="array" ref="F148">MMULT(
    MMULT(
        INDEX($X$5:$AM$77, MATCH(F$100,_xlfn.ANCHORARRAY( $W$5), 0), 0),
        $F$5:$U$20
    ),
    TRANSPOSE(
        INDEX($X$5:$AM$77, MATCH($A148,_xlfn.ANCHORARRAY( $W$5), 0), 0)
    )
)
/
(
    INDEX($AN$5:$AN$77, MATCH(F$100,_xlfn.ANCHORARRAY( $W$5), 0))
    *
    INDEX($AN$5:$AN$77, MATCH($A148,_xlfn.ANCHORARRAY( $W$5), 0))
)</f>
        <v>0.78406554393924299</v>
      </c>
      <c r="G148" s="17" cm="1">
        <f t="array" ref="G148">MMULT(
    MMULT(
        INDEX($X$5:$AM$77, MATCH(G$100,_xlfn.ANCHORARRAY( $W$5), 0), 0),
        $F$5:$U$20
    ),
    TRANSPOSE(
        INDEX($X$5:$AM$77, MATCH($A148,_xlfn.ANCHORARRAY( $W$5), 0), 0)
    )
)
/
(
    INDEX($AN$5:$AN$77, MATCH(G$100,_xlfn.ANCHORARRAY( $W$5), 0))
    *
    INDEX($AN$5:$AN$77, MATCH($A148,_xlfn.ANCHORARRAY( $W$5), 0))
)</f>
        <v>0.81495224890649742</v>
      </c>
      <c r="H148" s="17" cm="1">
        <f t="array" ref="H148">MMULT(
    MMULT(
        INDEX($X$5:$AM$77, MATCH(H$100,_xlfn.ANCHORARRAY( $W$5), 0), 0),
        $F$5:$U$20
    ),
    TRANSPOSE(
        INDEX($X$5:$AM$77, MATCH($A148,_xlfn.ANCHORARRAY( $W$5), 0), 0)
    )
)
/
(
    INDEX($AN$5:$AN$77, MATCH(H$100,_xlfn.ANCHORARRAY( $W$5), 0))
    *
    INDEX($AN$5:$AN$77, MATCH($A148,_xlfn.ANCHORARRAY( $W$5), 0))
)</f>
        <v>0.76535370386060275</v>
      </c>
      <c r="I148" s="17" cm="1">
        <f t="array" ref="I148">MMULT(
    MMULT(
        INDEX($X$5:$AM$77, MATCH(I$100,_xlfn.ANCHORARRAY( $W$5), 0), 0),
        $F$5:$U$20
    ),
    TRANSPOSE(
        INDEX($X$5:$AM$77, MATCH($A148,_xlfn.ANCHORARRAY( $W$5), 0), 0)
    )
)
/
(
    INDEX($AN$5:$AN$77, MATCH(I$100,_xlfn.ANCHORARRAY( $W$5), 0))
    *
    INDEX($AN$5:$AN$77, MATCH($A148,_xlfn.ANCHORARRAY( $W$5), 0))
)</f>
        <v>0.75472193724264158</v>
      </c>
      <c r="J148" s="17" cm="1">
        <f t="array" ref="J148">MMULT(
    MMULT(
        INDEX($X$5:$AM$77, MATCH(J$100,_xlfn.ANCHORARRAY( $W$5), 0), 0),
        $F$5:$U$20
    ),
    TRANSPOSE(
        INDEX($X$5:$AM$77, MATCH($A148,_xlfn.ANCHORARRAY( $W$5), 0), 0)
    )
)
/
(
    INDEX($AN$5:$AN$77, MATCH(J$100,_xlfn.ANCHORARRAY( $W$5), 0))
    *
    INDEX($AN$5:$AN$77, MATCH($A148,_xlfn.ANCHORARRAY( $W$5), 0))
)</f>
        <v>0.80876766408971446</v>
      </c>
      <c r="K148" s="17" cm="1">
        <f t="array" ref="K148">MMULT(
    MMULT(
        INDEX($X$5:$AM$77, MATCH(K$100,_xlfn.ANCHORARRAY( $W$5), 0), 0),
        $F$5:$U$20
    ),
    TRANSPOSE(
        INDEX($X$5:$AM$77, MATCH($A148,_xlfn.ANCHORARRAY( $W$5), 0), 0)
    )
)
/
(
    INDEX($AN$5:$AN$77, MATCH(K$100,_xlfn.ANCHORARRAY( $W$5), 0))
    *
    INDEX($AN$5:$AN$77, MATCH($A148,_xlfn.ANCHORARRAY( $W$5), 0))
)</f>
        <v>0.88352813537259478</v>
      </c>
      <c r="L148" s="17" cm="1">
        <f t="array" ref="L148">MMULT(
    MMULT(
        INDEX($X$5:$AM$77, MATCH(L$100,_xlfn.ANCHORARRAY( $W$5), 0), 0),
        $F$5:$U$20
    ),
    TRANSPOSE(
        INDEX($X$5:$AM$77, MATCH($A148,_xlfn.ANCHORARRAY( $W$5), 0), 0)
    )
)
/
(
    INDEX($AN$5:$AN$77, MATCH(L$100,_xlfn.ANCHORARRAY( $W$5), 0))
    *
    INDEX($AN$5:$AN$77, MATCH($A148,_xlfn.ANCHORARRAY( $W$5), 0))
)</f>
        <v>0.7449788571777527</v>
      </c>
      <c r="M148" s="17" cm="1">
        <f t="array" ref="M148">MMULT(
    MMULT(
        INDEX($X$5:$AM$77, MATCH(M$100,_xlfn.ANCHORARRAY( $W$5), 0), 0),
        $F$5:$U$20
    ),
    TRANSPOSE(
        INDEX($X$5:$AM$77, MATCH($A148,_xlfn.ANCHORARRAY( $W$5), 0), 0)
    )
)
/
(
    INDEX($AN$5:$AN$77, MATCH(M$100,_xlfn.ANCHORARRAY( $W$5), 0))
    *
    INDEX($AN$5:$AN$77, MATCH($A148,_xlfn.ANCHORARRAY( $W$5), 0))
)</f>
        <v>0.94406027188955288</v>
      </c>
      <c r="N148" s="17" cm="1">
        <f t="array" ref="N148">MMULT(
    MMULT(
        INDEX($X$5:$AM$77, MATCH(N$100,_xlfn.ANCHORARRAY( $W$5), 0), 0),
        $F$5:$U$20
    ),
    TRANSPOSE(
        INDEX($X$5:$AM$77, MATCH($A148,_xlfn.ANCHORARRAY( $W$5), 0), 0)
    )
)
/
(
    INDEX($AN$5:$AN$77, MATCH(N$100,_xlfn.ANCHORARRAY( $W$5), 0))
    *
    INDEX($AN$5:$AN$77, MATCH($A148,_xlfn.ANCHORARRAY( $W$5), 0))
)</f>
        <v>0.61302490611855776</v>
      </c>
      <c r="O148" s="17" cm="1">
        <f t="array" ref="O148">MMULT(
    MMULT(
        INDEX($X$5:$AM$77, MATCH(O$100,_xlfn.ANCHORARRAY( $W$5), 0), 0),
        $F$5:$U$20
    ),
    TRANSPOSE(
        INDEX($X$5:$AM$77, MATCH($A148,_xlfn.ANCHORARRAY( $W$5), 0), 0)
    )
)
/
(
    INDEX($AN$5:$AN$77, MATCH(O$100,_xlfn.ANCHORARRAY( $W$5), 0))
    *
    INDEX($AN$5:$AN$77, MATCH($A148,_xlfn.ANCHORARRAY( $W$5), 0))
)</f>
        <v>0.70451708900754073</v>
      </c>
      <c r="P148" s="17" cm="1">
        <f t="array" ref="P148">MMULT(
    MMULT(
        INDEX($X$5:$AM$77, MATCH(P$100,_xlfn.ANCHORARRAY( $W$5), 0), 0),
        $F$5:$U$20
    ),
    TRANSPOSE(
        INDEX($X$5:$AM$77, MATCH($A148,_xlfn.ANCHORARRAY( $W$5), 0), 0)
    )
)
/
(
    INDEX($AN$5:$AN$77, MATCH(P$100,_xlfn.ANCHORARRAY( $W$5), 0))
    *
    INDEX($AN$5:$AN$77, MATCH($A148,_xlfn.ANCHORARRAY( $W$5), 0))
)</f>
        <v>0.69449791882172218</v>
      </c>
      <c r="Q148" s="17" cm="1">
        <f t="array" ref="Q148">MMULT(
    MMULT(
        INDEX($X$5:$AM$77, MATCH(Q$100,_xlfn.ANCHORARRAY( $W$5), 0), 0),
        $F$5:$U$20
    ),
    TRANSPOSE(
        INDEX($X$5:$AM$77, MATCH($A148,_xlfn.ANCHORARRAY( $W$5), 0), 0)
    )
)
/
(
    INDEX($AN$5:$AN$77, MATCH(Q$100,_xlfn.ANCHORARRAY( $W$5), 0))
    *
    INDEX($AN$5:$AN$77, MATCH($A148,_xlfn.ANCHORARRAY( $W$5), 0))
)</f>
        <v>0.65084741986148265</v>
      </c>
      <c r="R148" s="17" cm="1">
        <f t="array" ref="R148">MMULT(
    MMULT(
        INDEX($X$5:$AM$77, MATCH(R$100,_xlfn.ANCHORARRAY( $W$5), 0), 0),
        $F$5:$U$20
    ),
    TRANSPOSE(
        INDEX($X$5:$AM$77, MATCH($A148,_xlfn.ANCHORARRAY( $W$5), 0), 0)
    )
)
/
(
    INDEX($AN$5:$AN$77, MATCH(R$100,_xlfn.ANCHORARRAY( $W$5), 0))
    *
    INDEX($AN$5:$AN$77, MATCH($A148,_xlfn.ANCHORARRAY( $W$5), 0))
)</f>
        <v>0.7302844679444197</v>
      </c>
      <c r="S148" s="17" cm="1">
        <f t="array" ref="S148">MMULT(
    MMULT(
        INDEX($X$5:$AM$77, MATCH(S$100,_xlfn.ANCHORARRAY( $W$5), 0), 0),
        $F$5:$U$20
    ),
    TRANSPOSE(
        INDEX($X$5:$AM$77, MATCH($A148,_xlfn.ANCHORARRAY( $W$5), 0), 0)
    )
)
/
(
    INDEX($AN$5:$AN$77, MATCH(S$100,_xlfn.ANCHORARRAY( $W$5), 0))
    *
    INDEX($AN$5:$AN$77, MATCH($A148,_xlfn.ANCHORARRAY( $W$5), 0))
)</f>
        <v>0.72504522242900959</v>
      </c>
      <c r="T148" s="17" cm="1">
        <f t="array" ref="T148">MMULT(
    MMULT(
        INDEX($X$5:$AM$77, MATCH(T$100,_xlfn.ANCHORARRAY( $W$5), 0), 0),
        $F$5:$U$20
    ),
    TRANSPOSE(
        INDEX($X$5:$AM$77, MATCH($A148,_xlfn.ANCHORARRAY( $W$5), 0), 0)
    )
)
/
(
    INDEX($AN$5:$AN$77, MATCH(T$100,_xlfn.ANCHORARRAY( $W$5), 0))
    *
    INDEX($AN$5:$AN$77, MATCH($A148,_xlfn.ANCHORARRAY( $W$5), 0))
)</f>
        <v>0.2383548482456127</v>
      </c>
      <c r="U148" s="17" cm="1">
        <f t="array" ref="U148">MMULT(
    MMULT(
        INDEX($X$5:$AM$77, MATCH(U$100,_xlfn.ANCHORARRAY( $W$5), 0), 0),
        $F$5:$U$20
    ),
    TRANSPOSE(
        INDEX($X$5:$AM$77, MATCH($A148,_xlfn.ANCHORARRAY( $W$5), 0), 0)
    )
)
/
(
    INDEX($AN$5:$AN$77, MATCH(U$100,_xlfn.ANCHORARRAY( $W$5), 0))
    *
    INDEX($AN$5:$AN$77, MATCH($A148,_xlfn.ANCHORARRAY( $W$5), 0))
)</f>
        <v>0.74558022719990769</v>
      </c>
      <c r="V148" s="17" cm="1">
        <f t="array" ref="V148">MMULT(
    MMULT(
        INDEX($X$5:$AM$77, MATCH(V$100,_xlfn.ANCHORARRAY( $W$5), 0), 0),
        $F$5:$U$20
    ),
    TRANSPOSE(
        INDEX($X$5:$AM$77, MATCH($A148,_xlfn.ANCHORARRAY( $W$5), 0), 0)
    )
)
/
(
    INDEX($AN$5:$AN$77, MATCH(V$100,_xlfn.ANCHORARRAY( $W$5), 0))
    *
    INDEX($AN$5:$AN$77, MATCH($A148,_xlfn.ANCHORARRAY( $W$5), 0))
)</f>
        <v>0.55615441700158164</v>
      </c>
      <c r="W148" s="17" cm="1">
        <f t="array" ref="W148">MMULT(
    MMULT(
        INDEX($X$5:$AM$77, MATCH(W$100,_xlfn.ANCHORARRAY( $W$5), 0), 0),
        $F$5:$U$20
    ),
    TRANSPOSE(
        INDEX($X$5:$AM$77, MATCH($A148,_xlfn.ANCHORARRAY( $W$5), 0), 0)
    )
)
/
(
    INDEX($AN$5:$AN$77, MATCH(W$100,_xlfn.ANCHORARRAY( $W$5), 0))
    *
    INDEX($AN$5:$AN$77, MATCH($A148,_xlfn.ANCHORARRAY( $W$5), 0))
)</f>
        <v>0.6985490543935341</v>
      </c>
      <c r="X148" s="17" cm="1">
        <f t="array" ref="X148">MMULT(
    MMULT(
        INDEX($X$5:$AM$77, MATCH(X$100,_xlfn.ANCHORARRAY( $W$5), 0), 0),
        $F$5:$U$20
    ),
    TRANSPOSE(
        INDEX($X$5:$AM$77, MATCH($A148,_xlfn.ANCHORARRAY( $W$5), 0), 0)
    )
)
/
(
    INDEX($AN$5:$AN$77, MATCH(X$100,_xlfn.ANCHORARRAY( $W$5), 0))
    *
    INDEX($AN$5:$AN$77, MATCH($A148,_xlfn.ANCHORARRAY( $W$5), 0))
)</f>
        <v>0.73587916110049145</v>
      </c>
      <c r="Y148" s="17" cm="1">
        <f t="array" ref="Y148">MMULT(
    MMULT(
        INDEX($X$5:$AM$77, MATCH(Y$100,_xlfn.ANCHORARRAY( $W$5), 0), 0),
        $F$5:$U$20
    ),
    TRANSPOSE(
        INDEX($X$5:$AM$77, MATCH($A148,_xlfn.ANCHORARRAY( $W$5), 0), 0)
    )
)
/
(
    INDEX($AN$5:$AN$77, MATCH(Y$100,_xlfn.ANCHORARRAY( $W$5), 0))
    *
    INDEX($AN$5:$AN$77, MATCH($A148,_xlfn.ANCHORARRAY( $W$5), 0))
)</f>
        <v>0.73268665513568154</v>
      </c>
      <c r="Z148" s="17" cm="1">
        <f t="array" ref="Z148">MMULT(
    MMULT(
        INDEX($X$5:$AM$77, MATCH(Z$100,_xlfn.ANCHORARRAY( $W$5), 0), 0),
        $F$5:$U$20
    ),
    TRANSPOSE(
        INDEX($X$5:$AM$77, MATCH($A148,_xlfn.ANCHORARRAY( $W$5), 0), 0)
    )
)
/
(
    INDEX($AN$5:$AN$77, MATCH(Z$100,_xlfn.ANCHORARRAY( $W$5), 0))
    *
    INDEX($AN$5:$AN$77, MATCH($A148,_xlfn.ANCHORARRAY( $W$5), 0))
)</f>
        <v>0.74947554524936677</v>
      </c>
      <c r="AA148" s="17" cm="1">
        <f t="array" ref="AA148">MMULT(
    MMULT(
        INDEX($X$5:$AM$77, MATCH(AA$100,_xlfn.ANCHORARRAY( $W$5), 0), 0),
        $F$5:$U$20
    ),
    TRANSPOSE(
        INDEX($X$5:$AM$77, MATCH($A148,_xlfn.ANCHORARRAY( $W$5), 0), 0)
    )
)
/
(
    INDEX($AN$5:$AN$77, MATCH(AA$100,_xlfn.ANCHORARRAY( $W$5), 0))
    *
    INDEX($AN$5:$AN$77, MATCH($A148,_xlfn.ANCHORARRAY( $W$5), 0))
)</f>
        <v>0.67225136116226369</v>
      </c>
      <c r="AB148" s="17" cm="1">
        <f t="array" ref="AB148">MMULT(
    MMULT(
        INDEX($X$5:$AM$77, MATCH(AB$100,_xlfn.ANCHORARRAY( $W$5), 0), 0),
        $F$5:$U$20
    ),
    TRANSPOSE(
        INDEX($X$5:$AM$77, MATCH($A148,_xlfn.ANCHORARRAY( $W$5), 0), 0)
    )
)
/
(
    INDEX($AN$5:$AN$77, MATCH(AB$100,_xlfn.ANCHORARRAY( $W$5), 0))
    *
    INDEX($AN$5:$AN$77, MATCH($A148,_xlfn.ANCHORARRAY( $W$5), 0))
)</f>
        <v>0.84708311135818648</v>
      </c>
      <c r="AC148" s="17" cm="1">
        <f t="array" ref="AC148">MMULT(
    MMULT(
        INDEX($X$5:$AM$77, MATCH(AC$100,_xlfn.ANCHORARRAY( $W$5), 0), 0),
        $F$5:$U$20
    ),
    TRANSPOSE(
        INDEX($X$5:$AM$77, MATCH($A148,_xlfn.ANCHORARRAY( $W$5), 0), 0)
    )
)
/
(
    INDEX($AN$5:$AN$77, MATCH(AC$100,_xlfn.ANCHORARRAY( $W$5), 0))
    *
    INDEX($AN$5:$AN$77, MATCH($A148,_xlfn.ANCHORARRAY( $W$5), 0))
)</f>
        <v>0.79889249437152576</v>
      </c>
      <c r="AD148" s="17" cm="1">
        <f t="array" ref="AD148">MMULT(
    MMULT(
        INDEX($X$5:$AM$77, MATCH(AD$100,_xlfn.ANCHORARRAY( $W$5), 0), 0),
        $F$5:$U$20
    ),
    TRANSPOSE(
        INDEX($X$5:$AM$77, MATCH($A148,_xlfn.ANCHORARRAY( $W$5), 0), 0)
    )
)
/
(
    INDEX($AN$5:$AN$77, MATCH(AD$100,_xlfn.ANCHORARRAY( $W$5), 0))
    *
    INDEX($AN$5:$AN$77, MATCH($A148,_xlfn.ANCHORARRAY( $W$5), 0))
)</f>
        <v>0.72580467211130917</v>
      </c>
      <c r="AE148" s="17" cm="1">
        <f t="array" ref="AE148">MMULT(
    MMULT(
        INDEX($X$5:$AM$77, MATCH(AE$100,_xlfn.ANCHORARRAY( $W$5), 0), 0),
        $F$5:$U$20
    ),
    TRANSPOSE(
        INDEX($X$5:$AM$77, MATCH($A148,_xlfn.ANCHORARRAY( $W$5), 0), 0)
    )
)
/
(
    INDEX($AN$5:$AN$77, MATCH(AE$100,_xlfn.ANCHORARRAY( $W$5), 0))
    *
    INDEX($AN$5:$AN$77, MATCH($A148,_xlfn.ANCHORARRAY( $W$5), 0))
)</f>
        <v>0.79445681349153929</v>
      </c>
      <c r="AF148" s="17" cm="1">
        <f t="array" ref="AF148">MMULT(
    MMULT(
        INDEX($X$5:$AM$77, MATCH(AF$100,_xlfn.ANCHORARRAY( $W$5), 0), 0),
        $F$5:$U$20
    ),
    TRANSPOSE(
        INDEX($X$5:$AM$77, MATCH($A148,_xlfn.ANCHORARRAY( $W$5), 0), 0)
    )
)
/
(
    INDEX($AN$5:$AN$77, MATCH(AF$100,_xlfn.ANCHORARRAY( $W$5), 0))
    *
    INDEX($AN$5:$AN$77, MATCH($A148,_xlfn.ANCHORARRAY( $W$5), 0))
)</f>
        <v>0.75300611882858925</v>
      </c>
      <c r="AG148" s="17" cm="1">
        <f t="array" ref="AG148">MMULT(
    MMULT(
        INDEX($X$5:$AM$77, MATCH(AG$100,_xlfn.ANCHORARRAY( $W$5), 0), 0),
        $F$5:$U$20
    ),
    TRANSPOSE(
        INDEX($X$5:$AM$77, MATCH($A148,_xlfn.ANCHORARRAY( $W$5), 0), 0)
    )
)
/
(
    INDEX($AN$5:$AN$77, MATCH(AG$100,_xlfn.ANCHORARRAY( $W$5), 0))
    *
    INDEX($AN$5:$AN$77, MATCH($A148,_xlfn.ANCHORARRAY( $W$5), 0))
)</f>
        <v>0.82224343695605107</v>
      </c>
      <c r="AH148" s="17" cm="1">
        <f t="array" ref="AH148">MMULT(
    MMULT(
        INDEX($X$5:$AM$77, MATCH(AH$100,_xlfn.ANCHORARRAY( $W$5), 0), 0),
        $F$5:$U$20
    ),
    TRANSPOSE(
        INDEX($X$5:$AM$77, MATCH($A148,_xlfn.ANCHORARRAY( $W$5), 0), 0)
    )
)
/
(
    INDEX($AN$5:$AN$77, MATCH(AH$100,_xlfn.ANCHORARRAY( $W$5), 0))
    *
    INDEX($AN$5:$AN$77, MATCH($A148,_xlfn.ANCHORARRAY( $W$5), 0))
)</f>
        <v>0.76086711744342694</v>
      </c>
      <c r="AI148" s="17" cm="1">
        <f t="array" ref="AI148">MMULT(
    MMULT(
        INDEX($X$5:$AM$77, MATCH(AI$100,_xlfn.ANCHORARRAY( $W$5), 0), 0),
        $F$5:$U$20
    ),
    TRANSPOSE(
        INDEX($X$5:$AM$77, MATCH($A148,_xlfn.ANCHORARRAY( $W$5), 0), 0)
    )
)
/
(
    INDEX($AN$5:$AN$77, MATCH(AI$100,_xlfn.ANCHORARRAY( $W$5), 0))
    *
    INDEX($AN$5:$AN$77, MATCH($A148,_xlfn.ANCHORARRAY( $W$5), 0))
)</f>
        <v>0.85263987429242949</v>
      </c>
      <c r="AJ148" s="17" cm="1">
        <f t="array" ref="AJ148">MMULT(
    MMULT(
        INDEX($X$5:$AM$77, MATCH(AJ$100,_xlfn.ANCHORARRAY( $W$5), 0), 0),
        $F$5:$U$20
    ),
    TRANSPOSE(
        INDEX($X$5:$AM$77, MATCH($A148,_xlfn.ANCHORARRAY( $W$5), 0), 0)
    )
)
/
(
    INDEX($AN$5:$AN$77, MATCH(AJ$100,_xlfn.ANCHORARRAY( $W$5), 0))
    *
    INDEX($AN$5:$AN$77, MATCH($A148,_xlfn.ANCHORARRAY( $W$5), 0))
)</f>
        <v>0.70320865818248557</v>
      </c>
      <c r="AK148" s="17" cm="1">
        <f t="array" ref="AK148">MMULT(
    MMULT(
        INDEX($X$5:$AM$77, MATCH(AK$100,_xlfn.ANCHORARRAY( $W$5), 0), 0),
        $F$5:$U$20
    ),
    TRANSPOSE(
        INDEX($X$5:$AM$77, MATCH($A148,_xlfn.ANCHORARRAY( $W$5), 0), 0)
    )
)
/
(
    INDEX($AN$5:$AN$77, MATCH(AK$100,_xlfn.ANCHORARRAY( $W$5), 0))
    *
    INDEX($AN$5:$AN$77, MATCH($A148,_xlfn.ANCHORARRAY( $W$5), 0))
)</f>
        <v>0.83040460216933998</v>
      </c>
      <c r="AL148" s="17" cm="1">
        <f t="array" ref="AL148">MMULT(
    MMULT(
        INDEX($X$5:$AM$77, MATCH(AL$100,_xlfn.ANCHORARRAY( $W$5), 0), 0),
        $F$5:$U$20
    ),
    TRANSPOSE(
        INDEX($X$5:$AM$77, MATCH($A148,_xlfn.ANCHORARRAY( $W$5), 0), 0)
    )
)
/
(
    INDEX($AN$5:$AN$77, MATCH(AL$100,_xlfn.ANCHORARRAY( $W$5), 0))
    *
    INDEX($AN$5:$AN$77, MATCH($A148,_xlfn.ANCHORARRAY( $W$5), 0))
)</f>
        <v>0.64765201049366461</v>
      </c>
      <c r="AM148" s="17" cm="1">
        <f t="array" ref="AM148">MMULT(
    MMULT(
        INDEX($X$5:$AM$77, MATCH(AM$100,_xlfn.ANCHORARRAY( $W$5), 0), 0),
        $F$5:$U$20
    ),
    TRANSPOSE(
        INDEX($X$5:$AM$77, MATCH($A148,_xlfn.ANCHORARRAY( $W$5), 0), 0)
    )
)
/
(
    INDEX($AN$5:$AN$77, MATCH(AM$100,_xlfn.ANCHORARRAY( $W$5), 0))
    *
    INDEX($AN$5:$AN$77, MATCH($A148,_xlfn.ANCHORARRAY( $W$5), 0))
)</f>
        <v>0.83508494928836996</v>
      </c>
      <c r="AN148" s="17" cm="1">
        <f t="array" ref="AN148">MMULT(
    MMULT(
        INDEX($X$5:$AM$77, MATCH(AN$100,_xlfn.ANCHORARRAY( $W$5), 0), 0),
        $F$5:$U$20
    ),
    TRANSPOSE(
        INDEX($X$5:$AM$77, MATCH($A148,_xlfn.ANCHORARRAY( $W$5), 0), 0)
    )
)
/
(
    INDEX($AN$5:$AN$77, MATCH(AN$100,_xlfn.ANCHORARRAY( $W$5), 0))
    *
    INDEX($AN$5:$AN$77, MATCH($A148,_xlfn.ANCHORARRAY( $W$5), 0))
)</f>
        <v>0.84742855890810997</v>
      </c>
      <c r="AO148" s="17" cm="1">
        <f t="array" ref="AO148">MMULT(
    MMULT(
        INDEX($X$5:$AM$77, MATCH(AO$100,_xlfn.ANCHORARRAY( $W$5), 0), 0),
        $F$5:$U$20
    ),
    TRANSPOSE(
        INDEX($X$5:$AM$77, MATCH($A148,_xlfn.ANCHORARRAY( $W$5), 0), 0)
    )
)
/
(
    INDEX($AN$5:$AN$77, MATCH(AO$100,_xlfn.ANCHORARRAY( $W$5), 0))
    *
    INDEX($AN$5:$AN$77, MATCH($A148,_xlfn.ANCHORARRAY( $W$5), 0))
)</f>
        <v>0.66732437933435029</v>
      </c>
      <c r="AP148" s="17" cm="1">
        <f t="array" ref="AP148">MMULT(
    MMULT(
        INDEX($X$5:$AM$77, MATCH(AP$100,_xlfn.ANCHORARRAY( $W$5), 0), 0),
        $F$5:$U$20
    ),
    TRANSPOSE(
        INDEX($X$5:$AM$77, MATCH($A148,_xlfn.ANCHORARRAY( $W$5), 0), 0)
    )
)
/
(
    INDEX($AN$5:$AN$77, MATCH(AP$100,_xlfn.ANCHORARRAY( $W$5), 0))
    *
    INDEX($AN$5:$AN$77, MATCH($A148,_xlfn.ANCHORARRAY( $W$5), 0))
)</f>
        <v>0.80080341110300679</v>
      </c>
      <c r="AQ148" s="17" cm="1">
        <f t="array" ref="AQ148">MMULT(
    MMULT(
        INDEX($X$5:$AM$77, MATCH(AQ$100,_xlfn.ANCHORARRAY( $W$5), 0), 0),
        $F$5:$U$20
    ),
    TRANSPOSE(
        INDEX($X$5:$AM$77, MATCH($A148,_xlfn.ANCHORARRAY( $W$5), 0), 0)
    )
)
/
(
    INDEX($AN$5:$AN$77, MATCH(AQ$100,_xlfn.ANCHORARRAY( $W$5), 0))
    *
    INDEX($AN$5:$AN$77, MATCH($A148,_xlfn.ANCHORARRAY( $W$5), 0))
)</f>
        <v>0.60091939170384157</v>
      </c>
      <c r="AR148" s="17" cm="1">
        <f t="array" ref="AR148">MMULT(
    MMULT(
        INDEX($X$5:$AM$77, MATCH(AR$100,_xlfn.ANCHORARRAY( $W$5), 0), 0),
        $F$5:$U$20
    ),
    TRANSPOSE(
        INDEX($X$5:$AM$77, MATCH($A148,_xlfn.ANCHORARRAY( $W$5), 0), 0)
    )
)
/
(
    INDEX($AN$5:$AN$77, MATCH(AR$100,_xlfn.ANCHORARRAY( $W$5), 0))
    *
    INDEX($AN$5:$AN$77, MATCH($A148,_xlfn.ANCHORARRAY( $W$5), 0))
)</f>
        <v>0.70219099575228794</v>
      </c>
      <c r="AS148" s="17" cm="1">
        <f t="array" ref="AS148">MMULT(
    MMULT(
        INDEX($X$5:$AM$77, MATCH(AS$100,_xlfn.ANCHORARRAY( $W$5), 0), 0),
        $F$5:$U$20
    ),
    TRANSPOSE(
        INDEX($X$5:$AM$77, MATCH($A148,_xlfn.ANCHORARRAY( $W$5), 0), 0)
    )
)
/
(
    INDEX($AN$5:$AN$77, MATCH(AS$100,_xlfn.ANCHORARRAY( $W$5), 0))
    *
    INDEX($AN$5:$AN$77, MATCH($A148,_xlfn.ANCHORARRAY( $W$5), 0))
)</f>
        <v>0.86181553490310825</v>
      </c>
      <c r="AT148" s="17" cm="1">
        <f t="array" ref="AT148">MMULT(
    MMULT(
        INDEX($X$5:$AM$77, MATCH(AT$100,_xlfn.ANCHORARRAY( $W$5), 0), 0),
        $F$5:$U$20
    ),
    TRANSPOSE(
        INDEX($X$5:$AM$77, MATCH($A148,_xlfn.ANCHORARRAY( $W$5), 0), 0)
    )
)
/
(
    INDEX($AN$5:$AN$77, MATCH(AT$100,_xlfn.ANCHORARRAY( $W$5), 0))
    *
    INDEX($AN$5:$AN$77, MATCH($A148,_xlfn.ANCHORARRAY( $W$5), 0))
)</f>
        <v>0.8099229479535287</v>
      </c>
      <c r="AU148" s="17" cm="1">
        <f t="array" ref="AU148">MMULT(
    MMULT(
        INDEX($X$5:$AM$77, MATCH(AU$100,_xlfn.ANCHORARRAY( $W$5), 0), 0),
        $F$5:$U$20
    ),
    TRANSPOSE(
        INDEX($X$5:$AM$77, MATCH($A148,_xlfn.ANCHORARRAY( $W$5), 0), 0)
    )
)
/
(
    INDEX($AN$5:$AN$77, MATCH(AU$100,_xlfn.ANCHORARRAY( $W$5), 0))
    *
    INDEX($AN$5:$AN$77, MATCH($A148,_xlfn.ANCHORARRAY( $W$5), 0))
)</f>
        <v>0.7994323229339243</v>
      </c>
      <c r="AV148" s="17" cm="1">
        <f t="array" ref="AV148">MMULT(
    MMULT(
        INDEX($X$5:$AM$77, MATCH(AV$100,_xlfn.ANCHORARRAY( $W$5), 0), 0),
        $F$5:$U$20
    ),
    TRANSPOSE(
        INDEX($X$5:$AM$77, MATCH($A148,_xlfn.ANCHORARRAY( $W$5), 0), 0)
    )
)
/
(
    INDEX($AN$5:$AN$77, MATCH(AV$100,_xlfn.ANCHORARRAY( $W$5), 0))
    *
    INDEX($AN$5:$AN$77, MATCH($A148,_xlfn.ANCHORARRAY( $W$5), 0))
)</f>
        <v>0.7194689710909421</v>
      </c>
      <c r="AW148" s="17" cm="1">
        <f t="array" ref="AW148">MMULT(
    MMULT(
        INDEX($X$5:$AM$77, MATCH(AW$100,_xlfn.ANCHORARRAY( $W$5), 0), 0),
        $F$5:$U$20
    ),
    TRANSPOSE(
        INDEX($X$5:$AM$77, MATCH($A148,_xlfn.ANCHORARRAY( $W$5), 0), 0)
    )
)
/
(
    INDEX($AN$5:$AN$77, MATCH(AW$100,_xlfn.ANCHORARRAY( $W$5), 0))
    *
    INDEX($AN$5:$AN$77, MATCH($A148,_xlfn.ANCHORARRAY( $W$5), 0))
)</f>
        <v>1</v>
      </c>
      <c r="AX148" s="17" cm="1">
        <f t="array" ref="AX148">MMULT(
    MMULT(
        INDEX($X$5:$AM$77, MATCH(AX$100,_xlfn.ANCHORARRAY( $W$5), 0), 0),
        $F$5:$U$20
    ),
    TRANSPOSE(
        INDEX($X$5:$AM$77, MATCH($A148,_xlfn.ANCHORARRAY( $W$5), 0), 0)
    )
)
/
(
    INDEX($AN$5:$AN$77, MATCH(AX$100,_xlfn.ANCHORARRAY( $W$5), 0))
    *
    INDEX($AN$5:$AN$77, MATCH($A148,_xlfn.ANCHORARRAY( $W$5), 0))
)</f>
        <v>0.49263942438388886</v>
      </c>
      <c r="AY148" s="17" cm="1">
        <f t="array" ref="AY148">MMULT(
    MMULT(
        INDEX($X$5:$AM$77, MATCH(AY$100,_xlfn.ANCHORARRAY( $W$5), 0), 0),
        $F$5:$U$20
    ),
    TRANSPOSE(
        INDEX($X$5:$AM$77, MATCH($A148,_xlfn.ANCHORARRAY( $W$5), 0), 0)
    )
)
/
(
    INDEX($AN$5:$AN$77, MATCH(AY$100,_xlfn.ANCHORARRAY( $W$5), 0))
    *
    INDEX($AN$5:$AN$77, MATCH($A148,_xlfn.ANCHORARRAY( $W$5), 0))
)</f>
        <v>0.75712119575891779</v>
      </c>
      <c r="AZ148" s="17" cm="1">
        <f t="array" ref="AZ148">MMULT(
    MMULT(
        INDEX($X$5:$AM$77, MATCH(AZ$100,_xlfn.ANCHORARRAY( $W$5), 0), 0),
        $F$5:$U$20
    ),
    TRANSPOSE(
        INDEX($X$5:$AM$77, MATCH($A148,_xlfn.ANCHORARRAY( $W$5), 0), 0)
    )
)
/
(
    INDEX($AN$5:$AN$77, MATCH(AZ$100,_xlfn.ANCHORARRAY( $W$5), 0))
    *
    INDEX($AN$5:$AN$77, MATCH($A148,_xlfn.ANCHORARRAY( $W$5), 0))
)</f>
        <v>0.71054018741197422</v>
      </c>
      <c r="BA148" s="17" cm="1">
        <f t="array" ref="BA148">MMULT(
    MMULT(
        INDEX($X$5:$AM$77, MATCH(BA$100,_xlfn.ANCHORARRAY( $W$5), 0), 0),
        $F$5:$U$20
    ),
    TRANSPOSE(
        INDEX($X$5:$AM$77, MATCH($A148,_xlfn.ANCHORARRAY( $W$5), 0), 0)
    )
)
/
(
    INDEX($AN$5:$AN$77, MATCH(BA$100,_xlfn.ANCHORARRAY( $W$5), 0))
    *
    INDEX($AN$5:$AN$77, MATCH($A148,_xlfn.ANCHORARRAY( $W$5), 0))
)</f>
        <v>0.7041366182308082</v>
      </c>
      <c r="BB148" s="17" cm="1">
        <f t="array" ref="BB148">MMULT(
    MMULT(
        INDEX($X$5:$AM$77, MATCH(BB$100,_xlfn.ANCHORARRAY( $W$5), 0), 0),
        $F$5:$U$20
    ),
    TRANSPOSE(
        INDEX($X$5:$AM$77, MATCH($A148,_xlfn.ANCHORARRAY( $W$5), 0), 0)
    )
)
/
(
    INDEX($AN$5:$AN$77, MATCH(BB$100,_xlfn.ANCHORARRAY( $W$5), 0))
    *
    INDEX($AN$5:$AN$77, MATCH($A148,_xlfn.ANCHORARRAY( $W$5), 0))
)</f>
        <v>0.74805969429043195</v>
      </c>
      <c r="BC148" s="17" cm="1">
        <f t="array" ref="BC148">MMULT(
    MMULT(
        INDEX($X$5:$AM$77, MATCH(BC$100,_xlfn.ANCHORARRAY( $W$5), 0), 0),
        $F$5:$U$20
    ),
    TRANSPOSE(
        INDEX($X$5:$AM$77, MATCH($A148,_xlfn.ANCHORARRAY( $W$5), 0), 0)
    )
)
/
(
    INDEX($AN$5:$AN$77, MATCH(BC$100,_xlfn.ANCHORARRAY( $W$5), 0))
    *
    INDEX($AN$5:$AN$77, MATCH($A148,_xlfn.ANCHORARRAY( $W$5), 0))
)</f>
        <v>0.88020697216205057</v>
      </c>
      <c r="BD148" s="17" cm="1">
        <f t="array" ref="BD148">MMULT(
    MMULT(
        INDEX($X$5:$AM$77, MATCH(BD$100,_xlfn.ANCHORARRAY( $W$5), 0), 0),
        $F$5:$U$20
    ),
    TRANSPOSE(
        INDEX($X$5:$AM$77, MATCH($A148,_xlfn.ANCHORARRAY( $W$5), 0), 0)
    )
)
/
(
    INDEX($AN$5:$AN$77, MATCH(BD$100,_xlfn.ANCHORARRAY( $W$5), 0))
    *
    INDEX($AN$5:$AN$77, MATCH($A148,_xlfn.ANCHORARRAY( $W$5), 0))
)</f>
        <v>0.4863136606662456</v>
      </c>
      <c r="BE148" s="17" cm="1">
        <f t="array" ref="BE148">MMULT(
    MMULT(
        INDEX($X$5:$AM$77, MATCH(BE$100,_xlfn.ANCHORARRAY( $W$5), 0), 0),
        $F$5:$U$20
    ),
    TRANSPOSE(
        INDEX($X$5:$AM$77, MATCH($A148,_xlfn.ANCHORARRAY( $W$5), 0), 0)
    )
)
/
(
    INDEX($AN$5:$AN$77, MATCH(BE$100,_xlfn.ANCHORARRAY( $W$5), 0))
    *
    INDEX($AN$5:$AN$77, MATCH($A148,_xlfn.ANCHORARRAY( $W$5), 0))
)</f>
        <v>0.88796062353622229</v>
      </c>
      <c r="BF148" s="17" cm="1">
        <f t="array" ref="BF148">MMULT(
    MMULT(
        INDEX($X$5:$AM$77, MATCH(BF$100,_xlfn.ANCHORARRAY( $W$5), 0), 0),
        $F$5:$U$20
    ),
    TRANSPOSE(
        INDEX($X$5:$AM$77, MATCH($A148,_xlfn.ANCHORARRAY( $W$5), 0), 0)
    )
)
/
(
    INDEX($AN$5:$AN$77, MATCH(BF$100,_xlfn.ANCHORARRAY( $W$5), 0))
    *
    INDEX($AN$5:$AN$77, MATCH($A148,_xlfn.ANCHORARRAY( $W$5), 0))
)</f>
        <v>0.66979477607325522</v>
      </c>
      <c r="BG148" s="17" cm="1">
        <f t="array" ref="BG148">MMULT(
    MMULT(
        INDEX($X$5:$AM$77, MATCH(BG$100,_xlfn.ANCHORARRAY( $W$5), 0), 0),
        $F$5:$U$20
    ),
    TRANSPOSE(
        INDEX($X$5:$AM$77, MATCH($A148,_xlfn.ANCHORARRAY( $W$5), 0), 0)
    )
)
/
(
    INDEX($AN$5:$AN$77, MATCH(BG$100,_xlfn.ANCHORARRAY( $W$5), 0))
    *
    INDEX($AN$5:$AN$77, MATCH($A148,_xlfn.ANCHORARRAY( $W$5), 0))
)</f>
        <v>0.72488989689853311</v>
      </c>
      <c r="BH148" s="17" cm="1">
        <f t="array" ref="BH148">MMULT(
    MMULT(
        INDEX($X$5:$AM$77, MATCH(BH$100,_xlfn.ANCHORARRAY( $W$5), 0), 0),
        $F$5:$U$20
    ),
    TRANSPOSE(
        INDEX($X$5:$AM$77, MATCH($A148,_xlfn.ANCHORARRAY( $W$5), 0), 0)
    )
)
/
(
    INDEX($AN$5:$AN$77, MATCH(BH$100,_xlfn.ANCHORARRAY( $W$5), 0))
    *
    INDEX($AN$5:$AN$77, MATCH($A148,_xlfn.ANCHORARRAY( $W$5), 0))
)</f>
        <v>0.71201308834400534</v>
      </c>
      <c r="BI148" s="17" cm="1">
        <f t="array" ref="BI148">MMULT(
    MMULT(
        INDEX($X$5:$AM$77, MATCH(BI$100,_xlfn.ANCHORARRAY( $W$5), 0), 0),
        $F$5:$U$20
    ),
    TRANSPOSE(
        INDEX($X$5:$AM$77, MATCH($A148,_xlfn.ANCHORARRAY( $W$5), 0), 0)
    )
)
/
(
    INDEX($AN$5:$AN$77, MATCH(BI$100,_xlfn.ANCHORARRAY( $W$5), 0))
    *
    INDEX($AN$5:$AN$77, MATCH($A148,_xlfn.ANCHORARRAY( $W$5), 0))
)</f>
        <v>0.82320890741660335</v>
      </c>
      <c r="BJ148" s="17" cm="1">
        <f t="array" ref="BJ148">MMULT(
    MMULT(
        INDEX($X$5:$AM$77, MATCH(BJ$100,_xlfn.ANCHORARRAY( $W$5), 0), 0),
        $F$5:$U$20
    ),
    TRANSPOSE(
        INDEX($X$5:$AM$77, MATCH($A148,_xlfn.ANCHORARRAY( $W$5), 0), 0)
    )
)
/
(
    INDEX($AN$5:$AN$77, MATCH(BJ$100,_xlfn.ANCHORARRAY( $W$5), 0))
    *
    INDEX($AN$5:$AN$77, MATCH($A148,_xlfn.ANCHORARRAY( $W$5), 0))
)</f>
        <v>0.71042542025383071</v>
      </c>
      <c r="BK148" s="17" cm="1">
        <f t="array" ref="BK148">MMULT(
    MMULT(
        INDEX($X$5:$AM$77, MATCH(BK$100,_xlfn.ANCHORARRAY( $W$5), 0), 0),
        $F$5:$U$20
    ),
    TRANSPOSE(
        INDEX($X$5:$AM$77, MATCH($A148,_xlfn.ANCHORARRAY( $W$5), 0), 0)
    )
)
/
(
    INDEX($AN$5:$AN$77, MATCH(BK$100,_xlfn.ANCHORARRAY( $W$5), 0))
    *
    INDEX($AN$5:$AN$77, MATCH($A148,_xlfn.ANCHORARRAY( $W$5), 0))
)</f>
        <v>0.50445392680398882</v>
      </c>
      <c r="BL148" s="17" cm="1">
        <f t="array" ref="BL148">MMULT(
    MMULT(
        INDEX($X$5:$AM$77, MATCH(BL$100,_xlfn.ANCHORARRAY( $W$5), 0), 0),
        $F$5:$U$20
    ),
    TRANSPOSE(
        INDEX($X$5:$AM$77, MATCH($A148,_xlfn.ANCHORARRAY( $W$5), 0), 0)
    )
)
/
(
    INDEX($AN$5:$AN$77, MATCH(BL$100,_xlfn.ANCHORARRAY( $W$5), 0))
    *
    INDEX($AN$5:$AN$77, MATCH($A148,_xlfn.ANCHORARRAY( $W$5), 0))
)</f>
        <v>0.40509081666982261</v>
      </c>
      <c r="BM148" s="17" cm="1">
        <f t="array" ref="BM148">MMULT(
    MMULT(
        INDEX($X$5:$AM$77, MATCH(BM$100,_xlfn.ANCHORARRAY( $W$5), 0), 0),
        $F$5:$U$20
    ),
    TRANSPOSE(
        INDEX($X$5:$AM$77, MATCH($A148,_xlfn.ANCHORARRAY( $W$5), 0), 0)
    )
)
/
(
    INDEX($AN$5:$AN$77, MATCH(BM$100,_xlfn.ANCHORARRAY( $W$5), 0))
    *
    INDEX($AN$5:$AN$77, MATCH($A148,_xlfn.ANCHORARRAY( $W$5), 0))
)</f>
        <v>0.75000260308031275</v>
      </c>
      <c r="BN148" s="17" cm="1">
        <f t="array" ref="BN148">MMULT(
    MMULT(
        INDEX($X$5:$AM$77, MATCH(BN$100,_xlfn.ANCHORARRAY( $W$5), 0), 0),
        $F$5:$U$20
    ),
    TRANSPOSE(
        INDEX($X$5:$AM$77, MATCH($A148,_xlfn.ANCHORARRAY( $W$5), 0), 0)
    )
)
/
(
    INDEX($AN$5:$AN$77, MATCH(BN$100,_xlfn.ANCHORARRAY( $W$5), 0))
    *
    INDEX($AN$5:$AN$77, MATCH($A148,_xlfn.ANCHORARRAY( $W$5), 0))
)</f>
        <v>0.84934069151402802</v>
      </c>
      <c r="BO148" s="17" cm="1">
        <f t="array" ref="BO148">MMULT(
    MMULT(
        INDEX($X$5:$AM$77, MATCH(BO$100,_xlfn.ANCHORARRAY( $W$5), 0), 0),
        $F$5:$U$20
    ),
    TRANSPOSE(
        INDEX($X$5:$AM$77, MATCH($A148,_xlfn.ANCHORARRAY( $W$5), 0), 0)
    )
)
/
(
    INDEX($AN$5:$AN$77, MATCH(BO$100,_xlfn.ANCHORARRAY( $W$5), 0))
    *
    INDEX($AN$5:$AN$77, MATCH($A148,_xlfn.ANCHORARRAY( $W$5), 0))
)</f>
        <v>0.92457953102230028</v>
      </c>
      <c r="BP148" s="17" cm="1">
        <f t="array" ref="BP148">MMULT(
    MMULT(
        INDEX($X$5:$AM$77, MATCH(BP$100,_xlfn.ANCHORARRAY( $W$5), 0), 0),
        $F$5:$U$20
    ),
    TRANSPOSE(
        INDEX($X$5:$AM$77, MATCH($A148,_xlfn.ANCHORARRAY( $W$5), 0), 0)
    )
)
/
(
    INDEX($AN$5:$AN$77, MATCH(BP$100,_xlfn.ANCHORARRAY( $W$5), 0))
    *
    INDEX($AN$5:$AN$77, MATCH($A148,_xlfn.ANCHORARRAY( $W$5), 0))
)</f>
        <v>0.7858195962494301</v>
      </c>
      <c r="BQ148" s="17" cm="1">
        <f t="array" ref="BQ148">MMULT(
    MMULT(
        INDEX($X$5:$AM$77, MATCH(BQ$100,_xlfn.ANCHORARRAY( $W$5), 0), 0),
        $F$5:$U$20
    ),
    TRANSPOSE(
        INDEX($X$5:$AM$77, MATCH($A148,_xlfn.ANCHORARRAY( $W$5), 0), 0)
    )
)
/
(
    INDEX($AN$5:$AN$77, MATCH(BQ$100,_xlfn.ANCHORARRAY( $W$5), 0))
    *
    INDEX($AN$5:$AN$77, MATCH($A148,_xlfn.ANCHORARRAY( $W$5), 0))
)</f>
        <v>0.69285117526007955</v>
      </c>
      <c r="BR148" s="17" cm="1">
        <f t="array" ref="BR148">MMULT(
    MMULT(
        INDEX($X$5:$AM$77, MATCH(BR$100,_xlfn.ANCHORARRAY( $W$5), 0), 0),
        $F$5:$U$20
    ),
    TRANSPOSE(
        INDEX($X$5:$AM$77, MATCH($A148,_xlfn.ANCHORARRAY( $W$5), 0), 0)
    )
)
/
(
    INDEX($AN$5:$AN$77, MATCH(BR$100,_xlfn.ANCHORARRAY( $W$5), 0))
    *
    INDEX($AN$5:$AN$77, MATCH($A148,_xlfn.ANCHORARRAY( $W$5), 0))
)</f>
        <v>0.9213754252039007</v>
      </c>
      <c r="BS148" s="17" cm="1">
        <f t="array" ref="BS148">MMULT(
    MMULT(
        INDEX($X$5:$AM$77, MATCH(BS$100,_xlfn.ANCHORARRAY( $W$5), 0), 0),
        $F$5:$U$20
    ),
    TRANSPOSE(
        INDEX($X$5:$AM$77, MATCH($A148,_xlfn.ANCHORARRAY( $W$5), 0), 0)
    )
)
/
(
    INDEX($AN$5:$AN$77, MATCH(BS$100,_xlfn.ANCHORARRAY( $W$5), 0))
    *
    INDEX($AN$5:$AN$77, MATCH($A148,_xlfn.ANCHORARRAY( $W$5), 0))
)</f>
        <v>0.75054569700485319</v>
      </c>
      <c r="BT148" s="17" cm="1">
        <f t="array" ref="BT148">MMULT(
    MMULT(
        INDEX($X$5:$AM$77, MATCH(BT$100,_xlfn.ANCHORARRAY( $W$5), 0), 0),
        $F$5:$U$20
    ),
    TRANSPOSE(
        INDEX($X$5:$AM$77, MATCH($A148,_xlfn.ANCHORARRAY( $W$5), 0), 0)
    )
)
/
(
    INDEX($AN$5:$AN$77, MATCH(BT$100,_xlfn.ANCHORARRAY( $W$5), 0))
    *
    INDEX($AN$5:$AN$77, MATCH($A148,_xlfn.ANCHORARRAY( $W$5), 0))
)</f>
        <v>0.7529936823161919</v>
      </c>
      <c r="BU148" s="17" cm="1">
        <f t="array" ref="BU148">MMULT(
    MMULT(
        INDEX($X$5:$AM$77, MATCH(BU$100,_xlfn.ANCHORARRAY( $W$5), 0), 0),
        $F$5:$U$20
    ),
    TRANSPOSE(
        INDEX($X$5:$AM$77, MATCH($A148,_xlfn.ANCHORARRAY( $W$5), 0), 0)
    )
)
/
(
    INDEX($AN$5:$AN$77, MATCH(BU$100,_xlfn.ANCHORARRAY( $W$5), 0))
    *
    INDEX($AN$5:$AN$77, MATCH($A148,_xlfn.ANCHORARRAY( $W$5), 0))
)</f>
        <v>0.70360238323020763</v>
      </c>
      <c r="BV148" s="17" cm="1">
        <f t="array" ref="BV148">MMULT(
    MMULT(
        INDEX($X$5:$AM$77, MATCH(BV$100,_xlfn.ANCHORARRAY( $W$5), 0), 0),
        $F$5:$U$20
    ),
    TRANSPOSE(
        INDEX($X$5:$AM$77, MATCH($A148,_xlfn.ANCHORARRAY( $W$5), 0), 0)
    )
)
/
(
    INDEX($AN$5:$AN$77, MATCH(BV$100,_xlfn.ANCHORARRAY( $W$5), 0))
    *
    INDEX($AN$5:$AN$77, MATCH($A148,_xlfn.ANCHORARRAY( $W$5), 0))
)</f>
        <v>0.89411512789391823</v>
      </c>
    </row>
    <row r="149" spans="1:74" x14ac:dyDescent="0.3">
      <c r="A149" s="7" t="str">
        <v>Melancon, Mark</v>
      </c>
      <c r="B149" s="17" cm="1">
        <f t="array" ref="B149">MMULT(
    MMULT(
        INDEX($X$5:$AM$77, MATCH(B$100,_xlfn.ANCHORARRAY( $W$5), 0), 0),
        $F$5:$U$20
    ),
    TRANSPOSE(
        INDEX($X$5:$AM$77, MATCH($A149,_xlfn.ANCHORARRAY( $W$5), 0), 0)
    )
)
/
(
    INDEX($AN$5:$AN$77, MATCH(B$100,_xlfn.ANCHORARRAY( $W$5), 0))
    *
    INDEX($AN$5:$AN$77, MATCH($A149,_xlfn.ANCHORARRAY( $W$5), 0))
)</f>
        <v>0.71424002388047447</v>
      </c>
      <c r="C149" s="17" cm="1">
        <f t="array" ref="C149">MMULT(
    MMULT(
        INDEX($X$5:$AM$77, MATCH(C$100,_xlfn.ANCHORARRAY( $W$5), 0), 0),
        $F$5:$U$20
    ),
    TRANSPOSE(
        INDEX($X$5:$AM$77, MATCH($A149,_xlfn.ANCHORARRAY( $W$5), 0), 0)
    )
)
/
(
    INDEX($AN$5:$AN$77, MATCH(C$100,_xlfn.ANCHORARRAY( $W$5), 0))
    *
    INDEX($AN$5:$AN$77, MATCH($A149,_xlfn.ANCHORARRAY( $W$5), 0))
)</f>
        <v>0.77558034461708858</v>
      </c>
      <c r="D149" s="17" cm="1">
        <f t="array" ref="D149">MMULT(
    MMULT(
        INDEX($X$5:$AM$77, MATCH(D$100,_xlfn.ANCHORARRAY( $W$5), 0), 0),
        $F$5:$U$20
    ),
    TRANSPOSE(
        INDEX($X$5:$AM$77, MATCH($A149,_xlfn.ANCHORARRAY( $W$5), 0), 0)
    )
)
/
(
    INDEX($AN$5:$AN$77, MATCH(D$100,_xlfn.ANCHORARRAY( $W$5), 0))
    *
    INDEX($AN$5:$AN$77, MATCH($A149,_xlfn.ANCHORARRAY( $W$5), 0))
)</f>
        <v>0.54707598259839529</v>
      </c>
      <c r="E149" s="17" cm="1">
        <f t="array" ref="E149">MMULT(
    MMULT(
        INDEX($X$5:$AM$77, MATCH(E$100,_xlfn.ANCHORARRAY( $W$5), 0), 0),
        $F$5:$U$20
    ),
    TRANSPOSE(
        INDEX($X$5:$AM$77, MATCH($A149,_xlfn.ANCHORARRAY( $W$5), 0), 0)
    )
)
/
(
    INDEX($AN$5:$AN$77, MATCH(E$100,_xlfn.ANCHORARRAY( $W$5), 0))
    *
    INDEX($AN$5:$AN$77, MATCH($A149,_xlfn.ANCHORARRAY( $W$5), 0))
)</f>
        <v>0.52196585050144828</v>
      </c>
      <c r="F149" s="17" cm="1">
        <f t="array" ref="F149">MMULT(
    MMULT(
        INDEX($X$5:$AM$77, MATCH(F$100,_xlfn.ANCHORARRAY( $W$5), 0), 0),
        $F$5:$U$20
    ),
    TRANSPOSE(
        INDEX($X$5:$AM$77, MATCH($A149,_xlfn.ANCHORARRAY( $W$5), 0), 0)
    )
)
/
(
    INDEX($AN$5:$AN$77, MATCH(F$100,_xlfn.ANCHORARRAY( $W$5), 0))
    *
    INDEX($AN$5:$AN$77, MATCH($A149,_xlfn.ANCHORARRAY( $W$5), 0))
)</f>
        <v>0.4427185927939758</v>
      </c>
      <c r="G149" s="17" cm="1">
        <f t="array" ref="G149">MMULT(
    MMULT(
        INDEX($X$5:$AM$77, MATCH(G$100,_xlfn.ANCHORARRAY( $W$5), 0), 0),
        $F$5:$U$20
    ),
    TRANSPOSE(
        INDEX($X$5:$AM$77, MATCH($A149,_xlfn.ANCHORARRAY( $W$5), 0), 0)
    )
)
/
(
    INDEX($AN$5:$AN$77, MATCH(G$100,_xlfn.ANCHORARRAY( $W$5), 0))
    *
    INDEX($AN$5:$AN$77, MATCH($A149,_xlfn.ANCHORARRAY( $W$5), 0))
)</f>
        <v>0.61128500785664086</v>
      </c>
      <c r="H149" s="17" cm="1">
        <f t="array" ref="H149">MMULT(
    MMULT(
        INDEX($X$5:$AM$77, MATCH(H$100,_xlfn.ANCHORARRAY( $W$5), 0), 0),
        $F$5:$U$20
    ),
    TRANSPOSE(
        INDEX($X$5:$AM$77, MATCH($A149,_xlfn.ANCHORARRAY( $W$5), 0), 0)
    )
)
/
(
    INDEX($AN$5:$AN$77, MATCH(H$100,_xlfn.ANCHORARRAY( $W$5), 0))
    *
    INDEX($AN$5:$AN$77, MATCH($A149,_xlfn.ANCHORARRAY( $W$5), 0))
)</f>
        <v>0.76229825264630158</v>
      </c>
      <c r="I149" s="17" cm="1">
        <f t="array" ref="I149">MMULT(
    MMULT(
        INDEX($X$5:$AM$77, MATCH(I$100,_xlfn.ANCHORARRAY( $W$5), 0), 0),
        $F$5:$U$20
    ),
    TRANSPOSE(
        INDEX($X$5:$AM$77, MATCH($A149,_xlfn.ANCHORARRAY( $W$5), 0), 0)
    )
)
/
(
    INDEX($AN$5:$AN$77, MATCH(I$100,_xlfn.ANCHORARRAY( $W$5), 0))
    *
    INDEX($AN$5:$AN$77, MATCH($A149,_xlfn.ANCHORARRAY( $W$5), 0))
)</f>
        <v>0.80858024867721634</v>
      </c>
      <c r="J149" s="17" cm="1">
        <f t="array" ref="J149">MMULT(
    MMULT(
        INDEX($X$5:$AM$77, MATCH(J$100,_xlfn.ANCHORARRAY( $W$5), 0), 0),
        $F$5:$U$20
    ),
    TRANSPOSE(
        INDEX($X$5:$AM$77, MATCH($A149,_xlfn.ANCHORARRAY( $W$5), 0), 0)
    )
)
/
(
    INDEX($AN$5:$AN$77, MATCH(J$100,_xlfn.ANCHORARRAY( $W$5), 0))
    *
    INDEX($AN$5:$AN$77, MATCH($A149,_xlfn.ANCHORARRAY( $W$5), 0))
)</f>
        <v>0.74017584018330596</v>
      </c>
      <c r="K149" s="17" cm="1">
        <f t="array" ref="K149">MMULT(
    MMULT(
        INDEX($X$5:$AM$77, MATCH(K$100,_xlfn.ANCHORARRAY( $W$5), 0), 0),
        $F$5:$U$20
    ),
    TRANSPOSE(
        INDEX($X$5:$AM$77, MATCH($A149,_xlfn.ANCHORARRAY( $W$5), 0), 0)
    )
)
/
(
    INDEX($AN$5:$AN$77, MATCH(K$100,_xlfn.ANCHORARRAY( $W$5), 0))
    *
    INDEX($AN$5:$AN$77, MATCH($A149,_xlfn.ANCHORARRAY( $W$5), 0))
)</f>
        <v>0.58354139132515959</v>
      </c>
      <c r="L149" s="17" cm="1">
        <f t="array" ref="L149">MMULT(
    MMULT(
        INDEX($X$5:$AM$77, MATCH(L$100,_xlfn.ANCHORARRAY( $W$5), 0), 0),
        $F$5:$U$20
    ),
    TRANSPOSE(
        INDEX($X$5:$AM$77, MATCH($A149,_xlfn.ANCHORARRAY( $W$5), 0), 0)
    )
)
/
(
    INDEX($AN$5:$AN$77, MATCH(L$100,_xlfn.ANCHORARRAY( $W$5), 0))
    *
    INDEX($AN$5:$AN$77, MATCH($A149,_xlfn.ANCHORARRAY( $W$5), 0))
)</f>
        <v>0.81856616787104097</v>
      </c>
      <c r="M149" s="17" cm="1">
        <f t="array" ref="M149">MMULT(
    MMULT(
        INDEX($X$5:$AM$77, MATCH(M$100,_xlfn.ANCHORARRAY( $W$5), 0), 0),
        $F$5:$U$20
    ),
    TRANSPOSE(
        INDEX($X$5:$AM$77, MATCH($A149,_xlfn.ANCHORARRAY( $W$5), 0), 0)
    )
)
/
(
    INDEX($AN$5:$AN$77, MATCH(M$100,_xlfn.ANCHORARRAY( $W$5), 0))
    *
    INDEX($AN$5:$AN$77, MATCH($A149,_xlfn.ANCHORARRAY( $W$5), 0))
)</f>
        <v>0.54358879795874337</v>
      </c>
      <c r="N149" s="17" cm="1">
        <f t="array" ref="N149">MMULT(
    MMULT(
        INDEX($X$5:$AM$77, MATCH(N$100,_xlfn.ANCHORARRAY( $W$5), 0), 0),
        $F$5:$U$20
    ),
    TRANSPOSE(
        INDEX($X$5:$AM$77, MATCH($A149,_xlfn.ANCHORARRAY( $W$5), 0), 0)
    )
)
/
(
    INDEX($AN$5:$AN$77, MATCH(N$100,_xlfn.ANCHORARRAY( $W$5), 0))
    *
    INDEX($AN$5:$AN$77, MATCH($A149,_xlfn.ANCHORARRAY( $W$5), 0))
)</f>
        <v>0.42581700754551388</v>
      </c>
      <c r="O149" s="17" cm="1">
        <f t="array" ref="O149">MMULT(
    MMULT(
        INDEX($X$5:$AM$77, MATCH(O$100,_xlfn.ANCHORARRAY( $W$5), 0), 0),
        $F$5:$U$20
    ),
    TRANSPOSE(
        INDEX($X$5:$AM$77, MATCH($A149,_xlfn.ANCHORARRAY( $W$5), 0), 0)
    )
)
/
(
    INDEX($AN$5:$AN$77, MATCH(O$100,_xlfn.ANCHORARRAY( $W$5), 0))
    *
    INDEX($AN$5:$AN$77, MATCH($A149,_xlfn.ANCHORARRAY( $W$5), 0))
)</f>
        <v>0.34559657067691257</v>
      </c>
      <c r="P149" s="17" cm="1">
        <f t="array" ref="P149">MMULT(
    MMULT(
        INDEX($X$5:$AM$77, MATCH(P$100,_xlfn.ANCHORARRAY( $W$5), 0), 0),
        $F$5:$U$20
    ),
    TRANSPOSE(
        INDEX($X$5:$AM$77, MATCH($A149,_xlfn.ANCHORARRAY( $W$5), 0), 0)
    )
)
/
(
    INDEX($AN$5:$AN$77, MATCH(P$100,_xlfn.ANCHORARRAY( $W$5), 0))
    *
    INDEX($AN$5:$AN$77, MATCH($A149,_xlfn.ANCHORARRAY( $W$5), 0))
)</f>
        <v>0.64921505175701744</v>
      </c>
      <c r="Q149" s="17" cm="1">
        <f t="array" ref="Q149">MMULT(
    MMULT(
        INDEX($X$5:$AM$77, MATCH(Q$100,_xlfn.ANCHORARRAY( $W$5), 0), 0),
        $F$5:$U$20
    ),
    TRANSPOSE(
        INDEX($X$5:$AM$77, MATCH($A149,_xlfn.ANCHORARRAY( $W$5), 0), 0)
    )
)
/
(
    INDEX($AN$5:$AN$77, MATCH(Q$100,_xlfn.ANCHORARRAY( $W$5), 0))
    *
    INDEX($AN$5:$AN$77, MATCH($A149,_xlfn.ANCHORARRAY( $W$5), 0))
)</f>
        <v>0.89570475994448528</v>
      </c>
      <c r="R149" s="17" cm="1">
        <f t="array" ref="R149">MMULT(
    MMULT(
        INDEX($X$5:$AM$77, MATCH(R$100,_xlfn.ANCHORARRAY( $W$5), 0), 0),
        $F$5:$U$20
    ),
    TRANSPOSE(
        INDEX($X$5:$AM$77, MATCH($A149,_xlfn.ANCHORARRAY( $W$5), 0), 0)
    )
)
/
(
    INDEX($AN$5:$AN$77, MATCH(R$100,_xlfn.ANCHORARRAY( $W$5), 0))
    *
    INDEX($AN$5:$AN$77, MATCH($A149,_xlfn.ANCHORARRAY( $W$5), 0))
)</f>
        <v>0.59604538649611583</v>
      </c>
      <c r="S149" s="17" cm="1">
        <f t="array" ref="S149">MMULT(
    MMULT(
        INDEX($X$5:$AM$77, MATCH(S$100,_xlfn.ANCHORARRAY( $W$5), 0), 0),
        $F$5:$U$20
    ),
    TRANSPOSE(
        INDEX($X$5:$AM$77, MATCH($A149,_xlfn.ANCHORARRAY( $W$5), 0), 0)
    )
)
/
(
    INDEX($AN$5:$AN$77, MATCH(S$100,_xlfn.ANCHORARRAY( $W$5), 0))
    *
    INDEX($AN$5:$AN$77, MATCH($A149,_xlfn.ANCHORARRAY( $W$5), 0))
)</f>
        <v>0.72979883022227976</v>
      </c>
      <c r="T149" s="17" cm="1">
        <f t="array" ref="T149">MMULT(
    MMULT(
        INDEX($X$5:$AM$77, MATCH(T$100,_xlfn.ANCHORARRAY( $W$5), 0), 0),
        $F$5:$U$20
    ),
    TRANSPOSE(
        INDEX($X$5:$AM$77, MATCH($A149,_xlfn.ANCHORARRAY( $W$5), 0), 0)
    )
)
/
(
    INDEX($AN$5:$AN$77, MATCH(T$100,_xlfn.ANCHORARRAY( $W$5), 0))
    *
    INDEX($AN$5:$AN$77, MATCH($A149,_xlfn.ANCHORARRAY( $W$5), 0))
)</f>
        <v>0.58765692539743764</v>
      </c>
      <c r="U149" s="17" cm="1">
        <f t="array" ref="U149">MMULT(
    MMULT(
        INDEX($X$5:$AM$77, MATCH(U$100,_xlfn.ANCHORARRAY( $W$5), 0), 0),
        $F$5:$U$20
    ),
    TRANSPOSE(
        INDEX($X$5:$AM$77, MATCH($A149,_xlfn.ANCHORARRAY( $W$5), 0), 0)
    )
)
/
(
    INDEX($AN$5:$AN$77, MATCH(U$100,_xlfn.ANCHORARRAY( $W$5), 0))
    *
    INDEX($AN$5:$AN$77, MATCH($A149,_xlfn.ANCHORARRAY( $W$5), 0))
)</f>
        <v>0.59598720067983391</v>
      </c>
      <c r="V149" s="17" cm="1">
        <f t="array" ref="V149">MMULT(
    MMULT(
        INDEX($X$5:$AM$77, MATCH(V$100,_xlfn.ANCHORARRAY( $W$5), 0), 0),
        $F$5:$U$20
    ),
    TRANSPOSE(
        INDEX($X$5:$AM$77, MATCH($A149,_xlfn.ANCHORARRAY( $W$5), 0), 0)
    )
)
/
(
    INDEX($AN$5:$AN$77, MATCH(V$100,_xlfn.ANCHORARRAY( $W$5), 0))
    *
    INDEX($AN$5:$AN$77, MATCH($A149,_xlfn.ANCHORARRAY( $W$5), 0))
)</f>
        <v>0.86771846168239486</v>
      </c>
      <c r="W149" s="17" cm="1">
        <f t="array" ref="W149">MMULT(
    MMULT(
        INDEX($X$5:$AM$77, MATCH(W$100,_xlfn.ANCHORARRAY( $W$5), 0), 0),
        $F$5:$U$20
    ),
    TRANSPOSE(
        INDEX($X$5:$AM$77, MATCH($A149,_xlfn.ANCHORARRAY( $W$5), 0), 0)
    )
)
/
(
    INDEX($AN$5:$AN$77, MATCH(W$100,_xlfn.ANCHORARRAY( $W$5), 0))
    *
    INDEX($AN$5:$AN$77, MATCH($A149,_xlfn.ANCHORARRAY( $W$5), 0))
)</f>
        <v>0.60889748683812317</v>
      </c>
      <c r="X149" s="17" cm="1">
        <f t="array" ref="X149">MMULT(
    MMULT(
        INDEX($X$5:$AM$77, MATCH(X$100,_xlfn.ANCHORARRAY( $W$5), 0), 0),
        $F$5:$U$20
    ),
    TRANSPOSE(
        INDEX($X$5:$AM$77, MATCH($A149,_xlfn.ANCHORARRAY( $W$5), 0), 0)
    )
)
/
(
    INDEX($AN$5:$AN$77, MATCH(X$100,_xlfn.ANCHORARRAY( $W$5), 0))
    *
    INDEX($AN$5:$AN$77, MATCH($A149,_xlfn.ANCHORARRAY( $W$5), 0))
)</f>
        <v>0.42830217436992052</v>
      </c>
      <c r="Y149" s="17" cm="1">
        <f t="array" ref="Y149">MMULT(
    MMULT(
        INDEX($X$5:$AM$77, MATCH(Y$100,_xlfn.ANCHORARRAY( $W$5), 0), 0),
        $F$5:$U$20
    ),
    TRANSPOSE(
        INDEX($X$5:$AM$77, MATCH($A149,_xlfn.ANCHORARRAY( $W$5), 0), 0)
    )
)
/
(
    INDEX($AN$5:$AN$77, MATCH(Y$100,_xlfn.ANCHORARRAY( $W$5), 0))
    *
    INDEX($AN$5:$AN$77, MATCH($A149,_xlfn.ANCHORARRAY( $W$5), 0))
)</f>
        <v>0.70585397172538722</v>
      </c>
      <c r="Z149" s="17" cm="1">
        <f t="array" ref="Z149">MMULT(
    MMULT(
        INDEX($X$5:$AM$77, MATCH(Z$100,_xlfn.ANCHORARRAY( $W$5), 0), 0),
        $F$5:$U$20
    ),
    TRANSPOSE(
        INDEX($X$5:$AM$77, MATCH($A149,_xlfn.ANCHORARRAY( $W$5), 0), 0)
    )
)
/
(
    INDEX($AN$5:$AN$77, MATCH(Z$100,_xlfn.ANCHORARRAY( $W$5), 0))
    *
    INDEX($AN$5:$AN$77, MATCH($A149,_xlfn.ANCHORARRAY( $W$5), 0))
)</f>
        <v>0.48317278181295498</v>
      </c>
      <c r="AA149" s="17" cm="1">
        <f t="array" ref="AA149">MMULT(
    MMULT(
        INDEX($X$5:$AM$77, MATCH(AA$100,_xlfn.ANCHORARRAY( $W$5), 0), 0),
        $F$5:$U$20
    ),
    TRANSPOSE(
        INDEX($X$5:$AM$77, MATCH($A149,_xlfn.ANCHORARRAY( $W$5), 0), 0)
    )
)
/
(
    INDEX($AN$5:$AN$77, MATCH(AA$100,_xlfn.ANCHORARRAY( $W$5), 0))
    *
    INDEX($AN$5:$AN$77, MATCH($A149,_xlfn.ANCHORARRAY( $W$5), 0))
)</f>
        <v>0.49460020810030403</v>
      </c>
      <c r="AB149" s="17" cm="1">
        <f t="array" ref="AB149">MMULT(
    MMULT(
        INDEX($X$5:$AM$77, MATCH(AB$100,_xlfn.ANCHORARRAY( $W$5), 0), 0),
        $F$5:$U$20
    ),
    TRANSPOSE(
        INDEX($X$5:$AM$77, MATCH($A149,_xlfn.ANCHORARRAY( $W$5), 0), 0)
    )
)
/
(
    INDEX($AN$5:$AN$77, MATCH(AB$100,_xlfn.ANCHORARRAY( $W$5), 0))
    *
    INDEX($AN$5:$AN$77, MATCH($A149,_xlfn.ANCHORARRAY( $W$5), 0))
)</f>
        <v>0.61331992387551193</v>
      </c>
      <c r="AC149" s="17" cm="1">
        <f t="array" ref="AC149">MMULT(
    MMULT(
        INDEX($X$5:$AM$77, MATCH(AC$100,_xlfn.ANCHORARRAY( $W$5), 0), 0),
        $F$5:$U$20
    ),
    TRANSPOSE(
        INDEX($X$5:$AM$77, MATCH($A149,_xlfn.ANCHORARRAY( $W$5), 0), 0)
    )
)
/
(
    INDEX($AN$5:$AN$77, MATCH(AC$100,_xlfn.ANCHORARRAY( $W$5), 0))
    *
    INDEX($AN$5:$AN$77, MATCH($A149,_xlfn.ANCHORARRAY( $W$5), 0))
)</f>
        <v>0.64358737973646762</v>
      </c>
      <c r="AD149" s="17" cm="1">
        <f t="array" ref="AD149">MMULT(
    MMULT(
        INDEX($X$5:$AM$77, MATCH(AD$100,_xlfn.ANCHORARRAY( $W$5), 0), 0),
        $F$5:$U$20
    ),
    TRANSPOSE(
        INDEX($X$5:$AM$77, MATCH($A149,_xlfn.ANCHORARRAY( $W$5), 0), 0)
    )
)
/
(
    INDEX($AN$5:$AN$77, MATCH(AD$100,_xlfn.ANCHORARRAY( $W$5), 0))
    *
    INDEX($AN$5:$AN$77, MATCH($A149,_xlfn.ANCHORARRAY( $W$5), 0))
)</f>
        <v>0.51446870122115729</v>
      </c>
      <c r="AE149" s="17" cm="1">
        <f t="array" ref="AE149">MMULT(
    MMULT(
        INDEX($X$5:$AM$77, MATCH(AE$100,_xlfn.ANCHORARRAY( $W$5), 0), 0),
        $F$5:$U$20
    ),
    TRANSPOSE(
        INDEX($X$5:$AM$77, MATCH($A149,_xlfn.ANCHORARRAY( $W$5), 0), 0)
    )
)
/
(
    INDEX($AN$5:$AN$77, MATCH(AE$100,_xlfn.ANCHORARRAY( $W$5), 0))
    *
    INDEX($AN$5:$AN$77, MATCH($A149,_xlfn.ANCHORARRAY( $W$5), 0))
)</f>
        <v>0.62762720138488182</v>
      </c>
      <c r="AF149" s="17" cm="1">
        <f t="array" ref="AF149">MMULT(
    MMULT(
        INDEX($X$5:$AM$77, MATCH(AF$100,_xlfn.ANCHORARRAY( $W$5), 0), 0),
        $F$5:$U$20
    ),
    TRANSPOSE(
        INDEX($X$5:$AM$77, MATCH($A149,_xlfn.ANCHORARRAY( $W$5), 0), 0)
    )
)
/
(
    INDEX($AN$5:$AN$77, MATCH(AF$100,_xlfn.ANCHORARRAY( $W$5), 0))
    *
    INDEX($AN$5:$AN$77, MATCH($A149,_xlfn.ANCHORARRAY( $W$5), 0))
)</f>
        <v>0.76378137920316813</v>
      </c>
      <c r="AG149" s="17" cm="1">
        <f t="array" ref="AG149">MMULT(
    MMULT(
        INDEX($X$5:$AM$77, MATCH(AG$100,_xlfn.ANCHORARRAY( $W$5), 0), 0),
        $F$5:$U$20
    ),
    TRANSPOSE(
        INDEX($X$5:$AM$77, MATCH($A149,_xlfn.ANCHORARRAY( $W$5), 0), 0)
    )
)
/
(
    INDEX($AN$5:$AN$77, MATCH(AG$100,_xlfn.ANCHORARRAY( $W$5), 0))
    *
    INDEX($AN$5:$AN$77, MATCH($A149,_xlfn.ANCHORARRAY( $W$5), 0))
)</f>
        <v>0.72829765984229067</v>
      </c>
      <c r="AH149" s="17" cm="1">
        <f t="array" ref="AH149">MMULT(
    MMULT(
        INDEX($X$5:$AM$77, MATCH(AH$100,_xlfn.ANCHORARRAY( $W$5), 0), 0),
        $F$5:$U$20
    ),
    TRANSPOSE(
        INDEX($X$5:$AM$77, MATCH($A149,_xlfn.ANCHORARRAY( $W$5), 0), 0)
    )
)
/
(
    INDEX($AN$5:$AN$77, MATCH(AH$100,_xlfn.ANCHORARRAY( $W$5), 0))
    *
    INDEX($AN$5:$AN$77, MATCH($A149,_xlfn.ANCHORARRAY( $W$5), 0))
)</f>
        <v>0.48493308670305724</v>
      </c>
      <c r="AI149" s="17" cm="1">
        <f t="array" ref="AI149">MMULT(
    MMULT(
        INDEX($X$5:$AM$77, MATCH(AI$100,_xlfn.ANCHORARRAY( $W$5), 0), 0),
        $F$5:$U$20
    ),
    TRANSPOSE(
        INDEX($X$5:$AM$77, MATCH($A149,_xlfn.ANCHORARRAY( $W$5), 0), 0)
    )
)
/
(
    INDEX($AN$5:$AN$77, MATCH(AI$100,_xlfn.ANCHORARRAY( $W$5), 0))
    *
    INDEX($AN$5:$AN$77, MATCH($A149,_xlfn.ANCHORARRAY( $W$5), 0))
)</f>
        <v>0.65985349752706313</v>
      </c>
      <c r="AJ149" s="17" cm="1">
        <f t="array" ref="AJ149">MMULT(
    MMULT(
        INDEX($X$5:$AM$77, MATCH(AJ$100,_xlfn.ANCHORARRAY( $W$5), 0), 0),
        $F$5:$U$20
    ),
    TRANSPOSE(
        INDEX($X$5:$AM$77, MATCH($A149,_xlfn.ANCHORARRAY( $W$5), 0), 0)
    )
)
/
(
    INDEX($AN$5:$AN$77, MATCH(AJ$100,_xlfn.ANCHORARRAY( $W$5), 0))
    *
    INDEX($AN$5:$AN$77, MATCH($A149,_xlfn.ANCHORARRAY( $W$5), 0))
)</f>
        <v>0.56132304483412165</v>
      </c>
      <c r="AK149" s="17" cm="1">
        <f t="array" ref="AK149">MMULT(
    MMULT(
        INDEX($X$5:$AM$77, MATCH(AK$100,_xlfn.ANCHORARRAY( $W$5), 0), 0),
        $F$5:$U$20
    ),
    TRANSPOSE(
        INDEX($X$5:$AM$77, MATCH($A149,_xlfn.ANCHORARRAY( $W$5), 0), 0)
    )
)
/
(
    INDEX($AN$5:$AN$77, MATCH(AK$100,_xlfn.ANCHORARRAY( $W$5), 0))
    *
    INDEX($AN$5:$AN$77, MATCH($A149,_xlfn.ANCHORARRAY( $W$5), 0))
)</f>
        <v>0.73898927346777055</v>
      </c>
      <c r="AL149" s="17" cm="1">
        <f t="array" ref="AL149">MMULT(
    MMULT(
        INDEX($X$5:$AM$77, MATCH(AL$100,_xlfn.ANCHORARRAY( $W$5), 0), 0),
        $F$5:$U$20
    ),
    TRANSPOSE(
        INDEX($X$5:$AM$77, MATCH($A149,_xlfn.ANCHORARRAY( $W$5), 0), 0)
    )
)
/
(
    INDEX($AN$5:$AN$77, MATCH(AL$100,_xlfn.ANCHORARRAY( $W$5), 0))
    *
    INDEX($AN$5:$AN$77, MATCH($A149,_xlfn.ANCHORARRAY( $W$5), 0))
)</f>
        <v>0.38290593898101521</v>
      </c>
      <c r="AM149" s="17" cm="1">
        <f t="array" ref="AM149">MMULT(
    MMULT(
        INDEX($X$5:$AM$77, MATCH(AM$100,_xlfn.ANCHORARRAY( $W$5), 0), 0),
        $F$5:$U$20
    ),
    TRANSPOSE(
        INDEX($X$5:$AM$77, MATCH($A149,_xlfn.ANCHORARRAY( $W$5), 0), 0)
    )
)
/
(
    INDEX($AN$5:$AN$77, MATCH(AM$100,_xlfn.ANCHORARRAY( $W$5), 0))
    *
    INDEX($AN$5:$AN$77, MATCH($A149,_xlfn.ANCHORARRAY( $W$5), 0))
)</f>
        <v>0.70884241872565878</v>
      </c>
      <c r="AN149" s="17" cm="1">
        <f t="array" ref="AN149">MMULT(
    MMULT(
        INDEX($X$5:$AM$77, MATCH(AN$100,_xlfn.ANCHORARRAY( $W$5), 0), 0),
        $F$5:$U$20
    ),
    TRANSPOSE(
        INDEX($X$5:$AM$77, MATCH($A149,_xlfn.ANCHORARRAY( $W$5), 0), 0)
    )
)
/
(
    INDEX($AN$5:$AN$77, MATCH(AN$100,_xlfn.ANCHORARRAY( $W$5), 0))
    *
    INDEX($AN$5:$AN$77, MATCH($A149,_xlfn.ANCHORARRAY( $W$5), 0))
)</f>
        <v>0.55692831373053864</v>
      </c>
      <c r="AO149" s="17" cm="1">
        <f t="array" ref="AO149">MMULT(
    MMULT(
        INDEX($X$5:$AM$77, MATCH(AO$100,_xlfn.ANCHORARRAY( $W$5), 0), 0),
        $F$5:$U$20
    ),
    TRANSPOSE(
        INDEX($X$5:$AM$77, MATCH($A149,_xlfn.ANCHORARRAY( $W$5), 0), 0)
    )
)
/
(
    INDEX($AN$5:$AN$77, MATCH(AO$100,_xlfn.ANCHORARRAY( $W$5), 0))
    *
    INDEX($AN$5:$AN$77, MATCH($A149,_xlfn.ANCHORARRAY( $W$5), 0))
)</f>
        <v>0.81418489870632826</v>
      </c>
      <c r="AP149" s="17" cm="1">
        <f t="array" ref="AP149">MMULT(
    MMULT(
        INDEX($X$5:$AM$77, MATCH(AP$100,_xlfn.ANCHORARRAY( $W$5), 0), 0),
        $F$5:$U$20
    ),
    TRANSPOSE(
        INDEX($X$5:$AM$77, MATCH($A149,_xlfn.ANCHORARRAY( $W$5), 0), 0)
    )
)
/
(
    INDEX($AN$5:$AN$77, MATCH(AP$100,_xlfn.ANCHORARRAY( $W$5), 0))
    *
    INDEX($AN$5:$AN$77, MATCH($A149,_xlfn.ANCHORARRAY( $W$5), 0))
)</f>
        <v>0.6669501623681392</v>
      </c>
      <c r="AQ149" s="17" cm="1">
        <f t="array" ref="AQ149">MMULT(
    MMULT(
        INDEX($X$5:$AM$77, MATCH(AQ$100,_xlfn.ANCHORARRAY( $W$5), 0), 0),
        $F$5:$U$20
    ),
    TRANSPOSE(
        INDEX($X$5:$AM$77, MATCH($A149,_xlfn.ANCHORARRAY( $W$5), 0), 0)
    )
)
/
(
    INDEX($AN$5:$AN$77, MATCH(AQ$100,_xlfn.ANCHORARRAY( $W$5), 0))
    *
    INDEX($AN$5:$AN$77, MATCH($A149,_xlfn.ANCHORARRAY( $W$5), 0))
)</f>
        <v>0.71859262273586544</v>
      </c>
      <c r="AR149" s="17" cm="1">
        <f t="array" ref="AR149">MMULT(
    MMULT(
        INDEX($X$5:$AM$77, MATCH(AR$100,_xlfn.ANCHORARRAY( $W$5), 0), 0),
        $F$5:$U$20
    ),
    TRANSPOSE(
        INDEX($X$5:$AM$77, MATCH($A149,_xlfn.ANCHORARRAY( $W$5), 0), 0)
    )
)
/
(
    INDEX($AN$5:$AN$77, MATCH(AR$100,_xlfn.ANCHORARRAY( $W$5), 0))
    *
    INDEX($AN$5:$AN$77, MATCH($A149,_xlfn.ANCHORARRAY( $W$5), 0))
)</f>
        <v>0.59365995802241089</v>
      </c>
      <c r="AS149" s="17" cm="1">
        <f t="array" ref="AS149">MMULT(
    MMULT(
        INDEX($X$5:$AM$77, MATCH(AS$100,_xlfn.ANCHORARRAY( $W$5), 0), 0),
        $F$5:$U$20
    ),
    TRANSPOSE(
        INDEX($X$5:$AM$77, MATCH($A149,_xlfn.ANCHORARRAY( $W$5), 0), 0)
    )
)
/
(
    INDEX($AN$5:$AN$77, MATCH(AS$100,_xlfn.ANCHORARRAY( $W$5), 0))
    *
    INDEX($AN$5:$AN$77, MATCH($A149,_xlfn.ANCHORARRAY( $W$5), 0))
)</f>
        <v>0.45814587863335787</v>
      </c>
      <c r="AT149" s="17" cm="1">
        <f t="array" ref="AT149">MMULT(
    MMULT(
        INDEX($X$5:$AM$77, MATCH(AT$100,_xlfn.ANCHORARRAY( $W$5), 0), 0),
        $F$5:$U$20
    ),
    TRANSPOSE(
        INDEX($X$5:$AM$77, MATCH($A149,_xlfn.ANCHORARRAY( $W$5), 0), 0)
    )
)
/
(
    INDEX($AN$5:$AN$77, MATCH(AT$100,_xlfn.ANCHORARRAY( $W$5), 0))
    *
    INDEX($AN$5:$AN$77, MATCH($A149,_xlfn.ANCHORARRAY( $W$5), 0))
)</f>
        <v>0.7430390844128707</v>
      </c>
      <c r="AU149" s="17" cm="1">
        <f t="array" ref="AU149">MMULT(
    MMULT(
        INDEX($X$5:$AM$77, MATCH(AU$100,_xlfn.ANCHORARRAY( $W$5), 0), 0),
        $F$5:$U$20
    ),
    TRANSPOSE(
        INDEX($X$5:$AM$77, MATCH($A149,_xlfn.ANCHORARRAY( $W$5), 0), 0)
    )
)
/
(
    INDEX($AN$5:$AN$77, MATCH(AU$100,_xlfn.ANCHORARRAY( $W$5), 0))
    *
    INDEX($AN$5:$AN$77, MATCH($A149,_xlfn.ANCHORARRAY( $W$5), 0))
)</f>
        <v>0.44639962645596359</v>
      </c>
      <c r="AV149" s="17" cm="1">
        <f t="array" ref="AV149">MMULT(
    MMULT(
        INDEX($X$5:$AM$77, MATCH(AV$100,_xlfn.ANCHORARRAY( $W$5), 0), 0),
        $F$5:$U$20
    ),
    TRANSPOSE(
        INDEX($X$5:$AM$77, MATCH($A149,_xlfn.ANCHORARRAY( $W$5), 0), 0)
    )
)
/
(
    INDEX($AN$5:$AN$77, MATCH(AV$100,_xlfn.ANCHORARRAY( $W$5), 0))
    *
    INDEX($AN$5:$AN$77, MATCH($A149,_xlfn.ANCHORARRAY( $W$5), 0))
)</f>
        <v>0.4747857466795955</v>
      </c>
      <c r="AW149" s="17" cm="1">
        <f t="array" ref="AW149">MMULT(
    MMULT(
        INDEX($X$5:$AM$77, MATCH(AW$100,_xlfn.ANCHORARRAY( $W$5), 0), 0),
        $F$5:$U$20
    ),
    TRANSPOSE(
        INDEX($X$5:$AM$77, MATCH($A149,_xlfn.ANCHORARRAY( $W$5), 0), 0)
    )
)
/
(
    INDEX($AN$5:$AN$77, MATCH(AW$100,_xlfn.ANCHORARRAY( $W$5), 0))
    *
    INDEX($AN$5:$AN$77, MATCH($A149,_xlfn.ANCHORARRAY( $W$5), 0))
)</f>
        <v>0.4926394243838888</v>
      </c>
      <c r="AX149" s="17" cm="1">
        <f t="array" ref="AX149">MMULT(
    MMULT(
        INDEX($X$5:$AM$77, MATCH(AX$100,_xlfn.ANCHORARRAY( $W$5), 0), 0),
        $F$5:$U$20
    ),
    TRANSPOSE(
        INDEX($X$5:$AM$77, MATCH($A149,_xlfn.ANCHORARRAY( $W$5), 0), 0)
    )
)
/
(
    INDEX($AN$5:$AN$77, MATCH(AX$100,_xlfn.ANCHORARRAY( $W$5), 0))
    *
    INDEX($AN$5:$AN$77, MATCH($A149,_xlfn.ANCHORARRAY( $W$5), 0))
)</f>
        <v>1.0000000000000002</v>
      </c>
      <c r="AY149" s="17" cm="1">
        <f t="array" ref="AY149">MMULT(
    MMULT(
        INDEX($X$5:$AM$77, MATCH(AY$100,_xlfn.ANCHORARRAY( $W$5), 0), 0),
        $F$5:$U$20
    ),
    TRANSPOSE(
        INDEX($X$5:$AM$77, MATCH($A149,_xlfn.ANCHORARRAY( $W$5), 0), 0)
    )
)
/
(
    INDEX($AN$5:$AN$77, MATCH(AY$100,_xlfn.ANCHORARRAY( $W$5), 0))
    *
    INDEX($AN$5:$AN$77, MATCH($A149,_xlfn.ANCHORARRAY( $W$5), 0))
)</f>
        <v>0.42703676119382505</v>
      </c>
      <c r="AZ149" s="17" cm="1">
        <f t="array" ref="AZ149">MMULT(
    MMULT(
        INDEX($X$5:$AM$77, MATCH(AZ$100,_xlfn.ANCHORARRAY( $W$5), 0), 0),
        $F$5:$U$20
    ),
    TRANSPOSE(
        INDEX($X$5:$AM$77, MATCH($A149,_xlfn.ANCHORARRAY( $W$5), 0), 0)
    )
)
/
(
    INDEX($AN$5:$AN$77, MATCH(AZ$100,_xlfn.ANCHORARRAY( $W$5), 0))
    *
    INDEX($AN$5:$AN$77, MATCH($A149,_xlfn.ANCHORARRAY( $W$5), 0))
)</f>
        <v>0.49083090190378498</v>
      </c>
      <c r="BA149" s="17" cm="1">
        <f t="array" ref="BA149">MMULT(
    MMULT(
        INDEX($X$5:$AM$77, MATCH(BA$100,_xlfn.ANCHORARRAY( $W$5), 0), 0),
        $F$5:$U$20
    ),
    TRANSPOSE(
        INDEX($X$5:$AM$77, MATCH($A149,_xlfn.ANCHORARRAY( $W$5), 0), 0)
    )
)
/
(
    INDEX($AN$5:$AN$77, MATCH(BA$100,_xlfn.ANCHORARRAY( $W$5), 0))
    *
    INDEX($AN$5:$AN$77, MATCH($A149,_xlfn.ANCHORARRAY( $W$5), 0))
)</f>
        <v>0.54703714996010011</v>
      </c>
      <c r="BB149" s="17" cm="1">
        <f t="array" ref="BB149">MMULT(
    MMULT(
        INDEX($X$5:$AM$77, MATCH(BB$100,_xlfn.ANCHORARRAY( $W$5), 0), 0),
        $F$5:$U$20
    ),
    TRANSPOSE(
        INDEX($X$5:$AM$77, MATCH($A149,_xlfn.ANCHORARRAY( $W$5), 0), 0)
    )
)
/
(
    INDEX($AN$5:$AN$77, MATCH(BB$100,_xlfn.ANCHORARRAY( $W$5), 0))
    *
    INDEX($AN$5:$AN$77, MATCH($A149,_xlfn.ANCHORARRAY( $W$5), 0))
)</f>
        <v>0.52639673923078845</v>
      </c>
      <c r="BC149" s="17" cm="1">
        <f t="array" ref="BC149">MMULT(
    MMULT(
        INDEX($X$5:$AM$77, MATCH(BC$100,_xlfn.ANCHORARRAY( $W$5), 0), 0),
        $F$5:$U$20
    ),
    TRANSPOSE(
        INDEX($X$5:$AM$77, MATCH($A149,_xlfn.ANCHORARRAY( $W$5), 0), 0)
    )
)
/
(
    INDEX($AN$5:$AN$77, MATCH(BC$100,_xlfn.ANCHORARRAY( $W$5), 0))
    *
    INDEX($AN$5:$AN$77, MATCH($A149,_xlfn.ANCHORARRAY( $W$5), 0))
)</f>
        <v>0.69152102367468071</v>
      </c>
      <c r="BD149" s="17" cm="1">
        <f t="array" ref="BD149">MMULT(
    MMULT(
        INDEX($X$5:$AM$77, MATCH(BD$100,_xlfn.ANCHORARRAY( $W$5), 0), 0),
        $F$5:$U$20
    ),
    TRANSPOSE(
        INDEX($X$5:$AM$77, MATCH($A149,_xlfn.ANCHORARRAY( $W$5), 0), 0)
    )
)
/
(
    INDEX($AN$5:$AN$77, MATCH(BD$100,_xlfn.ANCHORARRAY( $W$5), 0))
    *
    INDEX($AN$5:$AN$77, MATCH($A149,_xlfn.ANCHORARRAY( $W$5), 0))
)</f>
        <v>0.71224124041007431</v>
      </c>
      <c r="BE149" s="17" cm="1">
        <f t="array" ref="BE149">MMULT(
    MMULT(
        INDEX($X$5:$AM$77, MATCH(BE$100,_xlfn.ANCHORARRAY( $W$5), 0), 0),
        $F$5:$U$20
    ),
    TRANSPOSE(
        INDEX($X$5:$AM$77, MATCH($A149,_xlfn.ANCHORARRAY( $W$5), 0), 0)
    )
)
/
(
    INDEX($AN$5:$AN$77, MATCH(BE$100,_xlfn.ANCHORARRAY( $W$5), 0))
    *
    INDEX($AN$5:$AN$77, MATCH($A149,_xlfn.ANCHORARRAY( $W$5), 0))
)</f>
        <v>0.69987608629774578</v>
      </c>
      <c r="BF149" s="17" cm="1">
        <f t="array" ref="BF149">MMULT(
    MMULT(
        INDEX($X$5:$AM$77, MATCH(BF$100,_xlfn.ANCHORARRAY( $W$5), 0), 0),
        $F$5:$U$20
    ),
    TRANSPOSE(
        INDEX($X$5:$AM$77, MATCH($A149,_xlfn.ANCHORARRAY( $W$5), 0), 0)
    )
)
/
(
    INDEX($AN$5:$AN$77, MATCH(BF$100,_xlfn.ANCHORARRAY( $W$5), 0))
    *
    INDEX($AN$5:$AN$77, MATCH($A149,_xlfn.ANCHORARRAY( $W$5), 0))
)</f>
        <v>0.68097300996280186</v>
      </c>
      <c r="BG149" s="17" cm="1">
        <f t="array" ref="BG149">MMULT(
    MMULT(
        INDEX($X$5:$AM$77, MATCH(BG$100,_xlfn.ANCHORARRAY( $W$5), 0), 0),
        $F$5:$U$20
    ),
    TRANSPOSE(
        INDEX($X$5:$AM$77, MATCH($A149,_xlfn.ANCHORARRAY( $W$5), 0), 0)
    )
)
/
(
    INDEX($AN$5:$AN$77, MATCH(BG$100,_xlfn.ANCHORARRAY( $W$5), 0))
    *
    INDEX($AN$5:$AN$77, MATCH($A149,_xlfn.ANCHORARRAY( $W$5), 0))
)</f>
        <v>0.5861755546625782</v>
      </c>
      <c r="BH149" s="17" cm="1">
        <f t="array" ref="BH149">MMULT(
    MMULT(
        INDEX($X$5:$AM$77, MATCH(BH$100,_xlfn.ANCHORARRAY( $W$5), 0), 0),
        $F$5:$U$20
    ),
    TRANSPOSE(
        INDEX($X$5:$AM$77, MATCH($A149,_xlfn.ANCHORARRAY( $W$5), 0), 0)
    )
)
/
(
    INDEX($AN$5:$AN$77, MATCH(BH$100,_xlfn.ANCHORARRAY( $W$5), 0))
    *
    INDEX($AN$5:$AN$77, MATCH($A149,_xlfn.ANCHORARRAY( $W$5), 0))
)</f>
        <v>0.69805708683916778</v>
      </c>
      <c r="BI149" s="17" cm="1">
        <f t="array" ref="BI149">MMULT(
    MMULT(
        INDEX($X$5:$AM$77, MATCH(BI$100,_xlfn.ANCHORARRAY( $W$5), 0), 0),
        $F$5:$U$20
    ),
    TRANSPOSE(
        INDEX($X$5:$AM$77, MATCH($A149,_xlfn.ANCHORARRAY( $W$5), 0), 0)
    )
)
/
(
    INDEX($AN$5:$AN$77, MATCH(BI$100,_xlfn.ANCHORARRAY( $W$5), 0))
    *
    INDEX($AN$5:$AN$77, MATCH($A149,_xlfn.ANCHORARRAY( $W$5), 0))
)</f>
        <v>0.48190465256452197</v>
      </c>
      <c r="BJ149" s="17" cm="1">
        <f t="array" ref="BJ149">MMULT(
    MMULT(
        INDEX($X$5:$AM$77, MATCH(BJ$100,_xlfn.ANCHORARRAY( $W$5), 0), 0),
        $F$5:$U$20
    ),
    TRANSPOSE(
        INDEX($X$5:$AM$77, MATCH($A149,_xlfn.ANCHORARRAY( $W$5), 0), 0)
    )
)
/
(
    INDEX($AN$5:$AN$77, MATCH(BJ$100,_xlfn.ANCHORARRAY( $W$5), 0))
    *
    INDEX($AN$5:$AN$77, MATCH($A149,_xlfn.ANCHORARRAY( $W$5), 0))
)</f>
        <v>0.5978479821458077</v>
      </c>
      <c r="BK149" s="17" cm="1">
        <f t="array" ref="BK149">MMULT(
    MMULT(
        INDEX($X$5:$AM$77, MATCH(BK$100,_xlfn.ANCHORARRAY( $W$5), 0), 0),
        $F$5:$U$20
    ),
    TRANSPOSE(
        INDEX($X$5:$AM$77, MATCH($A149,_xlfn.ANCHORARRAY( $W$5), 0), 0)
    )
)
/
(
    INDEX($AN$5:$AN$77, MATCH(BK$100,_xlfn.ANCHORARRAY( $W$5), 0))
    *
    INDEX($AN$5:$AN$77, MATCH($A149,_xlfn.ANCHORARRAY( $W$5), 0))
)</f>
        <v>0.72363213152469674</v>
      </c>
      <c r="BL149" s="17" cm="1">
        <f t="array" ref="BL149">MMULT(
    MMULT(
        INDEX($X$5:$AM$77, MATCH(BL$100,_xlfn.ANCHORARRAY( $W$5), 0), 0),
        $F$5:$U$20
    ),
    TRANSPOSE(
        INDEX($X$5:$AM$77, MATCH($A149,_xlfn.ANCHORARRAY( $W$5), 0), 0)
    )
)
/
(
    INDEX($AN$5:$AN$77, MATCH(BL$100,_xlfn.ANCHORARRAY( $W$5), 0))
    *
    INDEX($AN$5:$AN$77, MATCH($A149,_xlfn.ANCHORARRAY( $W$5), 0))
)</f>
        <v>0.17428261709941864</v>
      </c>
      <c r="BM149" s="17" cm="1">
        <f t="array" ref="BM149">MMULT(
    MMULT(
        INDEX($X$5:$AM$77, MATCH(BM$100,_xlfn.ANCHORARRAY( $W$5), 0), 0),
        $F$5:$U$20
    ),
    TRANSPOSE(
        INDEX($X$5:$AM$77, MATCH($A149,_xlfn.ANCHORARRAY( $W$5), 0), 0)
    )
)
/
(
    INDEX($AN$5:$AN$77, MATCH(BM$100,_xlfn.ANCHORARRAY( $W$5), 0))
    *
    INDEX($AN$5:$AN$77, MATCH($A149,_xlfn.ANCHORARRAY( $W$5), 0))
)</f>
        <v>0.36717924468629964</v>
      </c>
      <c r="BN149" s="17" cm="1">
        <f t="array" ref="BN149">MMULT(
    MMULT(
        INDEX($X$5:$AM$77, MATCH(BN$100,_xlfn.ANCHORARRAY( $W$5), 0), 0),
        $F$5:$U$20
    ),
    TRANSPOSE(
        INDEX($X$5:$AM$77, MATCH($A149,_xlfn.ANCHORARRAY( $W$5), 0), 0)
    )
)
/
(
    INDEX($AN$5:$AN$77, MATCH(BN$100,_xlfn.ANCHORARRAY( $W$5), 0))
    *
    INDEX($AN$5:$AN$77, MATCH($A149,_xlfn.ANCHORARRAY( $W$5), 0))
)</f>
        <v>0.7359822665282103</v>
      </c>
      <c r="BO149" s="17" cm="1">
        <f t="array" ref="BO149">MMULT(
    MMULT(
        INDEX($X$5:$AM$77, MATCH(BO$100,_xlfn.ANCHORARRAY( $W$5), 0), 0),
        $F$5:$U$20
    ),
    TRANSPOSE(
        INDEX($X$5:$AM$77, MATCH($A149,_xlfn.ANCHORARRAY( $W$5), 0), 0)
    )
)
/
(
    INDEX($AN$5:$AN$77, MATCH(BO$100,_xlfn.ANCHORARRAY( $W$5), 0))
    *
    INDEX($AN$5:$AN$77, MATCH($A149,_xlfn.ANCHORARRAY( $W$5), 0))
)</f>
        <v>0.5102580747847425</v>
      </c>
      <c r="BP149" s="17" cm="1">
        <f t="array" ref="BP149">MMULT(
    MMULT(
        INDEX($X$5:$AM$77, MATCH(BP$100,_xlfn.ANCHORARRAY( $W$5), 0), 0),
        $F$5:$U$20
    ),
    TRANSPOSE(
        INDEX($X$5:$AM$77, MATCH($A149,_xlfn.ANCHORARRAY( $W$5), 0), 0)
    )
)
/
(
    INDEX($AN$5:$AN$77, MATCH(BP$100,_xlfn.ANCHORARRAY( $W$5), 0))
    *
    INDEX($AN$5:$AN$77, MATCH($A149,_xlfn.ANCHORARRAY( $W$5), 0))
)</f>
        <v>0.61043867741283397</v>
      </c>
      <c r="BQ149" s="17" cm="1">
        <f t="array" ref="BQ149">MMULT(
    MMULT(
        INDEX($X$5:$AM$77, MATCH(BQ$100,_xlfn.ANCHORARRAY( $W$5), 0), 0),
        $F$5:$U$20
    ),
    TRANSPOSE(
        INDEX($X$5:$AM$77, MATCH($A149,_xlfn.ANCHORARRAY( $W$5), 0), 0)
    )
)
/
(
    INDEX($AN$5:$AN$77, MATCH(BQ$100,_xlfn.ANCHORARRAY( $W$5), 0))
    *
    INDEX($AN$5:$AN$77, MATCH($A149,_xlfn.ANCHORARRAY( $W$5), 0))
)</f>
        <v>0.75173218910343131</v>
      </c>
      <c r="BR149" s="17" cm="1">
        <f t="array" ref="BR149">MMULT(
    MMULT(
        INDEX($X$5:$AM$77, MATCH(BR$100,_xlfn.ANCHORARRAY( $W$5), 0), 0),
        $F$5:$U$20
    ),
    TRANSPOSE(
        INDEX($X$5:$AM$77, MATCH($A149,_xlfn.ANCHORARRAY( $W$5), 0), 0)
    )
)
/
(
    INDEX($AN$5:$AN$77, MATCH(BR$100,_xlfn.ANCHORARRAY( $W$5), 0))
    *
    INDEX($AN$5:$AN$77, MATCH($A149,_xlfn.ANCHORARRAY( $W$5), 0))
)</f>
        <v>0.58624052081013478</v>
      </c>
      <c r="BS149" s="17" cm="1">
        <f t="array" ref="BS149">MMULT(
    MMULT(
        INDEX($X$5:$AM$77, MATCH(BS$100,_xlfn.ANCHORARRAY( $W$5), 0), 0),
        $F$5:$U$20
    ),
    TRANSPOSE(
        INDEX($X$5:$AM$77, MATCH($A149,_xlfn.ANCHORARRAY( $W$5), 0), 0)
    )
)
/
(
    INDEX($AN$5:$AN$77, MATCH(BS$100,_xlfn.ANCHORARRAY( $W$5), 0))
    *
    INDEX($AN$5:$AN$77, MATCH($A149,_xlfn.ANCHORARRAY( $W$5), 0))
)</f>
        <v>0.40505730435515008</v>
      </c>
      <c r="BT149" s="17" cm="1">
        <f t="array" ref="BT149">MMULT(
    MMULT(
        INDEX($X$5:$AM$77, MATCH(BT$100,_xlfn.ANCHORARRAY( $W$5), 0), 0),
        $F$5:$U$20
    ),
    TRANSPOSE(
        INDEX($X$5:$AM$77, MATCH($A149,_xlfn.ANCHORARRAY( $W$5), 0), 0)
    )
)
/
(
    INDEX($AN$5:$AN$77, MATCH(BT$100,_xlfn.ANCHORARRAY( $W$5), 0))
    *
    INDEX($AN$5:$AN$77, MATCH($A149,_xlfn.ANCHORARRAY( $W$5), 0))
)</f>
        <v>0.68405106149475348</v>
      </c>
      <c r="BU149" s="17" cm="1">
        <f t="array" ref="BU149">MMULT(
    MMULT(
        INDEX($X$5:$AM$77, MATCH(BU$100,_xlfn.ANCHORARRAY( $W$5), 0), 0),
        $F$5:$U$20
    ),
    TRANSPOSE(
        INDEX($X$5:$AM$77, MATCH($A149,_xlfn.ANCHORARRAY( $W$5), 0), 0)
    )
)
/
(
    INDEX($AN$5:$AN$77, MATCH(BU$100,_xlfn.ANCHORARRAY( $W$5), 0))
    *
    INDEX($AN$5:$AN$77, MATCH($A149,_xlfn.ANCHORARRAY( $W$5), 0))
)</f>
        <v>0.70200707466172263</v>
      </c>
      <c r="BV149" s="17" cm="1">
        <f t="array" ref="BV149">MMULT(
    MMULT(
        INDEX($X$5:$AM$77, MATCH(BV$100,_xlfn.ANCHORARRAY( $W$5), 0), 0),
        $F$5:$U$20
    ),
    TRANSPOSE(
        INDEX($X$5:$AM$77, MATCH($A149,_xlfn.ANCHORARRAY( $W$5), 0), 0)
    )
)
/
(
    INDEX($AN$5:$AN$77, MATCH(BV$100,_xlfn.ANCHORARRAY( $W$5), 0))
    *
    INDEX($AN$5:$AN$77, MATCH($A149,_xlfn.ANCHORARRAY( $W$5), 0))
)</f>
        <v>0.48414888865477274</v>
      </c>
    </row>
    <row r="150" spans="1:74" x14ac:dyDescent="0.3">
      <c r="A150" s="7" t="str">
        <v>Montero, Rafael</v>
      </c>
      <c r="B150" s="17" cm="1">
        <f t="array" ref="B150">MMULT(
    MMULT(
        INDEX($X$5:$AM$77, MATCH(B$100,_xlfn.ANCHORARRAY( $W$5), 0), 0),
        $F$5:$U$20
    ),
    TRANSPOSE(
        INDEX($X$5:$AM$77, MATCH($A150,_xlfn.ANCHORARRAY( $W$5), 0), 0)
    )
)
/
(
    INDEX($AN$5:$AN$77, MATCH(B$100,_xlfn.ANCHORARRAY( $W$5), 0))
    *
    INDEX($AN$5:$AN$77, MATCH($A150,_xlfn.ANCHORARRAY( $W$5), 0))
)</f>
        <v>0.66401372593127028</v>
      </c>
      <c r="C150" s="17" cm="1">
        <f t="array" ref="C150">MMULT(
    MMULT(
        INDEX($X$5:$AM$77, MATCH(C$100,_xlfn.ANCHORARRAY( $W$5), 0), 0),
        $F$5:$U$20
    ),
    TRANSPOSE(
        INDEX($X$5:$AM$77, MATCH($A150,_xlfn.ANCHORARRAY( $W$5), 0), 0)
    )
)
/
(
    INDEX($AN$5:$AN$77, MATCH(C$100,_xlfn.ANCHORARRAY( $W$5), 0))
    *
    INDEX($AN$5:$AN$77, MATCH($A150,_xlfn.ANCHORARRAY( $W$5), 0))
)</f>
        <v>0.55574450167392042</v>
      </c>
      <c r="D150" s="17" cm="1">
        <f t="array" ref="D150">MMULT(
    MMULT(
        INDEX($X$5:$AM$77, MATCH(D$100,_xlfn.ANCHORARRAY( $W$5), 0), 0),
        $F$5:$U$20
    ),
    TRANSPOSE(
        INDEX($X$5:$AM$77, MATCH($A150,_xlfn.ANCHORARRAY( $W$5), 0), 0)
    )
)
/
(
    INDEX($AN$5:$AN$77, MATCH(D$100,_xlfn.ANCHORARRAY( $W$5), 0))
    *
    INDEX($AN$5:$AN$77, MATCH($A150,_xlfn.ANCHORARRAY( $W$5), 0))
)</f>
        <v>0.66545938059639109</v>
      </c>
      <c r="E150" s="17" cm="1">
        <f t="array" ref="E150">MMULT(
    MMULT(
        INDEX($X$5:$AM$77, MATCH(E$100,_xlfn.ANCHORARRAY( $W$5), 0), 0),
        $F$5:$U$20
    ),
    TRANSPOSE(
        INDEX($X$5:$AM$77, MATCH($A150,_xlfn.ANCHORARRAY( $W$5), 0), 0)
    )
)
/
(
    INDEX($AN$5:$AN$77, MATCH(E$100,_xlfn.ANCHORARRAY( $W$5), 0))
    *
    INDEX($AN$5:$AN$77, MATCH($A150,_xlfn.ANCHORARRAY( $W$5), 0))
)</f>
        <v>0.61333518413658006</v>
      </c>
      <c r="F150" s="17" cm="1">
        <f t="array" ref="F150">MMULT(
    MMULT(
        INDEX($X$5:$AM$77, MATCH(F$100,_xlfn.ANCHORARRAY( $W$5), 0), 0),
        $F$5:$U$20
    ),
    TRANSPOSE(
        INDEX($X$5:$AM$77, MATCH($A150,_xlfn.ANCHORARRAY( $W$5), 0), 0)
    )
)
/
(
    INDEX($AN$5:$AN$77, MATCH(F$100,_xlfn.ANCHORARRAY( $W$5), 0))
    *
    INDEX($AN$5:$AN$77, MATCH($A150,_xlfn.ANCHORARRAY( $W$5), 0))
)</f>
        <v>0.62715187779888626</v>
      </c>
      <c r="G150" s="17" cm="1">
        <f t="array" ref="G150">MMULT(
    MMULT(
        INDEX($X$5:$AM$77, MATCH(G$100,_xlfn.ANCHORARRAY( $W$5), 0), 0),
        $F$5:$U$20
    ),
    TRANSPOSE(
        INDEX($X$5:$AM$77, MATCH($A150,_xlfn.ANCHORARRAY( $W$5), 0), 0)
    )
)
/
(
    INDEX($AN$5:$AN$77, MATCH(G$100,_xlfn.ANCHORARRAY( $W$5), 0))
    *
    INDEX($AN$5:$AN$77, MATCH($A150,_xlfn.ANCHORARRAY( $W$5), 0))
)</f>
        <v>0.79161063635427786</v>
      </c>
      <c r="H150" s="17" cm="1">
        <f t="array" ref="H150">MMULT(
    MMULT(
        INDEX($X$5:$AM$77, MATCH(H$100,_xlfn.ANCHORARRAY( $W$5), 0), 0),
        $F$5:$U$20
    ),
    TRANSPOSE(
        INDEX($X$5:$AM$77, MATCH($A150,_xlfn.ANCHORARRAY( $W$5), 0), 0)
    )
)
/
(
    INDEX($AN$5:$AN$77, MATCH(H$100,_xlfn.ANCHORARRAY( $W$5), 0))
    *
    INDEX($AN$5:$AN$77, MATCH($A150,_xlfn.ANCHORARRAY( $W$5), 0))
)</f>
        <v>0.70677493586740991</v>
      </c>
      <c r="I150" s="17" cm="1">
        <f t="array" ref="I150">MMULT(
    MMULT(
        INDEX($X$5:$AM$77, MATCH(I$100,_xlfn.ANCHORARRAY( $W$5), 0), 0),
        $F$5:$U$20
    ),
    TRANSPOSE(
        INDEX($X$5:$AM$77, MATCH($A150,_xlfn.ANCHORARRAY( $W$5), 0), 0)
    )
)
/
(
    INDEX($AN$5:$AN$77, MATCH(I$100,_xlfn.ANCHORARRAY( $W$5), 0))
    *
    INDEX($AN$5:$AN$77, MATCH($A150,_xlfn.ANCHORARRAY( $W$5), 0))
)</f>
        <v>0.61202021256430783</v>
      </c>
      <c r="J150" s="17" cm="1">
        <f t="array" ref="J150">MMULT(
    MMULT(
        INDEX($X$5:$AM$77, MATCH(J$100,_xlfn.ANCHORARRAY( $W$5), 0), 0),
        $F$5:$U$20
    ),
    TRANSPOSE(
        INDEX($X$5:$AM$77, MATCH($A150,_xlfn.ANCHORARRAY( $W$5), 0), 0)
    )
)
/
(
    INDEX($AN$5:$AN$77, MATCH(J$100,_xlfn.ANCHORARRAY( $W$5), 0))
    *
    INDEX($AN$5:$AN$77, MATCH($A150,_xlfn.ANCHORARRAY( $W$5), 0))
)</f>
        <v>0.77034289384273191</v>
      </c>
      <c r="K150" s="17" cm="1">
        <f t="array" ref="K150">MMULT(
    MMULT(
        INDEX($X$5:$AM$77, MATCH(K$100,_xlfn.ANCHORARRAY( $W$5), 0), 0),
        $F$5:$U$20
    ),
    TRANSPOSE(
        INDEX($X$5:$AM$77, MATCH($A150,_xlfn.ANCHORARRAY( $W$5), 0), 0)
    )
)
/
(
    INDEX($AN$5:$AN$77, MATCH(K$100,_xlfn.ANCHORARRAY( $W$5), 0))
    *
    INDEX($AN$5:$AN$77, MATCH($A150,_xlfn.ANCHORARRAY( $W$5), 0))
)</f>
        <v>0.67093042510028778</v>
      </c>
      <c r="L150" s="17" cm="1">
        <f t="array" ref="L150">MMULT(
    MMULT(
        INDEX($X$5:$AM$77, MATCH(L$100,_xlfn.ANCHORARRAY( $W$5), 0), 0),
        $F$5:$U$20
    ),
    TRANSPOSE(
        INDEX($X$5:$AM$77, MATCH($A150,_xlfn.ANCHORARRAY( $W$5), 0), 0)
    )
)
/
(
    INDEX($AN$5:$AN$77, MATCH(L$100,_xlfn.ANCHORARRAY( $W$5), 0))
    *
    INDEX($AN$5:$AN$77, MATCH($A150,_xlfn.ANCHORARRAY( $W$5), 0))
)</f>
        <v>0.59374847808352949</v>
      </c>
      <c r="M150" s="17" cm="1">
        <f t="array" ref="M150">MMULT(
    MMULT(
        INDEX($X$5:$AM$77, MATCH(M$100,_xlfn.ANCHORARRAY( $W$5), 0), 0),
        $F$5:$U$20
    ),
    TRANSPOSE(
        INDEX($X$5:$AM$77, MATCH($A150,_xlfn.ANCHORARRAY( $W$5), 0), 0)
    )
)
/
(
    INDEX($AN$5:$AN$77, MATCH(M$100,_xlfn.ANCHORARRAY( $W$5), 0))
    *
    INDEX($AN$5:$AN$77, MATCH($A150,_xlfn.ANCHORARRAY( $W$5), 0))
)</f>
        <v>0.81830032245941908</v>
      </c>
      <c r="N150" s="17" cm="1">
        <f t="array" ref="N150">MMULT(
    MMULT(
        INDEX($X$5:$AM$77, MATCH(N$100,_xlfn.ANCHORARRAY( $W$5), 0), 0),
        $F$5:$U$20
    ),
    TRANSPOSE(
        INDEX($X$5:$AM$77, MATCH($A150,_xlfn.ANCHORARRAY( $W$5), 0), 0)
    )
)
/
(
    INDEX($AN$5:$AN$77, MATCH(N$100,_xlfn.ANCHORARRAY( $W$5), 0))
    *
    INDEX($AN$5:$AN$77, MATCH($A150,_xlfn.ANCHORARRAY( $W$5), 0))
)</f>
        <v>0.45874923290514824</v>
      </c>
      <c r="O150" s="17" cm="1">
        <f t="array" ref="O150">MMULT(
    MMULT(
        INDEX($X$5:$AM$77, MATCH(O$100,_xlfn.ANCHORARRAY( $W$5), 0), 0),
        $F$5:$U$20
    ),
    TRANSPOSE(
        INDEX($X$5:$AM$77, MATCH($A150,_xlfn.ANCHORARRAY( $W$5), 0), 0)
    )
)
/
(
    INDEX($AN$5:$AN$77, MATCH(O$100,_xlfn.ANCHORARRAY( $W$5), 0))
    *
    INDEX($AN$5:$AN$77, MATCH($A150,_xlfn.ANCHORARRAY( $W$5), 0))
)</f>
        <v>0.5469654974538124</v>
      </c>
      <c r="P150" s="17" cm="1">
        <f t="array" ref="P150">MMULT(
    MMULT(
        INDEX($X$5:$AM$77, MATCH(P$100,_xlfn.ANCHORARRAY( $W$5), 0), 0),
        $F$5:$U$20
    ),
    TRANSPOSE(
        INDEX($X$5:$AM$77, MATCH($A150,_xlfn.ANCHORARRAY( $W$5), 0), 0)
    )
)
/
(
    INDEX($AN$5:$AN$77, MATCH(P$100,_xlfn.ANCHORARRAY( $W$5), 0))
    *
    INDEX($AN$5:$AN$77, MATCH($A150,_xlfn.ANCHORARRAY( $W$5), 0))
)</f>
        <v>0.55661442758318957</v>
      </c>
      <c r="Q150" s="17" cm="1">
        <f t="array" ref="Q150">MMULT(
    MMULT(
        INDEX($X$5:$AM$77, MATCH(Q$100,_xlfn.ANCHORARRAY( $W$5), 0), 0),
        $F$5:$U$20
    ),
    TRANSPOSE(
        INDEX($X$5:$AM$77, MATCH($A150,_xlfn.ANCHORARRAY( $W$5), 0), 0)
    )
)
/
(
    INDEX($AN$5:$AN$77, MATCH(Q$100,_xlfn.ANCHORARRAY( $W$5), 0))
    *
    INDEX($AN$5:$AN$77, MATCH($A150,_xlfn.ANCHORARRAY( $W$5), 0))
)</f>
        <v>0.57376167832755343</v>
      </c>
      <c r="R150" s="17" cm="1">
        <f t="array" ref="R150">MMULT(
    MMULT(
        INDEX($X$5:$AM$77, MATCH(R$100,_xlfn.ANCHORARRAY( $W$5), 0), 0),
        $F$5:$U$20
    ),
    TRANSPOSE(
        INDEX($X$5:$AM$77, MATCH($A150,_xlfn.ANCHORARRAY( $W$5), 0), 0)
    )
)
/
(
    INDEX($AN$5:$AN$77, MATCH(R$100,_xlfn.ANCHORARRAY( $W$5), 0))
    *
    INDEX($AN$5:$AN$77, MATCH($A150,_xlfn.ANCHORARRAY( $W$5), 0))
)</f>
        <v>0.65138531934392829</v>
      </c>
      <c r="S150" s="17" cm="1">
        <f t="array" ref="S150">MMULT(
    MMULT(
        INDEX($X$5:$AM$77, MATCH(S$100,_xlfn.ANCHORARRAY( $W$5), 0), 0),
        $F$5:$U$20
    ),
    TRANSPOSE(
        INDEX($X$5:$AM$77, MATCH($A150,_xlfn.ANCHORARRAY( $W$5), 0), 0)
    )
)
/
(
    INDEX($AN$5:$AN$77, MATCH(S$100,_xlfn.ANCHORARRAY( $W$5), 0))
    *
    INDEX($AN$5:$AN$77, MATCH($A150,_xlfn.ANCHORARRAY( $W$5), 0))
)</f>
        <v>0.68276248518794824</v>
      </c>
      <c r="T150" s="17" cm="1">
        <f t="array" ref="T150">MMULT(
    MMULT(
        INDEX($X$5:$AM$77, MATCH(T$100,_xlfn.ANCHORARRAY( $W$5), 0), 0),
        $F$5:$U$20
    ),
    TRANSPOSE(
        INDEX($X$5:$AM$77, MATCH($A150,_xlfn.ANCHORARRAY( $W$5), 0), 0)
    )
)
/
(
    INDEX($AN$5:$AN$77, MATCH(T$100,_xlfn.ANCHORARRAY( $W$5), 0))
    *
    INDEX($AN$5:$AN$77, MATCH($A150,_xlfn.ANCHORARRAY( $W$5), 0))
)</f>
        <v>0.22662130638289857</v>
      </c>
      <c r="U150" s="17" cm="1">
        <f t="array" ref="U150">MMULT(
    MMULT(
        INDEX($X$5:$AM$77, MATCH(U$100,_xlfn.ANCHORARRAY( $W$5), 0), 0),
        $F$5:$U$20
    ),
    TRANSPOSE(
        INDEX($X$5:$AM$77, MATCH($A150,_xlfn.ANCHORARRAY( $W$5), 0), 0)
    )
)
/
(
    INDEX($AN$5:$AN$77, MATCH(U$100,_xlfn.ANCHORARRAY( $W$5), 0))
    *
    INDEX($AN$5:$AN$77, MATCH($A150,_xlfn.ANCHORARRAY( $W$5), 0))
)</f>
        <v>0.64589490636365765</v>
      </c>
      <c r="V150" s="17" cm="1">
        <f t="array" ref="V150">MMULT(
    MMULT(
        INDEX($X$5:$AM$77, MATCH(V$100,_xlfn.ANCHORARRAY( $W$5), 0), 0),
        $F$5:$U$20
    ),
    TRANSPOSE(
        INDEX($X$5:$AM$77, MATCH($A150,_xlfn.ANCHORARRAY( $W$5), 0), 0)
    )
)
/
(
    INDEX($AN$5:$AN$77, MATCH(V$100,_xlfn.ANCHORARRAY( $W$5), 0))
    *
    INDEX($AN$5:$AN$77, MATCH($A150,_xlfn.ANCHORARRAY( $W$5), 0))
)</f>
        <v>0.39709207574563415</v>
      </c>
      <c r="W150" s="17" cm="1">
        <f t="array" ref="W150">MMULT(
    MMULT(
        INDEX($X$5:$AM$77, MATCH(W$100,_xlfn.ANCHORARRAY( $W$5), 0), 0),
        $F$5:$U$20
    ),
    TRANSPOSE(
        INDEX($X$5:$AM$77, MATCH($A150,_xlfn.ANCHORARRAY( $W$5), 0), 0)
    )
)
/
(
    INDEX($AN$5:$AN$77, MATCH(W$100,_xlfn.ANCHORARRAY( $W$5), 0))
    *
    INDEX($AN$5:$AN$77, MATCH($A150,_xlfn.ANCHORARRAY( $W$5), 0))
)</f>
        <v>0.39523013144311703</v>
      </c>
      <c r="X150" s="17" cm="1">
        <f t="array" ref="X150">MMULT(
    MMULT(
        INDEX($X$5:$AM$77, MATCH(X$100,_xlfn.ANCHORARRAY( $W$5), 0), 0),
        $F$5:$U$20
    ),
    TRANSPOSE(
        INDEX($X$5:$AM$77, MATCH($A150,_xlfn.ANCHORARRAY( $W$5), 0), 0)
    )
)
/
(
    INDEX($AN$5:$AN$77, MATCH(X$100,_xlfn.ANCHORARRAY( $W$5), 0))
    *
    INDEX($AN$5:$AN$77, MATCH($A150,_xlfn.ANCHORARRAY( $W$5), 0))
)</f>
        <v>0.58884807083123292</v>
      </c>
      <c r="Y150" s="17" cm="1">
        <f t="array" ref="Y150">MMULT(
    MMULT(
        INDEX($X$5:$AM$77, MATCH(Y$100,_xlfn.ANCHORARRAY( $W$5), 0), 0),
        $F$5:$U$20
    ),
    TRANSPOSE(
        INDEX($X$5:$AM$77, MATCH($A150,_xlfn.ANCHORARRAY( $W$5), 0), 0)
    )
)
/
(
    INDEX($AN$5:$AN$77, MATCH(Y$100,_xlfn.ANCHORARRAY( $W$5), 0))
    *
    INDEX($AN$5:$AN$77, MATCH($A150,_xlfn.ANCHORARRAY( $W$5), 0))
)</f>
        <v>0.75453051726466869</v>
      </c>
      <c r="Z150" s="17" cm="1">
        <f t="array" ref="Z150">MMULT(
    MMULT(
        INDEX($X$5:$AM$77, MATCH(Z$100,_xlfn.ANCHORARRAY( $W$5), 0), 0),
        $F$5:$U$20
    ),
    TRANSPOSE(
        INDEX($X$5:$AM$77, MATCH($A150,_xlfn.ANCHORARRAY( $W$5), 0), 0)
    )
)
/
(
    INDEX($AN$5:$AN$77, MATCH(Z$100,_xlfn.ANCHORARRAY( $W$5), 0))
    *
    INDEX($AN$5:$AN$77, MATCH($A150,_xlfn.ANCHORARRAY( $W$5), 0))
)</f>
        <v>0.62556872108634998</v>
      </c>
      <c r="AA150" s="17" cm="1">
        <f t="array" ref="AA150">MMULT(
    MMULT(
        INDEX($X$5:$AM$77, MATCH(AA$100,_xlfn.ANCHORARRAY( $W$5), 0), 0),
        $F$5:$U$20
    ),
    TRANSPOSE(
        INDEX($X$5:$AM$77, MATCH($A150,_xlfn.ANCHORARRAY( $W$5), 0), 0)
    )
)
/
(
    INDEX($AN$5:$AN$77, MATCH(AA$100,_xlfn.ANCHORARRAY( $W$5), 0))
    *
    INDEX($AN$5:$AN$77, MATCH($A150,_xlfn.ANCHORARRAY( $W$5), 0))
)</f>
        <v>0.53579530753245452</v>
      </c>
      <c r="AB150" s="17" cm="1">
        <f t="array" ref="AB150">MMULT(
    MMULT(
        INDEX($X$5:$AM$77, MATCH(AB$100,_xlfn.ANCHORARRAY( $W$5), 0), 0),
        $F$5:$U$20
    ),
    TRANSPOSE(
        INDEX($X$5:$AM$77, MATCH($A150,_xlfn.ANCHORARRAY( $W$5), 0), 0)
    )
)
/
(
    INDEX($AN$5:$AN$77, MATCH(AB$100,_xlfn.ANCHORARRAY( $W$5), 0))
    *
    INDEX($AN$5:$AN$77, MATCH($A150,_xlfn.ANCHORARRAY( $W$5), 0))
)</f>
        <v>0.65222083416042786</v>
      </c>
      <c r="AC150" s="17" cm="1">
        <f t="array" ref="AC150">MMULT(
    MMULT(
        INDEX($X$5:$AM$77, MATCH(AC$100,_xlfn.ANCHORARRAY( $W$5), 0), 0),
        $F$5:$U$20
    ),
    TRANSPOSE(
        INDEX($X$5:$AM$77, MATCH($A150,_xlfn.ANCHORARRAY( $W$5), 0), 0)
    )
)
/
(
    INDEX($AN$5:$AN$77, MATCH(AC$100,_xlfn.ANCHORARRAY( $W$5), 0))
    *
    INDEX($AN$5:$AN$77, MATCH($A150,_xlfn.ANCHORARRAY( $W$5), 0))
)</f>
        <v>0.48680441381397749</v>
      </c>
      <c r="AD150" s="17" cm="1">
        <f t="array" ref="AD150">MMULT(
    MMULT(
        INDEX($X$5:$AM$77, MATCH(AD$100,_xlfn.ANCHORARRAY( $W$5), 0), 0),
        $F$5:$U$20
    ),
    TRANSPOSE(
        INDEX($X$5:$AM$77, MATCH($A150,_xlfn.ANCHORARRAY( $W$5), 0), 0)
    )
)
/
(
    INDEX($AN$5:$AN$77, MATCH(AD$100,_xlfn.ANCHORARRAY( $W$5), 0))
    *
    INDEX($AN$5:$AN$77, MATCH($A150,_xlfn.ANCHORARRAY( $W$5), 0))
)</f>
        <v>0.61032071220865924</v>
      </c>
      <c r="AE150" s="17" cm="1">
        <f t="array" ref="AE150">MMULT(
    MMULT(
        INDEX($X$5:$AM$77, MATCH(AE$100,_xlfn.ANCHORARRAY( $W$5), 0), 0),
        $F$5:$U$20
    ),
    TRANSPOSE(
        INDEX($X$5:$AM$77, MATCH($A150,_xlfn.ANCHORARRAY( $W$5), 0), 0)
    )
)
/
(
    INDEX($AN$5:$AN$77, MATCH(AE$100,_xlfn.ANCHORARRAY( $W$5), 0))
    *
    INDEX($AN$5:$AN$77, MATCH($A150,_xlfn.ANCHORARRAY( $W$5), 0))
)</f>
        <v>0.88755007304075562</v>
      </c>
      <c r="AF150" s="17" cm="1">
        <f t="array" ref="AF150">MMULT(
    MMULT(
        INDEX($X$5:$AM$77, MATCH(AF$100,_xlfn.ANCHORARRAY( $W$5), 0), 0),
        $F$5:$U$20
    ),
    TRANSPOSE(
        INDEX($X$5:$AM$77, MATCH($A150,_xlfn.ANCHORARRAY( $W$5), 0), 0)
    )
)
/
(
    INDEX($AN$5:$AN$77, MATCH(AF$100,_xlfn.ANCHORARRAY( $W$5), 0))
    *
    INDEX($AN$5:$AN$77, MATCH($A150,_xlfn.ANCHORARRAY( $W$5), 0))
)</f>
        <v>0.64052823844073659</v>
      </c>
      <c r="AG150" s="17" cm="1">
        <f t="array" ref="AG150">MMULT(
    MMULT(
        INDEX($X$5:$AM$77, MATCH(AG$100,_xlfn.ANCHORARRAY( $W$5), 0), 0),
        $F$5:$U$20
    ),
    TRANSPOSE(
        INDEX($X$5:$AM$77, MATCH($A150,_xlfn.ANCHORARRAY( $W$5), 0), 0)
    )
)
/
(
    INDEX($AN$5:$AN$77, MATCH(AG$100,_xlfn.ANCHORARRAY( $W$5), 0))
    *
    INDEX($AN$5:$AN$77, MATCH($A150,_xlfn.ANCHORARRAY( $W$5), 0))
)</f>
        <v>0.77449202304966169</v>
      </c>
      <c r="AH150" s="17" cm="1">
        <f t="array" ref="AH150">MMULT(
    MMULT(
        INDEX($X$5:$AM$77, MATCH(AH$100,_xlfn.ANCHORARRAY( $W$5), 0), 0),
        $F$5:$U$20
    ),
    TRANSPOSE(
        INDEX($X$5:$AM$77, MATCH($A150,_xlfn.ANCHORARRAY( $W$5), 0), 0)
    )
)
/
(
    INDEX($AN$5:$AN$77, MATCH(AH$100,_xlfn.ANCHORARRAY( $W$5), 0))
    *
    INDEX($AN$5:$AN$77, MATCH($A150,_xlfn.ANCHORARRAY( $W$5), 0))
)</f>
        <v>0.98343368326484903</v>
      </c>
      <c r="AI150" s="17" cm="1">
        <f t="array" ref="AI150">MMULT(
    MMULT(
        INDEX($X$5:$AM$77, MATCH(AI$100,_xlfn.ANCHORARRAY( $W$5), 0), 0),
        $F$5:$U$20
    ),
    TRANSPOSE(
        INDEX($X$5:$AM$77, MATCH($A150,_xlfn.ANCHORARRAY( $W$5), 0), 0)
    )
)
/
(
    INDEX($AN$5:$AN$77, MATCH(AI$100,_xlfn.ANCHORARRAY( $W$5), 0))
    *
    INDEX($AN$5:$AN$77, MATCH($A150,_xlfn.ANCHORARRAY( $W$5), 0))
)</f>
        <v>0.75880743279481444</v>
      </c>
      <c r="AJ150" s="17" cm="1">
        <f t="array" ref="AJ150">MMULT(
    MMULT(
        INDEX($X$5:$AM$77, MATCH(AJ$100,_xlfn.ANCHORARRAY( $W$5), 0), 0),
        $F$5:$U$20
    ),
    TRANSPOSE(
        INDEX($X$5:$AM$77, MATCH($A150,_xlfn.ANCHORARRAY( $W$5), 0), 0)
    )
)
/
(
    INDEX($AN$5:$AN$77, MATCH(AJ$100,_xlfn.ANCHORARRAY( $W$5), 0))
    *
    INDEX($AN$5:$AN$77, MATCH($A150,_xlfn.ANCHORARRAY( $W$5), 0))
)</f>
        <v>0.57961013919159776</v>
      </c>
      <c r="AK150" s="17" cm="1">
        <f t="array" ref="AK150">MMULT(
    MMULT(
        INDEX($X$5:$AM$77, MATCH(AK$100,_xlfn.ANCHORARRAY( $W$5), 0), 0),
        $F$5:$U$20
    ),
    TRANSPOSE(
        INDEX($X$5:$AM$77, MATCH($A150,_xlfn.ANCHORARRAY( $W$5), 0), 0)
    )
)
/
(
    INDEX($AN$5:$AN$77, MATCH(AK$100,_xlfn.ANCHORARRAY( $W$5), 0))
    *
    INDEX($AN$5:$AN$77, MATCH($A150,_xlfn.ANCHORARRAY( $W$5), 0))
)</f>
        <v>0.67795291342974873</v>
      </c>
      <c r="AL150" s="17" cm="1">
        <f t="array" ref="AL150">MMULT(
    MMULT(
        INDEX($X$5:$AM$77, MATCH(AL$100,_xlfn.ANCHORARRAY( $W$5), 0), 0),
        $F$5:$U$20
    ),
    TRANSPOSE(
        INDEX($X$5:$AM$77, MATCH($A150,_xlfn.ANCHORARRAY( $W$5), 0), 0)
    )
)
/
(
    INDEX($AN$5:$AN$77, MATCH(AL$100,_xlfn.ANCHORARRAY( $W$5), 0))
    *
    INDEX($AN$5:$AN$77, MATCH($A150,_xlfn.ANCHORARRAY( $W$5), 0))
)</f>
        <v>0.49450133557705128</v>
      </c>
      <c r="AM150" s="17" cm="1">
        <f t="array" ref="AM150">MMULT(
    MMULT(
        INDEX($X$5:$AM$77, MATCH(AM$100,_xlfn.ANCHORARRAY( $W$5), 0), 0),
        $F$5:$U$20
    ),
    TRANSPOSE(
        INDEX($X$5:$AM$77, MATCH($A150,_xlfn.ANCHORARRAY( $W$5), 0), 0)
    )
)
/
(
    INDEX($AN$5:$AN$77, MATCH(AM$100,_xlfn.ANCHORARRAY( $W$5), 0))
    *
    INDEX($AN$5:$AN$77, MATCH($A150,_xlfn.ANCHORARRAY( $W$5), 0))
)</f>
        <v>0.55567274193010807</v>
      </c>
      <c r="AN150" s="17" cm="1">
        <f t="array" ref="AN150">MMULT(
    MMULT(
        INDEX($X$5:$AM$77, MATCH(AN$100,_xlfn.ANCHORARRAY( $W$5), 0), 0),
        $F$5:$U$20
    ),
    TRANSPOSE(
        INDEX($X$5:$AM$77, MATCH($A150,_xlfn.ANCHORARRAY( $W$5), 0), 0)
    )
)
/
(
    INDEX($AN$5:$AN$77, MATCH(AN$100,_xlfn.ANCHORARRAY( $W$5), 0))
    *
    INDEX($AN$5:$AN$77, MATCH($A150,_xlfn.ANCHORARRAY( $W$5), 0))
)</f>
        <v>0.82776960563774404</v>
      </c>
      <c r="AO150" s="17" cm="1">
        <f t="array" ref="AO150">MMULT(
    MMULT(
        INDEX($X$5:$AM$77, MATCH(AO$100,_xlfn.ANCHORARRAY( $W$5), 0), 0),
        $F$5:$U$20
    ),
    TRANSPOSE(
        INDEX($X$5:$AM$77, MATCH($A150,_xlfn.ANCHORARRAY( $W$5), 0), 0)
    )
)
/
(
    INDEX($AN$5:$AN$77, MATCH(AO$100,_xlfn.ANCHORARRAY( $W$5), 0))
    *
    INDEX($AN$5:$AN$77, MATCH($A150,_xlfn.ANCHORARRAY( $W$5), 0))
)</f>
        <v>0.50770950678346849</v>
      </c>
      <c r="AP150" s="17" cm="1">
        <f t="array" ref="AP150">MMULT(
    MMULT(
        INDEX($X$5:$AM$77, MATCH(AP$100,_xlfn.ANCHORARRAY( $W$5), 0), 0),
        $F$5:$U$20
    ),
    TRANSPOSE(
        INDEX($X$5:$AM$77, MATCH($A150,_xlfn.ANCHORARRAY( $W$5), 0), 0)
    )
)
/
(
    INDEX($AN$5:$AN$77, MATCH(AP$100,_xlfn.ANCHORARRAY( $W$5), 0))
    *
    INDEX($AN$5:$AN$77, MATCH($A150,_xlfn.ANCHORARRAY( $W$5), 0))
)</f>
        <v>0.88492874944743238</v>
      </c>
      <c r="AQ150" s="17" cm="1">
        <f t="array" ref="AQ150">MMULT(
    MMULT(
        INDEX($X$5:$AM$77, MATCH(AQ$100,_xlfn.ANCHORARRAY( $W$5), 0), 0),
        $F$5:$U$20
    ),
    TRANSPOSE(
        INDEX($X$5:$AM$77, MATCH($A150,_xlfn.ANCHORARRAY( $W$5), 0), 0)
    )
)
/
(
    INDEX($AN$5:$AN$77, MATCH(AQ$100,_xlfn.ANCHORARRAY( $W$5), 0))
    *
    INDEX($AN$5:$AN$77, MATCH($A150,_xlfn.ANCHORARRAY( $W$5), 0))
)</f>
        <v>0.58044693304822026</v>
      </c>
      <c r="AR150" s="17" cm="1">
        <f t="array" ref="AR150">MMULT(
    MMULT(
        INDEX($X$5:$AM$77, MATCH(AR$100,_xlfn.ANCHORARRAY( $W$5), 0), 0),
        $F$5:$U$20
    ),
    TRANSPOSE(
        INDEX($X$5:$AM$77, MATCH($A150,_xlfn.ANCHORARRAY( $W$5), 0), 0)
    )
)
/
(
    INDEX($AN$5:$AN$77, MATCH(AR$100,_xlfn.ANCHORARRAY( $W$5), 0))
    *
    INDEX($AN$5:$AN$77, MATCH($A150,_xlfn.ANCHORARRAY( $W$5), 0))
)</f>
        <v>0.58528824671795188</v>
      </c>
      <c r="AS150" s="17" cm="1">
        <f t="array" ref="AS150">MMULT(
    MMULT(
        INDEX($X$5:$AM$77, MATCH(AS$100,_xlfn.ANCHORARRAY( $W$5), 0), 0),
        $F$5:$U$20
    ),
    TRANSPOSE(
        INDEX($X$5:$AM$77, MATCH($A150,_xlfn.ANCHORARRAY( $W$5), 0), 0)
    )
)
/
(
    INDEX($AN$5:$AN$77, MATCH(AS$100,_xlfn.ANCHORARRAY( $W$5), 0))
    *
    INDEX($AN$5:$AN$77, MATCH($A150,_xlfn.ANCHORARRAY( $W$5), 0))
)</f>
        <v>0.74487233930823471</v>
      </c>
      <c r="AT150" s="17" cm="1">
        <f t="array" ref="AT150">MMULT(
    MMULT(
        INDEX($X$5:$AM$77, MATCH(AT$100,_xlfn.ANCHORARRAY( $W$5), 0), 0),
        $F$5:$U$20
    ),
    TRANSPOSE(
        INDEX($X$5:$AM$77, MATCH($A150,_xlfn.ANCHORARRAY( $W$5), 0), 0)
    )
)
/
(
    INDEX($AN$5:$AN$77, MATCH(AT$100,_xlfn.ANCHORARRAY( $W$5), 0))
    *
    INDEX($AN$5:$AN$77, MATCH($A150,_xlfn.ANCHORARRAY( $W$5), 0))
)</f>
        <v>0.82461681367570072</v>
      </c>
      <c r="AU150" s="17" cm="1">
        <f t="array" ref="AU150">MMULT(
    MMULT(
        INDEX($X$5:$AM$77, MATCH(AU$100,_xlfn.ANCHORARRAY( $W$5), 0), 0),
        $F$5:$U$20
    ),
    TRANSPOSE(
        INDEX($X$5:$AM$77, MATCH($A150,_xlfn.ANCHORARRAY( $W$5), 0), 0)
    )
)
/
(
    INDEX($AN$5:$AN$77, MATCH(AU$100,_xlfn.ANCHORARRAY( $W$5), 0))
    *
    INDEX($AN$5:$AN$77, MATCH($A150,_xlfn.ANCHORARRAY( $W$5), 0))
)</f>
        <v>0.66789366789256377</v>
      </c>
      <c r="AV150" s="17" cm="1">
        <f t="array" ref="AV150">MMULT(
    MMULT(
        INDEX($X$5:$AM$77, MATCH(AV$100,_xlfn.ANCHORARRAY( $W$5), 0), 0),
        $F$5:$U$20
    ),
    TRANSPOSE(
        INDEX($X$5:$AM$77, MATCH($A150,_xlfn.ANCHORARRAY( $W$5), 0), 0)
    )
)
/
(
    INDEX($AN$5:$AN$77, MATCH(AV$100,_xlfn.ANCHORARRAY( $W$5), 0))
    *
    INDEX($AN$5:$AN$77, MATCH($A150,_xlfn.ANCHORARRAY( $W$5), 0))
)</f>
        <v>0.56001028092406357</v>
      </c>
      <c r="AW150" s="17" cm="1">
        <f t="array" ref="AW150">MMULT(
    MMULT(
        INDEX($X$5:$AM$77, MATCH(AW$100,_xlfn.ANCHORARRAY( $W$5), 0), 0),
        $F$5:$U$20
    ),
    TRANSPOSE(
        INDEX($X$5:$AM$77, MATCH($A150,_xlfn.ANCHORARRAY( $W$5), 0), 0)
    )
)
/
(
    INDEX($AN$5:$AN$77, MATCH(AW$100,_xlfn.ANCHORARRAY( $W$5), 0))
    *
    INDEX($AN$5:$AN$77, MATCH($A150,_xlfn.ANCHORARRAY( $W$5), 0))
)</f>
        <v>0.7571211957589179</v>
      </c>
      <c r="AX150" s="17" cm="1">
        <f t="array" ref="AX150">MMULT(
    MMULT(
        INDEX($X$5:$AM$77, MATCH(AX$100,_xlfn.ANCHORARRAY( $W$5), 0), 0),
        $F$5:$U$20
    ),
    TRANSPOSE(
        INDEX($X$5:$AM$77, MATCH($A150,_xlfn.ANCHORARRAY( $W$5), 0), 0)
    )
)
/
(
    INDEX($AN$5:$AN$77, MATCH(AX$100,_xlfn.ANCHORARRAY( $W$5), 0))
    *
    INDEX($AN$5:$AN$77, MATCH($A150,_xlfn.ANCHORARRAY( $W$5), 0))
)</f>
        <v>0.42703676119382511</v>
      </c>
      <c r="AY150" s="17" cm="1">
        <f t="array" ref="AY150">MMULT(
    MMULT(
        INDEX($X$5:$AM$77, MATCH(AY$100,_xlfn.ANCHORARRAY( $W$5), 0), 0),
        $F$5:$U$20
    ),
    TRANSPOSE(
        INDEX($X$5:$AM$77, MATCH($A150,_xlfn.ANCHORARRAY( $W$5), 0), 0)
    )
)
/
(
    INDEX($AN$5:$AN$77, MATCH(AY$100,_xlfn.ANCHORARRAY( $W$5), 0))
    *
    INDEX($AN$5:$AN$77, MATCH($A150,_xlfn.ANCHORARRAY( $W$5), 0))
)</f>
        <v>1.0000000000000002</v>
      </c>
      <c r="AZ150" s="17" cm="1">
        <f t="array" ref="AZ150">MMULT(
    MMULT(
        INDEX($X$5:$AM$77, MATCH(AZ$100,_xlfn.ANCHORARRAY( $W$5), 0), 0),
        $F$5:$U$20
    ),
    TRANSPOSE(
        INDEX($X$5:$AM$77, MATCH($A150,_xlfn.ANCHORARRAY( $W$5), 0), 0)
    )
)
/
(
    INDEX($AN$5:$AN$77, MATCH(AZ$100,_xlfn.ANCHORARRAY( $W$5), 0))
    *
    INDEX($AN$5:$AN$77, MATCH($A150,_xlfn.ANCHORARRAY( $W$5), 0))
)</f>
        <v>0.58674542613820135</v>
      </c>
      <c r="BA150" s="17" cm="1">
        <f t="array" ref="BA150">MMULT(
    MMULT(
        INDEX($X$5:$AM$77, MATCH(BA$100,_xlfn.ANCHORARRAY( $W$5), 0), 0),
        $F$5:$U$20
    ),
    TRANSPOSE(
        INDEX($X$5:$AM$77, MATCH($A150,_xlfn.ANCHORARRAY( $W$5), 0), 0)
    )
)
/
(
    INDEX($AN$5:$AN$77, MATCH(BA$100,_xlfn.ANCHORARRAY( $W$5), 0))
    *
    INDEX($AN$5:$AN$77, MATCH($A150,_xlfn.ANCHORARRAY( $W$5), 0))
)</f>
        <v>0.5838887142905187</v>
      </c>
      <c r="BB150" s="17" cm="1">
        <f t="array" ref="BB150">MMULT(
    MMULT(
        INDEX($X$5:$AM$77, MATCH(BB$100,_xlfn.ANCHORARRAY( $W$5), 0), 0),
        $F$5:$U$20
    ),
    TRANSPOSE(
        INDEX($X$5:$AM$77, MATCH($A150,_xlfn.ANCHORARRAY( $W$5), 0), 0)
    )
)
/
(
    INDEX($AN$5:$AN$77, MATCH(BB$100,_xlfn.ANCHORARRAY( $W$5), 0))
    *
    INDEX($AN$5:$AN$77, MATCH($A150,_xlfn.ANCHORARRAY( $W$5), 0))
)</f>
        <v>0.47689286243264817</v>
      </c>
      <c r="BC150" s="17" cm="1">
        <f t="array" ref="BC150">MMULT(
    MMULT(
        INDEX($X$5:$AM$77, MATCH(BC$100,_xlfn.ANCHORARRAY( $W$5), 0), 0),
        $F$5:$U$20
    ),
    TRANSPOSE(
        INDEX($X$5:$AM$77, MATCH($A150,_xlfn.ANCHORARRAY( $W$5), 0), 0)
    )
)
/
(
    INDEX($AN$5:$AN$77, MATCH(BC$100,_xlfn.ANCHORARRAY( $W$5), 0))
    *
    INDEX($AN$5:$AN$77, MATCH($A150,_xlfn.ANCHORARRAY( $W$5), 0))
)</f>
        <v>0.79879336874750118</v>
      </c>
      <c r="BD150" s="17" cm="1">
        <f t="array" ref="BD150">MMULT(
    MMULT(
        INDEX($X$5:$AM$77, MATCH(BD$100,_xlfn.ANCHORARRAY( $W$5), 0), 0),
        $F$5:$U$20
    ),
    TRANSPOSE(
        INDEX($X$5:$AM$77, MATCH($A150,_xlfn.ANCHORARRAY( $W$5), 0), 0)
    )
)
/
(
    INDEX($AN$5:$AN$77, MATCH(BD$100,_xlfn.ANCHORARRAY( $W$5), 0))
    *
    INDEX($AN$5:$AN$77, MATCH($A150,_xlfn.ANCHORARRAY( $W$5), 0))
)</f>
        <v>0.45030258995336414</v>
      </c>
      <c r="BE150" s="17" cm="1">
        <f t="array" ref="BE150">MMULT(
    MMULT(
        INDEX($X$5:$AM$77, MATCH(BE$100,_xlfn.ANCHORARRAY( $W$5), 0), 0),
        $F$5:$U$20
    ),
    TRANSPOSE(
        INDEX($X$5:$AM$77, MATCH($A150,_xlfn.ANCHORARRAY( $W$5), 0), 0)
    )
)
/
(
    INDEX($AN$5:$AN$77, MATCH(BE$100,_xlfn.ANCHORARRAY( $W$5), 0))
    *
    INDEX($AN$5:$AN$77, MATCH($A150,_xlfn.ANCHORARRAY( $W$5), 0))
)</f>
        <v>0.60676840959577927</v>
      </c>
      <c r="BF150" s="17" cm="1">
        <f t="array" ref="BF150">MMULT(
    MMULT(
        INDEX($X$5:$AM$77, MATCH(BF$100,_xlfn.ANCHORARRAY( $W$5), 0), 0),
        $F$5:$U$20
    ),
    TRANSPOSE(
        INDEX($X$5:$AM$77, MATCH($A150,_xlfn.ANCHORARRAY( $W$5), 0), 0)
    )
)
/
(
    INDEX($AN$5:$AN$77, MATCH(BF$100,_xlfn.ANCHORARRAY( $W$5), 0))
    *
    INDEX($AN$5:$AN$77, MATCH($A150,_xlfn.ANCHORARRAY( $W$5), 0))
)</f>
        <v>0.58429877306587874</v>
      </c>
      <c r="BG150" s="17" cm="1">
        <f t="array" ref="BG150">MMULT(
    MMULT(
        INDEX($X$5:$AM$77, MATCH(BG$100,_xlfn.ANCHORARRAY( $W$5), 0), 0),
        $F$5:$U$20
    ),
    TRANSPOSE(
        INDEX($X$5:$AM$77, MATCH($A150,_xlfn.ANCHORARRAY( $W$5), 0), 0)
    )
)
/
(
    INDEX($AN$5:$AN$77, MATCH(BG$100,_xlfn.ANCHORARRAY( $W$5), 0))
    *
    INDEX($AN$5:$AN$77, MATCH($A150,_xlfn.ANCHORARRAY( $W$5), 0))
)</f>
        <v>0.66840898910701518</v>
      </c>
      <c r="BH150" s="17" cm="1">
        <f t="array" ref="BH150">MMULT(
    MMULT(
        INDEX($X$5:$AM$77, MATCH(BH$100,_xlfn.ANCHORARRAY( $W$5), 0), 0),
        $F$5:$U$20
    ),
    TRANSPOSE(
        INDEX($X$5:$AM$77, MATCH($A150,_xlfn.ANCHORARRAY( $W$5), 0), 0)
    )
)
/
(
    INDEX($AN$5:$AN$77, MATCH(BH$100,_xlfn.ANCHORARRAY( $W$5), 0))
    *
    INDEX($AN$5:$AN$77, MATCH($A150,_xlfn.ANCHORARRAY( $W$5), 0))
)</f>
        <v>0.6930094830872946</v>
      </c>
      <c r="BI150" s="17" cm="1">
        <f t="array" ref="BI150">MMULT(
    MMULT(
        INDEX($X$5:$AM$77, MATCH(BI$100,_xlfn.ANCHORARRAY( $W$5), 0), 0),
        $F$5:$U$20
    ),
    TRANSPOSE(
        INDEX($X$5:$AM$77, MATCH($A150,_xlfn.ANCHORARRAY( $W$5), 0), 0)
    )
)
/
(
    INDEX($AN$5:$AN$77, MATCH(BI$100,_xlfn.ANCHORARRAY( $W$5), 0))
    *
    INDEX($AN$5:$AN$77, MATCH($A150,_xlfn.ANCHORARRAY( $W$5), 0))
)</f>
        <v>0.86085933840775464</v>
      </c>
      <c r="BJ150" s="17" cm="1">
        <f t="array" ref="BJ150">MMULT(
    MMULT(
        INDEX($X$5:$AM$77, MATCH(BJ$100,_xlfn.ANCHORARRAY( $W$5), 0), 0),
        $F$5:$U$20
    ),
    TRANSPOSE(
        INDEX($X$5:$AM$77, MATCH($A150,_xlfn.ANCHORARRAY( $W$5), 0), 0)
    )
)
/
(
    INDEX($AN$5:$AN$77, MATCH(BJ$100,_xlfn.ANCHORARRAY( $W$5), 0))
    *
    INDEX($AN$5:$AN$77, MATCH($A150,_xlfn.ANCHORARRAY( $W$5), 0))
)</f>
        <v>0.66133574300128528</v>
      </c>
      <c r="BK150" s="17" cm="1">
        <f t="array" ref="BK150">MMULT(
    MMULT(
        INDEX($X$5:$AM$77, MATCH(BK$100,_xlfn.ANCHORARRAY( $W$5), 0), 0),
        $F$5:$U$20
    ),
    TRANSPOSE(
        INDEX($X$5:$AM$77, MATCH($A150,_xlfn.ANCHORARRAY( $W$5), 0), 0)
    )
)
/
(
    INDEX($AN$5:$AN$77, MATCH(BK$100,_xlfn.ANCHORARRAY( $W$5), 0))
    *
    INDEX($AN$5:$AN$77, MATCH($A150,_xlfn.ANCHORARRAY( $W$5), 0))
)</f>
        <v>0.51200328226083636</v>
      </c>
      <c r="BL150" s="17" cm="1">
        <f t="array" ref="BL150">MMULT(
    MMULT(
        INDEX($X$5:$AM$77, MATCH(BL$100,_xlfn.ANCHORARRAY( $W$5), 0), 0),
        $F$5:$U$20
    ),
    TRANSPOSE(
        INDEX($X$5:$AM$77, MATCH($A150,_xlfn.ANCHORARRAY( $W$5), 0), 0)
    )
)
/
(
    INDEX($AN$5:$AN$77, MATCH(BL$100,_xlfn.ANCHORARRAY( $W$5), 0))
    *
    INDEX($AN$5:$AN$77, MATCH($A150,_xlfn.ANCHORARRAY( $W$5), 0))
)</f>
        <v>0.22668382437761281</v>
      </c>
      <c r="BM150" s="17" cm="1">
        <f t="array" ref="BM150">MMULT(
    MMULT(
        INDEX($X$5:$AM$77, MATCH(BM$100,_xlfn.ANCHORARRAY( $W$5), 0), 0),
        $F$5:$U$20
    ),
    TRANSPOSE(
        INDEX($X$5:$AM$77, MATCH($A150,_xlfn.ANCHORARRAY( $W$5), 0), 0)
    )
)
/
(
    INDEX($AN$5:$AN$77, MATCH(BM$100,_xlfn.ANCHORARRAY( $W$5), 0))
    *
    INDEX($AN$5:$AN$77, MATCH($A150,_xlfn.ANCHORARRAY( $W$5), 0))
)</f>
        <v>0.42953685878978037</v>
      </c>
      <c r="BN150" s="17" cm="1">
        <f t="array" ref="BN150">MMULT(
    MMULT(
        INDEX($X$5:$AM$77, MATCH(BN$100,_xlfn.ANCHORARRAY( $W$5), 0), 0),
        $F$5:$U$20
    ),
    TRANSPOSE(
        INDEX($X$5:$AM$77, MATCH($A150,_xlfn.ANCHORARRAY( $W$5), 0), 0)
    )
)
/
(
    INDEX($AN$5:$AN$77, MATCH(BN$100,_xlfn.ANCHORARRAY( $W$5), 0))
    *
    INDEX($AN$5:$AN$77, MATCH($A150,_xlfn.ANCHORARRAY( $W$5), 0))
)</f>
        <v>0.62352057654217841</v>
      </c>
      <c r="BO150" s="17" cm="1">
        <f t="array" ref="BO150">MMULT(
    MMULT(
        INDEX($X$5:$AM$77, MATCH(BO$100,_xlfn.ANCHORARRAY( $W$5), 0), 0),
        $F$5:$U$20
    ),
    TRANSPOSE(
        INDEX($X$5:$AM$77, MATCH($A150,_xlfn.ANCHORARRAY( $W$5), 0), 0)
    )
)
/
(
    INDEX($AN$5:$AN$77, MATCH(BO$100,_xlfn.ANCHORARRAY( $W$5), 0))
    *
    INDEX($AN$5:$AN$77, MATCH($A150,_xlfn.ANCHORARRAY( $W$5), 0))
)</f>
        <v>0.80932902336468771</v>
      </c>
      <c r="BP150" s="17" cm="1">
        <f t="array" ref="BP150">MMULT(
    MMULT(
        INDEX($X$5:$AM$77, MATCH(BP$100,_xlfn.ANCHORARRAY( $W$5), 0), 0),
        $F$5:$U$20
    ),
    TRANSPOSE(
        INDEX($X$5:$AM$77, MATCH($A150,_xlfn.ANCHORARRAY( $W$5), 0), 0)
    )
)
/
(
    INDEX($AN$5:$AN$77, MATCH(BP$100,_xlfn.ANCHORARRAY( $W$5), 0))
    *
    INDEX($AN$5:$AN$77, MATCH($A150,_xlfn.ANCHORARRAY( $W$5), 0))
)</f>
        <v>0.64628328515332434</v>
      </c>
      <c r="BQ150" s="17" cm="1">
        <f t="array" ref="BQ150">MMULT(
    MMULT(
        INDEX($X$5:$AM$77, MATCH(BQ$100,_xlfn.ANCHORARRAY( $W$5), 0), 0),
        $F$5:$U$20
    ),
    TRANSPOSE(
        INDEX($X$5:$AM$77, MATCH($A150,_xlfn.ANCHORARRAY( $W$5), 0), 0)
    )
)
/
(
    INDEX($AN$5:$AN$77, MATCH(BQ$100,_xlfn.ANCHORARRAY( $W$5), 0))
    *
    INDEX($AN$5:$AN$77, MATCH($A150,_xlfn.ANCHORARRAY( $W$5), 0))
)</f>
        <v>0.42258437391750325</v>
      </c>
      <c r="BR150" s="17" cm="1">
        <f t="array" ref="BR150">MMULT(
    MMULT(
        INDEX($X$5:$AM$77, MATCH(BR$100,_xlfn.ANCHORARRAY( $W$5), 0), 0),
        $F$5:$U$20
    ),
    TRANSPOSE(
        INDEX($X$5:$AM$77, MATCH($A150,_xlfn.ANCHORARRAY( $W$5), 0), 0)
    )
)
/
(
    INDEX($AN$5:$AN$77, MATCH(BR$100,_xlfn.ANCHORARRAY( $W$5), 0))
    *
    INDEX($AN$5:$AN$77, MATCH($A150,_xlfn.ANCHORARRAY( $W$5), 0))
)</f>
        <v>0.75333727167322895</v>
      </c>
      <c r="BS150" s="17" cm="1">
        <f t="array" ref="BS150">MMULT(
    MMULT(
        INDEX($X$5:$AM$77, MATCH(BS$100,_xlfn.ANCHORARRAY( $W$5), 0), 0),
        $F$5:$U$20
    ),
    TRANSPOSE(
        INDEX($X$5:$AM$77, MATCH($A150,_xlfn.ANCHORARRAY( $W$5), 0), 0)
    )
)
/
(
    INDEX($AN$5:$AN$77, MATCH(BS$100,_xlfn.ANCHORARRAY( $W$5), 0))
    *
    INDEX($AN$5:$AN$77, MATCH($A150,_xlfn.ANCHORARRAY( $W$5), 0))
)</f>
        <v>0.72719699927420633</v>
      </c>
      <c r="BT150" s="17" cm="1">
        <f t="array" ref="BT150">MMULT(
    MMULT(
        INDEX($X$5:$AM$77, MATCH(BT$100,_xlfn.ANCHORARRAY( $W$5), 0), 0),
        $F$5:$U$20
    ),
    TRANSPOSE(
        INDEX($X$5:$AM$77, MATCH($A150,_xlfn.ANCHORARRAY( $W$5), 0), 0)
    )
)
/
(
    INDEX($AN$5:$AN$77, MATCH(BT$100,_xlfn.ANCHORARRAY( $W$5), 0))
    *
    INDEX($AN$5:$AN$77, MATCH($A150,_xlfn.ANCHORARRAY( $W$5), 0))
)</f>
        <v>0.64969124633604802</v>
      </c>
      <c r="BU150" s="17" cm="1">
        <f t="array" ref="BU150">MMULT(
    MMULT(
        INDEX($X$5:$AM$77, MATCH(BU$100,_xlfn.ANCHORARRAY( $W$5), 0), 0),
        $F$5:$U$20
    ),
    TRANSPOSE(
        INDEX($X$5:$AM$77, MATCH($A150,_xlfn.ANCHORARRAY( $W$5), 0), 0)
    )
)
/
(
    INDEX($AN$5:$AN$77, MATCH(BU$100,_xlfn.ANCHORARRAY( $W$5), 0))
    *
    INDEX($AN$5:$AN$77, MATCH($A150,_xlfn.ANCHORARRAY( $W$5), 0))
)</f>
        <v>0.68107711184744746</v>
      </c>
      <c r="BV150" s="17" cm="1">
        <f t="array" ref="BV150">MMULT(
    MMULT(
        INDEX($X$5:$AM$77, MATCH(BV$100,_xlfn.ANCHORARRAY( $W$5), 0), 0),
        $F$5:$U$20
    ),
    TRANSPOSE(
        INDEX($X$5:$AM$77, MATCH($A150,_xlfn.ANCHORARRAY( $W$5), 0), 0)
    )
)
/
(
    INDEX($AN$5:$AN$77, MATCH(BV$100,_xlfn.ANCHORARRAY( $W$5), 0))
    *
    INDEX($AN$5:$AN$77, MATCH($A150,_xlfn.ANCHORARRAY( $W$5), 0))
)</f>
        <v>0.84185973589551744</v>
      </c>
    </row>
    <row r="151" spans="1:74" x14ac:dyDescent="0.3">
      <c r="A151" s="7" t="str">
        <v>Sobotka, Chad</v>
      </c>
      <c r="B151" s="17" cm="1">
        <f t="array" ref="B151">MMULT(
    MMULT(
        INDEX($X$5:$AM$77, MATCH(B$100,_xlfn.ANCHORARRAY( $W$5), 0), 0),
        $F$5:$U$20
    ),
    TRANSPOSE(
        INDEX($X$5:$AM$77, MATCH($A151,_xlfn.ANCHORARRAY( $W$5), 0), 0)
    )
)
/
(
    INDEX($AN$5:$AN$77, MATCH(B$100,_xlfn.ANCHORARRAY( $W$5), 0))
    *
    INDEX($AN$5:$AN$77, MATCH($A151,_xlfn.ANCHORARRAY( $W$5), 0))
)</f>
        <v>0.84255193004503814</v>
      </c>
      <c r="C151" s="17" cm="1">
        <f t="array" ref="C151">MMULT(
    MMULT(
        INDEX($X$5:$AM$77, MATCH(C$100,_xlfn.ANCHORARRAY( $W$5), 0), 0),
        $F$5:$U$20
    ),
    TRANSPOSE(
        INDEX($X$5:$AM$77, MATCH($A151,_xlfn.ANCHORARRAY( $W$5), 0), 0)
    )
)
/
(
    INDEX($AN$5:$AN$77, MATCH(C$100,_xlfn.ANCHORARRAY( $W$5), 0))
    *
    INDEX($AN$5:$AN$77, MATCH($A151,_xlfn.ANCHORARRAY( $W$5), 0))
)</f>
        <v>0.58715090568474215</v>
      </c>
      <c r="D151" s="17" cm="1">
        <f t="array" ref="D151">MMULT(
    MMULT(
        INDEX($X$5:$AM$77, MATCH(D$100,_xlfn.ANCHORARRAY( $W$5), 0), 0),
        $F$5:$U$20
    ),
    TRANSPOSE(
        INDEX($X$5:$AM$77, MATCH($A151,_xlfn.ANCHORARRAY( $W$5), 0), 0)
    )
)
/
(
    INDEX($AN$5:$AN$77, MATCH(D$100,_xlfn.ANCHORARRAY( $W$5), 0))
    *
    INDEX($AN$5:$AN$77, MATCH($A151,_xlfn.ANCHORARRAY( $W$5), 0))
)</f>
        <v>0.98554855433176158</v>
      </c>
      <c r="E151" s="17" cm="1">
        <f t="array" ref="E151">MMULT(
    MMULT(
        INDEX($X$5:$AM$77, MATCH(E$100,_xlfn.ANCHORARRAY( $W$5), 0), 0),
        $F$5:$U$20
    ),
    TRANSPOSE(
        INDEX($X$5:$AM$77, MATCH($A151,_xlfn.ANCHORARRAY( $W$5), 0), 0)
    )
)
/
(
    INDEX($AN$5:$AN$77, MATCH(E$100,_xlfn.ANCHORARRAY( $W$5), 0))
    *
    INDEX($AN$5:$AN$77, MATCH($A151,_xlfn.ANCHORARRAY( $W$5), 0))
)</f>
        <v>0.8628916381134446</v>
      </c>
      <c r="F151" s="17" cm="1">
        <f t="array" ref="F151">MMULT(
    MMULT(
        INDEX($X$5:$AM$77, MATCH(F$100,_xlfn.ANCHORARRAY( $W$5), 0), 0),
        $F$5:$U$20
    ),
    TRANSPOSE(
        INDEX($X$5:$AM$77, MATCH($A151,_xlfn.ANCHORARRAY( $W$5), 0), 0)
    )
)
/
(
    INDEX($AN$5:$AN$77, MATCH(F$100,_xlfn.ANCHORARRAY( $W$5), 0))
    *
    INDEX($AN$5:$AN$77, MATCH($A151,_xlfn.ANCHORARRAY( $W$5), 0))
)</f>
        <v>0.97217724136715367</v>
      </c>
      <c r="G151" s="17" cm="1">
        <f t="array" ref="G151">MMULT(
    MMULT(
        INDEX($X$5:$AM$77, MATCH(G$100,_xlfn.ANCHORARRAY( $W$5), 0), 0),
        $F$5:$U$20
    ),
    TRANSPOSE(
        INDEX($X$5:$AM$77, MATCH($A151,_xlfn.ANCHORARRAY( $W$5), 0), 0)
    )
)
/
(
    INDEX($AN$5:$AN$77, MATCH(G$100,_xlfn.ANCHORARRAY( $W$5), 0))
    *
    INDEX($AN$5:$AN$77, MATCH($A151,_xlfn.ANCHORARRAY( $W$5), 0))
)</f>
        <v>0.63267234797843053</v>
      </c>
      <c r="H151" s="17" cm="1">
        <f t="array" ref="H151">MMULT(
    MMULT(
        INDEX($X$5:$AM$77, MATCH(H$100,_xlfn.ANCHORARRAY( $W$5), 0), 0),
        $F$5:$U$20
    ),
    TRANSPOSE(
        INDEX($X$5:$AM$77, MATCH($A151,_xlfn.ANCHORARRAY( $W$5), 0), 0)
    )
)
/
(
    INDEX($AN$5:$AN$77, MATCH(H$100,_xlfn.ANCHORARRAY( $W$5), 0))
    *
    INDEX($AN$5:$AN$77, MATCH($A151,_xlfn.ANCHORARRAY( $W$5), 0))
)</f>
        <v>0.73439773387655016</v>
      </c>
      <c r="I151" s="17" cm="1">
        <f t="array" ref="I151">MMULT(
    MMULT(
        INDEX($X$5:$AM$77, MATCH(I$100,_xlfn.ANCHORARRAY( $W$5), 0), 0),
        $F$5:$U$20
    ),
    TRANSPOSE(
        INDEX($X$5:$AM$77, MATCH($A151,_xlfn.ANCHORARRAY( $W$5), 0), 0)
    )
)
/
(
    INDEX($AN$5:$AN$77, MATCH(I$100,_xlfn.ANCHORARRAY( $W$5), 0))
    *
    INDEX($AN$5:$AN$77, MATCH($A151,_xlfn.ANCHORARRAY( $W$5), 0))
)</f>
        <v>0.67852259013890437</v>
      </c>
      <c r="J151" s="17" cm="1">
        <f t="array" ref="J151">MMULT(
    MMULT(
        INDEX($X$5:$AM$77, MATCH(J$100,_xlfn.ANCHORARRAY( $W$5), 0), 0),
        $F$5:$U$20
    ),
    TRANSPOSE(
        INDEX($X$5:$AM$77, MATCH($A151,_xlfn.ANCHORARRAY( $W$5), 0), 0)
    )
)
/
(
    INDEX($AN$5:$AN$77, MATCH(J$100,_xlfn.ANCHORARRAY( $W$5), 0))
    *
    INDEX($AN$5:$AN$77, MATCH($A151,_xlfn.ANCHORARRAY( $W$5), 0))
)</f>
        <v>0.881478307517365</v>
      </c>
      <c r="K151" s="17" cm="1">
        <f t="array" ref="K151">MMULT(
    MMULT(
        INDEX($X$5:$AM$77, MATCH(K$100,_xlfn.ANCHORARRAY( $W$5), 0), 0),
        $F$5:$U$20
    ),
    TRANSPOSE(
        INDEX($X$5:$AM$77, MATCH($A151,_xlfn.ANCHORARRAY( $W$5), 0), 0)
    )
)
/
(
    INDEX($AN$5:$AN$77, MATCH(K$100,_xlfn.ANCHORARRAY( $W$5), 0))
    *
    INDEX($AN$5:$AN$77, MATCH($A151,_xlfn.ANCHORARRAY( $W$5), 0))
)</f>
        <v>0.85615623343750957</v>
      </c>
      <c r="L151" s="17" cm="1">
        <f t="array" ref="L151">MMULT(
    MMULT(
        INDEX($X$5:$AM$77, MATCH(L$100,_xlfn.ANCHORARRAY( $W$5), 0), 0),
        $F$5:$U$20
    ),
    TRANSPOSE(
        INDEX($X$5:$AM$77, MATCH($A151,_xlfn.ANCHORARRAY( $W$5), 0), 0)
    )
)
/
(
    INDEX($AN$5:$AN$77, MATCH(L$100,_xlfn.ANCHORARRAY( $W$5), 0))
    *
    INDEX($AN$5:$AN$77, MATCH($A151,_xlfn.ANCHORARRAY( $W$5), 0))
)</f>
        <v>0.61681168830543254</v>
      </c>
      <c r="M151" s="17" cm="1">
        <f t="array" ref="M151">MMULT(
    MMULT(
        INDEX($X$5:$AM$77, MATCH(M$100,_xlfn.ANCHORARRAY( $W$5), 0), 0),
        $F$5:$U$20
    ),
    TRANSPOSE(
        INDEX($X$5:$AM$77, MATCH($A151,_xlfn.ANCHORARRAY( $W$5), 0), 0)
    )
)
/
(
    INDEX($AN$5:$AN$77, MATCH(M$100,_xlfn.ANCHORARRAY( $W$5), 0))
    *
    INDEX($AN$5:$AN$77, MATCH($A151,_xlfn.ANCHORARRAY( $W$5), 0))
)</f>
        <v>0.78739729053734697</v>
      </c>
      <c r="N151" s="17" cm="1">
        <f t="array" ref="N151">MMULT(
    MMULT(
        INDEX($X$5:$AM$77, MATCH(N$100,_xlfn.ANCHORARRAY( $W$5), 0), 0),
        $F$5:$U$20
    ),
    TRANSPOSE(
        INDEX($X$5:$AM$77, MATCH($A151,_xlfn.ANCHORARRAY( $W$5), 0), 0)
    )
)
/
(
    INDEX($AN$5:$AN$77, MATCH(N$100,_xlfn.ANCHORARRAY( $W$5), 0))
    *
    INDEX($AN$5:$AN$77, MATCH($A151,_xlfn.ANCHORARRAY( $W$5), 0))
)</f>
        <v>0.93442933070094725</v>
      </c>
      <c r="O151" s="17" cm="1">
        <f t="array" ref="O151">MMULT(
    MMULT(
        INDEX($X$5:$AM$77, MATCH(O$100,_xlfn.ANCHORARRAY( $W$5), 0), 0),
        $F$5:$U$20
    ),
    TRANSPOSE(
        INDEX($X$5:$AM$77, MATCH($A151,_xlfn.ANCHORARRAY( $W$5), 0), 0)
    )
)
/
(
    INDEX($AN$5:$AN$77, MATCH(O$100,_xlfn.ANCHORARRAY( $W$5), 0))
    *
    INDEX($AN$5:$AN$77, MATCH($A151,_xlfn.ANCHORARRAY( $W$5), 0))
)</f>
        <v>0.93494671405422314</v>
      </c>
      <c r="P151" s="17" cm="1">
        <f t="array" ref="P151">MMULT(
    MMULT(
        INDEX($X$5:$AM$77, MATCH(P$100,_xlfn.ANCHORARRAY( $W$5), 0), 0),
        $F$5:$U$20
    ),
    TRANSPOSE(
        INDEX($X$5:$AM$77, MATCH($A151,_xlfn.ANCHORARRAY( $W$5), 0), 0)
    )
)
/
(
    INDEX($AN$5:$AN$77, MATCH(P$100,_xlfn.ANCHORARRAY( $W$5), 0))
    *
    INDEX($AN$5:$AN$77, MATCH($A151,_xlfn.ANCHORARRAY( $W$5), 0))
)</f>
        <v>0.94410594091137834</v>
      </c>
      <c r="Q151" s="17" cm="1">
        <f t="array" ref="Q151">MMULT(
    MMULT(
        INDEX($X$5:$AM$77, MATCH(Q$100,_xlfn.ANCHORARRAY( $W$5), 0), 0),
        $F$5:$U$20
    ),
    TRANSPOSE(
        INDEX($X$5:$AM$77, MATCH($A151,_xlfn.ANCHORARRAY( $W$5), 0), 0)
    )
)
/
(
    INDEX($AN$5:$AN$77, MATCH(Q$100,_xlfn.ANCHORARRAY( $W$5), 0))
    *
    INDEX($AN$5:$AN$77, MATCH($A151,_xlfn.ANCHORARRAY( $W$5), 0))
)</f>
        <v>0.65207704209004103</v>
      </c>
      <c r="R151" s="17" cm="1">
        <f t="array" ref="R151">MMULT(
    MMULT(
        INDEX($X$5:$AM$77, MATCH(R$100,_xlfn.ANCHORARRAY( $W$5), 0), 0),
        $F$5:$U$20
    ),
    TRANSPOSE(
        INDEX($X$5:$AM$77, MATCH($A151,_xlfn.ANCHORARRAY( $W$5), 0), 0)
    )
)
/
(
    INDEX($AN$5:$AN$77, MATCH(R$100,_xlfn.ANCHORARRAY( $W$5), 0))
    *
    INDEX($AN$5:$AN$77, MATCH($A151,_xlfn.ANCHORARRAY( $W$5), 0))
)</f>
        <v>0.95246811013200616</v>
      </c>
      <c r="S151" s="17" cm="1">
        <f t="array" ref="S151">MMULT(
    MMULT(
        INDEX($X$5:$AM$77, MATCH(S$100,_xlfn.ANCHORARRAY( $W$5), 0), 0),
        $F$5:$U$20
    ),
    TRANSPOSE(
        INDEX($X$5:$AM$77, MATCH($A151,_xlfn.ANCHORARRAY( $W$5), 0), 0)
    )
)
/
(
    INDEX($AN$5:$AN$77, MATCH(S$100,_xlfn.ANCHORARRAY( $W$5), 0))
    *
    INDEX($AN$5:$AN$77, MATCH($A151,_xlfn.ANCHORARRAY( $W$5), 0))
)</f>
        <v>0.81109338653906127</v>
      </c>
      <c r="T151" s="17" cm="1">
        <f t="array" ref="T151">MMULT(
    MMULT(
        INDEX($X$5:$AM$77, MATCH(T$100,_xlfn.ANCHORARRAY( $W$5), 0), 0),
        $F$5:$U$20
    ),
    TRANSPOSE(
        INDEX($X$5:$AM$77, MATCH($A151,_xlfn.ANCHORARRAY( $W$5), 0), 0)
    )
)
/
(
    INDEX($AN$5:$AN$77, MATCH(T$100,_xlfn.ANCHORARRAY( $W$5), 0))
    *
    INDEX($AN$5:$AN$77, MATCH($A151,_xlfn.ANCHORARRAY( $W$5), 0))
)</f>
        <v>0.28132223224078601</v>
      </c>
      <c r="U151" s="17" cm="1">
        <f t="array" ref="U151">MMULT(
    MMULT(
        INDEX($X$5:$AM$77, MATCH(U$100,_xlfn.ANCHORARRAY( $W$5), 0), 0),
        $F$5:$U$20
    ),
    TRANSPOSE(
        INDEX($X$5:$AM$77, MATCH($A151,_xlfn.ANCHORARRAY( $W$5), 0), 0)
    )
)
/
(
    INDEX($AN$5:$AN$77, MATCH(U$100,_xlfn.ANCHORARRAY( $W$5), 0))
    *
    INDEX($AN$5:$AN$77, MATCH($A151,_xlfn.ANCHORARRAY( $W$5), 0))
)</f>
        <v>0.97002404632632178</v>
      </c>
      <c r="V151" s="17" cm="1">
        <f t="array" ref="V151">MMULT(
    MMULT(
        INDEX($X$5:$AM$77, MATCH(V$100,_xlfn.ANCHORARRAY( $W$5), 0), 0),
        $F$5:$U$20
    ),
    TRANSPOSE(
        INDEX($X$5:$AM$77, MATCH($A151,_xlfn.ANCHORARRAY( $W$5), 0), 0)
    )
)
/
(
    INDEX($AN$5:$AN$77, MATCH(V$100,_xlfn.ANCHORARRAY( $W$5), 0))
    *
    INDEX($AN$5:$AN$77, MATCH($A151,_xlfn.ANCHORARRAY( $W$5), 0))
)</f>
        <v>0.47135950099801782</v>
      </c>
      <c r="W151" s="17" cm="1">
        <f t="array" ref="W151">MMULT(
    MMULT(
        INDEX($X$5:$AM$77, MATCH(W$100,_xlfn.ANCHORARRAY( $W$5), 0), 0),
        $F$5:$U$20
    ),
    TRANSPOSE(
        INDEX($X$5:$AM$77, MATCH($A151,_xlfn.ANCHORARRAY( $W$5), 0), 0)
    )
)
/
(
    INDEX($AN$5:$AN$77, MATCH(W$100,_xlfn.ANCHORARRAY( $W$5), 0))
    *
    INDEX($AN$5:$AN$77, MATCH($A151,_xlfn.ANCHORARRAY( $W$5), 0))
)</f>
        <v>0.71106370984683975</v>
      </c>
      <c r="X151" s="17" cm="1">
        <f t="array" ref="X151">MMULT(
    MMULT(
        INDEX($X$5:$AM$77, MATCH(X$100,_xlfn.ANCHORARRAY( $W$5), 0), 0),
        $F$5:$U$20
    ),
    TRANSPOSE(
        INDEX($X$5:$AM$77, MATCH($A151,_xlfn.ANCHORARRAY( $W$5), 0), 0)
    )
)
/
(
    INDEX($AN$5:$AN$77, MATCH(X$100,_xlfn.ANCHORARRAY( $W$5), 0))
    *
    INDEX($AN$5:$AN$77, MATCH($A151,_xlfn.ANCHORARRAY( $W$5), 0))
)</f>
        <v>0.98196882407464403</v>
      </c>
      <c r="Y151" s="17" cm="1">
        <f t="array" ref="Y151">MMULT(
    MMULT(
        INDEX($X$5:$AM$77, MATCH(Y$100,_xlfn.ANCHORARRAY( $W$5), 0), 0),
        $F$5:$U$20
    ),
    TRANSPOSE(
        INDEX($X$5:$AM$77, MATCH($A151,_xlfn.ANCHORARRAY( $W$5), 0), 0)
    )
)
/
(
    INDEX($AN$5:$AN$77, MATCH(Y$100,_xlfn.ANCHORARRAY( $W$5), 0))
    *
    INDEX($AN$5:$AN$77, MATCH($A151,_xlfn.ANCHORARRAY( $W$5), 0))
)</f>
        <v>0.57950179766341747</v>
      </c>
      <c r="Z151" s="17" cm="1">
        <f t="array" ref="Z151">MMULT(
    MMULT(
        INDEX($X$5:$AM$77, MATCH(Z$100,_xlfn.ANCHORARRAY( $W$5), 0), 0),
        $F$5:$U$20
    ),
    TRANSPOSE(
        INDEX($X$5:$AM$77, MATCH($A151,_xlfn.ANCHORARRAY( $W$5), 0), 0)
    )
)
/
(
    INDEX($AN$5:$AN$77, MATCH(Z$100,_xlfn.ANCHORARRAY( $W$5), 0))
    *
    INDEX($AN$5:$AN$77, MATCH($A151,_xlfn.ANCHORARRAY( $W$5), 0))
)</f>
        <v>0.9965802130578002</v>
      </c>
      <c r="AA151" s="17" cm="1">
        <f t="array" ref="AA151">MMULT(
    MMULT(
        INDEX($X$5:$AM$77, MATCH(AA$100,_xlfn.ANCHORARRAY( $W$5), 0), 0),
        $F$5:$U$20
    ),
    TRANSPOSE(
        INDEX($X$5:$AM$77, MATCH($A151,_xlfn.ANCHORARRAY( $W$5), 0), 0)
    )
)
/
(
    INDEX($AN$5:$AN$77, MATCH(AA$100,_xlfn.ANCHORARRAY( $W$5), 0))
    *
    INDEX($AN$5:$AN$77, MATCH($A151,_xlfn.ANCHORARRAY( $W$5), 0))
)</f>
        <v>0.97748492562630429</v>
      </c>
      <c r="AB151" s="17" cm="1">
        <f t="array" ref="AB151">MMULT(
    MMULT(
        INDEX($X$5:$AM$77, MATCH(AB$100,_xlfn.ANCHORARRAY( $W$5), 0), 0),
        $F$5:$U$20
    ),
    TRANSPOSE(
        INDEX($X$5:$AM$77, MATCH($A151,_xlfn.ANCHORARRAY( $W$5), 0), 0)
    )
)
/
(
    INDEX($AN$5:$AN$77, MATCH(AB$100,_xlfn.ANCHORARRAY( $W$5), 0))
    *
    INDEX($AN$5:$AN$77, MATCH($A151,_xlfn.ANCHORARRAY( $W$5), 0))
)</f>
        <v>0.91528123203212663</v>
      </c>
      <c r="AC151" s="17" cm="1">
        <f t="array" ref="AC151">MMULT(
    MMULT(
        INDEX($X$5:$AM$77, MATCH(AC$100,_xlfn.ANCHORARRAY( $W$5), 0), 0),
        $F$5:$U$20
    ),
    TRANSPOSE(
        INDEX($X$5:$AM$77, MATCH($A151,_xlfn.ANCHORARRAY( $W$5), 0), 0)
    )
)
/
(
    INDEX($AN$5:$AN$77, MATCH(AC$100,_xlfn.ANCHORARRAY( $W$5), 0))
    *
    INDEX($AN$5:$AN$77, MATCH($A151,_xlfn.ANCHORARRAY( $W$5), 0))
)</f>
        <v>0.74169236830429808</v>
      </c>
      <c r="AD151" s="17" cm="1">
        <f t="array" ref="AD151">MMULT(
    MMULT(
        INDEX($X$5:$AM$77, MATCH(AD$100,_xlfn.ANCHORARRAY( $W$5), 0), 0),
        $F$5:$U$20
    ),
    TRANSPOSE(
        INDEX($X$5:$AM$77, MATCH($A151,_xlfn.ANCHORARRAY( $W$5), 0), 0)
    )
)
/
(
    INDEX($AN$5:$AN$77, MATCH(AD$100,_xlfn.ANCHORARRAY( $W$5), 0))
    *
    INDEX($AN$5:$AN$77, MATCH($A151,_xlfn.ANCHORARRAY( $W$5), 0))
)</f>
        <v>0.99625243537385599</v>
      </c>
      <c r="AE151" s="17" cm="1">
        <f t="array" ref="AE151">MMULT(
    MMULT(
        INDEX($X$5:$AM$77, MATCH(AE$100,_xlfn.ANCHORARRAY( $W$5), 0), 0),
        $F$5:$U$20
    ),
    TRANSPOSE(
        INDEX($X$5:$AM$77, MATCH($A151,_xlfn.ANCHORARRAY( $W$5), 0), 0)
    )
)
/
(
    INDEX($AN$5:$AN$77, MATCH(AE$100,_xlfn.ANCHORARRAY( $W$5), 0))
    *
    INDEX($AN$5:$AN$77, MATCH($A151,_xlfn.ANCHORARRAY( $W$5), 0))
)</f>
        <v>0.7961994327528642</v>
      </c>
      <c r="AF151" s="17" cm="1">
        <f t="array" ref="AF151">MMULT(
    MMULT(
        INDEX($X$5:$AM$77, MATCH(AF$100,_xlfn.ANCHORARRAY( $W$5), 0), 0),
        $F$5:$U$20
    ),
    TRANSPOSE(
        INDEX($X$5:$AM$77, MATCH($A151,_xlfn.ANCHORARRAY( $W$5), 0), 0)
    )
)
/
(
    INDEX($AN$5:$AN$77, MATCH(AF$100,_xlfn.ANCHORARRAY( $W$5), 0))
    *
    INDEX($AN$5:$AN$77, MATCH($A151,_xlfn.ANCHORARRAY( $W$5), 0))
)</f>
        <v>0.72321875343043929</v>
      </c>
      <c r="AG151" s="17" cm="1">
        <f t="array" ref="AG151">MMULT(
    MMULT(
        INDEX($X$5:$AM$77, MATCH(AG$100,_xlfn.ANCHORARRAY( $W$5), 0), 0),
        $F$5:$U$20
    ),
    TRANSPOSE(
        INDEX($X$5:$AM$77, MATCH($A151,_xlfn.ANCHORARRAY( $W$5), 0), 0)
    )
)
/
(
    INDEX($AN$5:$AN$77, MATCH(AG$100,_xlfn.ANCHORARRAY( $W$5), 0))
    *
    INDEX($AN$5:$AN$77, MATCH($A151,_xlfn.ANCHORARRAY( $W$5), 0))
)</f>
        <v>0.81382229156772012</v>
      </c>
      <c r="AH151" s="17" cm="1">
        <f t="array" ref="AH151">MMULT(
    MMULT(
        INDEX($X$5:$AM$77, MATCH(AH$100,_xlfn.ANCHORARRAY( $W$5), 0), 0),
        $F$5:$U$20
    ),
    TRANSPOSE(
        INDEX($X$5:$AM$77, MATCH($A151,_xlfn.ANCHORARRAY( $W$5), 0), 0)
    )
)
/
(
    INDEX($AN$5:$AN$77, MATCH(AH$100,_xlfn.ANCHORARRAY( $W$5), 0))
    *
    INDEX($AN$5:$AN$77, MATCH($A151,_xlfn.ANCHORARRAY( $W$5), 0))
)</f>
        <v>0.62016630482929624</v>
      </c>
      <c r="AI151" s="17" cm="1">
        <f t="array" ref="AI151">MMULT(
    MMULT(
        INDEX($X$5:$AM$77, MATCH(AI$100,_xlfn.ANCHORARRAY( $W$5), 0), 0),
        $F$5:$U$20
    ),
    TRANSPOSE(
        INDEX($X$5:$AM$77, MATCH($A151,_xlfn.ANCHORARRAY( $W$5), 0), 0)
    )
)
/
(
    INDEX($AN$5:$AN$77, MATCH(AI$100,_xlfn.ANCHORARRAY( $W$5), 0))
    *
    INDEX($AN$5:$AN$77, MATCH($A151,_xlfn.ANCHORARRAY( $W$5), 0))
)</f>
        <v>0.8350365560309172</v>
      </c>
      <c r="AJ151" s="17" cm="1">
        <f t="array" ref="AJ151">MMULT(
    MMULT(
        INDEX($X$5:$AM$77, MATCH(AJ$100,_xlfn.ANCHORARRAY( $W$5), 0), 0),
        $F$5:$U$20
    ),
    TRANSPOSE(
        INDEX($X$5:$AM$77, MATCH($A151,_xlfn.ANCHORARRAY( $W$5), 0), 0)
    )
)
/
(
    INDEX($AN$5:$AN$77, MATCH(AJ$100,_xlfn.ANCHORARRAY( $W$5), 0))
    *
    INDEX($AN$5:$AN$77, MATCH($A151,_xlfn.ANCHORARRAY( $W$5), 0))
)</f>
        <v>0.94266499908764101</v>
      </c>
      <c r="AK151" s="17" cm="1">
        <f t="array" ref="AK151">MMULT(
    MMULT(
        INDEX($X$5:$AM$77, MATCH(AK$100,_xlfn.ANCHORARRAY( $W$5), 0), 0),
        $F$5:$U$20
    ),
    TRANSPOSE(
        INDEX($X$5:$AM$77, MATCH($A151,_xlfn.ANCHORARRAY( $W$5), 0), 0)
    )
)
/
(
    INDEX($AN$5:$AN$77, MATCH(AK$100,_xlfn.ANCHORARRAY( $W$5), 0))
    *
    INDEX($AN$5:$AN$77, MATCH($A151,_xlfn.ANCHORARRAY( $W$5), 0))
)</f>
        <v>0.85545464054550213</v>
      </c>
      <c r="AL151" s="17" cm="1">
        <f t="array" ref="AL151">MMULT(
    MMULT(
        INDEX($X$5:$AM$77, MATCH(AL$100,_xlfn.ANCHORARRAY( $W$5), 0), 0),
        $F$5:$U$20
    ),
    TRANSPOSE(
        INDEX($X$5:$AM$77, MATCH($A151,_xlfn.ANCHORARRAY( $W$5), 0), 0)
    )
)
/
(
    INDEX($AN$5:$AN$77, MATCH(AL$100,_xlfn.ANCHORARRAY( $W$5), 0))
    *
    INDEX($AN$5:$AN$77, MATCH($A151,_xlfn.ANCHORARRAY( $W$5), 0))
)</f>
        <v>0.96970420454507877</v>
      </c>
      <c r="AM151" s="17" cm="1">
        <f t="array" ref="AM151">MMULT(
    MMULT(
        INDEX($X$5:$AM$77, MATCH(AM$100,_xlfn.ANCHORARRAY( $W$5), 0), 0),
        $F$5:$U$20
    ),
    TRANSPOSE(
        INDEX($X$5:$AM$77, MATCH($A151,_xlfn.ANCHORARRAY( $W$5), 0), 0)
    )
)
/
(
    INDEX($AN$5:$AN$77, MATCH(AM$100,_xlfn.ANCHORARRAY( $W$5), 0))
    *
    INDEX($AN$5:$AN$77, MATCH($A151,_xlfn.ANCHORARRAY( $W$5), 0))
)</f>
        <v>0.72022494251145608</v>
      </c>
      <c r="AN151" s="17" cm="1">
        <f t="array" ref="AN151">MMULT(
    MMULT(
        INDEX($X$5:$AM$77, MATCH(AN$100,_xlfn.ANCHORARRAY( $W$5), 0), 0),
        $F$5:$U$20
    ),
    TRANSPOSE(
        INDEX($X$5:$AM$77, MATCH($A151,_xlfn.ANCHORARRAY( $W$5), 0), 0)
    )
)
/
(
    INDEX($AN$5:$AN$77, MATCH(AN$100,_xlfn.ANCHORARRAY( $W$5), 0))
    *
    INDEX($AN$5:$AN$77, MATCH($A151,_xlfn.ANCHORARRAY( $W$5), 0))
)</f>
        <v>0.68184860341401321</v>
      </c>
      <c r="AO151" s="17" cm="1">
        <f t="array" ref="AO151">MMULT(
    MMULT(
        INDEX($X$5:$AM$77, MATCH(AO$100,_xlfn.ANCHORARRAY( $W$5), 0), 0),
        $F$5:$U$20
    ),
    TRANSPOSE(
        INDEX($X$5:$AM$77, MATCH($A151,_xlfn.ANCHORARRAY( $W$5), 0), 0)
    )
)
/
(
    INDEX($AN$5:$AN$77, MATCH(AO$100,_xlfn.ANCHORARRAY( $W$5), 0))
    *
    INDEX($AN$5:$AN$77, MATCH($A151,_xlfn.ANCHORARRAY( $W$5), 0))
)</f>
        <v>0.68776188628839252</v>
      </c>
      <c r="AP151" s="17" cm="1">
        <f t="array" ref="AP151">MMULT(
    MMULT(
        INDEX($X$5:$AM$77, MATCH(AP$100,_xlfn.ANCHORARRAY( $W$5), 0), 0),
        $F$5:$U$20
    ),
    TRANSPOSE(
        INDEX($X$5:$AM$77, MATCH($A151,_xlfn.ANCHORARRAY( $W$5), 0), 0)
    )
)
/
(
    INDEX($AN$5:$AN$77, MATCH(AP$100,_xlfn.ANCHORARRAY( $W$5), 0))
    *
    INDEX($AN$5:$AN$77, MATCH($A151,_xlfn.ANCHORARRAY( $W$5), 0))
)</f>
        <v>0.629952294242352</v>
      </c>
      <c r="AQ151" s="17" cm="1">
        <f t="array" ref="AQ151">MMULT(
    MMULT(
        INDEX($X$5:$AM$77, MATCH(AQ$100,_xlfn.ANCHORARRAY( $W$5), 0), 0),
        $F$5:$U$20
    ),
    TRANSPOSE(
        INDEX($X$5:$AM$77, MATCH($A151,_xlfn.ANCHORARRAY( $W$5), 0), 0)
    )
)
/
(
    INDEX($AN$5:$AN$77, MATCH(AQ$100,_xlfn.ANCHORARRAY( $W$5), 0))
    *
    INDEX($AN$5:$AN$77, MATCH($A151,_xlfn.ANCHORARRAY( $W$5), 0))
)</f>
        <v>0.70872827220023382</v>
      </c>
      <c r="AR151" s="17" cm="1">
        <f t="array" ref="AR151">MMULT(
    MMULT(
        INDEX($X$5:$AM$77, MATCH(AR$100,_xlfn.ANCHORARRAY( $W$5), 0), 0),
        $F$5:$U$20
    ),
    TRANSPOSE(
        INDEX($X$5:$AM$77, MATCH($A151,_xlfn.ANCHORARRAY( $W$5), 0), 0)
    )
)
/
(
    INDEX($AN$5:$AN$77, MATCH(AR$100,_xlfn.ANCHORARRAY( $W$5), 0))
    *
    INDEX($AN$5:$AN$77, MATCH($A151,_xlfn.ANCHORARRAY( $W$5), 0))
)</f>
        <v>0.93272629945348207</v>
      </c>
      <c r="AS151" s="17" cm="1">
        <f t="array" ref="AS151">MMULT(
    MMULT(
        INDEX($X$5:$AM$77, MATCH(AS$100,_xlfn.ANCHORARRAY( $W$5), 0), 0),
        $F$5:$U$20
    ),
    TRANSPOSE(
        INDEX($X$5:$AM$77, MATCH($A151,_xlfn.ANCHORARRAY( $W$5), 0), 0)
    )
)
/
(
    INDEX($AN$5:$AN$77, MATCH(AS$100,_xlfn.ANCHORARRAY( $W$5), 0))
    *
    INDEX($AN$5:$AN$77, MATCH($A151,_xlfn.ANCHORARRAY( $W$5), 0))
)</f>
        <v>0.92220880462782029</v>
      </c>
      <c r="AT151" s="17" cm="1">
        <f t="array" ref="AT151">MMULT(
    MMULT(
        INDEX($X$5:$AM$77, MATCH(AT$100,_xlfn.ANCHORARRAY( $W$5), 0), 0),
        $F$5:$U$20
    ),
    TRANSPOSE(
        INDEX($X$5:$AM$77, MATCH($A151,_xlfn.ANCHORARRAY( $W$5), 0), 0)
    )
)
/
(
    INDEX($AN$5:$AN$77, MATCH(AT$100,_xlfn.ANCHORARRAY( $W$5), 0))
    *
    INDEX($AN$5:$AN$77, MATCH($A151,_xlfn.ANCHORARRAY( $W$5), 0))
)</f>
        <v>0.73926244992252854</v>
      </c>
      <c r="AU151" s="17" cm="1">
        <f t="array" ref="AU151">MMULT(
    MMULT(
        INDEX($X$5:$AM$77, MATCH(AU$100,_xlfn.ANCHORARRAY( $W$5), 0), 0),
        $F$5:$U$20
    ),
    TRANSPOSE(
        INDEX($X$5:$AM$77, MATCH($A151,_xlfn.ANCHORARRAY( $W$5), 0), 0)
    )
)
/
(
    INDEX($AN$5:$AN$77, MATCH(AU$100,_xlfn.ANCHORARRAY( $W$5), 0))
    *
    INDEX($AN$5:$AN$77, MATCH($A151,_xlfn.ANCHORARRAY( $W$5), 0))
)</f>
        <v>0.96834785125501954</v>
      </c>
      <c r="AV151" s="17" cm="1">
        <f t="array" ref="AV151">MMULT(
    MMULT(
        INDEX($X$5:$AM$77, MATCH(AV$100,_xlfn.ANCHORARRAY( $W$5), 0), 0),
        $F$5:$U$20
    ),
    TRANSPOSE(
        INDEX($X$5:$AM$77, MATCH($A151,_xlfn.ANCHORARRAY( $W$5), 0), 0)
    )
)
/
(
    INDEX($AN$5:$AN$77, MATCH(AV$100,_xlfn.ANCHORARRAY( $W$5), 0))
    *
    INDEX($AN$5:$AN$77, MATCH($A151,_xlfn.ANCHORARRAY( $W$5), 0))
)</f>
        <v>0.99245925574616356</v>
      </c>
      <c r="AW151" s="17" cm="1">
        <f t="array" ref="AW151">MMULT(
    MMULT(
        INDEX($X$5:$AM$77, MATCH(AW$100,_xlfn.ANCHORARRAY( $W$5), 0), 0),
        $F$5:$U$20
    ),
    TRANSPOSE(
        INDEX($X$5:$AM$77, MATCH($A151,_xlfn.ANCHORARRAY( $W$5), 0), 0)
    )
)
/
(
    INDEX($AN$5:$AN$77, MATCH(AW$100,_xlfn.ANCHORARRAY( $W$5), 0))
    *
    INDEX($AN$5:$AN$77, MATCH($A151,_xlfn.ANCHORARRAY( $W$5), 0))
)</f>
        <v>0.71054018741197422</v>
      </c>
      <c r="AX151" s="17" cm="1">
        <f t="array" ref="AX151">MMULT(
    MMULT(
        INDEX($X$5:$AM$77, MATCH(AX$100,_xlfn.ANCHORARRAY( $W$5), 0), 0),
        $F$5:$U$20
    ),
    TRANSPOSE(
        INDEX($X$5:$AM$77, MATCH($A151,_xlfn.ANCHORARRAY( $W$5), 0), 0)
    )
)
/
(
    INDEX($AN$5:$AN$77, MATCH(AX$100,_xlfn.ANCHORARRAY( $W$5), 0))
    *
    INDEX($AN$5:$AN$77, MATCH($A151,_xlfn.ANCHORARRAY( $W$5), 0))
)</f>
        <v>0.49083090190378498</v>
      </c>
      <c r="AY151" s="17" cm="1">
        <f t="array" ref="AY151">MMULT(
    MMULT(
        INDEX($X$5:$AM$77, MATCH(AY$100,_xlfn.ANCHORARRAY( $W$5), 0), 0),
        $F$5:$U$20
    ),
    TRANSPOSE(
        INDEX($X$5:$AM$77, MATCH($A151,_xlfn.ANCHORARRAY( $W$5), 0), 0)
    )
)
/
(
    INDEX($AN$5:$AN$77, MATCH(AY$100,_xlfn.ANCHORARRAY( $W$5), 0))
    *
    INDEX($AN$5:$AN$77, MATCH($A151,_xlfn.ANCHORARRAY( $W$5), 0))
)</f>
        <v>0.58674542613820124</v>
      </c>
      <c r="AZ151" s="17" cm="1">
        <f t="array" ref="AZ151">MMULT(
    MMULT(
        INDEX($X$5:$AM$77, MATCH(AZ$100,_xlfn.ANCHORARRAY( $W$5), 0), 0),
        $F$5:$U$20
    ),
    TRANSPOSE(
        INDEX($X$5:$AM$77, MATCH($A151,_xlfn.ANCHORARRAY( $W$5), 0), 0)
    )
)
/
(
    INDEX($AN$5:$AN$77, MATCH(AZ$100,_xlfn.ANCHORARRAY( $W$5), 0))
    *
    INDEX($AN$5:$AN$77, MATCH($A151,_xlfn.ANCHORARRAY( $W$5), 0))
)</f>
        <v>1</v>
      </c>
      <c r="BA151" s="17" cm="1">
        <f t="array" ref="BA151">MMULT(
    MMULT(
        INDEX($X$5:$AM$77, MATCH(BA$100,_xlfn.ANCHORARRAY( $W$5), 0), 0),
        $F$5:$U$20
    ),
    TRANSPOSE(
        INDEX($X$5:$AM$77, MATCH($A151,_xlfn.ANCHORARRAY( $W$5), 0), 0)
    )
)
/
(
    INDEX($AN$5:$AN$77, MATCH(BA$100,_xlfn.ANCHORARRAY( $W$5), 0))
    *
    INDEX($AN$5:$AN$77, MATCH($A151,_xlfn.ANCHORARRAY( $W$5), 0))
)</f>
        <v>0.98409736215512067</v>
      </c>
      <c r="BB151" s="17" cm="1">
        <f t="array" ref="BB151">MMULT(
    MMULT(
        INDEX($X$5:$AM$77, MATCH(BB$100,_xlfn.ANCHORARRAY( $W$5), 0), 0),
        $F$5:$U$20
    ),
    TRANSPOSE(
        INDEX($X$5:$AM$77, MATCH($A151,_xlfn.ANCHORARRAY( $W$5), 0), 0)
    )
)
/
(
    INDEX($AN$5:$AN$77, MATCH(BB$100,_xlfn.ANCHORARRAY( $W$5), 0))
    *
    INDEX($AN$5:$AN$77, MATCH($A151,_xlfn.ANCHORARRAY( $W$5), 0))
)</f>
        <v>0.78915377685645671</v>
      </c>
      <c r="BC151" s="17" cm="1">
        <f t="array" ref="BC151">MMULT(
    MMULT(
        INDEX($X$5:$AM$77, MATCH(BC$100,_xlfn.ANCHORARRAY( $W$5), 0), 0),
        $F$5:$U$20
    ),
    TRANSPOSE(
        INDEX($X$5:$AM$77, MATCH($A151,_xlfn.ANCHORARRAY( $W$5), 0), 0)
    )
)
/
(
    INDEX($AN$5:$AN$77, MATCH(BC$100,_xlfn.ANCHORARRAY( $W$5), 0))
    *
    INDEX($AN$5:$AN$77, MATCH($A151,_xlfn.ANCHORARRAY( $W$5), 0))
)</f>
        <v>0.77242200448447496</v>
      </c>
      <c r="BD151" s="17" cm="1">
        <f t="array" ref="BD151">MMULT(
    MMULT(
        INDEX($X$5:$AM$77, MATCH(BD$100,_xlfn.ANCHORARRAY( $W$5), 0), 0),
        $F$5:$U$20
    ),
    TRANSPOSE(
        INDEX($X$5:$AM$77, MATCH($A151,_xlfn.ANCHORARRAY( $W$5), 0), 0)
    )
)
/
(
    INDEX($AN$5:$AN$77, MATCH(BD$100,_xlfn.ANCHORARRAY( $W$5), 0))
    *
    INDEX($AN$5:$AN$77, MATCH($A151,_xlfn.ANCHORARRAY( $W$5), 0))
)</f>
        <v>0.54911033145651333</v>
      </c>
      <c r="BE151" s="17" cm="1">
        <f t="array" ref="BE151">MMULT(
    MMULT(
        INDEX($X$5:$AM$77, MATCH(BE$100,_xlfn.ANCHORARRAY( $W$5), 0), 0),
        $F$5:$U$20
    ),
    TRANSPOSE(
        INDEX($X$5:$AM$77, MATCH($A151,_xlfn.ANCHORARRAY( $W$5), 0), 0)
    )
)
/
(
    INDEX($AN$5:$AN$77, MATCH(BE$100,_xlfn.ANCHORARRAY( $W$5), 0))
    *
    INDEX($AN$5:$AN$77, MATCH($A151,_xlfn.ANCHORARRAY( $W$5), 0))
)</f>
        <v>0.70888754541358734</v>
      </c>
      <c r="BF151" s="17" cm="1">
        <f t="array" ref="BF151">MMULT(
    MMULT(
        INDEX($X$5:$AM$77, MATCH(BF$100,_xlfn.ANCHORARRAY( $W$5), 0), 0),
        $F$5:$U$20
    ),
    TRANSPOSE(
        INDEX($X$5:$AM$77, MATCH($A151,_xlfn.ANCHORARRAY( $W$5), 0), 0)
    )
)
/
(
    INDEX($AN$5:$AN$77, MATCH(BF$100,_xlfn.ANCHORARRAY( $W$5), 0))
    *
    INDEX($AN$5:$AN$77, MATCH($A151,_xlfn.ANCHORARRAY( $W$5), 0))
)</f>
        <v>0.87150520105854301</v>
      </c>
      <c r="BG151" s="17" cm="1">
        <f t="array" ref="BG151">MMULT(
    MMULT(
        INDEX($X$5:$AM$77, MATCH(BG$100,_xlfn.ANCHORARRAY( $W$5), 0), 0),
        $F$5:$U$20
    ),
    TRANSPOSE(
        INDEX($X$5:$AM$77, MATCH($A151,_xlfn.ANCHORARRAY( $W$5), 0), 0)
    )
)
/
(
    INDEX($AN$5:$AN$77, MATCH(BG$100,_xlfn.ANCHORARRAY( $W$5), 0))
    *
    INDEX($AN$5:$AN$77, MATCH($A151,_xlfn.ANCHORARRAY( $W$5), 0))
)</f>
        <v>0.92469686834321418</v>
      </c>
      <c r="BH151" s="17" cm="1">
        <f t="array" ref="BH151">MMULT(
    MMULT(
        INDEX($X$5:$AM$77, MATCH(BH$100,_xlfn.ANCHORARRAY( $W$5), 0), 0),
        $F$5:$U$20
    ),
    TRANSPOSE(
        INDEX($X$5:$AM$77, MATCH($A151,_xlfn.ANCHORARRAY( $W$5), 0), 0)
    )
)
/
(
    INDEX($AN$5:$AN$77, MATCH(BH$100,_xlfn.ANCHORARRAY( $W$5), 0))
    *
    INDEX($AN$5:$AN$77, MATCH($A151,_xlfn.ANCHORARRAY( $W$5), 0))
)</f>
        <v>0.68433310474425701</v>
      </c>
      <c r="BI151" s="17" cm="1">
        <f t="array" ref="BI151">MMULT(
    MMULT(
        INDEX($X$5:$AM$77, MATCH(BI$100,_xlfn.ANCHORARRAY( $W$5), 0), 0),
        $F$5:$U$20
    ),
    TRANSPOSE(
        INDEX($X$5:$AM$77, MATCH($A151,_xlfn.ANCHORARRAY( $W$5), 0), 0)
    )
)
/
(
    INDEX($AN$5:$AN$77, MATCH(BI$100,_xlfn.ANCHORARRAY( $W$5), 0))
    *
    INDEX($AN$5:$AN$77, MATCH($A151,_xlfn.ANCHORARRAY( $W$5), 0))
)</f>
        <v>0.57143066644173168</v>
      </c>
      <c r="BJ151" s="17" cm="1">
        <f t="array" ref="BJ151">MMULT(
    MMULT(
        INDEX($X$5:$AM$77, MATCH(BJ$100,_xlfn.ANCHORARRAY( $W$5), 0), 0),
        $F$5:$U$20
    ),
    TRANSPOSE(
        INDEX($X$5:$AM$77, MATCH($A151,_xlfn.ANCHORARRAY( $W$5), 0), 0)
    )
)
/
(
    INDEX($AN$5:$AN$77, MATCH(BJ$100,_xlfn.ANCHORARRAY( $W$5), 0))
    *
    INDEX($AN$5:$AN$77, MATCH($A151,_xlfn.ANCHORARRAY( $W$5), 0))
)</f>
        <v>0.89221337021794311</v>
      </c>
      <c r="BK151" s="17" cm="1">
        <f t="array" ref="BK151">MMULT(
    MMULT(
        INDEX($X$5:$AM$77, MATCH(BK$100,_xlfn.ANCHORARRAY( $W$5), 0), 0),
        $F$5:$U$20
    ),
    TRANSPOSE(
        INDEX($X$5:$AM$77, MATCH($A151,_xlfn.ANCHORARRAY( $W$5), 0), 0)
    )
)
/
(
    INDEX($AN$5:$AN$77, MATCH(BK$100,_xlfn.ANCHORARRAY( $W$5), 0))
    *
    INDEX($AN$5:$AN$77, MATCH($A151,_xlfn.ANCHORARRAY( $W$5), 0))
)</f>
        <v>0.56620075862434793</v>
      </c>
      <c r="BL151" s="17" cm="1">
        <f t="array" ref="BL151">MMULT(
    MMULT(
        INDEX($X$5:$AM$77, MATCH(BL$100,_xlfn.ANCHORARRAY( $W$5), 0), 0),
        $F$5:$U$20
    ),
    TRANSPOSE(
        INDEX($X$5:$AM$77, MATCH($A151,_xlfn.ANCHORARRAY( $W$5), 0), 0)
    )
)
/
(
    INDEX($AN$5:$AN$77, MATCH(BL$100,_xlfn.ANCHORARRAY( $W$5), 0))
    *
    INDEX($AN$5:$AN$77, MATCH($A151,_xlfn.ANCHORARRAY( $W$5), 0))
)</f>
        <v>0.73137583062143963</v>
      </c>
      <c r="BM151" s="17" cm="1">
        <f t="array" ref="BM151">MMULT(
    MMULT(
        INDEX($X$5:$AM$77, MATCH(BM$100,_xlfn.ANCHORARRAY( $W$5), 0), 0),
        $F$5:$U$20
    ),
    TRANSPOSE(
        INDEX($X$5:$AM$77, MATCH($A151,_xlfn.ANCHORARRAY( $W$5), 0), 0)
    )
)
/
(
    INDEX($AN$5:$AN$77, MATCH(BM$100,_xlfn.ANCHORARRAY( $W$5), 0))
    *
    INDEX($AN$5:$AN$77, MATCH($A151,_xlfn.ANCHORARRAY( $W$5), 0))
)</f>
        <v>0.79168098310602297</v>
      </c>
      <c r="BN151" s="17" cm="1">
        <f t="array" ref="BN151">MMULT(
    MMULT(
        INDEX($X$5:$AM$77, MATCH(BN$100,_xlfn.ANCHORARRAY( $W$5), 0), 0),
        $F$5:$U$20
    ),
    TRANSPOSE(
        INDEX($X$5:$AM$77, MATCH($A151,_xlfn.ANCHORARRAY( $W$5), 0), 0)
    )
)
/
(
    INDEX($AN$5:$AN$77, MATCH(BN$100,_xlfn.ANCHORARRAY( $W$5), 0))
    *
    INDEX($AN$5:$AN$77, MATCH($A151,_xlfn.ANCHORARRAY( $W$5), 0))
)</f>
        <v>0.69640580382355644</v>
      </c>
      <c r="BO151" s="17" cm="1">
        <f t="array" ref="BO151">MMULT(
    MMULT(
        INDEX($X$5:$AM$77, MATCH(BO$100,_xlfn.ANCHORARRAY( $W$5), 0), 0),
        $F$5:$U$20
    ),
    TRANSPOSE(
        INDEX($X$5:$AM$77, MATCH($A151,_xlfn.ANCHORARRAY( $W$5), 0), 0)
    )
)
/
(
    INDEX($AN$5:$AN$77, MATCH(BO$100,_xlfn.ANCHORARRAY( $W$5), 0))
    *
    INDEX($AN$5:$AN$77, MATCH($A151,_xlfn.ANCHORARRAY( $W$5), 0))
)</f>
        <v>0.85504190774623723</v>
      </c>
      <c r="BP151" s="17" cm="1">
        <f t="array" ref="BP151">MMULT(
    MMULT(
        INDEX($X$5:$AM$77, MATCH(BP$100,_xlfn.ANCHORARRAY( $W$5), 0), 0),
        $F$5:$U$20
    ),
    TRANSPOSE(
        INDEX($X$5:$AM$77, MATCH($A151,_xlfn.ANCHORARRAY( $W$5), 0), 0)
    )
)
/
(
    INDEX($AN$5:$AN$77, MATCH(BP$100,_xlfn.ANCHORARRAY( $W$5), 0))
    *
    INDEX($AN$5:$AN$77, MATCH($A151,_xlfn.ANCHORARRAY( $W$5), 0))
)</f>
        <v>0.88601934738717247</v>
      </c>
      <c r="BQ151" s="17" cm="1">
        <f t="array" ref="BQ151">MMULT(
    MMULT(
        INDEX($X$5:$AM$77, MATCH(BQ$100,_xlfn.ANCHORARRAY( $W$5), 0), 0),
        $F$5:$U$20
    ),
    TRANSPOSE(
        INDEX($X$5:$AM$77, MATCH($A151,_xlfn.ANCHORARRAY( $W$5), 0), 0)
    )
)
/
(
    INDEX($AN$5:$AN$77, MATCH(BQ$100,_xlfn.ANCHORARRAY( $W$5), 0))
    *
    INDEX($AN$5:$AN$77, MATCH($A151,_xlfn.ANCHORARRAY( $W$5), 0))
)</f>
        <v>0.6976158921482406</v>
      </c>
      <c r="BR151" s="17" cm="1">
        <f t="array" ref="BR151">MMULT(
    MMULT(
        INDEX($X$5:$AM$77, MATCH(BR$100,_xlfn.ANCHORARRAY( $W$5), 0), 0),
        $F$5:$U$20
    ),
    TRANSPOSE(
        INDEX($X$5:$AM$77, MATCH($A151,_xlfn.ANCHORARRAY( $W$5), 0), 0)
    )
)
/
(
    INDEX($AN$5:$AN$77, MATCH(BR$100,_xlfn.ANCHORARRAY( $W$5), 0))
    *
    INDEX($AN$5:$AN$77, MATCH($A151,_xlfn.ANCHORARRAY( $W$5), 0))
)</f>
        <v>0.76838084489281233</v>
      </c>
      <c r="BS151" s="17" cm="1">
        <f t="array" ref="BS151">MMULT(
    MMULT(
        INDEX($X$5:$AM$77, MATCH(BS$100,_xlfn.ANCHORARRAY( $W$5), 0), 0),
        $F$5:$U$20
    ),
    TRANSPOSE(
        INDEX($X$5:$AM$77, MATCH($A151,_xlfn.ANCHORARRAY( $W$5), 0), 0)
    )
)
/
(
    INDEX($AN$5:$AN$77, MATCH(BS$100,_xlfn.ANCHORARRAY( $W$5), 0))
    *
    INDEX($AN$5:$AN$77, MATCH($A151,_xlfn.ANCHORARRAY( $W$5), 0))
)</f>
        <v>0.93853178331983722</v>
      </c>
      <c r="BT151" s="17" cm="1">
        <f t="array" ref="BT151">MMULT(
    MMULT(
        INDEX($X$5:$AM$77, MATCH(BT$100,_xlfn.ANCHORARRAY( $W$5), 0), 0),
        $F$5:$U$20
    ),
    TRANSPOSE(
        INDEX($X$5:$AM$77, MATCH($A151,_xlfn.ANCHORARRAY( $W$5), 0), 0)
    )
)
/
(
    INDEX($AN$5:$AN$77, MATCH(BT$100,_xlfn.ANCHORARRAY( $W$5), 0))
    *
    INDEX($AN$5:$AN$77, MATCH($A151,_xlfn.ANCHORARRAY( $W$5), 0))
)</f>
        <v>0.9383924726559012</v>
      </c>
      <c r="BU151" s="17" cm="1">
        <f t="array" ref="BU151">MMULT(
    MMULT(
        INDEX($X$5:$AM$77, MATCH(BU$100,_xlfn.ANCHORARRAY( $W$5), 0), 0),
        $F$5:$U$20
    ),
    TRANSPOSE(
        INDEX($X$5:$AM$77, MATCH($A151,_xlfn.ANCHORARRAY( $W$5), 0), 0)
    )
)
/
(
    INDEX($AN$5:$AN$77, MATCH(BU$100,_xlfn.ANCHORARRAY( $W$5), 0))
    *
    INDEX($AN$5:$AN$77, MATCH($A151,_xlfn.ANCHORARRAY( $W$5), 0))
)</f>
        <v>0.706228013386767</v>
      </c>
      <c r="BV151" s="17" cm="1">
        <f t="array" ref="BV151">MMULT(
    MMULT(
        INDEX($X$5:$AM$77, MATCH(BV$100,_xlfn.ANCHORARRAY( $W$5), 0), 0),
        $F$5:$U$20
    ),
    TRANSPOSE(
        INDEX($X$5:$AM$77, MATCH($A151,_xlfn.ANCHORARRAY( $W$5), 0), 0)
    )
)
/
(
    INDEX($AN$5:$AN$77, MATCH(BV$100,_xlfn.ANCHORARRAY( $W$5), 0))
    *
    INDEX($AN$5:$AN$77, MATCH($A151,_xlfn.ANCHORARRAY( $W$5), 0))
)</f>
        <v>0.69940204935028139</v>
      </c>
    </row>
    <row r="152" spans="1:74" x14ac:dyDescent="0.3">
      <c r="A152" s="7" t="str">
        <v>Davidson, Tucker</v>
      </c>
      <c r="B152" s="17" cm="1">
        <f t="array" ref="B152">MMULT(
    MMULT(
        INDEX($X$5:$AM$77, MATCH(B$100,_xlfn.ANCHORARRAY( $W$5), 0), 0),
        $F$5:$U$20
    ),
    TRANSPOSE(
        INDEX($X$5:$AM$77, MATCH($A152,_xlfn.ANCHORARRAY( $W$5), 0), 0)
    )
)
/
(
    INDEX($AN$5:$AN$77, MATCH(B$100,_xlfn.ANCHORARRAY( $W$5), 0))
    *
    INDEX($AN$5:$AN$77, MATCH($A152,_xlfn.ANCHORARRAY( $W$5), 0))
)</f>
        <v>0.90351887714358636</v>
      </c>
      <c r="C152" s="17" cm="1">
        <f t="array" ref="C152">MMULT(
    MMULT(
        INDEX($X$5:$AM$77, MATCH(C$100,_xlfn.ANCHORARRAY( $W$5), 0), 0),
        $F$5:$U$20
    ),
    TRANSPOSE(
        INDEX($X$5:$AM$77, MATCH($A152,_xlfn.ANCHORARRAY( $W$5), 0), 0)
    )
)
/
(
    INDEX($AN$5:$AN$77, MATCH(C$100,_xlfn.ANCHORARRAY( $W$5), 0))
    *
    INDEX($AN$5:$AN$77, MATCH($A152,_xlfn.ANCHORARRAY( $W$5), 0))
)</f>
        <v>0.69351870077671118</v>
      </c>
      <c r="D152" s="17" cm="1">
        <f t="array" ref="D152">MMULT(
    MMULT(
        INDEX($X$5:$AM$77, MATCH(D$100,_xlfn.ANCHORARRAY( $W$5), 0), 0),
        $F$5:$U$20
    ),
    TRANSPOSE(
        INDEX($X$5:$AM$77, MATCH($A152,_xlfn.ANCHORARRAY( $W$5), 0), 0)
    )
)
/
(
    INDEX($AN$5:$AN$77, MATCH(D$100,_xlfn.ANCHORARRAY( $W$5), 0))
    *
    INDEX($AN$5:$AN$77, MATCH($A152,_xlfn.ANCHORARRAY( $W$5), 0))
)</f>
        <v>0.97851497635939044</v>
      </c>
      <c r="E152" s="17" cm="1">
        <f t="array" ref="E152">MMULT(
    MMULT(
        INDEX($X$5:$AM$77, MATCH(E$100,_xlfn.ANCHORARRAY( $W$5), 0), 0),
        $F$5:$U$20
    ),
    TRANSPOSE(
        INDEX($X$5:$AM$77, MATCH($A152,_xlfn.ANCHORARRAY( $W$5), 0), 0)
    )
)
/
(
    INDEX($AN$5:$AN$77, MATCH(E$100,_xlfn.ANCHORARRAY( $W$5), 0))
    *
    INDEX($AN$5:$AN$77, MATCH($A152,_xlfn.ANCHORARRAY( $W$5), 0))
)</f>
        <v>0.8492832907708141</v>
      </c>
      <c r="F152" s="17" cm="1">
        <f t="array" ref="F152">MMULT(
    MMULT(
        INDEX($X$5:$AM$77, MATCH(F$100,_xlfn.ANCHORARRAY( $W$5), 0), 0),
        $F$5:$U$20
    ),
    TRANSPOSE(
        INDEX($X$5:$AM$77, MATCH($A152,_xlfn.ANCHORARRAY( $W$5), 0), 0)
    )
)
/
(
    INDEX($AN$5:$AN$77, MATCH(F$100,_xlfn.ANCHORARRAY( $W$5), 0))
    *
    INDEX($AN$5:$AN$77, MATCH($A152,_xlfn.ANCHORARRAY( $W$5), 0))
)</f>
        <v>0.95775372841141915</v>
      </c>
      <c r="G152" s="17" cm="1">
        <f t="array" ref="G152">MMULT(
    MMULT(
        INDEX($X$5:$AM$77, MATCH(G$100,_xlfn.ANCHORARRAY( $W$5), 0), 0),
        $F$5:$U$20
    ),
    TRANSPOSE(
        INDEX($X$5:$AM$77, MATCH($A152,_xlfn.ANCHORARRAY( $W$5), 0), 0)
    )
)
/
(
    INDEX($AN$5:$AN$77, MATCH(G$100,_xlfn.ANCHORARRAY( $W$5), 0))
    *
    INDEX($AN$5:$AN$77, MATCH($A152,_xlfn.ANCHORARRAY( $W$5), 0))
)</f>
        <v>0.68644270657573858</v>
      </c>
      <c r="H152" s="17" cm="1">
        <f t="array" ref="H152">MMULT(
    MMULT(
        INDEX($X$5:$AM$77, MATCH(H$100,_xlfn.ANCHORARRAY( $W$5), 0), 0),
        $F$5:$U$20
    ),
    TRANSPOSE(
        INDEX($X$5:$AM$77, MATCH($A152,_xlfn.ANCHORARRAY( $W$5), 0), 0)
    )
)
/
(
    INDEX($AN$5:$AN$77, MATCH(H$100,_xlfn.ANCHORARRAY( $W$5), 0))
    *
    INDEX($AN$5:$AN$77, MATCH($A152,_xlfn.ANCHORARRAY( $W$5), 0))
)</f>
        <v>0.72398368911678435</v>
      </c>
      <c r="I152" s="17" cm="1">
        <f t="array" ref="I152">MMULT(
    MMULT(
        INDEX($X$5:$AM$77, MATCH(I$100,_xlfn.ANCHORARRAY( $W$5), 0), 0),
        $F$5:$U$20
    ),
    TRANSPOSE(
        INDEX($X$5:$AM$77, MATCH($A152,_xlfn.ANCHORARRAY( $W$5), 0), 0)
    )
)
/
(
    INDEX($AN$5:$AN$77, MATCH(I$100,_xlfn.ANCHORARRAY( $W$5), 0))
    *
    INDEX($AN$5:$AN$77, MATCH($A152,_xlfn.ANCHORARRAY( $W$5), 0))
)</f>
        <v>0.73917236355488081</v>
      </c>
      <c r="J152" s="17" cm="1">
        <f t="array" ref="J152">MMULT(
    MMULT(
        INDEX($X$5:$AM$77, MATCH(J$100,_xlfn.ANCHORARRAY( $W$5), 0), 0),
        $F$5:$U$20
    ),
    TRANSPOSE(
        INDEX($X$5:$AM$77, MATCH($A152,_xlfn.ANCHORARRAY( $W$5), 0), 0)
    )
)
/
(
    INDEX($AN$5:$AN$77, MATCH(J$100,_xlfn.ANCHORARRAY( $W$5), 0))
    *
    INDEX($AN$5:$AN$77, MATCH($A152,_xlfn.ANCHORARRAY( $W$5), 0))
)</f>
        <v>0.90944937867979425</v>
      </c>
      <c r="K152" s="17" cm="1">
        <f t="array" ref="K152">MMULT(
    MMULT(
        INDEX($X$5:$AM$77, MATCH(K$100,_xlfn.ANCHORARRAY( $W$5), 0), 0),
        $F$5:$U$20
    ),
    TRANSPOSE(
        INDEX($X$5:$AM$77, MATCH($A152,_xlfn.ANCHORARRAY( $W$5), 0), 0)
    )
)
/
(
    INDEX($AN$5:$AN$77, MATCH(K$100,_xlfn.ANCHORARRAY( $W$5), 0))
    *
    INDEX($AN$5:$AN$77, MATCH($A152,_xlfn.ANCHORARRAY( $W$5), 0))
)</f>
        <v>0.84364850619137699</v>
      </c>
      <c r="L152" s="17" cm="1">
        <f t="array" ref="L152">MMULT(
    MMULT(
        INDEX($X$5:$AM$77, MATCH(L$100,_xlfn.ANCHORARRAY( $W$5), 0), 0),
        $F$5:$U$20
    ),
    TRANSPOSE(
        INDEX($X$5:$AM$77, MATCH($A152,_xlfn.ANCHORARRAY( $W$5), 0), 0)
    )
)
/
(
    INDEX($AN$5:$AN$77, MATCH(L$100,_xlfn.ANCHORARRAY( $W$5), 0))
    *
    INDEX($AN$5:$AN$77, MATCH($A152,_xlfn.ANCHORARRAY( $W$5), 0))
)</f>
        <v>0.61454110475007961</v>
      </c>
      <c r="M152" s="17" cm="1">
        <f t="array" ref="M152">MMULT(
    MMULT(
        INDEX($X$5:$AM$77, MATCH(M$100,_xlfn.ANCHORARRAY( $W$5), 0), 0),
        $F$5:$U$20
    ),
    TRANSPOSE(
        INDEX($X$5:$AM$77, MATCH($A152,_xlfn.ANCHORARRAY( $W$5), 0), 0)
    )
)
/
(
    INDEX($AN$5:$AN$77, MATCH(M$100,_xlfn.ANCHORARRAY( $W$5), 0))
    *
    INDEX($AN$5:$AN$77, MATCH($A152,_xlfn.ANCHORARRAY( $W$5), 0))
)</f>
        <v>0.78035740052653668</v>
      </c>
      <c r="N152" s="17" cm="1">
        <f t="array" ref="N152">MMULT(
    MMULT(
        INDEX($X$5:$AM$77, MATCH(N$100,_xlfn.ANCHORARRAY( $W$5), 0), 0),
        $F$5:$U$20
    ),
    TRANSPOSE(
        INDEX($X$5:$AM$77, MATCH($A152,_xlfn.ANCHORARRAY( $W$5), 0), 0)
    )
)
/
(
    INDEX($AN$5:$AN$77, MATCH(N$100,_xlfn.ANCHORARRAY( $W$5), 0))
    *
    INDEX($AN$5:$AN$77, MATCH($A152,_xlfn.ANCHORARRAY( $W$5), 0))
)</f>
        <v>0.95412475152949516</v>
      </c>
      <c r="O152" s="17" cm="1">
        <f t="array" ref="O152">MMULT(
    MMULT(
        INDEX($X$5:$AM$77, MATCH(O$100,_xlfn.ANCHORARRAY( $W$5), 0), 0),
        $F$5:$U$20
    ),
    TRANSPOSE(
        INDEX($X$5:$AM$77, MATCH($A152,_xlfn.ANCHORARRAY( $W$5), 0), 0)
    )
)
/
(
    INDEX($AN$5:$AN$77, MATCH(O$100,_xlfn.ANCHORARRAY( $W$5), 0))
    *
    INDEX($AN$5:$AN$77, MATCH($A152,_xlfn.ANCHORARRAY( $W$5), 0))
)</f>
        <v>0.92051220870490313</v>
      </c>
      <c r="P152" s="17" cm="1">
        <f t="array" ref="P152">MMULT(
    MMULT(
        INDEX($X$5:$AM$77, MATCH(P$100,_xlfn.ANCHORARRAY( $W$5), 0), 0),
        $F$5:$U$20
    ),
    TRANSPOSE(
        INDEX($X$5:$AM$77, MATCH($A152,_xlfn.ANCHORARRAY( $W$5), 0), 0)
    )
)
/
(
    INDEX($AN$5:$AN$77, MATCH(P$100,_xlfn.ANCHORARRAY( $W$5), 0))
    *
    INDEX($AN$5:$AN$77, MATCH($A152,_xlfn.ANCHORARRAY( $W$5), 0))
)</f>
        <v>0.97970853687693149</v>
      </c>
      <c r="Q152" s="17" cm="1">
        <f t="array" ref="Q152">MMULT(
    MMULT(
        INDEX($X$5:$AM$77, MATCH(Q$100,_xlfn.ANCHORARRAY( $W$5), 0), 0),
        $F$5:$U$20
    ),
    TRANSPOSE(
        INDEX($X$5:$AM$77, MATCH($A152,_xlfn.ANCHORARRAY( $W$5), 0), 0)
    )
)
/
(
    INDEX($AN$5:$AN$77, MATCH(Q$100,_xlfn.ANCHORARRAY( $W$5), 0))
    *
    INDEX($AN$5:$AN$77, MATCH($A152,_xlfn.ANCHORARRAY( $W$5), 0))
)</f>
        <v>0.6981105174796487</v>
      </c>
      <c r="R152" s="17" cm="1">
        <f t="array" ref="R152">MMULT(
    MMULT(
        INDEX($X$5:$AM$77, MATCH(R$100,_xlfn.ANCHORARRAY( $W$5), 0), 0),
        $F$5:$U$20
    ),
    TRANSPOSE(
        INDEX($X$5:$AM$77, MATCH($A152,_xlfn.ANCHORARRAY( $W$5), 0), 0)
    )
)
/
(
    INDEX($AN$5:$AN$77, MATCH(R$100,_xlfn.ANCHORARRAY( $W$5), 0))
    *
    INDEX($AN$5:$AN$77, MATCH($A152,_xlfn.ANCHORARRAY( $W$5), 0))
)</f>
        <v>0.94440633002361329</v>
      </c>
      <c r="S152" s="17" cm="1">
        <f t="array" ref="S152">MMULT(
    MMULT(
        INDEX($X$5:$AM$77, MATCH(S$100,_xlfn.ANCHORARRAY( $W$5), 0), 0),
        $F$5:$U$20
    ),
    TRANSPOSE(
        INDEX($X$5:$AM$77, MATCH($A152,_xlfn.ANCHORARRAY( $W$5), 0), 0)
    )
)
/
(
    INDEX($AN$5:$AN$77, MATCH(S$100,_xlfn.ANCHORARRAY( $W$5), 0))
    *
    INDEX($AN$5:$AN$77, MATCH($A152,_xlfn.ANCHORARRAY( $W$5), 0))
)</f>
        <v>0.84556536682282191</v>
      </c>
      <c r="T152" s="17" cm="1">
        <f t="array" ref="T152">MMULT(
    MMULT(
        INDEX($X$5:$AM$77, MATCH(T$100,_xlfn.ANCHORARRAY( $W$5), 0), 0),
        $F$5:$U$20
    ),
    TRANSPOSE(
        INDEX($X$5:$AM$77, MATCH($A152,_xlfn.ANCHORARRAY( $W$5), 0), 0)
    )
)
/
(
    INDEX($AN$5:$AN$77, MATCH(T$100,_xlfn.ANCHORARRAY( $W$5), 0))
    *
    INDEX($AN$5:$AN$77, MATCH($A152,_xlfn.ANCHORARRAY( $W$5), 0))
)</f>
        <v>0.44348089912053534</v>
      </c>
      <c r="U152" s="17" cm="1">
        <f t="array" ref="U152">MMULT(
    MMULT(
        INDEX($X$5:$AM$77, MATCH(U$100,_xlfn.ANCHORARRAY( $W$5), 0), 0),
        $F$5:$U$20
    ),
    TRANSPOSE(
        INDEX($X$5:$AM$77, MATCH($A152,_xlfn.ANCHORARRAY( $W$5), 0), 0)
    )
)
/
(
    INDEX($AN$5:$AN$77, MATCH(U$100,_xlfn.ANCHORARRAY( $W$5), 0))
    *
    INDEX($AN$5:$AN$77, MATCH($A152,_xlfn.ANCHORARRAY( $W$5), 0))
)</f>
        <v>0.98825041263676416</v>
      </c>
      <c r="V152" s="17" cm="1">
        <f t="array" ref="V152">MMULT(
    MMULT(
        INDEX($X$5:$AM$77, MATCH(V$100,_xlfn.ANCHORARRAY( $W$5), 0), 0),
        $F$5:$U$20
    ),
    TRANSPOSE(
        INDEX($X$5:$AM$77, MATCH($A152,_xlfn.ANCHORARRAY( $W$5), 0), 0)
    )
)
/
(
    INDEX($AN$5:$AN$77, MATCH(V$100,_xlfn.ANCHORARRAY( $W$5), 0))
    *
    INDEX($AN$5:$AN$77, MATCH($A152,_xlfn.ANCHORARRAY( $W$5), 0))
)</f>
        <v>0.53754240345695625</v>
      </c>
      <c r="W152" s="17" cm="1">
        <f t="array" ref="W152">MMULT(
    MMULT(
        INDEX($X$5:$AM$77, MATCH(W$100,_xlfn.ANCHORARRAY( $W$5), 0), 0),
        $F$5:$U$20
    ),
    TRANSPOSE(
        INDEX($X$5:$AM$77, MATCH($A152,_xlfn.ANCHORARRAY( $W$5), 0), 0)
    )
)
/
(
    INDEX($AN$5:$AN$77, MATCH(W$100,_xlfn.ANCHORARRAY( $W$5), 0))
    *
    INDEX($AN$5:$AN$77, MATCH($A152,_xlfn.ANCHORARRAY( $W$5), 0))
)</f>
        <v>0.70151116432823113</v>
      </c>
      <c r="X152" s="17" cm="1">
        <f t="array" ref="X152">MMULT(
    MMULT(
        INDEX($X$5:$AM$77, MATCH(X$100,_xlfn.ANCHORARRAY( $W$5), 0), 0),
        $F$5:$U$20
    ),
    TRANSPOSE(
        INDEX($X$5:$AM$77, MATCH($A152,_xlfn.ANCHORARRAY( $W$5), 0), 0)
    )
)
/
(
    INDEX($AN$5:$AN$77, MATCH(X$100,_xlfn.ANCHORARRAY( $W$5), 0))
    *
    INDEX($AN$5:$AN$77, MATCH($A152,_xlfn.ANCHORARRAY( $W$5), 0))
)</f>
        <v>0.96678536708820118</v>
      </c>
      <c r="Y152" s="17" cm="1">
        <f t="array" ref="Y152">MMULT(
    MMULT(
        INDEX($X$5:$AM$77, MATCH(Y$100,_xlfn.ANCHORARRAY( $W$5), 0), 0),
        $F$5:$U$20
    ),
    TRANSPOSE(
        INDEX($X$5:$AM$77, MATCH($A152,_xlfn.ANCHORARRAY( $W$5), 0), 0)
    )
)
/
(
    INDEX($AN$5:$AN$77, MATCH(Y$100,_xlfn.ANCHORARRAY( $W$5), 0))
    *
    INDEX($AN$5:$AN$77, MATCH($A152,_xlfn.ANCHORARRAY( $W$5), 0))
)</f>
        <v>0.65940453092254214</v>
      </c>
      <c r="Z152" s="17" cm="1">
        <f t="array" ref="Z152">MMULT(
    MMULT(
        INDEX($X$5:$AM$77, MATCH(Z$100,_xlfn.ANCHORARRAY( $W$5), 0), 0),
        $F$5:$U$20
    ),
    TRANSPOSE(
        INDEX($X$5:$AM$77, MATCH($A152,_xlfn.ANCHORARRAY( $W$5), 0), 0)
    )
)
/
(
    INDEX($AN$5:$AN$77, MATCH(Z$100,_xlfn.ANCHORARRAY( $W$5), 0))
    *
    INDEX($AN$5:$AN$77, MATCH($A152,_xlfn.ANCHORARRAY( $W$5), 0))
)</f>
        <v>0.98159402953287189</v>
      </c>
      <c r="AA152" s="17" cm="1">
        <f t="array" ref="AA152">MMULT(
    MMULT(
        INDEX($X$5:$AM$77, MATCH(AA$100,_xlfn.ANCHORARRAY( $W$5), 0), 0),
        $F$5:$U$20
    ),
    TRANSPOSE(
        INDEX($X$5:$AM$77, MATCH($A152,_xlfn.ANCHORARRAY( $W$5), 0), 0)
    )
)
/
(
    INDEX($AN$5:$AN$77, MATCH(AA$100,_xlfn.ANCHORARRAY( $W$5), 0))
    *
    INDEX($AN$5:$AN$77, MATCH($A152,_xlfn.ANCHORARRAY( $W$5), 0))
)</f>
        <v>0.99173306194554955</v>
      </c>
      <c r="AB152" s="17" cm="1">
        <f t="array" ref="AB152">MMULT(
    MMULT(
        INDEX($X$5:$AM$77, MATCH(AB$100,_xlfn.ANCHORARRAY( $W$5), 0), 0),
        $F$5:$U$20
    ),
    TRANSPOSE(
        INDEX($X$5:$AM$77, MATCH($A152,_xlfn.ANCHORARRAY( $W$5), 0), 0)
    )
)
/
(
    INDEX($AN$5:$AN$77, MATCH(AB$100,_xlfn.ANCHORARRAY( $W$5), 0))
    *
    INDEX($AN$5:$AN$77, MATCH($A152,_xlfn.ANCHORARRAY( $W$5), 0))
)</f>
        <v>0.93276663013424788</v>
      </c>
      <c r="AC152" s="17" cm="1">
        <f t="array" ref="AC152">MMULT(
    MMULT(
        INDEX($X$5:$AM$77, MATCH(AC$100,_xlfn.ANCHORARRAY( $W$5), 0), 0),
        $F$5:$U$20
    ),
    TRANSPOSE(
        INDEX($X$5:$AM$77, MATCH($A152,_xlfn.ANCHORARRAY( $W$5), 0), 0)
    )
)
/
(
    INDEX($AN$5:$AN$77, MATCH(AC$100,_xlfn.ANCHORARRAY( $W$5), 0))
    *
    INDEX($AN$5:$AN$77, MATCH($A152,_xlfn.ANCHORARRAY( $W$5), 0))
)</f>
        <v>0.78317971293423827</v>
      </c>
      <c r="AD152" s="17" cm="1">
        <f t="array" ref="AD152">MMULT(
    MMULT(
        INDEX($X$5:$AM$77, MATCH(AD$100,_xlfn.ANCHORARRAY( $W$5), 0), 0),
        $F$5:$U$20
    ),
    TRANSPOSE(
        INDEX($X$5:$AM$77, MATCH($A152,_xlfn.ANCHORARRAY( $W$5), 0), 0)
    )
)
/
(
    INDEX($AN$5:$AN$77, MATCH(AD$100,_xlfn.ANCHORARRAY( $W$5), 0))
    *
    INDEX($AN$5:$AN$77, MATCH($A152,_xlfn.ANCHORARRAY( $W$5), 0))
)</f>
        <v>0.98087575071276445</v>
      </c>
      <c r="AE152" s="17" cm="1">
        <f t="array" ref="AE152">MMULT(
    MMULT(
        INDEX($X$5:$AM$77, MATCH(AE$100,_xlfn.ANCHORARRAY( $W$5), 0), 0),
        $F$5:$U$20
    ),
    TRANSPOSE(
        INDEX($X$5:$AM$77, MATCH($A152,_xlfn.ANCHORARRAY( $W$5), 0), 0)
    )
)
/
(
    INDEX($AN$5:$AN$77, MATCH(AE$100,_xlfn.ANCHORARRAY( $W$5), 0))
    *
    INDEX($AN$5:$AN$77, MATCH($A152,_xlfn.ANCHORARRAY( $W$5), 0))
)</f>
        <v>0.83227893347369686</v>
      </c>
      <c r="AF152" s="17" cm="1">
        <f t="array" ref="AF152">MMULT(
    MMULT(
        INDEX($X$5:$AM$77, MATCH(AF$100,_xlfn.ANCHORARRAY( $W$5), 0), 0),
        $F$5:$U$20
    ),
    TRANSPOSE(
        INDEX($X$5:$AM$77, MATCH($A152,_xlfn.ANCHORARRAY( $W$5), 0), 0)
    )
)
/
(
    INDEX($AN$5:$AN$77, MATCH(AF$100,_xlfn.ANCHORARRAY( $W$5), 0))
    *
    INDEX($AN$5:$AN$77, MATCH($A152,_xlfn.ANCHORARRAY( $W$5), 0))
)</f>
        <v>0.79234184853344969</v>
      </c>
      <c r="AG152" s="17" cm="1">
        <f t="array" ref="AG152">MMULT(
    MMULT(
        INDEX($X$5:$AM$77, MATCH(AG$100,_xlfn.ANCHORARRAY( $W$5), 0), 0),
        $F$5:$U$20
    ),
    TRANSPOSE(
        INDEX($X$5:$AM$77, MATCH($A152,_xlfn.ANCHORARRAY( $W$5), 0), 0)
    )
)
/
(
    INDEX($AN$5:$AN$77, MATCH(AG$100,_xlfn.ANCHORARRAY( $W$5), 0))
    *
    INDEX($AN$5:$AN$77, MATCH($A152,_xlfn.ANCHORARRAY( $W$5), 0))
)</f>
        <v>0.8136935510477461</v>
      </c>
      <c r="AH152" s="17" cm="1">
        <f t="array" ref="AH152">MMULT(
    MMULT(
        INDEX($X$5:$AM$77, MATCH(AH$100,_xlfn.ANCHORARRAY( $W$5), 0), 0),
        $F$5:$U$20
    ),
    TRANSPOSE(
        INDEX($X$5:$AM$77, MATCH($A152,_xlfn.ANCHORARRAY( $W$5), 0), 0)
    )
)
/
(
    INDEX($AN$5:$AN$77, MATCH(AH$100,_xlfn.ANCHORARRAY( $W$5), 0))
    *
    INDEX($AN$5:$AN$77, MATCH($A152,_xlfn.ANCHORARRAY( $W$5), 0))
)</f>
        <v>0.61679986437559442</v>
      </c>
      <c r="AI152" s="17" cm="1">
        <f t="array" ref="AI152">MMULT(
    MMULT(
        INDEX($X$5:$AM$77, MATCH(AI$100,_xlfn.ANCHORARRAY( $W$5), 0), 0),
        $F$5:$U$20
    ),
    TRANSPOSE(
        INDEX($X$5:$AM$77, MATCH($A152,_xlfn.ANCHORARRAY( $W$5), 0), 0)
    )
)
/
(
    INDEX($AN$5:$AN$77, MATCH(AI$100,_xlfn.ANCHORARRAY( $W$5), 0))
    *
    INDEX($AN$5:$AN$77, MATCH($A152,_xlfn.ANCHORARRAY( $W$5), 0))
)</f>
        <v>0.84620232456935129</v>
      </c>
      <c r="AJ152" s="17" cm="1">
        <f t="array" ref="AJ152">MMULT(
    MMULT(
        INDEX($X$5:$AM$77, MATCH(AJ$100,_xlfn.ANCHORARRAY( $W$5), 0), 0),
        $F$5:$U$20
    ),
    TRANSPOSE(
        INDEX($X$5:$AM$77, MATCH($A152,_xlfn.ANCHORARRAY( $W$5), 0), 0)
    )
)
/
(
    INDEX($AN$5:$AN$77, MATCH(AJ$100,_xlfn.ANCHORARRAY( $W$5), 0))
    *
    INDEX($AN$5:$AN$77, MATCH($A152,_xlfn.ANCHORARRAY( $W$5), 0))
)</f>
        <v>0.98478258950477293</v>
      </c>
      <c r="AK152" s="17" cm="1">
        <f t="array" ref="AK152">MMULT(
    MMULT(
        INDEX($X$5:$AM$77, MATCH(AK$100,_xlfn.ANCHORARRAY( $W$5), 0), 0),
        $F$5:$U$20
    ),
    TRANSPOSE(
        INDEX($X$5:$AM$77, MATCH($A152,_xlfn.ANCHORARRAY( $W$5), 0), 0)
    )
)
/
(
    INDEX($AN$5:$AN$77, MATCH(AK$100,_xlfn.ANCHORARRAY( $W$5), 0))
    *
    INDEX($AN$5:$AN$77, MATCH($A152,_xlfn.ANCHORARRAY( $W$5), 0))
)</f>
        <v>0.8412630140368913</v>
      </c>
      <c r="AL152" s="17" cm="1">
        <f t="array" ref="AL152">MMULT(
    MMULT(
        INDEX($X$5:$AM$77, MATCH(AL$100,_xlfn.ANCHORARRAY( $W$5), 0), 0),
        $F$5:$U$20
    ),
    TRANSPOSE(
        INDEX($X$5:$AM$77, MATCH($A152,_xlfn.ANCHORARRAY( $W$5), 0), 0)
    )
)
/
(
    INDEX($AN$5:$AN$77, MATCH(AL$100,_xlfn.ANCHORARRAY( $W$5), 0))
    *
    INDEX($AN$5:$AN$77, MATCH($A152,_xlfn.ANCHORARRAY( $W$5), 0))
)</f>
        <v>0.95325348144686872</v>
      </c>
      <c r="AM152" s="17" cm="1">
        <f t="array" ref="AM152">MMULT(
    MMULT(
        INDEX($X$5:$AM$77, MATCH(AM$100,_xlfn.ANCHORARRAY( $W$5), 0), 0),
        $F$5:$U$20
    ),
    TRANSPOSE(
        INDEX($X$5:$AM$77, MATCH($A152,_xlfn.ANCHORARRAY( $W$5), 0), 0)
    )
)
/
(
    INDEX($AN$5:$AN$77, MATCH(AM$100,_xlfn.ANCHORARRAY( $W$5), 0))
    *
    INDEX($AN$5:$AN$77, MATCH($A152,_xlfn.ANCHORARRAY( $W$5), 0))
)</f>
        <v>0.70643104320330719</v>
      </c>
      <c r="AN152" s="17" cm="1">
        <f t="array" ref="AN152">MMULT(
    MMULT(
        INDEX($X$5:$AM$77, MATCH(AN$100,_xlfn.ANCHORARRAY( $W$5), 0), 0),
        $F$5:$U$20
    ),
    TRANSPOSE(
        INDEX($X$5:$AM$77, MATCH($A152,_xlfn.ANCHORARRAY( $W$5), 0), 0)
    )
)
/
(
    INDEX($AN$5:$AN$77, MATCH(AN$100,_xlfn.ANCHORARRAY( $W$5), 0))
    *
    INDEX($AN$5:$AN$77, MATCH($A152,_xlfn.ANCHORARRAY( $W$5), 0))
)</f>
        <v>0.69111332343966081</v>
      </c>
      <c r="AO152" s="17" cm="1">
        <f t="array" ref="AO152">MMULT(
    MMULT(
        INDEX($X$5:$AM$77, MATCH(AO$100,_xlfn.ANCHORARRAY( $W$5), 0), 0),
        $F$5:$U$20
    ),
    TRANSPOSE(
        INDEX($X$5:$AM$77, MATCH($A152,_xlfn.ANCHORARRAY( $W$5), 0), 0)
    )
)
/
(
    INDEX($AN$5:$AN$77, MATCH(AO$100,_xlfn.ANCHORARRAY( $W$5), 0))
    *
    INDEX($AN$5:$AN$77, MATCH($A152,_xlfn.ANCHORARRAY( $W$5), 0))
)</f>
        <v>0.67237418319356179</v>
      </c>
      <c r="AP152" s="17" cm="1">
        <f t="array" ref="AP152">MMULT(
    MMULT(
        INDEX($X$5:$AM$77, MATCH(AP$100,_xlfn.ANCHORARRAY( $W$5), 0), 0),
        $F$5:$U$20
    ),
    TRANSPOSE(
        INDEX($X$5:$AM$77, MATCH($A152,_xlfn.ANCHORARRAY( $W$5), 0), 0)
    )
)
/
(
    INDEX($AN$5:$AN$77, MATCH(AP$100,_xlfn.ANCHORARRAY( $W$5), 0))
    *
    INDEX($AN$5:$AN$77, MATCH($A152,_xlfn.ANCHORARRAY( $W$5), 0))
)</f>
        <v>0.66115452742064607</v>
      </c>
      <c r="AQ152" s="17" cm="1">
        <f t="array" ref="AQ152">MMULT(
    MMULT(
        INDEX($X$5:$AM$77, MATCH(AQ$100,_xlfn.ANCHORARRAY( $W$5), 0), 0),
        $F$5:$U$20
    ),
    TRANSPOSE(
        INDEX($X$5:$AM$77, MATCH($A152,_xlfn.ANCHORARRAY( $W$5), 0), 0)
    )
)
/
(
    INDEX($AN$5:$AN$77, MATCH(AQ$100,_xlfn.ANCHORARRAY( $W$5), 0))
    *
    INDEX($AN$5:$AN$77, MATCH($A152,_xlfn.ANCHORARRAY( $W$5), 0))
)</f>
        <v>0.78172179577966716</v>
      </c>
      <c r="AR152" s="17" cm="1">
        <f t="array" ref="AR152">MMULT(
    MMULT(
        INDEX($X$5:$AM$77, MATCH(AR$100,_xlfn.ANCHORARRAY( $W$5), 0), 0),
        $F$5:$U$20
    ),
    TRANSPOSE(
        INDEX($X$5:$AM$77, MATCH($A152,_xlfn.ANCHORARRAY( $W$5), 0), 0)
    )
)
/
(
    INDEX($AN$5:$AN$77, MATCH(AR$100,_xlfn.ANCHORARRAY( $W$5), 0))
    *
    INDEX($AN$5:$AN$77, MATCH($A152,_xlfn.ANCHORARRAY( $W$5), 0))
)</f>
        <v>0.98128818400736628</v>
      </c>
      <c r="AS152" s="17" cm="1">
        <f t="array" ref="AS152">MMULT(
    MMULT(
        INDEX($X$5:$AM$77, MATCH(AS$100,_xlfn.ANCHORARRAY( $W$5), 0), 0),
        $F$5:$U$20
    ),
    TRANSPOSE(
        INDEX($X$5:$AM$77, MATCH($A152,_xlfn.ANCHORARRAY( $W$5), 0), 0)
    )
)
/
(
    INDEX($AN$5:$AN$77, MATCH(AS$100,_xlfn.ANCHORARRAY( $W$5), 0))
    *
    INDEX($AN$5:$AN$77, MATCH($A152,_xlfn.ANCHORARRAY( $W$5), 0))
)</f>
        <v>0.91142957472795805</v>
      </c>
      <c r="AT152" s="17" cm="1">
        <f t="array" ref="AT152">MMULT(
    MMULT(
        INDEX($X$5:$AM$77, MATCH(AT$100,_xlfn.ANCHORARRAY( $W$5), 0), 0),
        $F$5:$U$20
    ),
    TRANSPOSE(
        INDEX($X$5:$AM$77, MATCH($A152,_xlfn.ANCHORARRAY( $W$5), 0), 0)
    )
)
/
(
    INDEX($AN$5:$AN$77, MATCH(AT$100,_xlfn.ANCHORARRAY( $W$5), 0))
    *
    INDEX($AN$5:$AN$77, MATCH($A152,_xlfn.ANCHORARRAY( $W$5), 0))
)</f>
        <v>0.73694589480899131</v>
      </c>
      <c r="AU152" s="17" cm="1">
        <f t="array" ref="AU152">MMULT(
    MMULT(
        INDEX($X$5:$AM$77, MATCH(AU$100,_xlfn.ANCHORARRAY( $W$5), 0), 0),
        $F$5:$U$20
    ),
    TRANSPOSE(
        INDEX($X$5:$AM$77, MATCH($A152,_xlfn.ANCHORARRAY( $W$5), 0), 0)
    )
)
/
(
    INDEX($AN$5:$AN$77, MATCH(AU$100,_xlfn.ANCHORARRAY( $W$5), 0))
    *
    INDEX($AN$5:$AN$77, MATCH($A152,_xlfn.ANCHORARRAY( $W$5), 0))
)</f>
        <v>0.95500266960664593</v>
      </c>
      <c r="AV152" s="17" cm="1">
        <f t="array" ref="AV152">MMULT(
    MMULT(
        INDEX($X$5:$AM$77, MATCH(AV$100,_xlfn.ANCHORARRAY( $W$5), 0), 0),
        $F$5:$U$20
    ),
    TRANSPOSE(
        INDEX($X$5:$AM$77, MATCH($A152,_xlfn.ANCHORARRAY( $W$5), 0), 0)
    )
)
/
(
    INDEX($AN$5:$AN$77, MATCH(AV$100,_xlfn.ANCHORARRAY( $W$5), 0))
    *
    INDEX($AN$5:$AN$77, MATCH($A152,_xlfn.ANCHORARRAY( $W$5), 0))
)</f>
        <v>0.97603561208251954</v>
      </c>
      <c r="AW152" s="17" cm="1">
        <f t="array" ref="AW152">MMULT(
    MMULT(
        INDEX($X$5:$AM$77, MATCH(AW$100,_xlfn.ANCHORARRAY( $W$5), 0), 0),
        $F$5:$U$20
    ),
    TRANSPOSE(
        INDEX($X$5:$AM$77, MATCH($A152,_xlfn.ANCHORARRAY( $W$5), 0), 0)
    )
)
/
(
    INDEX($AN$5:$AN$77, MATCH(AW$100,_xlfn.ANCHORARRAY( $W$5), 0))
    *
    INDEX($AN$5:$AN$77, MATCH($A152,_xlfn.ANCHORARRAY( $W$5), 0))
)</f>
        <v>0.7041366182308082</v>
      </c>
      <c r="AX152" s="17" cm="1">
        <f t="array" ref="AX152">MMULT(
    MMULT(
        INDEX($X$5:$AM$77, MATCH(AX$100,_xlfn.ANCHORARRAY( $W$5), 0), 0),
        $F$5:$U$20
    ),
    TRANSPOSE(
        INDEX($X$5:$AM$77, MATCH($A152,_xlfn.ANCHORARRAY( $W$5), 0), 0)
    )
)
/
(
    INDEX($AN$5:$AN$77, MATCH(AX$100,_xlfn.ANCHORARRAY( $W$5), 0))
    *
    INDEX($AN$5:$AN$77, MATCH($A152,_xlfn.ANCHORARRAY( $W$5), 0))
)</f>
        <v>0.54703714996010011</v>
      </c>
      <c r="AY152" s="17" cm="1">
        <f t="array" ref="AY152">MMULT(
    MMULT(
        INDEX($X$5:$AM$77, MATCH(AY$100,_xlfn.ANCHORARRAY( $W$5), 0), 0),
        $F$5:$U$20
    ),
    TRANSPOSE(
        INDEX($X$5:$AM$77, MATCH($A152,_xlfn.ANCHORARRAY( $W$5), 0), 0)
    )
)
/
(
    INDEX($AN$5:$AN$77, MATCH(AY$100,_xlfn.ANCHORARRAY( $W$5), 0))
    *
    INDEX($AN$5:$AN$77, MATCH($A152,_xlfn.ANCHORARRAY( $W$5), 0))
)</f>
        <v>0.5838887142905187</v>
      </c>
      <c r="AZ152" s="17" cm="1">
        <f t="array" ref="AZ152">MMULT(
    MMULT(
        INDEX($X$5:$AM$77, MATCH(AZ$100,_xlfn.ANCHORARRAY( $W$5), 0), 0),
        $F$5:$U$20
    ),
    TRANSPOSE(
        INDEX($X$5:$AM$77, MATCH($A152,_xlfn.ANCHORARRAY( $W$5), 0), 0)
    )
)
/
(
    INDEX($AN$5:$AN$77, MATCH(AZ$100,_xlfn.ANCHORARRAY( $W$5), 0))
    *
    INDEX($AN$5:$AN$77, MATCH($A152,_xlfn.ANCHORARRAY( $W$5), 0))
)</f>
        <v>0.98409736215512067</v>
      </c>
      <c r="BA152" s="17" cm="1">
        <f t="array" ref="BA152">MMULT(
    MMULT(
        INDEX($X$5:$AM$77, MATCH(BA$100,_xlfn.ANCHORARRAY( $W$5), 0), 0),
        $F$5:$U$20
    ),
    TRANSPOSE(
        INDEX($X$5:$AM$77, MATCH($A152,_xlfn.ANCHORARRAY( $W$5), 0), 0)
    )
)
/
(
    INDEX($AN$5:$AN$77, MATCH(BA$100,_xlfn.ANCHORARRAY( $W$5), 0))
    *
    INDEX($AN$5:$AN$77, MATCH($A152,_xlfn.ANCHORARRAY( $W$5), 0))
)</f>
        <v>1.0000000000000002</v>
      </c>
      <c r="BB152" s="17" cm="1">
        <f t="array" ref="BB152">MMULT(
    MMULT(
        INDEX($X$5:$AM$77, MATCH(BB$100,_xlfn.ANCHORARRAY( $W$5), 0), 0),
        $F$5:$U$20
    ),
    TRANSPOSE(
        INDEX($X$5:$AM$77, MATCH($A152,_xlfn.ANCHORARRAY( $W$5), 0), 0)
    )
)
/
(
    INDEX($AN$5:$AN$77, MATCH(BB$100,_xlfn.ANCHORARRAY( $W$5), 0))
    *
    INDEX($AN$5:$AN$77, MATCH($A152,_xlfn.ANCHORARRAY( $W$5), 0))
)</f>
        <v>0.77428569389737711</v>
      </c>
      <c r="BC152" s="17" cm="1">
        <f t="array" ref="BC152">MMULT(
    MMULT(
        INDEX($X$5:$AM$77, MATCH(BC$100,_xlfn.ANCHORARRAY( $W$5), 0), 0),
        $F$5:$U$20
    ),
    TRANSPOSE(
        INDEX($X$5:$AM$77, MATCH($A152,_xlfn.ANCHORARRAY( $W$5), 0), 0)
    )
)
/
(
    INDEX($AN$5:$AN$77, MATCH(BC$100,_xlfn.ANCHORARRAY( $W$5), 0))
    *
    INDEX($AN$5:$AN$77, MATCH($A152,_xlfn.ANCHORARRAY( $W$5), 0))
)</f>
        <v>0.77067789815230503</v>
      </c>
      <c r="BD152" s="17" cm="1">
        <f t="array" ref="BD152">MMULT(
    MMULT(
        INDEX($X$5:$AM$77, MATCH(BD$100,_xlfn.ANCHORARRAY( $W$5), 0), 0),
        $F$5:$U$20
    ),
    TRANSPOSE(
        INDEX($X$5:$AM$77, MATCH($A152,_xlfn.ANCHORARRAY( $W$5), 0), 0)
    )
)
/
(
    INDEX($AN$5:$AN$77, MATCH(BD$100,_xlfn.ANCHORARRAY( $W$5), 0))
    *
    INDEX($AN$5:$AN$77, MATCH($A152,_xlfn.ANCHORARRAY( $W$5), 0))
)</f>
        <v>0.66981030594571589</v>
      </c>
      <c r="BE152" s="17" cm="1">
        <f t="array" ref="BE152">MMULT(
    MMULT(
        INDEX($X$5:$AM$77, MATCH(BE$100,_xlfn.ANCHORARRAY( $W$5), 0), 0),
        $F$5:$U$20
    ),
    TRANSPOSE(
        INDEX($X$5:$AM$77, MATCH($A152,_xlfn.ANCHORARRAY( $W$5), 0), 0)
    )
)
/
(
    INDEX($AN$5:$AN$77, MATCH(BE$100,_xlfn.ANCHORARRAY( $W$5), 0))
    *
    INDEX($AN$5:$AN$77, MATCH($A152,_xlfn.ANCHORARRAY( $W$5), 0))
)</f>
        <v>0.69626737336333</v>
      </c>
      <c r="BF152" s="17" cm="1">
        <f t="array" ref="BF152">MMULT(
    MMULT(
        INDEX($X$5:$AM$77, MATCH(BF$100,_xlfn.ANCHORARRAY( $W$5), 0), 0),
        $F$5:$U$20
    ),
    TRANSPOSE(
        INDEX($X$5:$AM$77, MATCH($A152,_xlfn.ANCHORARRAY( $W$5), 0), 0)
    )
)
/
(
    INDEX($AN$5:$AN$77, MATCH(BF$100,_xlfn.ANCHORARRAY( $W$5), 0))
    *
    INDEX($AN$5:$AN$77, MATCH($A152,_xlfn.ANCHORARRAY( $W$5), 0))
)</f>
        <v>0.93452094663803909</v>
      </c>
      <c r="BG152" s="17" cm="1">
        <f t="array" ref="BG152">MMULT(
    MMULT(
        INDEX($X$5:$AM$77, MATCH(BG$100,_xlfn.ANCHORARRAY( $W$5), 0), 0),
        $F$5:$U$20
    ),
    TRANSPOSE(
        INDEX($X$5:$AM$77, MATCH($A152,_xlfn.ANCHORARRAY( $W$5), 0), 0)
    )
)
/
(
    INDEX($AN$5:$AN$77, MATCH(BG$100,_xlfn.ANCHORARRAY( $W$5), 0))
    *
    INDEX($AN$5:$AN$77, MATCH($A152,_xlfn.ANCHORARRAY( $W$5), 0))
)</f>
        <v>0.96789370150255583</v>
      </c>
      <c r="BH152" s="17" cm="1">
        <f t="array" ref="BH152">MMULT(
    MMULT(
        INDEX($X$5:$AM$77, MATCH(BH$100,_xlfn.ANCHORARRAY( $W$5), 0), 0),
        $F$5:$U$20
    ),
    TRANSPOSE(
        INDEX($X$5:$AM$77, MATCH($A152,_xlfn.ANCHORARRAY( $W$5), 0), 0)
    )
)
/
(
    INDEX($AN$5:$AN$77, MATCH(BH$100,_xlfn.ANCHORARRAY( $W$5), 0))
    *
    INDEX($AN$5:$AN$77, MATCH($A152,_xlfn.ANCHORARRAY( $W$5), 0))
)</f>
        <v>0.75779775087464873</v>
      </c>
      <c r="BI152" s="17" cm="1">
        <f t="array" ref="BI152">MMULT(
    MMULT(
        INDEX($X$5:$AM$77, MATCH(BI$100,_xlfn.ANCHORARRAY( $W$5), 0), 0),
        $F$5:$U$20
    ),
    TRANSPOSE(
        INDEX($X$5:$AM$77, MATCH($A152,_xlfn.ANCHORARRAY( $W$5), 0), 0)
    )
)
/
(
    INDEX($AN$5:$AN$77, MATCH(BI$100,_xlfn.ANCHORARRAY( $W$5), 0))
    *
    INDEX($AN$5:$AN$77, MATCH($A152,_xlfn.ANCHORARRAY( $W$5), 0))
)</f>
        <v>0.56540024981189574</v>
      </c>
      <c r="BJ152" s="17" cm="1">
        <f t="array" ref="BJ152">MMULT(
    MMULT(
        INDEX($X$5:$AM$77, MATCH(BJ$100,_xlfn.ANCHORARRAY( $W$5), 0), 0),
        $F$5:$U$20
    ),
    TRANSPOSE(
        INDEX($X$5:$AM$77, MATCH($A152,_xlfn.ANCHORARRAY( $W$5), 0), 0)
    )
)
/
(
    INDEX($AN$5:$AN$77, MATCH(BJ$100,_xlfn.ANCHORARRAY( $W$5), 0))
    *
    INDEX($AN$5:$AN$77, MATCH($A152,_xlfn.ANCHORARRAY( $W$5), 0))
)</f>
        <v>0.88012690477618039</v>
      </c>
      <c r="BK152" s="17" cm="1">
        <f t="array" ref="BK152">MMULT(
    MMULT(
        INDEX($X$5:$AM$77, MATCH(BK$100,_xlfn.ANCHORARRAY( $W$5), 0), 0),
        $F$5:$U$20
    ),
    TRANSPOSE(
        INDEX($X$5:$AM$77, MATCH($A152,_xlfn.ANCHORARRAY( $W$5), 0), 0)
    )
)
/
(
    INDEX($AN$5:$AN$77, MATCH(BK$100,_xlfn.ANCHORARRAY( $W$5), 0))
    *
    INDEX($AN$5:$AN$77, MATCH($A152,_xlfn.ANCHORARRAY( $W$5), 0))
)</f>
        <v>0.68351609989771733</v>
      </c>
      <c r="BL152" s="17" cm="1">
        <f t="array" ref="BL152">MMULT(
    MMULT(
        INDEX($X$5:$AM$77, MATCH(BL$100,_xlfn.ANCHORARRAY( $W$5), 0), 0),
        $F$5:$U$20
    ),
    TRANSPOSE(
        INDEX($X$5:$AM$77, MATCH($A152,_xlfn.ANCHORARRAY( $W$5), 0), 0)
    )
)
/
(
    INDEX($AN$5:$AN$77, MATCH(BL$100,_xlfn.ANCHORARRAY( $W$5), 0))
    *
    INDEX($AN$5:$AN$77, MATCH($A152,_xlfn.ANCHORARRAY( $W$5), 0))
)</f>
        <v>0.7452217361973793</v>
      </c>
      <c r="BM152" s="17" cm="1">
        <f t="array" ref="BM152">MMULT(
    MMULT(
        INDEX($X$5:$AM$77, MATCH(BM$100,_xlfn.ANCHORARRAY( $W$5), 0), 0),
        $F$5:$U$20
    ),
    TRANSPOSE(
        INDEX($X$5:$AM$77, MATCH($A152,_xlfn.ANCHORARRAY( $W$5), 0), 0)
    )
)
/
(
    INDEX($AN$5:$AN$77, MATCH(BM$100,_xlfn.ANCHORARRAY( $W$5), 0))
    *
    INDEX($AN$5:$AN$77, MATCH($A152,_xlfn.ANCHORARRAY( $W$5), 0))
)</f>
        <v>0.77814417768774991</v>
      </c>
      <c r="BN152" s="17" cm="1">
        <f t="array" ref="BN152">MMULT(
    MMULT(
        INDEX($X$5:$AM$77, MATCH(BN$100,_xlfn.ANCHORARRAY( $W$5), 0), 0),
        $F$5:$U$20
    ),
    TRANSPOSE(
        INDEX($X$5:$AM$77, MATCH($A152,_xlfn.ANCHORARRAY( $W$5), 0), 0)
    )
)
/
(
    INDEX($AN$5:$AN$77, MATCH(BN$100,_xlfn.ANCHORARRAY( $W$5), 0))
    *
    INDEX($AN$5:$AN$77, MATCH($A152,_xlfn.ANCHORARRAY( $W$5), 0))
)</f>
        <v>0.68446937572879374</v>
      </c>
      <c r="BO152" s="17" cm="1">
        <f t="array" ref="BO152">MMULT(
    MMULT(
        INDEX($X$5:$AM$77, MATCH(BO$100,_xlfn.ANCHORARRAY( $W$5), 0), 0),
        $F$5:$U$20
    ),
    TRANSPOSE(
        INDEX($X$5:$AM$77, MATCH($A152,_xlfn.ANCHORARRAY( $W$5), 0), 0)
    )
)
/
(
    INDEX($AN$5:$AN$77, MATCH(BO$100,_xlfn.ANCHORARRAY( $W$5), 0))
    *
    INDEX($AN$5:$AN$77, MATCH($A152,_xlfn.ANCHORARRAY( $W$5), 0))
)</f>
        <v>0.84773775643777405</v>
      </c>
      <c r="BP152" s="17" cm="1">
        <f t="array" ref="BP152">MMULT(
    MMULT(
        INDEX($X$5:$AM$77, MATCH(BP$100,_xlfn.ANCHORARRAY( $W$5), 0), 0),
        $F$5:$U$20
    ),
    TRANSPOSE(
        INDEX($X$5:$AM$77, MATCH($A152,_xlfn.ANCHORARRAY( $W$5), 0), 0)
    )
)
/
(
    INDEX($AN$5:$AN$77, MATCH(BP$100,_xlfn.ANCHORARRAY( $W$5), 0))
    *
    INDEX($AN$5:$AN$77, MATCH($A152,_xlfn.ANCHORARRAY( $W$5), 0))
)</f>
        <v>0.90620937444871341</v>
      </c>
      <c r="BQ152" s="17" cm="1">
        <f t="array" ref="BQ152">MMULT(
    MMULT(
        INDEX($X$5:$AM$77, MATCH(BQ$100,_xlfn.ANCHORARRAY( $W$5), 0), 0),
        $F$5:$U$20
    ),
    TRANSPOSE(
        INDEX($X$5:$AM$77, MATCH($A152,_xlfn.ANCHORARRAY( $W$5), 0), 0)
    )
)
/
(
    INDEX($AN$5:$AN$77, MATCH(BQ$100,_xlfn.ANCHORARRAY( $W$5), 0))
    *
    INDEX($AN$5:$AN$77, MATCH($A152,_xlfn.ANCHORARRAY( $W$5), 0))
)</f>
        <v>0.71878362729994572</v>
      </c>
      <c r="BR152" s="17" cm="1">
        <f t="array" ref="BR152">MMULT(
    MMULT(
        INDEX($X$5:$AM$77, MATCH(BR$100,_xlfn.ANCHORARRAY( $W$5), 0), 0),
        $F$5:$U$20
    ),
    TRANSPOSE(
        INDEX($X$5:$AM$77, MATCH($A152,_xlfn.ANCHORARRAY( $W$5), 0), 0)
    )
)
/
(
    INDEX($AN$5:$AN$77, MATCH(BR$100,_xlfn.ANCHORARRAY( $W$5), 0))
    *
    INDEX($AN$5:$AN$77, MATCH($A152,_xlfn.ANCHORARRAY( $W$5), 0))
)</f>
        <v>0.80427699112604611</v>
      </c>
      <c r="BS152" s="17" cm="1">
        <f t="array" ref="BS152">MMULT(
    MMULT(
        INDEX($X$5:$AM$77, MATCH(BS$100,_xlfn.ANCHORARRAY( $W$5), 0), 0),
        $F$5:$U$20
    ),
    TRANSPOSE(
        INDEX($X$5:$AM$77, MATCH($A152,_xlfn.ANCHORARRAY( $W$5), 0), 0)
    )
)
/
(
    INDEX($AN$5:$AN$77, MATCH(BS$100,_xlfn.ANCHORARRAY( $W$5), 0))
    *
    INDEX($AN$5:$AN$77, MATCH($A152,_xlfn.ANCHORARRAY( $W$5), 0))
)</f>
        <v>0.92503364109290631</v>
      </c>
      <c r="BT152" s="17" cm="1">
        <f t="array" ref="BT152">MMULT(
    MMULT(
        INDEX($X$5:$AM$77, MATCH(BT$100,_xlfn.ANCHORARRAY( $W$5), 0), 0),
        $F$5:$U$20
    ),
    TRANSPOSE(
        INDEX($X$5:$AM$77, MATCH($A152,_xlfn.ANCHORARRAY( $W$5), 0), 0)
    )
)
/
(
    INDEX($AN$5:$AN$77, MATCH(BT$100,_xlfn.ANCHORARRAY( $W$5), 0))
    *
    INDEX($AN$5:$AN$77, MATCH($A152,_xlfn.ANCHORARRAY( $W$5), 0))
)</f>
        <v>0.92276253245259721</v>
      </c>
      <c r="BU152" s="17" cm="1">
        <f t="array" ref="BU152">MMULT(
    MMULT(
        INDEX($X$5:$AM$77, MATCH(BU$100,_xlfn.ANCHORARRAY( $W$5), 0), 0),
        $F$5:$U$20
    ),
    TRANSPOSE(
        INDEX($X$5:$AM$77, MATCH($A152,_xlfn.ANCHORARRAY( $W$5), 0), 0)
    )
)
/
(
    INDEX($AN$5:$AN$77, MATCH(BU$100,_xlfn.ANCHORARRAY( $W$5), 0))
    *
    INDEX($AN$5:$AN$77, MATCH($A152,_xlfn.ANCHORARRAY( $W$5), 0))
)</f>
        <v>0.78026614950871032</v>
      </c>
      <c r="BV152" s="17" cm="1">
        <f t="array" ref="BV152">MMULT(
    MMULT(
        INDEX($X$5:$AM$77, MATCH(BV$100,_xlfn.ANCHORARRAY( $W$5), 0), 0),
        $F$5:$U$20
    ),
    TRANSPOSE(
        INDEX($X$5:$AM$77, MATCH($A152,_xlfn.ANCHORARRAY( $W$5), 0), 0)
    )
)
/
(
    INDEX($AN$5:$AN$77, MATCH(BV$100,_xlfn.ANCHORARRAY( $W$5), 0))
    *
    INDEX($AN$5:$AN$77, MATCH($A152,_xlfn.ANCHORARRAY( $W$5), 0))
)</f>
        <v>0.70418327512556245</v>
      </c>
    </row>
    <row r="153" spans="1:74" x14ac:dyDescent="0.3">
      <c r="A153" s="7" t="str">
        <v>Santana, Edgar</v>
      </c>
      <c r="B153" s="17" cm="1">
        <f t="array" ref="B153">MMULT(
    MMULT(
        INDEX($X$5:$AM$77, MATCH(B$100,_xlfn.ANCHORARRAY( $W$5), 0), 0),
        $F$5:$U$20
    ),
    TRANSPOSE(
        INDEX($X$5:$AM$77, MATCH($A153,_xlfn.ANCHORARRAY( $W$5), 0), 0)
    )
)
/
(
    INDEX($AN$5:$AN$77, MATCH(B$100,_xlfn.ANCHORARRAY( $W$5), 0))
    *
    INDEX($AN$5:$AN$77, MATCH($A153,_xlfn.ANCHORARRAY( $W$5), 0))
)</f>
        <v>0.75586155741582028</v>
      </c>
      <c r="C153" s="17" cm="1">
        <f t="array" ref="C153">MMULT(
    MMULT(
        INDEX($X$5:$AM$77, MATCH(C$100,_xlfn.ANCHORARRAY( $W$5), 0), 0),
        $F$5:$U$20
    ),
    TRANSPOSE(
        INDEX($X$5:$AM$77, MATCH($A153,_xlfn.ANCHORARRAY( $W$5), 0), 0)
    )
)
/
(
    INDEX($AN$5:$AN$77, MATCH(C$100,_xlfn.ANCHORARRAY( $W$5), 0))
    *
    INDEX($AN$5:$AN$77, MATCH($A153,_xlfn.ANCHORARRAY( $W$5), 0))
)</f>
        <v>0.5533555576958793</v>
      </c>
      <c r="D153" s="17" cm="1">
        <f t="array" ref="D153">MMULT(
    MMULT(
        INDEX($X$5:$AM$77, MATCH(D$100,_xlfn.ANCHORARRAY( $W$5), 0), 0),
        $F$5:$U$20
    ),
    TRANSPOSE(
        INDEX($X$5:$AM$77, MATCH($A153,_xlfn.ANCHORARRAY( $W$5), 0), 0)
    )
)
/
(
    INDEX($AN$5:$AN$77, MATCH(D$100,_xlfn.ANCHORARRAY( $W$5), 0))
    *
    INDEX($AN$5:$AN$77, MATCH($A153,_xlfn.ANCHORARRAY( $W$5), 0))
)</f>
        <v>0.77454617981026463</v>
      </c>
      <c r="E153" s="17" cm="1">
        <f t="array" ref="E153">MMULT(
    MMULT(
        INDEX($X$5:$AM$77, MATCH(E$100,_xlfn.ANCHORARRAY( $W$5), 0), 0),
        $F$5:$U$20
    ),
    TRANSPOSE(
        INDEX($X$5:$AM$77, MATCH($A153,_xlfn.ANCHORARRAY( $W$5), 0), 0)
    )
)
/
(
    INDEX($AN$5:$AN$77, MATCH(E$100,_xlfn.ANCHORARRAY( $W$5), 0))
    *
    INDEX($AN$5:$AN$77, MATCH($A153,_xlfn.ANCHORARRAY( $W$5), 0))
)</f>
        <v>0.96561216823483931</v>
      </c>
      <c r="F153" s="17" cm="1">
        <f t="array" ref="F153">MMULT(
    MMULT(
        INDEX($X$5:$AM$77, MATCH(F$100,_xlfn.ANCHORARRAY( $W$5), 0), 0),
        $F$5:$U$20
    ),
    TRANSPOSE(
        INDEX($X$5:$AM$77, MATCH($A153,_xlfn.ANCHORARRAY( $W$5), 0), 0)
    )
)
/
(
    INDEX($AN$5:$AN$77, MATCH(F$100,_xlfn.ANCHORARRAY( $W$5), 0))
    *
    INDEX($AN$5:$AN$77, MATCH($A153,_xlfn.ANCHORARRAY( $W$5), 0))
)</f>
        <v>0.80554587209382267</v>
      </c>
      <c r="G153" s="17" cm="1">
        <f t="array" ref="G153">MMULT(
    MMULT(
        INDEX($X$5:$AM$77, MATCH(G$100,_xlfn.ANCHORARRAY( $W$5), 0), 0),
        $F$5:$U$20
    ),
    TRANSPOSE(
        INDEX($X$5:$AM$77, MATCH($A153,_xlfn.ANCHORARRAY( $W$5), 0), 0)
    )
)
/
(
    INDEX($AN$5:$AN$77, MATCH(G$100,_xlfn.ANCHORARRAY( $W$5), 0))
    *
    INDEX($AN$5:$AN$77, MATCH($A153,_xlfn.ANCHORARRAY( $W$5), 0))
)</f>
        <v>0.49677870849968397</v>
      </c>
      <c r="H153" s="17" cm="1">
        <f t="array" ref="H153">MMULT(
    MMULT(
        INDEX($X$5:$AM$77, MATCH(H$100,_xlfn.ANCHORARRAY( $W$5), 0), 0),
        $F$5:$U$20
    ),
    TRANSPOSE(
        INDEX($X$5:$AM$77, MATCH($A153,_xlfn.ANCHORARRAY( $W$5), 0), 0)
    )
)
/
(
    INDEX($AN$5:$AN$77, MATCH(H$100,_xlfn.ANCHORARRAY( $W$5), 0))
    *
    INDEX($AN$5:$AN$77, MATCH($A153,_xlfn.ANCHORARRAY( $W$5), 0))
)</f>
        <v>0.66069554306322598</v>
      </c>
      <c r="I153" s="17" cm="1">
        <f t="array" ref="I153">MMULT(
    MMULT(
        INDEX($X$5:$AM$77, MATCH(I$100,_xlfn.ANCHORARRAY( $W$5), 0), 0),
        $F$5:$U$20
    ),
    TRANSPOSE(
        INDEX($X$5:$AM$77, MATCH($A153,_xlfn.ANCHORARRAY( $W$5), 0), 0)
    )
)
/
(
    INDEX($AN$5:$AN$77, MATCH(I$100,_xlfn.ANCHORARRAY( $W$5), 0))
    *
    INDEX($AN$5:$AN$77, MATCH($A153,_xlfn.ANCHORARRAY( $W$5), 0))
)</f>
        <v>0.73224223152431012</v>
      </c>
      <c r="J153" s="17" cm="1">
        <f t="array" ref="J153">MMULT(
    MMULT(
        INDEX($X$5:$AM$77, MATCH(J$100,_xlfn.ANCHORARRAY( $W$5), 0), 0),
        $F$5:$U$20
    ),
    TRANSPOSE(
        INDEX($X$5:$AM$77, MATCH($A153,_xlfn.ANCHORARRAY( $W$5), 0), 0)
    )
)
/
(
    INDEX($AN$5:$AN$77, MATCH(J$100,_xlfn.ANCHORARRAY( $W$5), 0))
    *
    INDEX($AN$5:$AN$77, MATCH($A153,_xlfn.ANCHORARRAY( $W$5), 0))
)</f>
        <v>0.80220955170073782</v>
      </c>
      <c r="K153" s="17" cm="1">
        <f t="array" ref="K153">MMULT(
    MMULT(
        INDEX($X$5:$AM$77, MATCH(K$100,_xlfn.ANCHORARRAY( $W$5), 0), 0),
        $F$5:$U$20
    ),
    TRANSPOSE(
        INDEX($X$5:$AM$77, MATCH($A153,_xlfn.ANCHORARRAY( $W$5), 0), 0)
    )
)
/
(
    INDEX($AN$5:$AN$77, MATCH(K$100,_xlfn.ANCHORARRAY( $W$5), 0))
    *
    INDEX($AN$5:$AN$77, MATCH($A153,_xlfn.ANCHORARRAY( $W$5), 0))
)</f>
        <v>0.94867009427489002</v>
      </c>
      <c r="L153" s="17" cm="1">
        <f t="array" ref="L153">MMULT(
    MMULT(
        INDEX($X$5:$AM$77, MATCH(L$100,_xlfn.ANCHORARRAY( $W$5), 0), 0),
        $F$5:$U$20
    ),
    TRANSPOSE(
        INDEX($X$5:$AM$77, MATCH($A153,_xlfn.ANCHORARRAY( $W$5), 0), 0)
    )
)
/
(
    INDEX($AN$5:$AN$77, MATCH(L$100,_xlfn.ANCHORARRAY( $W$5), 0))
    *
    INDEX($AN$5:$AN$77, MATCH($A153,_xlfn.ANCHORARRAY( $W$5), 0))
)</f>
        <v>0.76686872732989819</v>
      </c>
      <c r="M153" s="17" cm="1">
        <f t="array" ref="M153">MMULT(
    MMULT(
        INDEX($X$5:$AM$77, MATCH(M$100,_xlfn.ANCHORARRAY( $W$5), 0), 0),
        $F$5:$U$20
    ),
    TRANSPOSE(
        INDEX($X$5:$AM$77, MATCH($A153,_xlfn.ANCHORARRAY( $W$5), 0), 0)
    )
)
/
(
    INDEX($AN$5:$AN$77, MATCH(M$100,_xlfn.ANCHORARRAY( $W$5), 0))
    *
    INDEX($AN$5:$AN$77, MATCH($A153,_xlfn.ANCHORARRAY( $W$5), 0))
)</f>
        <v>0.75073687657530375</v>
      </c>
      <c r="N153" s="17" cm="1">
        <f t="array" ref="N153">MMULT(
    MMULT(
        INDEX($X$5:$AM$77, MATCH(N$100,_xlfn.ANCHORARRAY( $W$5), 0), 0),
        $F$5:$U$20
    ),
    TRANSPOSE(
        INDEX($X$5:$AM$77, MATCH($A153,_xlfn.ANCHORARRAY( $W$5), 0), 0)
    )
)
/
(
    INDEX($AN$5:$AN$77, MATCH(N$100,_xlfn.ANCHORARRAY( $W$5), 0))
    *
    INDEX($AN$5:$AN$77, MATCH($A153,_xlfn.ANCHORARRAY( $W$5), 0))
)</f>
        <v>0.73800666491781231</v>
      </c>
      <c r="O153" s="17" cm="1">
        <f t="array" ref="O153">MMULT(
    MMULT(
        INDEX($X$5:$AM$77, MATCH(O$100,_xlfn.ANCHORARRAY( $W$5), 0), 0),
        $F$5:$U$20
    ),
    TRANSPOSE(
        INDEX($X$5:$AM$77, MATCH($A153,_xlfn.ANCHORARRAY( $W$5), 0), 0)
    )
)
/
(
    INDEX($AN$5:$AN$77, MATCH(O$100,_xlfn.ANCHORARRAY( $W$5), 0))
    *
    INDEX($AN$5:$AN$77, MATCH($A153,_xlfn.ANCHORARRAY( $W$5), 0))
)</f>
        <v>0.73784314565425346</v>
      </c>
      <c r="P153" s="17" cm="1">
        <f t="array" ref="P153">MMULT(
    MMULT(
        INDEX($X$5:$AM$77, MATCH(P$100,_xlfn.ANCHORARRAY( $W$5), 0), 0),
        $F$5:$U$20
    ),
    TRANSPOSE(
        INDEX($X$5:$AM$77, MATCH($A153,_xlfn.ANCHORARRAY( $W$5), 0), 0)
    )
)
/
(
    INDEX($AN$5:$AN$77, MATCH(P$100,_xlfn.ANCHORARRAY( $W$5), 0))
    *
    INDEX($AN$5:$AN$77, MATCH($A153,_xlfn.ANCHORARRAY( $W$5), 0))
)</f>
        <v>0.78182086508089466</v>
      </c>
      <c r="Q153" s="17" cm="1">
        <f t="array" ref="Q153">MMULT(
    MMULT(
        INDEX($X$5:$AM$77, MATCH(Q$100,_xlfn.ANCHORARRAY( $W$5), 0), 0),
        $F$5:$U$20
    ),
    TRANSPOSE(
        INDEX($X$5:$AM$77, MATCH($A153,_xlfn.ANCHORARRAY( $W$5), 0), 0)
    )
)
/
(
    INDEX($AN$5:$AN$77, MATCH(Q$100,_xlfn.ANCHORARRAY( $W$5), 0))
    *
    INDEX($AN$5:$AN$77, MATCH($A153,_xlfn.ANCHORARRAY( $W$5), 0))
)</f>
        <v>0.64245313461309228</v>
      </c>
      <c r="R153" s="17" cm="1">
        <f t="array" ref="R153">MMULT(
    MMULT(
        INDEX($X$5:$AM$77, MATCH(R$100,_xlfn.ANCHORARRAY( $W$5), 0), 0),
        $F$5:$U$20
    ),
    TRANSPOSE(
        INDEX($X$5:$AM$77, MATCH($A153,_xlfn.ANCHORARRAY( $W$5), 0), 0)
    )
)
/
(
    INDEX($AN$5:$AN$77, MATCH(R$100,_xlfn.ANCHORARRAY( $W$5), 0))
    *
    INDEX($AN$5:$AN$77, MATCH($A153,_xlfn.ANCHORARRAY( $W$5), 0))
)</f>
        <v>0.75288194161549282</v>
      </c>
      <c r="S153" s="17" cm="1">
        <f t="array" ref="S153">MMULT(
    MMULT(
        INDEX($X$5:$AM$77, MATCH(S$100,_xlfn.ANCHORARRAY( $W$5), 0), 0),
        $F$5:$U$20
    ),
    TRANSPOSE(
        INDEX($X$5:$AM$77, MATCH($A153,_xlfn.ANCHORARRAY( $W$5), 0), 0)
    )
)
/
(
    INDEX($AN$5:$AN$77, MATCH(S$100,_xlfn.ANCHORARRAY( $W$5), 0))
    *
    INDEX($AN$5:$AN$77, MATCH($A153,_xlfn.ANCHORARRAY( $W$5), 0))
)</f>
        <v>0.65682908903488813</v>
      </c>
      <c r="T153" s="17" cm="1">
        <f t="array" ref="T153">MMULT(
    MMULT(
        INDEX($X$5:$AM$77, MATCH(T$100,_xlfn.ANCHORARRAY( $W$5), 0), 0),
        $F$5:$U$20
    ),
    TRANSPOSE(
        INDEX($X$5:$AM$77, MATCH($A153,_xlfn.ANCHORARRAY( $W$5), 0), 0)
    )
)
/
(
    INDEX($AN$5:$AN$77, MATCH(T$100,_xlfn.ANCHORARRAY( $W$5), 0))
    *
    INDEX($AN$5:$AN$77, MATCH($A153,_xlfn.ANCHORARRAY( $W$5), 0))
)</f>
        <v>0.22884467735312752</v>
      </c>
      <c r="U153" s="17" cm="1">
        <f t="array" ref="U153">MMULT(
    MMULT(
        INDEX($X$5:$AM$77, MATCH(U$100,_xlfn.ANCHORARRAY( $W$5), 0), 0),
        $F$5:$U$20
    ),
    TRANSPOSE(
        INDEX($X$5:$AM$77, MATCH($A153,_xlfn.ANCHORARRAY( $W$5), 0), 0)
    )
)
/
(
    INDEX($AN$5:$AN$77, MATCH(U$100,_xlfn.ANCHORARRAY( $W$5), 0))
    *
    INDEX($AN$5:$AN$77, MATCH($A153,_xlfn.ANCHORARRAY( $W$5), 0))
)</f>
        <v>0.76228309047128373</v>
      </c>
      <c r="V153" s="17" cm="1">
        <f t="array" ref="V153">MMULT(
    MMULT(
        INDEX($X$5:$AM$77, MATCH(V$100,_xlfn.ANCHORARRAY( $W$5), 0), 0),
        $F$5:$U$20
    ),
    TRANSPOSE(
        INDEX($X$5:$AM$77, MATCH($A153,_xlfn.ANCHORARRAY( $W$5), 0), 0)
    )
)
/
(
    INDEX($AN$5:$AN$77, MATCH(V$100,_xlfn.ANCHORARRAY( $W$5), 0))
    *
    INDEX($AN$5:$AN$77, MATCH($A153,_xlfn.ANCHORARRAY( $W$5), 0))
)</f>
        <v>0.69219869924363209</v>
      </c>
      <c r="W153" s="17" cm="1">
        <f t="array" ref="W153">MMULT(
    MMULT(
        INDEX($X$5:$AM$77, MATCH(W$100,_xlfn.ANCHORARRAY( $W$5), 0), 0),
        $F$5:$U$20
    ),
    TRANSPOSE(
        INDEX($X$5:$AM$77, MATCH($A153,_xlfn.ANCHORARRAY( $W$5), 0), 0)
    )
)
/
(
    INDEX($AN$5:$AN$77, MATCH(W$100,_xlfn.ANCHORARRAY( $W$5), 0))
    *
    INDEX($AN$5:$AN$77, MATCH($A153,_xlfn.ANCHORARRAY( $W$5), 0))
)</f>
        <v>0.68055354868647711</v>
      </c>
      <c r="X153" s="17" cm="1">
        <f t="array" ref="X153">MMULT(
    MMULT(
        INDEX($X$5:$AM$77, MATCH(X$100,_xlfn.ANCHORARRAY( $W$5), 0), 0),
        $F$5:$U$20
    ),
    TRANSPOSE(
        INDEX($X$5:$AM$77, MATCH($A153,_xlfn.ANCHORARRAY( $W$5), 0), 0)
    )
)
/
(
    INDEX($AN$5:$AN$77, MATCH(X$100,_xlfn.ANCHORARRAY( $W$5), 0))
    *
    INDEX($AN$5:$AN$77, MATCH($A153,_xlfn.ANCHORARRAY( $W$5), 0))
)</f>
        <v>0.78513429068078944</v>
      </c>
      <c r="Y153" s="17" cm="1">
        <f t="array" ref="Y153">MMULT(
    MMULT(
        INDEX($X$5:$AM$77, MATCH(Y$100,_xlfn.ANCHORARRAY( $W$5), 0), 0),
        $F$5:$U$20
    ),
    TRANSPOSE(
        INDEX($X$5:$AM$77, MATCH($A153,_xlfn.ANCHORARRAY( $W$5), 0), 0)
    )
)
/
(
    INDEX($AN$5:$AN$77, MATCH(Y$100,_xlfn.ANCHORARRAY( $W$5), 0))
    *
    INDEX($AN$5:$AN$77, MATCH($A153,_xlfn.ANCHORARRAY( $W$5), 0))
)</f>
        <v>0.67819024735986477</v>
      </c>
      <c r="Z153" s="17" cm="1">
        <f t="array" ref="Z153">MMULT(
    MMULT(
        INDEX($X$5:$AM$77, MATCH(Z$100,_xlfn.ANCHORARRAY( $W$5), 0), 0),
        $F$5:$U$20
    ),
    TRANSPOSE(
        INDEX($X$5:$AM$77, MATCH($A153,_xlfn.ANCHORARRAY( $W$5), 0), 0)
    )
)
/
(
    INDEX($AN$5:$AN$77, MATCH(Z$100,_xlfn.ANCHORARRAY( $W$5), 0))
    *
    INDEX($AN$5:$AN$77, MATCH($A153,_xlfn.ANCHORARRAY( $W$5), 0))
)</f>
        <v>0.7841795972407084</v>
      </c>
      <c r="AA153" s="17" cm="1">
        <f t="array" ref="AA153">MMULT(
    MMULT(
        INDEX($X$5:$AM$77, MATCH(AA$100,_xlfn.ANCHORARRAY( $W$5), 0), 0),
        $F$5:$U$20
    ),
    TRANSPOSE(
        INDEX($X$5:$AM$77, MATCH($A153,_xlfn.ANCHORARRAY( $W$5), 0), 0)
    )
)
/
(
    INDEX($AN$5:$AN$77, MATCH(AA$100,_xlfn.ANCHORARRAY( $W$5), 0))
    *
    INDEX($AN$5:$AN$77, MATCH($A153,_xlfn.ANCHORARRAY( $W$5), 0))
)</f>
        <v>0.76990759064988978</v>
      </c>
      <c r="AB153" s="17" cm="1">
        <f t="array" ref="AB153">MMULT(
    MMULT(
        INDEX($X$5:$AM$77, MATCH(AB$100,_xlfn.ANCHORARRAY( $W$5), 0), 0),
        $F$5:$U$20
    ),
    TRANSPOSE(
        INDEX($X$5:$AM$77, MATCH($A153,_xlfn.ANCHORARRAY( $W$5), 0), 0)
    )
)
/
(
    INDEX($AN$5:$AN$77, MATCH(AB$100,_xlfn.ANCHORARRAY( $W$5), 0))
    *
    INDEX($AN$5:$AN$77, MATCH($A153,_xlfn.ANCHORARRAY( $W$5), 0))
)</f>
        <v>0.91522287679954073</v>
      </c>
      <c r="AC153" s="17" cm="1">
        <f t="array" ref="AC153">MMULT(
    MMULT(
        INDEX($X$5:$AM$77, MATCH(AC$100,_xlfn.ANCHORARRAY( $W$5), 0), 0),
        $F$5:$U$20
    ),
    TRANSPOSE(
        INDEX($X$5:$AM$77, MATCH($A153,_xlfn.ANCHORARRAY( $W$5), 0), 0)
    )
)
/
(
    INDEX($AN$5:$AN$77, MATCH(AC$100,_xlfn.ANCHORARRAY( $W$5), 0))
    *
    INDEX($AN$5:$AN$77, MATCH($A153,_xlfn.ANCHORARRAY( $W$5), 0))
)</f>
        <v>0.86665915428918905</v>
      </c>
      <c r="AD153" s="17" cm="1">
        <f t="array" ref="AD153">MMULT(
    MMULT(
        INDEX($X$5:$AM$77, MATCH(AD$100,_xlfn.ANCHORARRAY( $W$5), 0), 0),
        $F$5:$U$20
    ),
    TRANSPOSE(
        INDEX($X$5:$AM$77, MATCH($A153,_xlfn.ANCHORARRAY( $W$5), 0), 0)
    )
)
/
(
    INDEX($AN$5:$AN$77, MATCH(AD$100,_xlfn.ANCHORARRAY( $W$5), 0))
    *
    INDEX($AN$5:$AN$77, MATCH($A153,_xlfn.ANCHORARRAY( $W$5), 0))
)</f>
        <v>0.78333304193753106</v>
      </c>
      <c r="AE153" s="17" cm="1">
        <f t="array" ref="AE153">MMULT(
    MMULT(
        INDEX($X$5:$AM$77, MATCH(AE$100,_xlfn.ANCHORARRAY( $W$5), 0), 0),
        $F$5:$U$20
    ),
    TRANSPOSE(
        INDEX($X$5:$AM$77, MATCH($A153,_xlfn.ANCHORARRAY( $W$5), 0), 0)
    )
)
/
(
    INDEX($AN$5:$AN$77, MATCH(AE$100,_xlfn.ANCHORARRAY( $W$5), 0))
    *
    INDEX($AN$5:$AN$77, MATCH($A153,_xlfn.ANCHORARRAY( $W$5), 0))
)</f>
        <v>0.62411666973407853</v>
      </c>
      <c r="AF153" s="17" cm="1">
        <f t="array" ref="AF153">MMULT(
    MMULT(
        INDEX($X$5:$AM$77, MATCH(AF$100,_xlfn.ANCHORARRAY( $W$5), 0), 0),
        $F$5:$U$20
    ),
    TRANSPOSE(
        INDEX($X$5:$AM$77, MATCH($A153,_xlfn.ANCHORARRAY( $W$5), 0), 0)
    )
)
/
(
    INDEX($AN$5:$AN$77, MATCH(AF$100,_xlfn.ANCHORARRAY( $W$5), 0))
    *
    INDEX($AN$5:$AN$77, MATCH($A153,_xlfn.ANCHORARRAY( $W$5), 0))
)</f>
        <v>0.73853110377377196</v>
      </c>
      <c r="AG153" s="17" cm="1">
        <f t="array" ref="AG153">MMULT(
    MMULT(
        INDEX($X$5:$AM$77, MATCH(AG$100,_xlfn.ANCHORARRAY( $W$5), 0), 0),
        $F$5:$U$20
    ),
    TRANSPOSE(
        INDEX($X$5:$AM$77, MATCH($A153,_xlfn.ANCHORARRAY( $W$5), 0), 0)
    )
)
/
(
    INDEX($AN$5:$AN$77, MATCH(AG$100,_xlfn.ANCHORARRAY( $W$5), 0))
    *
    INDEX($AN$5:$AN$77, MATCH($A153,_xlfn.ANCHORARRAY( $W$5), 0))
)</f>
        <v>0.75120154468507672</v>
      </c>
      <c r="AH153" s="17" cm="1">
        <f t="array" ref="AH153">MMULT(
    MMULT(
        INDEX($X$5:$AM$77, MATCH(AH$100,_xlfn.ANCHORARRAY( $W$5), 0), 0),
        $F$5:$U$20
    ),
    TRANSPOSE(
        INDEX($X$5:$AM$77, MATCH($A153,_xlfn.ANCHORARRAY( $W$5), 0), 0)
    )
)
/
(
    INDEX($AN$5:$AN$77, MATCH(AH$100,_xlfn.ANCHORARRAY( $W$5), 0))
    *
    INDEX($AN$5:$AN$77, MATCH($A153,_xlfn.ANCHORARRAY( $W$5), 0))
)</f>
        <v>0.48508116547226449</v>
      </c>
      <c r="AI153" s="17" cm="1">
        <f t="array" ref="AI153">MMULT(
    MMULT(
        INDEX($X$5:$AM$77, MATCH(AI$100,_xlfn.ANCHORARRAY( $W$5), 0), 0),
        $F$5:$U$20
    ),
    TRANSPOSE(
        INDEX($X$5:$AM$77, MATCH($A153,_xlfn.ANCHORARRAY( $W$5), 0), 0)
    )
)
/
(
    INDEX($AN$5:$AN$77, MATCH(AI$100,_xlfn.ANCHORARRAY( $W$5), 0))
    *
    INDEX($AN$5:$AN$77, MATCH($A153,_xlfn.ANCHORARRAY( $W$5), 0))
)</f>
        <v>0.76144437608913795</v>
      </c>
      <c r="AJ153" s="17" cm="1">
        <f t="array" ref="AJ153">MMULT(
    MMULT(
        INDEX($X$5:$AM$77, MATCH(AJ$100,_xlfn.ANCHORARRAY( $W$5), 0), 0),
        $F$5:$U$20
    ),
    TRANSPOSE(
        INDEX($X$5:$AM$77, MATCH($A153,_xlfn.ANCHORARRAY( $W$5), 0), 0)
    )
)
/
(
    INDEX($AN$5:$AN$77, MATCH(AJ$100,_xlfn.ANCHORARRAY( $W$5), 0))
    *
    INDEX($AN$5:$AN$77, MATCH($A153,_xlfn.ANCHORARRAY( $W$5), 0))
)</f>
        <v>0.74206170132240568</v>
      </c>
      <c r="AK153" s="17" cm="1">
        <f t="array" ref="AK153">MMULT(
    MMULT(
        INDEX($X$5:$AM$77, MATCH(AK$100,_xlfn.ANCHORARRAY( $W$5), 0), 0),
        $F$5:$U$20
    ),
    TRANSPOSE(
        INDEX($X$5:$AM$77, MATCH($A153,_xlfn.ANCHORARRAY( $W$5), 0), 0)
    )
)
/
(
    INDEX($AN$5:$AN$77, MATCH(AK$100,_xlfn.ANCHORARRAY( $W$5), 0))
    *
    INDEX($AN$5:$AN$77, MATCH($A153,_xlfn.ANCHORARRAY( $W$5), 0))
)</f>
        <v>0.85473387833212922</v>
      </c>
      <c r="AL153" s="17" cm="1">
        <f t="array" ref="AL153">MMULT(
    MMULT(
        INDEX($X$5:$AM$77, MATCH(AL$100,_xlfn.ANCHORARRAY( $W$5), 0), 0),
        $F$5:$U$20
    ),
    TRANSPOSE(
        INDEX($X$5:$AM$77, MATCH($A153,_xlfn.ANCHORARRAY( $W$5), 0), 0)
    )
)
/
(
    INDEX($AN$5:$AN$77, MATCH(AL$100,_xlfn.ANCHORARRAY( $W$5), 0))
    *
    INDEX($AN$5:$AN$77, MATCH($A153,_xlfn.ANCHORARRAY( $W$5), 0))
)</f>
        <v>0.76784414855180105</v>
      </c>
      <c r="AM153" s="17" cm="1">
        <f t="array" ref="AM153">MMULT(
    MMULT(
        INDEX($X$5:$AM$77, MATCH(AM$100,_xlfn.ANCHORARRAY( $W$5), 0), 0),
        $F$5:$U$20
    ),
    TRANSPOSE(
        INDEX($X$5:$AM$77, MATCH($A153,_xlfn.ANCHORARRAY( $W$5), 0), 0)
    )
)
/
(
    INDEX($AN$5:$AN$77, MATCH(AM$100,_xlfn.ANCHORARRAY( $W$5), 0))
    *
    INDEX($AN$5:$AN$77, MATCH($A153,_xlfn.ANCHORARRAY( $W$5), 0))
)</f>
        <v>0.89257009761302619</v>
      </c>
      <c r="AN153" s="17" cm="1">
        <f t="array" ref="AN153">MMULT(
    MMULT(
        INDEX($X$5:$AM$77, MATCH(AN$100,_xlfn.ANCHORARRAY( $W$5), 0), 0),
        $F$5:$U$20
    ),
    TRANSPOSE(
        INDEX($X$5:$AM$77, MATCH($A153,_xlfn.ANCHORARRAY( $W$5), 0), 0)
    )
)
/
(
    INDEX($AN$5:$AN$77, MATCH(AN$100,_xlfn.ANCHORARRAY( $W$5), 0))
    *
    INDEX($AN$5:$AN$77, MATCH($A153,_xlfn.ANCHORARRAY( $W$5), 0))
)</f>
        <v>0.53319175839267197</v>
      </c>
      <c r="AO153" s="17" cm="1">
        <f t="array" ref="AO153">MMULT(
    MMULT(
        INDEX($X$5:$AM$77, MATCH(AO$100,_xlfn.ANCHORARRAY( $W$5), 0), 0),
        $F$5:$U$20
    ),
    TRANSPOSE(
        INDEX($X$5:$AM$77, MATCH($A153,_xlfn.ANCHORARRAY( $W$5), 0), 0)
    )
)
/
(
    INDEX($AN$5:$AN$77, MATCH(AO$100,_xlfn.ANCHORARRAY( $W$5), 0))
    *
    INDEX($AN$5:$AN$77, MATCH($A153,_xlfn.ANCHORARRAY( $W$5), 0))
)</f>
        <v>0.79308357941479657</v>
      </c>
      <c r="AP153" s="17" cm="1">
        <f t="array" ref="AP153">MMULT(
    MMULT(
        INDEX($X$5:$AM$77, MATCH(AP$100,_xlfn.ANCHORARRAY( $W$5), 0), 0),
        $F$5:$U$20
    ),
    TRANSPOSE(
        INDEX($X$5:$AM$77, MATCH($A153,_xlfn.ANCHORARRAY( $W$5), 0), 0)
    )
)
/
(
    INDEX($AN$5:$AN$77, MATCH(AP$100,_xlfn.ANCHORARRAY( $W$5), 0))
    *
    INDEX($AN$5:$AN$77, MATCH($A153,_xlfn.ANCHORARRAY( $W$5), 0))
)</f>
        <v>0.69107750388067679</v>
      </c>
      <c r="AQ153" s="17" cm="1">
        <f t="array" ref="AQ153">MMULT(
    MMULT(
        INDEX($X$5:$AM$77, MATCH(AQ$100,_xlfn.ANCHORARRAY( $W$5), 0), 0),
        $F$5:$U$20
    ),
    TRANSPOSE(
        INDEX($X$5:$AM$77, MATCH($A153,_xlfn.ANCHORARRAY( $W$5), 0), 0)
    )
)
/
(
    INDEX($AN$5:$AN$77, MATCH(AQ$100,_xlfn.ANCHORARRAY( $W$5), 0))
    *
    INDEX($AN$5:$AN$77, MATCH($A153,_xlfn.ANCHORARRAY( $W$5), 0))
)</f>
        <v>0.56454231333234361</v>
      </c>
      <c r="AR153" s="17" cm="1">
        <f t="array" ref="AR153">MMULT(
    MMULT(
        INDEX($X$5:$AM$77, MATCH(AR$100,_xlfn.ANCHORARRAY( $W$5), 0), 0),
        $F$5:$U$20
    ),
    TRANSPOSE(
        INDEX($X$5:$AM$77, MATCH($A153,_xlfn.ANCHORARRAY( $W$5), 0), 0)
    )
)
/
(
    INDEX($AN$5:$AN$77, MATCH(AR$100,_xlfn.ANCHORARRAY( $W$5), 0))
    *
    INDEX($AN$5:$AN$77, MATCH($A153,_xlfn.ANCHORARRAY( $W$5), 0))
)</f>
        <v>0.73969460842489188</v>
      </c>
      <c r="AS153" s="17" cm="1">
        <f t="array" ref="AS153">MMULT(
    MMULT(
        INDEX($X$5:$AM$77, MATCH(AS$100,_xlfn.ANCHORARRAY( $W$5), 0), 0),
        $F$5:$U$20
    ),
    TRANSPOSE(
        INDEX($X$5:$AM$77, MATCH($A153,_xlfn.ANCHORARRAY( $W$5), 0), 0)
    )
)
/
(
    INDEX($AN$5:$AN$77, MATCH(AS$100,_xlfn.ANCHORARRAY( $W$5), 0))
    *
    INDEX($AN$5:$AN$77, MATCH($A153,_xlfn.ANCHORARRAY( $W$5), 0))
)</f>
        <v>0.72730373443306351</v>
      </c>
      <c r="AT153" s="17" cm="1">
        <f t="array" ref="AT153">MMULT(
    MMULT(
        INDEX($X$5:$AM$77, MATCH(AT$100,_xlfn.ANCHORARRAY( $W$5), 0), 0),
        $F$5:$U$20
    ),
    TRANSPOSE(
        INDEX($X$5:$AM$77, MATCH($A153,_xlfn.ANCHORARRAY( $W$5), 0), 0)
    )
)
/
(
    INDEX($AN$5:$AN$77, MATCH(AT$100,_xlfn.ANCHORARRAY( $W$5), 0))
    *
    INDEX($AN$5:$AN$77, MATCH($A153,_xlfn.ANCHORARRAY( $W$5), 0))
)</f>
        <v>0.74912313067943914</v>
      </c>
      <c r="AU153" s="17" cm="1">
        <f t="array" ref="AU153">MMULT(
    MMULT(
        INDEX($X$5:$AM$77, MATCH(AU$100,_xlfn.ANCHORARRAY( $W$5), 0), 0),
        $F$5:$U$20
    ),
    TRANSPOSE(
        INDEX($X$5:$AM$77, MATCH($A153,_xlfn.ANCHORARRAY( $W$5), 0), 0)
    )
)
/
(
    INDEX($AN$5:$AN$77, MATCH(AU$100,_xlfn.ANCHORARRAY( $W$5), 0))
    *
    INDEX($AN$5:$AN$77, MATCH($A153,_xlfn.ANCHORARRAY( $W$5), 0))
)</f>
        <v>0.76243509056552694</v>
      </c>
      <c r="AV153" s="17" cm="1">
        <f t="array" ref="AV153">MMULT(
    MMULT(
        INDEX($X$5:$AM$77, MATCH(AV$100,_xlfn.ANCHORARRAY( $W$5), 0), 0),
        $F$5:$U$20
    ),
    TRANSPOSE(
        INDEX($X$5:$AM$77, MATCH($A153,_xlfn.ANCHORARRAY( $W$5), 0), 0)
    )
)
/
(
    INDEX($AN$5:$AN$77, MATCH(AV$100,_xlfn.ANCHORARRAY( $W$5), 0))
    *
    INDEX($AN$5:$AN$77, MATCH($A153,_xlfn.ANCHORARRAY( $W$5), 0))
)</f>
        <v>0.84007893485810747</v>
      </c>
      <c r="AW153" s="17" cm="1">
        <f t="array" ref="AW153">MMULT(
    MMULT(
        INDEX($X$5:$AM$77, MATCH(AW$100,_xlfn.ANCHORARRAY( $W$5), 0), 0),
        $F$5:$U$20
    ),
    TRANSPOSE(
        INDEX($X$5:$AM$77, MATCH($A153,_xlfn.ANCHORARRAY( $W$5), 0), 0)
    )
)
/
(
    INDEX($AN$5:$AN$77, MATCH(AW$100,_xlfn.ANCHORARRAY( $W$5), 0))
    *
    INDEX($AN$5:$AN$77, MATCH($A153,_xlfn.ANCHORARRAY( $W$5), 0))
)</f>
        <v>0.74805969429043195</v>
      </c>
      <c r="AX153" s="17" cm="1">
        <f t="array" ref="AX153">MMULT(
    MMULT(
        INDEX($X$5:$AM$77, MATCH(AX$100,_xlfn.ANCHORARRAY( $W$5), 0), 0),
        $F$5:$U$20
    ),
    TRANSPOSE(
        INDEX($X$5:$AM$77, MATCH($A153,_xlfn.ANCHORARRAY( $W$5), 0), 0)
    )
)
/
(
    INDEX($AN$5:$AN$77, MATCH(AX$100,_xlfn.ANCHORARRAY( $W$5), 0))
    *
    INDEX($AN$5:$AN$77, MATCH($A153,_xlfn.ANCHORARRAY( $W$5), 0))
)</f>
        <v>0.52639673923078845</v>
      </c>
      <c r="AY153" s="17" cm="1">
        <f t="array" ref="AY153">MMULT(
    MMULT(
        INDEX($X$5:$AM$77, MATCH(AY$100,_xlfn.ANCHORARRAY( $W$5), 0), 0),
        $F$5:$U$20
    ),
    TRANSPOSE(
        INDEX($X$5:$AM$77, MATCH($A153,_xlfn.ANCHORARRAY( $W$5), 0), 0)
    )
)
/
(
    INDEX($AN$5:$AN$77, MATCH(AY$100,_xlfn.ANCHORARRAY( $W$5), 0))
    *
    INDEX($AN$5:$AN$77, MATCH($A153,_xlfn.ANCHORARRAY( $W$5), 0))
)</f>
        <v>0.47689286243264817</v>
      </c>
      <c r="AZ153" s="17" cm="1">
        <f t="array" ref="AZ153">MMULT(
    MMULT(
        INDEX($X$5:$AM$77, MATCH(AZ$100,_xlfn.ANCHORARRAY( $W$5), 0), 0),
        $F$5:$U$20
    ),
    TRANSPOSE(
        INDEX($X$5:$AM$77, MATCH($A153,_xlfn.ANCHORARRAY( $W$5), 0), 0)
    )
)
/
(
    INDEX($AN$5:$AN$77, MATCH(AZ$100,_xlfn.ANCHORARRAY( $W$5), 0))
    *
    INDEX($AN$5:$AN$77, MATCH($A153,_xlfn.ANCHORARRAY( $W$5), 0))
)</f>
        <v>0.78915377685645671</v>
      </c>
      <c r="BA153" s="17" cm="1">
        <f t="array" ref="BA153">MMULT(
    MMULT(
        INDEX($X$5:$AM$77, MATCH(BA$100,_xlfn.ANCHORARRAY( $W$5), 0), 0),
        $F$5:$U$20
    ),
    TRANSPOSE(
        INDEX($X$5:$AM$77, MATCH($A153,_xlfn.ANCHORARRAY( $W$5), 0), 0)
    )
)
/
(
    INDEX($AN$5:$AN$77, MATCH(BA$100,_xlfn.ANCHORARRAY( $W$5), 0))
    *
    INDEX($AN$5:$AN$77, MATCH($A153,_xlfn.ANCHORARRAY( $W$5), 0))
)</f>
        <v>0.77428569389737723</v>
      </c>
      <c r="BB153" s="17" cm="1">
        <f t="array" ref="BB153">MMULT(
    MMULT(
        INDEX($X$5:$AM$77, MATCH(BB$100,_xlfn.ANCHORARRAY( $W$5), 0), 0),
        $F$5:$U$20
    ),
    TRANSPOSE(
        INDEX($X$5:$AM$77, MATCH($A153,_xlfn.ANCHORARRAY( $W$5), 0), 0)
    )
)
/
(
    INDEX($AN$5:$AN$77, MATCH(BB$100,_xlfn.ANCHORARRAY( $W$5), 0))
    *
    INDEX($AN$5:$AN$77, MATCH($A153,_xlfn.ANCHORARRAY( $W$5), 0))
)</f>
        <v>1</v>
      </c>
      <c r="BC153" s="17" cm="1">
        <f t="array" ref="BC153">MMULT(
    MMULT(
        INDEX($X$5:$AM$77, MATCH(BC$100,_xlfn.ANCHORARRAY( $W$5), 0), 0),
        $F$5:$U$20
    ),
    TRANSPOSE(
        INDEX($X$5:$AM$77, MATCH($A153,_xlfn.ANCHORARRAY( $W$5), 0), 0)
    )
)
/
(
    INDEX($AN$5:$AN$77, MATCH(BC$100,_xlfn.ANCHORARRAY( $W$5), 0))
    *
    INDEX($AN$5:$AN$77, MATCH($A153,_xlfn.ANCHORARRAY( $W$5), 0))
)</f>
        <v>0.67341926432816623</v>
      </c>
      <c r="BD153" s="17" cm="1">
        <f t="array" ref="BD153">MMULT(
    MMULT(
        INDEX($X$5:$AM$77, MATCH(BD$100,_xlfn.ANCHORARRAY( $W$5), 0), 0),
        $F$5:$U$20
    ),
    TRANSPOSE(
        INDEX($X$5:$AM$77, MATCH($A153,_xlfn.ANCHORARRAY( $W$5), 0), 0)
    )
)
/
(
    INDEX($AN$5:$AN$77, MATCH(BD$100,_xlfn.ANCHORARRAY( $W$5), 0))
    *
    INDEX($AN$5:$AN$77, MATCH($A153,_xlfn.ANCHORARRAY( $W$5), 0))
)</f>
        <v>0.48140901422628746</v>
      </c>
      <c r="BE153" s="17" cm="1">
        <f t="array" ref="BE153">MMULT(
    MMULT(
        INDEX($X$5:$AM$77, MATCH(BE$100,_xlfn.ANCHORARRAY( $W$5), 0), 0),
        $F$5:$U$20
    ),
    TRANSPOSE(
        INDEX($X$5:$AM$77, MATCH($A153,_xlfn.ANCHORARRAY( $W$5), 0), 0)
    )
)
/
(
    INDEX($AN$5:$AN$77, MATCH(BE$100,_xlfn.ANCHORARRAY( $W$5), 0))
    *
    INDEX($AN$5:$AN$77, MATCH($A153,_xlfn.ANCHORARRAY( $W$5), 0))
)</f>
        <v>0.85332754122610888</v>
      </c>
      <c r="BF153" s="17" cm="1">
        <f t="array" ref="BF153">MMULT(
    MMULT(
        INDEX($X$5:$AM$77, MATCH(BF$100,_xlfn.ANCHORARRAY( $W$5), 0), 0),
        $F$5:$U$20
    ),
    TRANSPOSE(
        INDEX($X$5:$AM$77, MATCH($A153,_xlfn.ANCHORARRAY( $W$5), 0), 0)
    )
)
/
(
    INDEX($AN$5:$AN$77, MATCH(BF$100,_xlfn.ANCHORARRAY( $W$5), 0))
    *
    INDEX($AN$5:$AN$77, MATCH($A153,_xlfn.ANCHORARRAY( $W$5), 0))
)</f>
        <v>0.70631406543686204</v>
      </c>
      <c r="BG153" s="17" cm="1">
        <f t="array" ref="BG153">MMULT(
    MMULT(
        INDEX($X$5:$AM$77, MATCH(BG$100,_xlfn.ANCHORARRAY( $W$5), 0), 0),
        $F$5:$U$20
    ),
    TRANSPOSE(
        INDEX($X$5:$AM$77, MATCH($A153,_xlfn.ANCHORARRAY( $W$5), 0), 0)
    )
)
/
(
    INDEX($AN$5:$AN$77, MATCH(BG$100,_xlfn.ANCHORARRAY( $W$5), 0))
    *
    INDEX($AN$5:$AN$77, MATCH($A153,_xlfn.ANCHORARRAY( $W$5), 0))
)</f>
        <v>0.74309294888004807</v>
      </c>
      <c r="BH153" s="17" cm="1">
        <f t="array" ref="BH153">MMULT(
    MMULT(
        INDEX($X$5:$AM$77, MATCH(BH$100,_xlfn.ANCHORARRAY( $W$5), 0), 0),
        $F$5:$U$20
    ),
    TRANSPOSE(
        INDEX($X$5:$AM$77, MATCH($A153,_xlfn.ANCHORARRAY( $W$5), 0), 0)
    )
)
/
(
    INDEX($AN$5:$AN$77, MATCH(BH$100,_xlfn.ANCHORARRAY( $W$5), 0))
    *
    INDEX($AN$5:$AN$77, MATCH($A153,_xlfn.ANCHORARRAY( $W$5), 0))
)</f>
        <v>0.53858885533785639</v>
      </c>
      <c r="BI153" s="17" cm="1">
        <f t="array" ref="BI153">MMULT(
    MMULT(
        INDEX($X$5:$AM$77, MATCH(BI$100,_xlfn.ANCHORARRAY( $W$5), 0), 0),
        $F$5:$U$20
    ),
    TRANSPOSE(
        INDEX($X$5:$AM$77, MATCH($A153,_xlfn.ANCHORARRAY( $W$5), 0), 0)
    )
)
/
(
    INDEX($AN$5:$AN$77, MATCH(BI$100,_xlfn.ANCHORARRAY( $W$5), 0))
    *
    INDEX($AN$5:$AN$77, MATCH($A153,_xlfn.ANCHORARRAY( $W$5), 0))
)</f>
        <v>0.76743975610447224</v>
      </c>
      <c r="BJ153" s="17" cm="1">
        <f t="array" ref="BJ153">MMULT(
    MMULT(
        INDEX($X$5:$AM$77, MATCH(BJ$100,_xlfn.ANCHORARRAY( $W$5), 0), 0),
        $F$5:$U$20
    ),
    TRANSPOSE(
        INDEX($X$5:$AM$77, MATCH($A153,_xlfn.ANCHORARRAY( $W$5), 0), 0)
    )
)
/
(
    INDEX($AN$5:$AN$77, MATCH(BJ$100,_xlfn.ANCHORARRAY( $W$5), 0))
    *
    INDEX($AN$5:$AN$77, MATCH($A153,_xlfn.ANCHORARRAY( $W$5), 0))
)</f>
        <v>0.699105867174875</v>
      </c>
      <c r="BK153" s="17" cm="1">
        <f t="array" ref="BK153">MMULT(
    MMULT(
        INDEX($X$5:$AM$77, MATCH(BK$100,_xlfn.ANCHORARRAY( $W$5), 0), 0),
        $F$5:$U$20
    ),
    TRANSPOSE(
        INDEX($X$5:$AM$77, MATCH($A153,_xlfn.ANCHORARRAY( $W$5), 0), 0)
    )
)
/
(
    INDEX($AN$5:$AN$77, MATCH(BK$100,_xlfn.ANCHORARRAY( $W$5), 0))
    *
    INDEX($AN$5:$AN$77, MATCH($A153,_xlfn.ANCHORARRAY( $W$5), 0))
)</f>
        <v>0.45306651259870434</v>
      </c>
      <c r="BL153" s="17" cm="1">
        <f t="array" ref="BL153">MMULT(
    MMULT(
        INDEX($X$5:$AM$77, MATCH(BL$100,_xlfn.ANCHORARRAY( $W$5), 0), 0),
        $F$5:$U$20
    ),
    TRANSPOSE(
        INDEX($X$5:$AM$77, MATCH($A153,_xlfn.ANCHORARRAY( $W$5), 0), 0)
    )
)
/
(
    INDEX($AN$5:$AN$77, MATCH(BL$100,_xlfn.ANCHORARRAY( $W$5), 0))
    *
    INDEX($AN$5:$AN$77, MATCH($A153,_xlfn.ANCHORARRAY( $W$5), 0))
)</f>
        <v>0.5797409374761352</v>
      </c>
      <c r="BM153" s="17" cm="1">
        <f t="array" ref="BM153">MMULT(
    MMULT(
        INDEX($X$5:$AM$77, MATCH(BM$100,_xlfn.ANCHORARRAY( $W$5), 0), 0),
        $F$5:$U$20
    ),
    TRANSPOSE(
        INDEX($X$5:$AM$77, MATCH($A153,_xlfn.ANCHORARRAY( $W$5), 0), 0)
    )
)
/
(
    INDEX($AN$5:$AN$77, MATCH(BM$100,_xlfn.ANCHORARRAY( $W$5), 0))
    *
    INDEX($AN$5:$AN$77, MATCH($A153,_xlfn.ANCHORARRAY( $W$5), 0))
)</f>
        <v>0.69735516254566265</v>
      </c>
      <c r="BN153" s="17" cm="1">
        <f t="array" ref="BN153">MMULT(
    MMULT(
        INDEX($X$5:$AM$77, MATCH(BN$100,_xlfn.ANCHORARRAY( $W$5), 0), 0),
        $F$5:$U$20
    ),
    TRANSPOSE(
        INDEX($X$5:$AM$77, MATCH($A153,_xlfn.ANCHORARRAY( $W$5), 0), 0)
    )
)
/
(
    INDEX($AN$5:$AN$77, MATCH(BN$100,_xlfn.ANCHORARRAY( $W$5), 0))
    *
    INDEX($AN$5:$AN$77, MATCH($A153,_xlfn.ANCHORARRAY( $W$5), 0))
)</f>
        <v>0.86347968866577984</v>
      </c>
      <c r="BO153" s="17" cm="1">
        <f t="array" ref="BO153">MMULT(
    MMULT(
        INDEX($X$5:$AM$77, MATCH(BO$100,_xlfn.ANCHORARRAY( $W$5), 0), 0),
        $F$5:$U$20
    ),
    TRANSPOSE(
        INDEX($X$5:$AM$77, MATCH($A153,_xlfn.ANCHORARRAY( $W$5), 0), 0)
    )
)
/
(
    INDEX($AN$5:$AN$77, MATCH(BO$100,_xlfn.ANCHORARRAY( $W$5), 0))
    *
    INDEX($AN$5:$AN$77, MATCH($A153,_xlfn.ANCHORARRAY( $W$5), 0))
)</f>
        <v>0.72202463085069335</v>
      </c>
      <c r="BP153" s="17" cm="1">
        <f t="array" ref="BP153">MMULT(
    MMULT(
        INDEX($X$5:$AM$77, MATCH(BP$100,_xlfn.ANCHORARRAY( $W$5), 0), 0),
        $F$5:$U$20
    ),
    TRANSPOSE(
        INDEX($X$5:$AM$77, MATCH($A153,_xlfn.ANCHORARRAY( $W$5), 0), 0)
    )
)
/
(
    INDEX($AN$5:$AN$77, MATCH(BP$100,_xlfn.ANCHORARRAY( $W$5), 0))
    *
    INDEX($AN$5:$AN$77, MATCH($A153,_xlfn.ANCHORARRAY( $W$5), 0))
)</f>
        <v>0.69522144661020013</v>
      </c>
      <c r="BQ153" s="17" cm="1">
        <f t="array" ref="BQ153">MMULT(
    MMULT(
        INDEX($X$5:$AM$77, MATCH(BQ$100,_xlfn.ANCHORARRAY( $W$5), 0), 0),
        $F$5:$U$20
    ),
    TRANSPOSE(
        INDEX($X$5:$AM$77, MATCH($A153,_xlfn.ANCHORARRAY( $W$5), 0), 0)
    )
)
/
(
    INDEX($AN$5:$AN$77, MATCH(BQ$100,_xlfn.ANCHORARRAY( $W$5), 0))
    *
    INDEX($AN$5:$AN$77, MATCH($A153,_xlfn.ANCHORARRAY( $W$5), 0))
)</f>
        <v>0.70139059231088419</v>
      </c>
      <c r="BR153" s="17" cm="1">
        <f t="array" ref="BR153">MMULT(
    MMULT(
        INDEX($X$5:$AM$77, MATCH(BR$100,_xlfn.ANCHORARRAY( $W$5), 0), 0),
        $F$5:$U$20
    ),
    TRANSPOSE(
        INDEX($X$5:$AM$77, MATCH($A153,_xlfn.ANCHORARRAY( $W$5), 0), 0)
    )
)
/
(
    INDEX($AN$5:$AN$77, MATCH(BR$100,_xlfn.ANCHORARRAY( $W$5), 0))
    *
    INDEX($AN$5:$AN$77, MATCH($A153,_xlfn.ANCHORARRAY( $W$5), 0))
)</f>
        <v>0.7857138785800809</v>
      </c>
      <c r="BS153" s="17" cm="1">
        <f t="array" ref="BS153">MMULT(
    MMULT(
        INDEX($X$5:$AM$77, MATCH(BS$100,_xlfn.ANCHORARRAY( $W$5), 0), 0),
        $F$5:$U$20
    ),
    TRANSPOSE(
        INDEX($X$5:$AM$77, MATCH($A153,_xlfn.ANCHORARRAY( $W$5), 0), 0)
    )
)
/
(
    INDEX($AN$5:$AN$77, MATCH(BS$100,_xlfn.ANCHORARRAY( $W$5), 0))
    *
    INDEX($AN$5:$AN$77, MATCH($A153,_xlfn.ANCHORARRAY( $W$5), 0))
)</f>
        <v>0.73952830513734824</v>
      </c>
      <c r="BT153" s="17" cm="1">
        <f t="array" ref="BT153">MMULT(
    MMULT(
        INDEX($X$5:$AM$77, MATCH(BT$100,_xlfn.ANCHORARRAY( $W$5), 0), 0),
        $F$5:$U$20
    ),
    TRANSPOSE(
        INDEX($X$5:$AM$77, MATCH($A153,_xlfn.ANCHORARRAY( $W$5), 0), 0)
    )
)
/
(
    INDEX($AN$5:$AN$77, MATCH(BT$100,_xlfn.ANCHORARRAY( $W$5), 0))
    *
    INDEX($AN$5:$AN$77, MATCH($A153,_xlfn.ANCHORARRAY( $W$5), 0))
)</f>
        <v>0.80520999533452053</v>
      </c>
      <c r="BU153" s="17" cm="1">
        <f t="array" ref="BU153">MMULT(
    MMULT(
        INDEX($X$5:$AM$77, MATCH(BU$100,_xlfn.ANCHORARRAY( $W$5), 0), 0),
        $F$5:$U$20
    ),
    TRANSPOSE(
        INDEX($X$5:$AM$77, MATCH($A153,_xlfn.ANCHORARRAY( $W$5), 0), 0)
    )
)
/
(
    INDEX($AN$5:$AN$77, MATCH(BU$100,_xlfn.ANCHORARRAY( $W$5), 0))
    *
    INDEX($AN$5:$AN$77, MATCH($A153,_xlfn.ANCHORARRAY( $W$5), 0))
)</f>
        <v>0.55249354375430515</v>
      </c>
      <c r="BV153" s="17" cm="1">
        <f t="array" ref="BV153">MMULT(
    MMULT(
        INDEX($X$5:$AM$77, MATCH(BV$100,_xlfn.ANCHORARRAY( $W$5), 0), 0),
        $F$5:$U$20
    ),
    TRANSPOSE(
        INDEX($X$5:$AM$77, MATCH($A153,_xlfn.ANCHORARRAY( $W$5), 0), 0)
    )
)
/
(
    INDEX($AN$5:$AN$77, MATCH(BV$100,_xlfn.ANCHORARRAY( $W$5), 0))
    *
    INDEX($AN$5:$AN$77, MATCH($A153,_xlfn.ANCHORARRAY( $W$5), 0))
)</f>
        <v>0.55170903895199341</v>
      </c>
    </row>
    <row r="154" spans="1:74" x14ac:dyDescent="0.3">
      <c r="A154" s="7" t="str">
        <v>Vines, Darius</v>
      </c>
      <c r="B154" s="17" cm="1">
        <f t="array" ref="B154">MMULT(
    MMULT(
        INDEX($X$5:$AM$77, MATCH(B$100,_xlfn.ANCHORARRAY( $W$5), 0), 0),
        $F$5:$U$20
    ),
    TRANSPOSE(
        INDEX($X$5:$AM$77, MATCH($A154,_xlfn.ANCHORARRAY( $W$5), 0), 0)
    )
)
/
(
    INDEX($AN$5:$AN$77, MATCH(B$100,_xlfn.ANCHORARRAY( $W$5), 0))
    *
    INDEX($AN$5:$AN$77, MATCH($A154,_xlfn.ANCHORARRAY( $W$5), 0))
)</f>
        <v>0.85596907110860543</v>
      </c>
      <c r="C154" s="17" cm="1">
        <f t="array" ref="C154">MMULT(
    MMULT(
        INDEX($X$5:$AM$77, MATCH(C$100,_xlfn.ANCHORARRAY( $W$5), 0), 0),
        $F$5:$U$20
    ),
    TRANSPOSE(
        INDEX($X$5:$AM$77, MATCH($A154,_xlfn.ANCHORARRAY( $W$5), 0), 0)
    )
)
/
(
    INDEX($AN$5:$AN$77, MATCH(C$100,_xlfn.ANCHORARRAY( $W$5), 0))
    *
    INDEX($AN$5:$AN$77, MATCH($A154,_xlfn.ANCHORARRAY( $W$5), 0))
)</f>
        <v>0.73885677213246204</v>
      </c>
      <c r="D154" s="17" cm="1">
        <f t="array" ref="D154">MMULT(
    MMULT(
        INDEX($X$5:$AM$77, MATCH(D$100,_xlfn.ANCHORARRAY( $W$5), 0), 0),
        $F$5:$U$20
    ),
    TRANSPOSE(
        INDEX($X$5:$AM$77, MATCH($A154,_xlfn.ANCHORARRAY( $W$5), 0), 0)
    )
)
/
(
    INDEX($AN$5:$AN$77, MATCH(D$100,_xlfn.ANCHORARRAY( $W$5), 0))
    *
    INDEX($AN$5:$AN$77, MATCH($A154,_xlfn.ANCHORARRAY( $W$5), 0))
)</f>
        <v>0.84922023640286703</v>
      </c>
      <c r="E154" s="17" cm="1">
        <f t="array" ref="E154">MMULT(
    MMULT(
        INDEX($X$5:$AM$77, MATCH(E$100,_xlfn.ANCHORARRAY( $W$5), 0), 0),
        $F$5:$U$20
    ),
    TRANSPOSE(
        INDEX($X$5:$AM$77, MATCH($A154,_xlfn.ANCHORARRAY( $W$5), 0), 0)
    )
)
/
(
    INDEX($AN$5:$AN$77, MATCH(E$100,_xlfn.ANCHORARRAY( $W$5), 0))
    *
    INDEX($AN$5:$AN$77, MATCH($A154,_xlfn.ANCHORARRAY( $W$5), 0))
)</f>
        <v>0.79274728500460312</v>
      </c>
      <c r="F154" s="17" cm="1">
        <f t="array" ref="F154">MMULT(
    MMULT(
        INDEX($X$5:$AM$77, MATCH(F$100,_xlfn.ANCHORARRAY( $W$5), 0), 0),
        $F$5:$U$20
    ),
    TRANSPOSE(
        INDEX($X$5:$AM$77, MATCH($A154,_xlfn.ANCHORARRAY( $W$5), 0), 0)
    )
)
/
(
    INDEX($AN$5:$AN$77, MATCH(F$100,_xlfn.ANCHORARRAY( $W$5), 0))
    *
    INDEX($AN$5:$AN$77, MATCH($A154,_xlfn.ANCHORARRAY( $W$5), 0))
)</f>
        <v>0.78777118866482043</v>
      </c>
      <c r="G154" s="17" cm="1">
        <f t="array" ref="G154">MMULT(
    MMULT(
        INDEX($X$5:$AM$77, MATCH(G$100,_xlfn.ANCHORARRAY( $W$5), 0), 0),
        $F$5:$U$20
    ),
    TRANSPOSE(
        INDEX($X$5:$AM$77, MATCH($A154,_xlfn.ANCHORARRAY( $W$5), 0), 0)
    )
)
/
(
    INDEX($AN$5:$AN$77, MATCH(G$100,_xlfn.ANCHORARRAY( $W$5), 0))
    *
    INDEX($AN$5:$AN$77, MATCH($A154,_xlfn.ANCHORARRAY( $W$5), 0))
)</f>
        <v>0.90510499571400338</v>
      </c>
      <c r="H154" s="17" cm="1">
        <f t="array" ref="H154">MMULT(
    MMULT(
        INDEX($X$5:$AM$77, MATCH(H$100,_xlfn.ANCHORARRAY( $W$5), 0), 0),
        $F$5:$U$20
    ),
    TRANSPOSE(
        INDEX($X$5:$AM$77, MATCH($A154,_xlfn.ANCHORARRAY( $W$5), 0), 0)
    )
)
/
(
    INDEX($AN$5:$AN$77, MATCH(H$100,_xlfn.ANCHORARRAY( $W$5), 0))
    *
    INDEX($AN$5:$AN$77, MATCH($A154,_xlfn.ANCHORARRAY( $W$5), 0))
)</f>
        <v>0.94978178224041332</v>
      </c>
      <c r="I154" s="17" cm="1">
        <f t="array" ref="I154">MMULT(
    MMULT(
        INDEX($X$5:$AM$77, MATCH(I$100,_xlfn.ANCHORARRAY( $W$5), 0), 0),
        $F$5:$U$20
    ),
    TRANSPOSE(
        INDEX($X$5:$AM$77, MATCH($A154,_xlfn.ANCHORARRAY( $W$5), 0), 0)
    )
)
/
(
    INDEX($AN$5:$AN$77, MATCH(I$100,_xlfn.ANCHORARRAY( $W$5), 0))
    *
    INDEX($AN$5:$AN$77, MATCH($A154,_xlfn.ANCHORARRAY( $W$5), 0))
)</f>
        <v>0.7749896009686611</v>
      </c>
      <c r="J154" s="17" cm="1">
        <f t="array" ref="J154">MMULT(
    MMULT(
        INDEX($X$5:$AM$77, MATCH(J$100,_xlfn.ANCHORARRAY( $W$5), 0), 0),
        $F$5:$U$20
    ),
    TRANSPOSE(
        INDEX($X$5:$AM$77, MATCH($A154,_xlfn.ANCHORARRAY( $W$5), 0), 0)
    )
)
/
(
    INDEX($AN$5:$AN$77, MATCH(J$100,_xlfn.ANCHORARRAY( $W$5), 0))
    *
    INDEX($AN$5:$AN$77, MATCH($A154,_xlfn.ANCHORARRAY( $W$5), 0))
)</f>
        <v>0.90833603299854626</v>
      </c>
      <c r="K154" s="17" cm="1">
        <f t="array" ref="K154">MMULT(
    MMULT(
        INDEX($X$5:$AM$77, MATCH(K$100,_xlfn.ANCHORARRAY( $W$5), 0), 0),
        $F$5:$U$20
    ),
    TRANSPOSE(
        INDEX($X$5:$AM$77, MATCH($A154,_xlfn.ANCHORARRAY( $W$5), 0), 0)
    )
)
/
(
    INDEX($AN$5:$AN$77, MATCH(K$100,_xlfn.ANCHORARRAY( $W$5), 0))
    *
    INDEX($AN$5:$AN$77, MATCH($A154,_xlfn.ANCHORARRAY( $W$5), 0))
)</f>
        <v>0.85828702933872014</v>
      </c>
      <c r="L154" s="17" cm="1">
        <f t="array" ref="L154">MMULT(
    MMULT(
        INDEX($X$5:$AM$77, MATCH(L$100,_xlfn.ANCHORARRAY( $W$5), 0), 0),
        $F$5:$U$20
    ),
    TRANSPOSE(
        INDEX($X$5:$AM$77, MATCH($A154,_xlfn.ANCHORARRAY( $W$5), 0), 0)
    )
)
/
(
    INDEX($AN$5:$AN$77, MATCH(L$100,_xlfn.ANCHORARRAY( $W$5), 0))
    *
    INDEX($AN$5:$AN$77, MATCH($A154,_xlfn.ANCHORARRAY( $W$5), 0))
)</f>
        <v>0.86937560604576813</v>
      </c>
      <c r="M154" s="17" cm="1">
        <f t="array" ref="M154">MMULT(
    MMULT(
        INDEX($X$5:$AM$77, MATCH(M$100,_xlfn.ANCHORARRAY( $W$5), 0), 0),
        $F$5:$U$20
    ),
    TRANSPOSE(
        INDEX($X$5:$AM$77, MATCH($A154,_xlfn.ANCHORARRAY( $W$5), 0), 0)
    )
)
/
(
    INDEX($AN$5:$AN$77, MATCH(M$100,_xlfn.ANCHORARRAY( $W$5), 0))
    *
    INDEX($AN$5:$AN$77, MATCH($A154,_xlfn.ANCHORARRAY( $W$5), 0))
)</f>
        <v>0.95536934558206588</v>
      </c>
      <c r="N154" s="17" cm="1">
        <f t="array" ref="N154">MMULT(
    MMULT(
        INDEX($X$5:$AM$77, MATCH(N$100,_xlfn.ANCHORARRAY( $W$5), 0), 0),
        $F$5:$U$20
    ),
    TRANSPOSE(
        INDEX($X$5:$AM$77, MATCH($A154,_xlfn.ANCHORARRAY( $W$5), 0), 0)
    )
)
/
(
    INDEX($AN$5:$AN$77, MATCH(N$100,_xlfn.ANCHORARRAY( $W$5), 0))
    *
    INDEX($AN$5:$AN$77, MATCH($A154,_xlfn.ANCHORARRAY( $W$5), 0))
)</f>
        <v>0.6212609900862619</v>
      </c>
      <c r="O154" s="17" cm="1">
        <f t="array" ref="O154">MMULT(
    MMULT(
        INDEX($X$5:$AM$77, MATCH(O$100,_xlfn.ANCHORARRAY( $W$5), 0), 0),
        $F$5:$U$20
    ),
    TRANSPOSE(
        INDEX($X$5:$AM$77, MATCH($A154,_xlfn.ANCHORARRAY( $W$5), 0), 0)
    )
)
/
(
    INDEX($AN$5:$AN$77, MATCH(O$100,_xlfn.ANCHORARRAY( $W$5), 0))
    *
    INDEX($AN$5:$AN$77, MATCH($A154,_xlfn.ANCHORARRAY( $W$5), 0))
)</f>
        <v>0.68531020486588712</v>
      </c>
      <c r="P154" s="17" cm="1">
        <f t="array" ref="P154">MMULT(
    MMULT(
        INDEX($X$5:$AM$77, MATCH(P$100,_xlfn.ANCHORARRAY( $W$5), 0), 0),
        $F$5:$U$20
    ),
    TRANSPOSE(
        INDEX($X$5:$AM$77, MATCH($A154,_xlfn.ANCHORARRAY( $W$5), 0), 0)
    )
)
/
(
    INDEX($AN$5:$AN$77, MATCH(P$100,_xlfn.ANCHORARRAY( $W$5), 0))
    *
    INDEX($AN$5:$AN$77, MATCH($A154,_xlfn.ANCHORARRAY( $W$5), 0))
)</f>
        <v>0.77866973331124734</v>
      </c>
      <c r="Q154" s="17" cm="1">
        <f t="array" ref="Q154">MMULT(
    MMULT(
        INDEX($X$5:$AM$77, MATCH(Q$100,_xlfn.ANCHORARRAY( $W$5), 0), 0),
        $F$5:$U$20
    ),
    TRANSPOSE(
        INDEX($X$5:$AM$77, MATCH($A154,_xlfn.ANCHORARRAY( $W$5), 0), 0)
    )
)
/
(
    INDEX($AN$5:$AN$77, MATCH(Q$100,_xlfn.ANCHORARRAY( $W$5), 0))
    *
    INDEX($AN$5:$AN$77, MATCH($A154,_xlfn.ANCHORARRAY( $W$5), 0))
)</f>
        <v>0.85484543702242577</v>
      </c>
      <c r="R154" s="17" cm="1">
        <f t="array" ref="R154">MMULT(
    MMULT(
        INDEX($X$5:$AM$77, MATCH(R$100,_xlfn.ANCHORARRAY( $W$5), 0), 0),
        $F$5:$U$20
    ),
    TRANSPOSE(
        INDEX($X$5:$AM$77, MATCH($A154,_xlfn.ANCHORARRAY( $W$5), 0), 0)
    )
)
/
(
    INDEX($AN$5:$AN$77, MATCH(R$100,_xlfn.ANCHORARRAY( $W$5), 0))
    *
    INDEX($AN$5:$AN$77, MATCH($A154,_xlfn.ANCHORARRAY( $W$5), 0))
)</f>
        <v>0.85029686579950914</v>
      </c>
      <c r="S154" s="17" cm="1">
        <f t="array" ref="S154">MMULT(
    MMULT(
        INDEX($X$5:$AM$77, MATCH(S$100,_xlfn.ANCHORARRAY( $W$5), 0), 0),
        $F$5:$U$20
    ),
    TRANSPOSE(
        INDEX($X$5:$AM$77, MATCH($A154,_xlfn.ANCHORARRAY( $W$5), 0), 0)
    )
)
/
(
    INDEX($AN$5:$AN$77, MATCH(S$100,_xlfn.ANCHORARRAY( $W$5), 0))
    *
    INDEX($AN$5:$AN$77, MATCH($A154,_xlfn.ANCHORARRAY( $W$5), 0))
)</f>
        <v>0.88757364821332085</v>
      </c>
      <c r="T154" s="17" cm="1">
        <f t="array" ref="T154">MMULT(
    MMULT(
        INDEX($X$5:$AM$77, MATCH(T$100,_xlfn.ANCHORARRAY( $W$5), 0), 0),
        $F$5:$U$20
    ),
    TRANSPOSE(
        INDEX($X$5:$AM$77, MATCH($A154,_xlfn.ANCHORARRAY( $W$5), 0), 0)
    )
)
/
(
    INDEX($AN$5:$AN$77, MATCH(T$100,_xlfn.ANCHORARRAY( $W$5), 0))
    *
    INDEX($AN$5:$AN$77, MATCH($A154,_xlfn.ANCHORARRAY( $W$5), 0))
)</f>
        <v>0.33687845337338107</v>
      </c>
      <c r="U154" s="17" cm="1">
        <f t="array" ref="U154">MMULT(
    MMULT(
        INDEX($X$5:$AM$77, MATCH(U$100,_xlfn.ANCHORARRAY( $W$5), 0), 0),
        $F$5:$U$20
    ),
    TRANSPOSE(
        INDEX($X$5:$AM$77, MATCH($A154,_xlfn.ANCHORARRAY( $W$5), 0), 0)
    )
)
/
(
    INDEX($AN$5:$AN$77, MATCH(U$100,_xlfn.ANCHORARRAY( $W$5), 0))
    *
    INDEX($AN$5:$AN$77, MATCH($A154,_xlfn.ANCHORARRAY( $W$5), 0))
)</f>
        <v>0.83490635551664005</v>
      </c>
      <c r="V154" s="17" cm="1">
        <f t="array" ref="V154">MMULT(
    MMULT(
        INDEX($X$5:$AM$77, MATCH(V$100,_xlfn.ANCHORARRAY( $W$5), 0), 0),
        $F$5:$U$20
    ),
    TRANSPOSE(
        INDEX($X$5:$AM$77, MATCH($A154,_xlfn.ANCHORARRAY( $W$5), 0), 0)
    )
)
/
(
    INDEX($AN$5:$AN$77, MATCH(V$100,_xlfn.ANCHORARRAY( $W$5), 0))
    *
    INDEX($AN$5:$AN$77, MATCH($A154,_xlfn.ANCHORARRAY( $W$5), 0))
)</f>
        <v>0.59323239943785144</v>
      </c>
      <c r="W154" s="17" cm="1">
        <f t="array" ref="W154">MMULT(
    MMULT(
        INDEX($X$5:$AM$77, MATCH(W$100,_xlfn.ANCHORARRAY( $W$5), 0), 0),
        $F$5:$U$20
    ),
    TRANSPOSE(
        INDEX($X$5:$AM$77, MATCH($A154,_xlfn.ANCHORARRAY( $W$5), 0), 0)
    )
)
/
(
    INDEX($AN$5:$AN$77, MATCH(W$100,_xlfn.ANCHORARRAY( $W$5), 0))
    *
    INDEX($AN$5:$AN$77, MATCH($A154,_xlfn.ANCHORARRAY( $W$5), 0))
)</f>
        <v>0.64973946661204018</v>
      </c>
      <c r="X154" s="17" cm="1">
        <f t="array" ref="X154">MMULT(
    MMULT(
        INDEX($X$5:$AM$77, MATCH(X$100,_xlfn.ANCHORARRAY( $W$5), 0), 0),
        $F$5:$U$20
    ),
    TRANSPOSE(
        INDEX($X$5:$AM$77, MATCH($A154,_xlfn.ANCHORARRAY( $W$5), 0), 0)
    )
)
/
(
    INDEX($AN$5:$AN$77, MATCH(X$100,_xlfn.ANCHORARRAY( $W$5), 0))
    *
    INDEX($AN$5:$AN$77, MATCH($A154,_xlfn.ANCHORARRAY( $W$5), 0))
)</f>
        <v>0.75206579701190035</v>
      </c>
      <c r="Y154" s="17" cm="1">
        <f t="array" ref="Y154">MMULT(
    MMULT(
        INDEX($X$5:$AM$77, MATCH(Y$100,_xlfn.ANCHORARRAY( $W$5), 0), 0),
        $F$5:$U$20
    ),
    TRANSPOSE(
        INDEX($X$5:$AM$77, MATCH($A154,_xlfn.ANCHORARRAY( $W$5), 0), 0)
    )
)
/
(
    INDEX($AN$5:$AN$77, MATCH(Y$100,_xlfn.ANCHORARRAY( $W$5), 0))
    *
    INDEX($AN$5:$AN$77, MATCH($A154,_xlfn.ANCHORARRAY( $W$5), 0))
)</f>
        <v>0.76561395039907765</v>
      </c>
      <c r="Z154" s="17" cm="1">
        <f t="array" ref="Z154">MMULT(
    MMULT(
        INDEX($X$5:$AM$77, MATCH(Z$100,_xlfn.ANCHORARRAY( $W$5), 0), 0),
        $F$5:$U$20
    ),
    TRANSPOSE(
        INDEX($X$5:$AM$77, MATCH($A154,_xlfn.ANCHORARRAY( $W$5), 0), 0)
    )
)
/
(
    INDEX($AN$5:$AN$77, MATCH(Z$100,_xlfn.ANCHORARRAY( $W$5), 0))
    *
    INDEX($AN$5:$AN$77, MATCH($A154,_xlfn.ANCHORARRAY( $W$5), 0))
)</f>
        <v>0.80104212110583117</v>
      </c>
      <c r="AA154" s="17" cm="1">
        <f t="array" ref="AA154">MMULT(
    MMULT(
        INDEX($X$5:$AM$77, MATCH(AA$100,_xlfn.ANCHORARRAY( $W$5), 0), 0),
        $F$5:$U$20
    ),
    TRANSPOSE(
        INDEX($X$5:$AM$77, MATCH($A154,_xlfn.ANCHORARRAY( $W$5), 0), 0)
    )
)
/
(
    INDEX($AN$5:$AN$77, MATCH(AA$100,_xlfn.ANCHORARRAY( $W$5), 0))
    *
    INDEX($AN$5:$AN$77, MATCH($A154,_xlfn.ANCHORARRAY( $W$5), 0))
)</f>
        <v>0.71422939930023133</v>
      </c>
      <c r="AB154" s="17" cm="1">
        <f t="array" ref="AB154">MMULT(
    MMULT(
        INDEX($X$5:$AM$77, MATCH(AB$100,_xlfn.ANCHORARRAY( $W$5), 0), 0),
        $F$5:$U$20
    ),
    TRANSPOSE(
        INDEX($X$5:$AM$77, MATCH($A154,_xlfn.ANCHORARRAY( $W$5), 0), 0)
    )
)
/
(
    INDEX($AN$5:$AN$77, MATCH(AB$100,_xlfn.ANCHORARRAY( $W$5), 0))
    *
    INDEX($AN$5:$AN$77, MATCH($A154,_xlfn.ANCHORARRAY( $W$5), 0))
)</f>
        <v>0.84396095521448322</v>
      </c>
      <c r="AC154" s="17" cm="1">
        <f t="array" ref="AC154">MMULT(
    MMULT(
        INDEX($X$5:$AM$77, MATCH(AC$100,_xlfn.ANCHORARRAY( $W$5), 0), 0),
        $F$5:$U$20
    ),
    TRANSPOSE(
        INDEX($X$5:$AM$77, MATCH($A154,_xlfn.ANCHORARRAY( $W$5), 0), 0)
    )
)
/
(
    INDEX($AN$5:$AN$77, MATCH(AC$100,_xlfn.ANCHORARRAY( $W$5), 0))
    *
    INDEX($AN$5:$AN$77, MATCH($A154,_xlfn.ANCHORARRAY( $W$5), 0))
)</f>
        <v>0.68741346782454527</v>
      </c>
      <c r="AD154" s="17" cm="1">
        <f t="array" ref="AD154">MMULT(
    MMULT(
        INDEX($X$5:$AM$77, MATCH(AD$100,_xlfn.ANCHORARRAY( $W$5), 0), 0),
        $F$5:$U$20
    ),
    TRANSPOSE(
        INDEX($X$5:$AM$77, MATCH($A154,_xlfn.ANCHORARRAY( $W$5), 0), 0)
    )
)
/
(
    INDEX($AN$5:$AN$77, MATCH(AD$100,_xlfn.ANCHORARRAY( $W$5), 0))
    *
    INDEX($AN$5:$AN$77, MATCH($A154,_xlfn.ANCHORARRAY( $W$5), 0))
)</f>
        <v>0.79793202279965969</v>
      </c>
      <c r="AE154" s="17" cm="1">
        <f t="array" ref="AE154">MMULT(
    MMULT(
        INDEX($X$5:$AM$77, MATCH(AE$100,_xlfn.ANCHORARRAY( $W$5), 0), 0),
        $F$5:$U$20
    ),
    TRANSPOSE(
        INDEX($X$5:$AM$77, MATCH($A154,_xlfn.ANCHORARRAY( $W$5), 0), 0)
    )
)
/
(
    INDEX($AN$5:$AN$77, MATCH(AE$100,_xlfn.ANCHORARRAY( $W$5), 0))
    *
    INDEX($AN$5:$AN$77, MATCH($A154,_xlfn.ANCHORARRAY( $W$5), 0))
)</f>
        <v>0.89494447136198152</v>
      </c>
      <c r="AF154" s="17" cm="1">
        <f t="array" ref="AF154">MMULT(
    MMULT(
        INDEX($X$5:$AM$77, MATCH(AF$100,_xlfn.ANCHORARRAY( $W$5), 0), 0),
        $F$5:$U$20
    ),
    TRANSPOSE(
        INDEX($X$5:$AM$77, MATCH($A154,_xlfn.ANCHORARRAY( $W$5), 0), 0)
    )
)
/
(
    INDEX($AN$5:$AN$77, MATCH(AF$100,_xlfn.ANCHORARRAY( $W$5), 0))
    *
    INDEX($AN$5:$AN$77, MATCH($A154,_xlfn.ANCHORARRAY( $W$5), 0))
)</f>
        <v>0.83685426603457758</v>
      </c>
      <c r="AG154" s="17" cm="1">
        <f t="array" ref="AG154">MMULT(
    MMULT(
        INDEX($X$5:$AM$77, MATCH(AG$100,_xlfn.ANCHORARRAY( $W$5), 0), 0),
        $F$5:$U$20
    ),
    TRANSPOSE(
        INDEX($X$5:$AM$77, MATCH($A154,_xlfn.ANCHORARRAY( $W$5), 0), 0)
    )
)
/
(
    INDEX($AN$5:$AN$77, MATCH(AG$100,_xlfn.ANCHORARRAY( $W$5), 0))
    *
    INDEX($AN$5:$AN$77, MATCH($A154,_xlfn.ANCHORARRAY( $W$5), 0))
)</f>
        <v>0.92418361228224633</v>
      </c>
      <c r="AH154" s="17" cm="1">
        <f t="array" ref="AH154">MMULT(
    MMULT(
        INDEX($X$5:$AM$77, MATCH(AH$100,_xlfn.ANCHORARRAY( $W$5), 0), 0),
        $F$5:$U$20
    ),
    TRANSPOSE(
        INDEX($X$5:$AM$77, MATCH($A154,_xlfn.ANCHORARRAY( $W$5), 0), 0)
    )
)
/
(
    INDEX($AN$5:$AN$77, MATCH(AH$100,_xlfn.ANCHORARRAY( $W$5), 0))
    *
    INDEX($AN$5:$AN$77, MATCH($A154,_xlfn.ANCHORARRAY( $W$5), 0))
)</f>
        <v>0.8406615794976583</v>
      </c>
      <c r="AI154" s="17" cm="1">
        <f t="array" ref="AI154">MMULT(
    MMULT(
        INDEX($X$5:$AM$77, MATCH(AI$100,_xlfn.ANCHORARRAY( $W$5), 0), 0),
        $F$5:$U$20
    ),
    TRANSPOSE(
        INDEX($X$5:$AM$77, MATCH($A154,_xlfn.ANCHORARRAY( $W$5), 0), 0)
    )
)
/
(
    INDEX($AN$5:$AN$77, MATCH(AI$100,_xlfn.ANCHORARRAY( $W$5), 0))
    *
    INDEX($AN$5:$AN$77, MATCH($A154,_xlfn.ANCHORARRAY( $W$5), 0))
)</f>
        <v>0.9382827565607017</v>
      </c>
      <c r="AJ154" s="17" cm="1">
        <f t="array" ref="AJ154">MMULT(
    MMULT(
        INDEX($X$5:$AM$77, MATCH(AJ$100,_xlfn.ANCHORARRAY( $W$5), 0), 0),
        $F$5:$U$20
    ),
    TRANSPOSE(
        INDEX($X$5:$AM$77, MATCH($A154,_xlfn.ANCHORARRAY( $W$5), 0), 0)
    )
)
/
(
    INDEX($AN$5:$AN$77, MATCH(AJ$100,_xlfn.ANCHORARRAY( $W$5), 0))
    *
    INDEX($AN$5:$AN$77, MATCH($A154,_xlfn.ANCHORARRAY( $W$5), 0))
)</f>
        <v>0.75502660545024169</v>
      </c>
      <c r="AK154" s="17" cm="1">
        <f t="array" ref="AK154">MMULT(
    MMULT(
        INDEX($X$5:$AM$77, MATCH(AK$100,_xlfn.ANCHORARRAY( $W$5), 0), 0),
        $F$5:$U$20
    ),
    TRANSPOSE(
        INDEX($X$5:$AM$77, MATCH($A154,_xlfn.ANCHORARRAY( $W$5), 0), 0)
    )
)
/
(
    INDEX($AN$5:$AN$77, MATCH(AK$100,_xlfn.ANCHORARRAY( $W$5), 0))
    *
    INDEX($AN$5:$AN$77, MATCH($A154,_xlfn.ANCHORARRAY( $W$5), 0))
)</f>
        <v>0.93367214252687403</v>
      </c>
      <c r="AL154" s="17" cm="1">
        <f t="array" ref="AL154">MMULT(
    MMULT(
        INDEX($X$5:$AM$77, MATCH(AL$100,_xlfn.ANCHORARRAY( $W$5), 0), 0),
        $F$5:$U$20
    ),
    TRANSPOSE(
        INDEX($X$5:$AM$77, MATCH($A154,_xlfn.ANCHORARRAY( $W$5), 0), 0)
    )
)
/
(
    INDEX($AN$5:$AN$77, MATCH(AL$100,_xlfn.ANCHORARRAY( $W$5), 0))
    *
    INDEX($AN$5:$AN$77, MATCH($A154,_xlfn.ANCHORARRAY( $W$5), 0))
)</f>
        <v>0.65789816556312053</v>
      </c>
      <c r="AM154" s="17" cm="1">
        <f t="array" ref="AM154">MMULT(
    MMULT(
        INDEX($X$5:$AM$77, MATCH(AM$100,_xlfn.ANCHORARRAY( $W$5), 0), 0),
        $F$5:$U$20
    ),
    TRANSPOSE(
        INDEX($X$5:$AM$77, MATCH($A154,_xlfn.ANCHORARRAY( $W$5), 0), 0)
    )
)
/
(
    INDEX($AN$5:$AN$77, MATCH(AM$100,_xlfn.ANCHORARRAY( $W$5), 0))
    *
    INDEX($AN$5:$AN$77, MATCH($A154,_xlfn.ANCHORARRAY( $W$5), 0))
)</f>
        <v>0.80856279555095878</v>
      </c>
      <c r="AN154" s="17" cm="1">
        <f t="array" ref="AN154">MMULT(
    MMULT(
        INDEX($X$5:$AM$77, MATCH(AN$100,_xlfn.ANCHORARRAY( $W$5), 0), 0),
        $F$5:$U$20
    ),
    TRANSPOSE(
        INDEX($X$5:$AM$77, MATCH($A154,_xlfn.ANCHORARRAY( $W$5), 0), 0)
    )
)
/
(
    INDEX($AN$5:$AN$77, MATCH(AN$100,_xlfn.ANCHORARRAY( $W$5), 0))
    *
    INDEX($AN$5:$AN$77, MATCH($A154,_xlfn.ANCHORARRAY( $W$5), 0))
)</f>
        <v>0.94408251681114785</v>
      </c>
      <c r="AO154" s="17" cm="1">
        <f t="array" ref="AO154">MMULT(
    MMULT(
        INDEX($X$5:$AM$77, MATCH(AO$100,_xlfn.ANCHORARRAY( $W$5), 0), 0),
        $F$5:$U$20
    ),
    TRANSPOSE(
        INDEX($X$5:$AM$77, MATCH($A154,_xlfn.ANCHORARRAY( $W$5), 0), 0)
    )
)
/
(
    INDEX($AN$5:$AN$77, MATCH(AO$100,_xlfn.ANCHORARRAY( $W$5), 0))
    *
    INDEX($AN$5:$AN$77, MATCH($A154,_xlfn.ANCHORARRAY( $W$5), 0))
)</f>
        <v>0.81565279271645352</v>
      </c>
      <c r="AP154" s="17" cm="1">
        <f t="array" ref="AP154">MMULT(
    MMULT(
        INDEX($X$5:$AM$77, MATCH(AP$100,_xlfn.ANCHORARRAY( $W$5), 0), 0),
        $F$5:$U$20
    ),
    TRANSPOSE(
        INDEX($X$5:$AM$77, MATCH($A154,_xlfn.ANCHORARRAY( $W$5), 0), 0)
    )
)
/
(
    INDEX($AN$5:$AN$77, MATCH(AP$100,_xlfn.ANCHORARRAY( $W$5), 0))
    *
    INDEX($AN$5:$AN$77, MATCH($A154,_xlfn.ANCHORARRAY( $W$5), 0))
)</f>
        <v>0.83542728286642098</v>
      </c>
      <c r="AQ154" s="17" cm="1">
        <f t="array" ref="AQ154">MMULT(
    MMULT(
        INDEX($X$5:$AM$77, MATCH(AQ$100,_xlfn.ANCHORARRAY( $W$5), 0), 0),
        $F$5:$U$20
    ),
    TRANSPOSE(
        INDEX($X$5:$AM$77, MATCH($A154,_xlfn.ANCHORARRAY( $W$5), 0), 0)
    )
)
/
(
    INDEX($AN$5:$AN$77, MATCH(AQ$100,_xlfn.ANCHORARRAY( $W$5), 0))
    *
    INDEX($AN$5:$AN$77, MATCH($A154,_xlfn.ANCHORARRAY( $W$5), 0))
)</f>
        <v>0.76193464384658061</v>
      </c>
      <c r="AR154" s="17" cm="1">
        <f t="array" ref="AR154">MMULT(
    MMULT(
        INDEX($X$5:$AM$77, MATCH(AR$100,_xlfn.ANCHORARRAY( $W$5), 0), 0),
        $F$5:$U$20
    ),
    TRANSPOSE(
        INDEX($X$5:$AM$77, MATCH($A154,_xlfn.ANCHORARRAY( $W$5), 0), 0)
    )
)
/
(
    INDEX($AN$5:$AN$77, MATCH(AR$100,_xlfn.ANCHORARRAY( $W$5), 0))
    *
    INDEX($AN$5:$AN$77, MATCH($A154,_xlfn.ANCHORARRAY( $W$5), 0))
)</f>
        <v>0.76579903465711707</v>
      </c>
      <c r="AS154" s="17" cm="1">
        <f t="array" ref="AS154">MMULT(
    MMULT(
        INDEX($X$5:$AM$77, MATCH(AS$100,_xlfn.ANCHORARRAY( $W$5), 0), 0),
        $F$5:$U$20
    ),
    TRANSPOSE(
        INDEX($X$5:$AM$77, MATCH($A154,_xlfn.ANCHORARRAY( $W$5), 0), 0)
    )
)
/
(
    INDEX($AN$5:$AN$77, MATCH(AS$100,_xlfn.ANCHORARRAY( $W$5), 0))
    *
    INDEX($AN$5:$AN$77, MATCH($A154,_xlfn.ANCHORARRAY( $W$5), 0))
)</f>
        <v>0.88258692391598714</v>
      </c>
      <c r="AT154" s="17" cm="1">
        <f t="array" ref="AT154">MMULT(
    MMULT(
        INDEX($X$5:$AM$77, MATCH(AT$100,_xlfn.ANCHORARRAY( $W$5), 0), 0),
        $F$5:$U$20
    ),
    TRANSPOSE(
        INDEX($X$5:$AM$77, MATCH($A154,_xlfn.ANCHORARRAY( $W$5), 0), 0)
    )
)
/
(
    INDEX($AN$5:$AN$77, MATCH(AT$100,_xlfn.ANCHORARRAY( $W$5), 0))
    *
    INDEX($AN$5:$AN$77, MATCH($A154,_xlfn.ANCHORARRAY( $W$5), 0))
)</f>
        <v>0.92942824925327849</v>
      </c>
      <c r="AU154" s="17" cm="1">
        <f t="array" ref="AU154">MMULT(
    MMULT(
        INDEX($X$5:$AM$77, MATCH(AU$100,_xlfn.ANCHORARRAY( $W$5), 0), 0),
        $F$5:$U$20
    ),
    TRANSPOSE(
        INDEX($X$5:$AM$77, MATCH($A154,_xlfn.ANCHORARRAY( $W$5), 0), 0)
    )
)
/
(
    INDEX($AN$5:$AN$77, MATCH(AU$100,_xlfn.ANCHORARRAY( $W$5), 0))
    *
    INDEX($AN$5:$AN$77, MATCH($A154,_xlfn.ANCHORARRAY( $W$5), 0))
)</f>
        <v>0.82115076881220672</v>
      </c>
      <c r="AV154" s="17" cm="1">
        <f t="array" ref="AV154">MMULT(
    MMULT(
        INDEX($X$5:$AM$77, MATCH(AV$100,_xlfn.ANCHORARRAY( $W$5), 0), 0),
        $F$5:$U$20
    ),
    TRANSPOSE(
        INDEX($X$5:$AM$77, MATCH($A154,_xlfn.ANCHORARRAY( $W$5), 0), 0)
    )
)
/
(
    INDEX($AN$5:$AN$77, MATCH(AV$100,_xlfn.ANCHORARRAY( $W$5), 0))
    *
    INDEX($AN$5:$AN$77, MATCH($A154,_xlfn.ANCHORARRAY( $W$5), 0))
)</f>
        <v>0.74505629520194938</v>
      </c>
      <c r="AW154" s="17" cm="1">
        <f t="array" ref="AW154">MMULT(
    MMULT(
        INDEX($X$5:$AM$77, MATCH(AW$100,_xlfn.ANCHORARRAY( $W$5), 0), 0),
        $F$5:$U$20
    ),
    TRANSPOSE(
        INDEX($X$5:$AM$77, MATCH($A154,_xlfn.ANCHORARRAY( $W$5), 0), 0)
    )
)
/
(
    INDEX($AN$5:$AN$77, MATCH(AW$100,_xlfn.ANCHORARRAY( $W$5), 0))
    *
    INDEX($AN$5:$AN$77, MATCH($A154,_xlfn.ANCHORARRAY( $W$5), 0))
)</f>
        <v>0.88020697216205068</v>
      </c>
      <c r="AX154" s="17" cm="1">
        <f t="array" ref="AX154">MMULT(
    MMULT(
        INDEX($X$5:$AM$77, MATCH(AX$100,_xlfn.ANCHORARRAY( $W$5), 0), 0),
        $F$5:$U$20
    ),
    TRANSPOSE(
        INDEX($X$5:$AM$77, MATCH($A154,_xlfn.ANCHORARRAY( $W$5), 0), 0)
    )
)
/
(
    INDEX($AN$5:$AN$77, MATCH(AX$100,_xlfn.ANCHORARRAY( $W$5), 0))
    *
    INDEX($AN$5:$AN$77, MATCH($A154,_xlfn.ANCHORARRAY( $W$5), 0))
)</f>
        <v>0.69152102367468071</v>
      </c>
      <c r="AY154" s="17" cm="1">
        <f t="array" ref="AY154">MMULT(
    MMULT(
        INDEX($X$5:$AM$77, MATCH(AY$100,_xlfn.ANCHORARRAY( $W$5), 0), 0),
        $F$5:$U$20
    ),
    TRANSPOSE(
        INDEX($X$5:$AM$77, MATCH($A154,_xlfn.ANCHORARRAY( $W$5), 0), 0)
    )
)
/
(
    INDEX($AN$5:$AN$77, MATCH(AY$100,_xlfn.ANCHORARRAY( $W$5), 0))
    *
    INDEX($AN$5:$AN$77, MATCH($A154,_xlfn.ANCHORARRAY( $W$5), 0))
)</f>
        <v>0.79879336874750118</v>
      </c>
      <c r="AZ154" s="17" cm="1">
        <f t="array" ref="AZ154">MMULT(
    MMULT(
        INDEX($X$5:$AM$77, MATCH(AZ$100,_xlfn.ANCHORARRAY( $W$5), 0), 0),
        $F$5:$U$20
    ),
    TRANSPOSE(
        INDEX($X$5:$AM$77, MATCH($A154,_xlfn.ANCHORARRAY( $W$5), 0), 0)
    )
)
/
(
    INDEX($AN$5:$AN$77, MATCH(AZ$100,_xlfn.ANCHORARRAY( $W$5), 0))
    *
    INDEX($AN$5:$AN$77, MATCH($A154,_xlfn.ANCHORARRAY( $W$5), 0))
)</f>
        <v>0.77242200448447507</v>
      </c>
      <c r="BA154" s="17" cm="1">
        <f t="array" ref="BA154">MMULT(
    MMULT(
        INDEX($X$5:$AM$77, MATCH(BA$100,_xlfn.ANCHORARRAY( $W$5), 0), 0),
        $F$5:$U$20
    ),
    TRANSPOSE(
        INDEX($X$5:$AM$77, MATCH($A154,_xlfn.ANCHORARRAY( $W$5), 0), 0)
    )
)
/
(
    INDEX($AN$5:$AN$77, MATCH(BA$100,_xlfn.ANCHORARRAY( $W$5), 0))
    *
    INDEX($AN$5:$AN$77, MATCH($A154,_xlfn.ANCHORARRAY( $W$5), 0))
)</f>
        <v>0.77067789815230536</v>
      </c>
      <c r="BB154" s="17" cm="1">
        <f t="array" ref="BB154">MMULT(
    MMULT(
        INDEX($X$5:$AM$77, MATCH(BB$100,_xlfn.ANCHORARRAY( $W$5), 0), 0),
        $F$5:$U$20
    ),
    TRANSPOSE(
        INDEX($X$5:$AM$77, MATCH($A154,_xlfn.ANCHORARRAY( $W$5), 0), 0)
    )
)
/
(
    INDEX($AN$5:$AN$77, MATCH(BB$100,_xlfn.ANCHORARRAY( $W$5), 0))
    *
    INDEX($AN$5:$AN$77, MATCH($A154,_xlfn.ANCHORARRAY( $W$5), 0))
)</f>
        <v>0.67341926432816623</v>
      </c>
      <c r="BC154" s="17" cm="1">
        <f t="array" ref="BC154">MMULT(
    MMULT(
        INDEX($X$5:$AM$77, MATCH(BC$100,_xlfn.ANCHORARRAY( $W$5), 0), 0),
        $F$5:$U$20
    ),
    TRANSPOSE(
        INDEX($X$5:$AM$77, MATCH($A154,_xlfn.ANCHORARRAY( $W$5), 0), 0)
    )
)
/
(
    INDEX($AN$5:$AN$77, MATCH(BC$100,_xlfn.ANCHORARRAY( $W$5), 0))
    *
    INDEX($AN$5:$AN$77, MATCH($A154,_xlfn.ANCHORARRAY( $W$5), 0))
)</f>
        <v>1</v>
      </c>
      <c r="BD154" s="17" cm="1">
        <f t="array" ref="BD154">MMULT(
    MMULT(
        INDEX($X$5:$AM$77, MATCH(BD$100,_xlfn.ANCHORARRAY( $W$5), 0), 0),
        $F$5:$U$20
    ),
    TRANSPOSE(
        INDEX($X$5:$AM$77, MATCH($A154,_xlfn.ANCHORARRAY( $W$5), 0), 0)
    )
)
/
(
    INDEX($AN$5:$AN$77, MATCH(BD$100,_xlfn.ANCHORARRAY( $W$5), 0))
    *
    INDEX($AN$5:$AN$77, MATCH($A154,_xlfn.ANCHORARRAY( $W$5), 0))
)</f>
        <v>0.61163108308818914</v>
      </c>
      <c r="BE154" s="17" cm="1">
        <f t="array" ref="BE154">MMULT(
    MMULT(
        INDEX($X$5:$AM$77, MATCH(BE$100,_xlfn.ANCHORARRAY( $W$5), 0), 0),
        $F$5:$U$20
    ),
    TRANSPOSE(
        INDEX($X$5:$AM$77, MATCH($A154,_xlfn.ANCHORARRAY( $W$5), 0), 0)
    )
)
/
(
    INDEX($AN$5:$AN$77, MATCH(BE$100,_xlfn.ANCHORARRAY( $W$5), 0))
    *
    INDEX($AN$5:$AN$77, MATCH($A154,_xlfn.ANCHORARRAY( $W$5), 0))
)</f>
        <v>0.84973369702056156</v>
      </c>
      <c r="BF154" s="17" cm="1">
        <f t="array" ref="BF154">MMULT(
    MMULT(
        INDEX($X$5:$AM$77, MATCH(BF$100,_xlfn.ANCHORARRAY( $W$5), 0), 0),
        $F$5:$U$20
    ),
    TRANSPOSE(
        INDEX($X$5:$AM$77, MATCH($A154,_xlfn.ANCHORARRAY( $W$5), 0), 0)
    )
)
/
(
    INDEX($AN$5:$AN$77, MATCH(BF$100,_xlfn.ANCHORARRAY( $W$5), 0))
    *
    INDEX($AN$5:$AN$77, MATCH($A154,_xlfn.ANCHORARRAY( $W$5), 0))
)</f>
        <v>0.77826198377763467</v>
      </c>
      <c r="BG154" s="17" cm="1">
        <f t="array" ref="BG154">MMULT(
    MMULT(
        INDEX($X$5:$AM$77, MATCH(BG$100,_xlfn.ANCHORARRAY( $W$5), 0), 0),
        $F$5:$U$20
    ),
    TRANSPOSE(
        INDEX($X$5:$AM$77, MATCH($A154,_xlfn.ANCHORARRAY( $W$5), 0), 0)
    )
)
/
(
    INDEX($AN$5:$AN$77, MATCH(BG$100,_xlfn.ANCHORARRAY( $W$5), 0))
    *
    INDEX($AN$5:$AN$77, MATCH($A154,_xlfn.ANCHORARRAY( $W$5), 0))
)</f>
        <v>0.77668206037536969</v>
      </c>
      <c r="BH154" s="17" cm="1">
        <f t="array" ref="BH154">MMULT(
    MMULT(
        INDEX($X$5:$AM$77, MATCH(BH$100,_xlfn.ANCHORARRAY( $W$5), 0), 0),
        $F$5:$U$20
    ),
    TRANSPOSE(
        INDEX($X$5:$AM$77, MATCH($A154,_xlfn.ANCHORARRAY( $W$5), 0), 0)
    )
)
/
(
    INDEX($AN$5:$AN$77, MATCH(BH$100,_xlfn.ANCHORARRAY( $W$5), 0))
    *
    INDEX($AN$5:$AN$77, MATCH($A154,_xlfn.ANCHORARRAY( $W$5), 0))
)</f>
        <v>0.84672965439900028</v>
      </c>
      <c r="BI154" s="17" cm="1">
        <f t="array" ref="BI154">MMULT(
    MMULT(
        INDEX($X$5:$AM$77, MATCH(BI$100,_xlfn.ANCHORARRAY( $W$5), 0), 0),
        $F$5:$U$20
    ),
    TRANSPOSE(
        INDEX($X$5:$AM$77, MATCH($A154,_xlfn.ANCHORARRAY( $W$5), 0), 0)
    )
)
/
(
    INDEX($AN$5:$AN$77, MATCH(BI$100,_xlfn.ANCHORARRAY( $W$5), 0))
    *
    INDEX($AN$5:$AN$77, MATCH($A154,_xlfn.ANCHORARRAY( $W$5), 0))
)</f>
        <v>0.74992317205779224</v>
      </c>
      <c r="BJ154" s="17" cm="1">
        <f t="array" ref="BJ154">MMULT(
    MMULT(
        INDEX($X$5:$AM$77, MATCH(BJ$100,_xlfn.ANCHORARRAY( $W$5), 0), 0),
        $F$5:$U$20
    ),
    TRANSPOSE(
        INDEX($X$5:$AM$77, MATCH($A154,_xlfn.ANCHORARRAY( $W$5), 0), 0)
    )
)
/
(
    INDEX($AN$5:$AN$77, MATCH(BJ$100,_xlfn.ANCHORARRAY( $W$5), 0))
    *
    INDEX($AN$5:$AN$77, MATCH($A154,_xlfn.ANCHORARRAY( $W$5), 0))
)</f>
        <v>0.8519934330042217</v>
      </c>
      <c r="BK154" s="17" cm="1">
        <f t="array" ref="BK154">MMULT(
    MMULT(
        INDEX($X$5:$AM$77, MATCH(BK$100,_xlfn.ANCHORARRAY( $W$5), 0), 0),
        $F$5:$U$20
    ),
    TRANSPOSE(
        INDEX($X$5:$AM$77, MATCH($A154,_xlfn.ANCHORARRAY( $W$5), 0), 0)
    )
)
/
(
    INDEX($AN$5:$AN$77, MATCH(BK$100,_xlfn.ANCHORARRAY( $W$5), 0))
    *
    INDEX($AN$5:$AN$77, MATCH($A154,_xlfn.ANCHORARRAY( $W$5), 0))
)</f>
        <v>0.65107100352198477</v>
      </c>
      <c r="BL154" s="17" cm="1">
        <f t="array" ref="BL154">MMULT(
    MMULT(
        INDEX($X$5:$AM$77, MATCH(BL$100,_xlfn.ANCHORARRAY( $W$5), 0), 0),
        $F$5:$U$20
    ),
    TRANSPOSE(
        INDEX($X$5:$AM$77, MATCH($A154,_xlfn.ANCHORARRAY( $W$5), 0), 0)
    )
)
/
(
    INDEX($AN$5:$AN$77, MATCH(BL$100,_xlfn.ANCHORARRAY( $W$5), 0))
    *
    INDEX($AN$5:$AN$77, MATCH($A154,_xlfn.ANCHORARRAY( $W$5), 0))
)</f>
        <v>0.32711185924676101</v>
      </c>
      <c r="BM154" s="17" cm="1">
        <f t="array" ref="BM154">MMULT(
    MMULT(
        INDEX($X$5:$AM$77, MATCH(BM$100,_xlfn.ANCHORARRAY( $W$5), 0), 0),
        $F$5:$U$20
    ),
    TRANSPOSE(
        INDEX($X$5:$AM$77, MATCH($A154,_xlfn.ANCHORARRAY( $W$5), 0), 0)
    )
)
/
(
    INDEX($AN$5:$AN$77, MATCH(BM$100,_xlfn.ANCHORARRAY( $W$5), 0))
    *
    INDEX($AN$5:$AN$77, MATCH($A154,_xlfn.ANCHORARRAY( $W$5), 0))
)</f>
        <v>0.5772424371019268</v>
      </c>
      <c r="BN154" s="17" cm="1">
        <f t="array" ref="BN154">MMULT(
    MMULT(
        INDEX($X$5:$AM$77, MATCH(BN$100,_xlfn.ANCHORARRAY( $W$5), 0), 0),
        $F$5:$U$20
    ),
    TRANSPOSE(
        INDEX($X$5:$AM$77, MATCH($A154,_xlfn.ANCHORARRAY( $W$5), 0), 0)
    )
)
/
(
    INDEX($AN$5:$AN$77, MATCH(BN$100,_xlfn.ANCHORARRAY( $W$5), 0))
    *
    INDEX($AN$5:$AN$77, MATCH($A154,_xlfn.ANCHORARRAY( $W$5), 0))
)</f>
        <v>0.86958316369410971</v>
      </c>
      <c r="BO154" s="17" cm="1">
        <f t="array" ref="BO154">MMULT(
    MMULT(
        INDEX($X$5:$AM$77, MATCH(BO$100,_xlfn.ANCHORARRAY( $W$5), 0), 0),
        $F$5:$U$20
    ),
    TRANSPOSE(
        INDEX($X$5:$AM$77, MATCH($A154,_xlfn.ANCHORARRAY( $W$5), 0), 0)
    )
)
/
(
    INDEX($AN$5:$AN$77, MATCH(BO$100,_xlfn.ANCHORARRAY( $W$5), 0))
    *
    INDEX($AN$5:$AN$77, MATCH($A154,_xlfn.ANCHORARRAY( $W$5), 0))
)</f>
        <v>0.94403245830499127</v>
      </c>
      <c r="BP154" s="17" cm="1">
        <f t="array" ref="BP154">MMULT(
    MMULT(
        INDEX($X$5:$AM$77, MATCH(BP$100,_xlfn.ANCHORARRAY( $W$5), 0), 0),
        $F$5:$U$20
    ),
    TRANSPOSE(
        INDEX($X$5:$AM$77, MATCH($A154,_xlfn.ANCHORARRAY( $W$5), 0), 0)
    )
)
/
(
    INDEX($AN$5:$AN$77, MATCH(BP$100,_xlfn.ANCHORARRAY( $W$5), 0))
    *
    INDEX($AN$5:$AN$77, MATCH($A154,_xlfn.ANCHORARRAY( $W$5), 0))
)</f>
        <v>0.81309483773199109</v>
      </c>
      <c r="BQ154" s="17" cm="1">
        <f t="array" ref="BQ154">MMULT(
    MMULT(
        INDEX($X$5:$AM$77, MATCH(BQ$100,_xlfn.ANCHORARRAY( $W$5), 0), 0),
        $F$5:$U$20
    ),
    TRANSPOSE(
        INDEX($X$5:$AM$77, MATCH($A154,_xlfn.ANCHORARRAY( $W$5), 0), 0)
    )
)
/
(
    INDEX($AN$5:$AN$77, MATCH(BQ$100,_xlfn.ANCHORARRAY( $W$5), 0))
    *
    INDEX($AN$5:$AN$77, MATCH($A154,_xlfn.ANCHORARRAY( $W$5), 0))
)</f>
        <v>0.70725070352127672</v>
      </c>
      <c r="BR154" s="17" cm="1">
        <f t="array" ref="BR154">MMULT(
    MMULT(
        INDEX($X$5:$AM$77, MATCH(BR$100,_xlfn.ANCHORARRAY( $W$5), 0), 0),
        $F$5:$U$20
    ),
    TRANSPOSE(
        INDEX($X$5:$AM$77, MATCH($A154,_xlfn.ANCHORARRAY( $W$5), 0), 0)
    )
)
/
(
    INDEX($AN$5:$AN$77, MATCH(BR$100,_xlfn.ANCHORARRAY( $W$5), 0))
    *
    INDEX($AN$5:$AN$77, MATCH($A154,_xlfn.ANCHORARRAY( $W$5), 0))
)</f>
        <v>0.89419780700782425</v>
      </c>
      <c r="BS154" s="17" cm="1">
        <f t="array" ref="BS154">MMULT(
    MMULT(
        INDEX($X$5:$AM$77, MATCH(BS$100,_xlfn.ANCHORARRAY( $W$5), 0), 0),
        $F$5:$U$20
    ),
    TRANSPOSE(
        INDEX($X$5:$AM$77, MATCH($A154,_xlfn.ANCHORARRAY( $W$5), 0), 0)
    )
)
/
(
    INDEX($AN$5:$AN$77, MATCH(BS$100,_xlfn.ANCHORARRAY( $W$5), 0))
    *
    INDEX($AN$5:$AN$77, MATCH($A154,_xlfn.ANCHORARRAY( $W$5), 0))
)</f>
        <v>0.7560266670170811</v>
      </c>
      <c r="BT154" s="17" cm="1">
        <f t="array" ref="BT154">MMULT(
    MMULT(
        INDEX($X$5:$AM$77, MATCH(BT$100,_xlfn.ANCHORARRAY( $W$5), 0), 0),
        $F$5:$U$20
    ),
    TRANSPOSE(
        INDEX($X$5:$AM$77, MATCH($A154,_xlfn.ANCHORARRAY( $W$5), 0), 0)
    )
)
/
(
    INDEX($AN$5:$AN$77, MATCH(BT$100,_xlfn.ANCHORARRAY( $W$5), 0))
    *
    INDEX($AN$5:$AN$77, MATCH($A154,_xlfn.ANCHORARRAY( $W$5), 0))
)</f>
        <v>0.88746448639074227</v>
      </c>
      <c r="BU154" s="17" cm="1">
        <f t="array" ref="BU154">MMULT(
    MMULT(
        INDEX($X$5:$AM$77, MATCH(BU$100,_xlfn.ANCHORARRAY( $W$5), 0), 0),
        $F$5:$U$20
    ),
    TRANSPOSE(
        INDEX($X$5:$AM$77, MATCH($A154,_xlfn.ANCHORARRAY( $W$5), 0), 0)
    )
)
/
(
    INDEX($AN$5:$AN$77, MATCH(BU$100,_xlfn.ANCHORARRAY( $W$5), 0))
    *
    INDEX($AN$5:$AN$77, MATCH($A154,_xlfn.ANCHORARRAY( $W$5), 0))
)</f>
        <v>0.84027751630291081</v>
      </c>
      <c r="BV154" s="17" cm="1">
        <f t="array" ref="BV154">MMULT(
    MMULT(
        INDEX($X$5:$AM$77, MATCH(BV$100,_xlfn.ANCHORARRAY( $W$5), 0), 0),
        $F$5:$U$20
    ),
    TRANSPOSE(
        INDEX($X$5:$AM$77, MATCH($A154,_xlfn.ANCHORARRAY( $W$5), 0), 0)
    )
)
/
(
    INDEX($AN$5:$AN$77, MATCH(BV$100,_xlfn.ANCHORARRAY( $W$5), 0))
    *
    INDEX($AN$5:$AN$77, MATCH($A154,_xlfn.ANCHORARRAY( $W$5), 0))
)</f>
        <v>0.93786366626582196</v>
      </c>
    </row>
    <row r="155" spans="1:74" x14ac:dyDescent="0.3">
      <c r="A155" s="7" t="str">
        <v>Anderson, Nick</v>
      </c>
      <c r="B155" s="17" cm="1">
        <f t="array" ref="B155">MMULT(
    MMULT(
        INDEX($X$5:$AM$77, MATCH(B$100,_xlfn.ANCHORARRAY( $W$5), 0), 0),
        $F$5:$U$20
    ),
    TRANSPOSE(
        INDEX($X$5:$AM$77, MATCH($A155,_xlfn.ANCHORARRAY( $W$5), 0), 0)
    )
)
/
(
    INDEX($AN$5:$AN$77, MATCH(B$100,_xlfn.ANCHORARRAY( $W$5), 0))
    *
    INDEX($AN$5:$AN$77, MATCH($A155,_xlfn.ANCHORARRAY( $W$5), 0))
)</f>
        <v>0.8832931380161948</v>
      </c>
      <c r="C155" s="17" cm="1">
        <f t="array" ref="C155">MMULT(
    MMULT(
        INDEX($X$5:$AM$77, MATCH(C$100,_xlfn.ANCHORARRAY( $W$5), 0), 0),
        $F$5:$U$20
    ),
    TRANSPOSE(
        INDEX($X$5:$AM$77, MATCH($A155,_xlfn.ANCHORARRAY( $W$5), 0), 0)
    )
)
/
(
    INDEX($AN$5:$AN$77, MATCH(C$100,_xlfn.ANCHORARRAY( $W$5), 0))
    *
    INDEX($AN$5:$AN$77, MATCH($A155,_xlfn.ANCHORARRAY( $W$5), 0))
)</f>
        <v>0.97968953172173645</v>
      </c>
      <c r="D155" s="17" cm="1">
        <f t="array" ref="D155">MMULT(
    MMULT(
        INDEX($X$5:$AM$77, MATCH(D$100,_xlfn.ANCHORARRAY( $W$5), 0), 0),
        $F$5:$U$20
    ),
    TRANSPOSE(
        INDEX($X$5:$AM$77, MATCH($A155,_xlfn.ANCHORARRAY( $W$5), 0), 0)
    )
)
/
(
    INDEX($AN$5:$AN$77, MATCH(D$100,_xlfn.ANCHORARRAY( $W$5), 0))
    *
    INDEX($AN$5:$AN$77, MATCH($A155,_xlfn.ANCHORARRAY( $W$5), 0))
)</f>
        <v>0.62805195241179379</v>
      </c>
      <c r="E155" s="17" cm="1">
        <f t="array" ref="E155">MMULT(
    MMULT(
        INDEX($X$5:$AM$77, MATCH(E$100,_xlfn.ANCHORARRAY( $W$5), 0), 0),
        $F$5:$U$20
    ),
    TRANSPOSE(
        INDEX($X$5:$AM$77, MATCH($A155,_xlfn.ANCHORARRAY( $W$5), 0), 0)
    )
)
/
(
    INDEX($AN$5:$AN$77, MATCH(E$100,_xlfn.ANCHORARRAY( $W$5), 0))
    *
    INDEX($AN$5:$AN$77, MATCH($A155,_xlfn.ANCHORARRAY( $W$5), 0))
)</f>
        <v>0.49898891400764617</v>
      </c>
      <c r="F155" s="17" cm="1">
        <f t="array" ref="F155">MMULT(
    MMULT(
        INDEX($X$5:$AM$77, MATCH(F$100,_xlfn.ANCHORARRAY( $W$5), 0), 0),
        $F$5:$U$20
    ),
    TRANSPOSE(
        INDEX($X$5:$AM$77, MATCH($A155,_xlfn.ANCHORARRAY( $W$5), 0), 0)
    )
)
/
(
    INDEX($AN$5:$AN$77, MATCH(F$100,_xlfn.ANCHORARRAY( $W$5), 0))
    *
    INDEX($AN$5:$AN$77, MATCH($A155,_xlfn.ANCHORARRAY( $W$5), 0))
)</f>
        <v>0.48395185040862526</v>
      </c>
      <c r="G155" s="17" cm="1">
        <f t="array" ref="G155">MMULT(
    MMULT(
        INDEX($X$5:$AM$77, MATCH(G$100,_xlfn.ANCHORARRAY( $W$5), 0), 0),
        $F$5:$U$20
    ),
    TRANSPOSE(
        INDEX($X$5:$AM$77, MATCH($A155,_xlfn.ANCHORARRAY( $W$5), 0), 0)
    )
)
/
(
    INDEX($AN$5:$AN$77, MATCH(G$100,_xlfn.ANCHORARRAY( $W$5), 0))
    *
    INDEX($AN$5:$AN$77, MATCH($A155,_xlfn.ANCHORARRAY( $W$5), 0))
)</f>
        <v>0.76991572030859745</v>
      </c>
      <c r="H155" s="17" cm="1">
        <f t="array" ref="H155">MMULT(
    MMULT(
        INDEX($X$5:$AM$77, MATCH(H$100,_xlfn.ANCHORARRAY( $W$5), 0), 0),
        $F$5:$U$20
    ),
    TRANSPOSE(
        INDEX($X$5:$AM$77, MATCH($A155,_xlfn.ANCHORARRAY( $W$5), 0), 0)
    )
)
/
(
    INDEX($AN$5:$AN$77, MATCH(H$100,_xlfn.ANCHORARRAY( $W$5), 0))
    *
    INDEX($AN$5:$AN$77, MATCH($A155,_xlfn.ANCHORARRAY( $W$5), 0))
)</f>
        <v>0.64015689813305288</v>
      </c>
      <c r="I155" s="17" cm="1">
        <f t="array" ref="I155">MMULT(
    MMULT(
        INDEX($X$5:$AM$77, MATCH(I$100,_xlfn.ANCHORARRAY( $W$5), 0), 0),
        $F$5:$U$20
    ),
    TRANSPOSE(
        INDEX($X$5:$AM$77, MATCH($A155,_xlfn.ANCHORARRAY( $W$5), 0), 0)
    )
)
/
(
    INDEX($AN$5:$AN$77, MATCH(I$100,_xlfn.ANCHORARRAY( $W$5), 0))
    *
    INDEX($AN$5:$AN$77, MATCH($A155,_xlfn.ANCHORARRAY( $W$5), 0))
)</f>
        <v>0.78663919632748691</v>
      </c>
      <c r="J155" s="17" cm="1">
        <f t="array" ref="J155">MMULT(
    MMULT(
        INDEX($X$5:$AM$77, MATCH(J$100,_xlfn.ANCHORARRAY( $W$5), 0), 0),
        $F$5:$U$20
    ),
    TRANSPOSE(
        INDEX($X$5:$AM$77, MATCH($A155,_xlfn.ANCHORARRAY( $W$5), 0), 0)
    )
)
/
(
    INDEX($AN$5:$AN$77, MATCH(J$100,_xlfn.ANCHORARRAY( $W$5), 0))
    *
    INDEX($AN$5:$AN$77, MATCH($A155,_xlfn.ANCHORARRAY( $W$5), 0))
)</f>
        <v>0.76446879270159351</v>
      </c>
      <c r="K155" s="17" cm="1">
        <f t="array" ref="K155">MMULT(
    MMULT(
        INDEX($X$5:$AM$77, MATCH(K$100,_xlfn.ANCHORARRAY( $W$5), 0), 0),
        $F$5:$U$20
    ),
    TRANSPOSE(
        INDEX($X$5:$AM$77, MATCH($A155,_xlfn.ANCHORARRAY( $W$5), 0), 0)
    )
)
/
(
    INDEX($AN$5:$AN$77, MATCH(K$100,_xlfn.ANCHORARRAY( $W$5), 0))
    *
    INDEX($AN$5:$AN$77, MATCH($A155,_xlfn.ANCHORARRAY( $W$5), 0))
)</f>
        <v>0.57160776225586818</v>
      </c>
      <c r="L155" s="17" cm="1">
        <f t="array" ref="L155">MMULT(
    MMULT(
        INDEX($X$5:$AM$77, MATCH(L$100,_xlfn.ANCHORARRAY( $W$5), 0), 0),
        $F$5:$U$20
    ),
    TRANSPOSE(
        INDEX($X$5:$AM$77, MATCH($A155,_xlfn.ANCHORARRAY( $W$5), 0), 0)
    )
)
/
(
    INDEX($AN$5:$AN$77, MATCH(L$100,_xlfn.ANCHORARRAY( $W$5), 0))
    *
    INDEX($AN$5:$AN$77, MATCH($A155,_xlfn.ANCHORARRAY( $W$5), 0))
)</f>
        <v>0.58900352208693829</v>
      </c>
      <c r="M155" s="17" cm="1">
        <f t="array" ref="M155">MMULT(
    MMULT(
        INDEX($X$5:$AM$77, MATCH(M$100,_xlfn.ANCHORARRAY( $W$5), 0), 0),
        $F$5:$U$20
    ),
    TRANSPOSE(
        INDEX($X$5:$AM$77, MATCH($A155,_xlfn.ANCHORARRAY( $W$5), 0), 0)
    )
)
/
(
    INDEX($AN$5:$AN$77, MATCH(M$100,_xlfn.ANCHORARRAY( $W$5), 0))
    *
    INDEX($AN$5:$AN$77, MATCH($A155,_xlfn.ANCHORARRAY( $W$5), 0))
)</f>
        <v>0.56164228974135222</v>
      </c>
      <c r="N155" s="17" cm="1">
        <f t="array" ref="N155">MMULT(
    MMULT(
        INDEX($X$5:$AM$77, MATCH(N$100,_xlfn.ANCHORARRAY( $W$5), 0), 0),
        $F$5:$U$20
    ),
    TRANSPOSE(
        INDEX($X$5:$AM$77, MATCH($A155,_xlfn.ANCHORARRAY( $W$5), 0), 0)
    )
)
/
(
    INDEX($AN$5:$AN$77, MATCH(N$100,_xlfn.ANCHORARRAY( $W$5), 0))
    *
    INDEX($AN$5:$AN$77, MATCH($A155,_xlfn.ANCHORARRAY( $W$5), 0))
)</f>
        <v>0.53815159029366832</v>
      </c>
      <c r="O155" s="17" cm="1">
        <f t="array" ref="O155">MMULT(
    MMULT(
        INDEX($X$5:$AM$77, MATCH(O$100,_xlfn.ANCHORARRAY( $W$5), 0), 0),
        $F$5:$U$20
    ),
    TRANSPOSE(
        INDEX($X$5:$AM$77, MATCH($A155,_xlfn.ANCHORARRAY( $W$5), 0), 0)
    )
)
/
(
    INDEX($AN$5:$AN$77, MATCH(O$100,_xlfn.ANCHORARRAY( $W$5), 0))
    *
    INDEX($AN$5:$AN$77, MATCH($A155,_xlfn.ANCHORARRAY( $W$5), 0))
)</f>
        <v>0.38617198200126912</v>
      </c>
      <c r="P155" s="17" cm="1">
        <f t="array" ref="P155">MMULT(
    MMULT(
        INDEX($X$5:$AM$77, MATCH(P$100,_xlfn.ANCHORARRAY( $W$5), 0), 0),
        $F$5:$U$20
    ),
    TRANSPOSE(
        INDEX($X$5:$AM$77, MATCH($A155,_xlfn.ANCHORARRAY( $W$5), 0), 0)
    )
)
/
(
    INDEX($AN$5:$AN$77, MATCH(P$100,_xlfn.ANCHORARRAY( $W$5), 0))
    *
    INDEX($AN$5:$AN$77, MATCH($A155,_xlfn.ANCHORARRAY( $W$5), 0))
)</f>
        <v>0.72277725438973894</v>
      </c>
      <c r="Q155" s="17" cm="1">
        <f t="array" ref="Q155">MMULT(
    MMULT(
        INDEX($X$5:$AM$77, MATCH(Q$100,_xlfn.ANCHORARRAY( $W$5), 0), 0),
        $F$5:$U$20
    ),
    TRANSPOSE(
        INDEX($X$5:$AM$77, MATCH($A155,_xlfn.ANCHORARRAY( $W$5), 0), 0)
    )
)
/
(
    INDEX($AN$5:$AN$77, MATCH(Q$100,_xlfn.ANCHORARRAY( $W$5), 0))
    *
    INDEX($AN$5:$AN$77, MATCH($A155,_xlfn.ANCHORARRAY( $W$5), 0))
)</f>
        <v>0.8109631865150827</v>
      </c>
      <c r="R155" s="17" cm="1">
        <f t="array" ref="R155">MMULT(
    MMULT(
        INDEX($X$5:$AM$77, MATCH(R$100,_xlfn.ANCHORARRAY( $W$5), 0), 0),
        $F$5:$U$20
    ),
    TRANSPOSE(
        INDEX($X$5:$AM$77, MATCH($A155,_xlfn.ANCHORARRAY( $W$5), 0), 0)
    )
)
/
(
    INDEX($AN$5:$AN$77, MATCH(R$100,_xlfn.ANCHORARRAY( $W$5), 0))
    *
    INDEX($AN$5:$AN$77, MATCH($A155,_xlfn.ANCHORARRAY( $W$5), 0))
)</f>
        <v>0.67200555588437128</v>
      </c>
      <c r="S155" s="17" cm="1">
        <f t="array" ref="S155">MMULT(
    MMULT(
        INDEX($X$5:$AM$77, MATCH(S$100,_xlfn.ANCHORARRAY( $W$5), 0), 0),
        $F$5:$U$20
    ),
    TRANSPOSE(
        INDEX($X$5:$AM$77, MATCH($A155,_xlfn.ANCHORARRAY( $W$5), 0), 0)
    )
)
/
(
    INDEX($AN$5:$AN$77, MATCH(S$100,_xlfn.ANCHORARRAY( $W$5), 0))
    *
    INDEX($AN$5:$AN$77, MATCH($A155,_xlfn.ANCHORARRAY( $W$5), 0))
)</f>
        <v>0.84214082909695687</v>
      </c>
      <c r="T155" s="17" cm="1">
        <f t="array" ref="T155">MMULT(
    MMULT(
        INDEX($X$5:$AM$77, MATCH(T$100,_xlfn.ANCHORARRAY( $W$5), 0), 0),
        $F$5:$U$20
    ),
    TRANSPOSE(
        INDEX($X$5:$AM$77, MATCH($A155,_xlfn.ANCHORARRAY( $W$5), 0), 0)
    )
)
/
(
    INDEX($AN$5:$AN$77, MATCH(T$100,_xlfn.ANCHORARRAY( $W$5), 0))
    *
    INDEX($AN$5:$AN$77, MATCH($A155,_xlfn.ANCHORARRAY( $W$5), 0))
)</f>
        <v>0.91553063059988748</v>
      </c>
      <c r="U155" s="17" cm="1">
        <f t="array" ref="U155">MMULT(
    MMULT(
        INDEX($X$5:$AM$77, MATCH(U$100,_xlfn.ANCHORARRAY( $W$5), 0), 0),
        $F$5:$U$20
    ),
    TRANSPOSE(
        INDEX($X$5:$AM$77, MATCH($A155,_xlfn.ANCHORARRAY( $W$5), 0), 0)
    )
)
/
(
    INDEX($AN$5:$AN$77, MATCH(U$100,_xlfn.ANCHORARRAY( $W$5), 0))
    *
    INDEX($AN$5:$AN$77, MATCH($A155,_xlfn.ANCHORARRAY( $W$5), 0))
)</f>
        <v>0.72545976119023903</v>
      </c>
      <c r="V155" s="17" cm="1">
        <f t="array" ref="V155">MMULT(
    MMULT(
        INDEX($X$5:$AM$77, MATCH(V$100,_xlfn.ANCHORARRAY( $W$5), 0), 0),
        $F$5:$U$20
    ),
    TRANSPOSE(
        INDEX($X$5:$AM$77, MATCH($A155,_xlfn.ANCHORARRAY( $W$5), 0), 0)
    )
)
/
(
    INDEX($AN$5:$AN$77, MATCH(V$100,_xlfn.ANCHORARRAY( $W$5), 0))
    *
    INDEX($AN$5:$AN$77, MATCH($A155,_xlfn.ANCHORARRAY( $W$5), 0))
)</f>
        <v>0.75287520182485412</v>
      </c>
      <c r="W155" s="17" cm="1">
        <f t="array" ref="W155">MMULT(
    MMULT(
        INDEX($X$5:$AM$77, MATCH(W$100,_xlfn.ANCHORARRAY( $W$5), 0), 0),
        $F$5:$U$20
    ),
    TRANSPOSE(
        INDEX($X$5:$AM$77, MATCH($A155,_xlfn.ANCHORARRAY( $W$5), 0), 0)
    )
)
/
(
    INDEX($AN$5:$AN$77, MATCH(W$100,_xlfn.ANCHORARRAY( $W$5), 0))
    *
    INDEX($AN$5:$AN$77, MATCH($A155,_xlfn.ANCHORARRAY( $W$5), 0))
)</f>
        <v>0.3960464951933873</v>
      </c>
      <c r="X155" s="17" cm="1">
        <f t="array" ref="X155">MMULT(
    MMULT(
        INDEX($X$5:$AM$77, MATCH(X$100,_xlfn.ANCHORARRAY( $W$5), 0), 0),
        $F$5:$U$20
    ),
    TRANSPOSE(
        INDEX($X$5:$AM$77, MATCH($A155,_xlfn.ANCHORARRAY( $W$5), 0), 0)
    )
)
/
(
    INDEX($AN$5:$AN$77, MATCH(X$100,_xlfn.ANCHORARRAY( $W$5), 0))
    *
    INDEX($AN$5:$AN$77, MATCH($A155,_xlfn.ANCHORARRAY( $W$5), 0))
)</f>
        <v>0.47793881149381101</v>
      </c>
      <c r="Y155" s="17" cm="1">
        <f t="array" ref="Y155">MMULT(
    MMULT(
        INDEX($X$5:$AM$77, MATCH(Y$100,_xlfn.ANCHORARRAY( $W$5), 0), 0),
        $F$5:$U$20
    ),
    TRANSPOSE(
        INDEX($X$5:$AM$77, MATCH($A155,_xlfn.ANCHORARRAY( $W$5), 0), 0)
    )
)
/
(
    INDEX($AN$5:$AN$77, MATCH(Y$100,_xlfn.ANCHORARRAY( $W$5), 0))
    *
    INDEX($AN$5:$AN$77, MATCH($A155,_xlfn.ANCHORARRAY( $W$5), 0))
)</f>
        <v>0.85825617390065212</v>
      </c>
      <c r="Z155" s="17" cm="1">
        <f t="array" ref="Z155">MMULT(
    MMULT(
        INDEX($X$5:$AM$77, MATCH(Z$100,_xlfn.ANCHORARRAY( $W$5), 0), 0),
        $F$5:$U$20
    ),
    TRANSPOSE(
        INDEX($X$5:$AM$77, MATCH($A155,_xlfn.ANCHORARRAY( $W$5), 0), 0)
    )
)
/
(
    INDEX($AN$5:$AN$77, MATCH(Z$100,_xlfn.ANCHORARRAY( $W$5), 0))
    *
    INDEX($AN$5:$AN$77, MATCH($A155,_xlfn.ANCHORARRAY( $W$5), 0))
)</f>
        <v>0.544193280754525</v>
      </c>
      <c r="AA155" s="17" cm="1">
        <f t="array" ref="AA155">MMULT(
    MMULT(
        INDEX($X$5:$AM$77, MATCH(AA$100,_xlfn.ANCHORARRAY( $W$5), 0), 0),
        $F$5:$U$20
    ),
    TRANSPOSE(
        INDEX($X$5:$AM$77, MATCH($A155,_xlfn.ANCHORARRAY( $W$5), 0), 0)
    )
)
/
(
    INDEX($AN$5:$AN$77, MATCH(AA$100,_xlfn.ANCHORARRAY( $W$5), 0))
    *
    INDEX($AN$5:$AN$77, MATCH($A155,_xlfn.ANCHORARRAY( $W$5), 0))
)</f>
        <v>0.60898388941959514</v>
      </c>
      <c r="AB155" s="17" cm="1">
        <f t="array" ref="AB155">MMULT(
    MMULT(
        INDEX($X$5:$AM$77, MATCH(AB$100,_xlfn.ANCHORARRAY( $W$5), 0), 0),
        $F$5:$U$20
    ),
    TRANSPOSE(
        INDEX($X$5:$AM$77, MATCH($A155,_xlfn.ANCHORARRAY( $W$5), 0), 0)
    )
)
/
(
    INDEX($AN$5:$AN$77, MATCH(AB$100,_xlfn.ANCHORARRAY( $W$5), 0))
    *
    INDEX($AN$5:$AN$77, MATCH($A155,_xlfn.ANCHORARRAY( $W$5), 0))
)</f>
        <v>0.68189874658324812</v>
      </c>
      <c r="AC155" s="17" cm="1">
        <f t="array" ref="AC155">MMULT(
    MMULT(
        INDEX($X$5:$AM$77, MATCH(AC$100,_xlfn.ANCHORARRAY( $W$5), 0), 0),
        $F$5:$U$20
    ),
    TRANSPOSE(
        INDEX($X$5:$AM$77, MATCH($A155,_xlfn.ANCHORARRAY( $W$5), 0), 0)
    )
)
/
(
    INDEX($AN$5:$AN$77, MATCH(AC$100,_xlfn.ANCHORARRAY( $W$5), 0))
    *
    INDEX($AN$5:$AN$77, MATCH($A155,_xlfn.ANCHORARRAY( $W$5), 0))
)</f>
        <v>0.71490771842347545</v>
      </c>
      <c r="AD155" s="17" cm="1">
        <f t="array" ref="AD155">MMULT(
    MMULT(
        INDEX($X$5:$AM$77, MATCH(AD$100,_xlfn.ANCHORARRAY( $W$5), 0), 0),
        $F$5:$U$20
    ),
    TRANSPOSE(
        INDEX($X$5:$AM$77, MATCH($A155,_xlfn.ANCHORARRAY( $W$5), 0), 0)
    )
)
/
(
    INDEX($AN$5:$AN$77, MATCH(AD$100,_xlfn.ANCHORARRAY( $W$5), 0))
    *
    INDEX($AN$5:$AN$77, MATCH($A155,_xlfn.ANCHORARRAY( $W$5), 0))
)</f>
        <v>0.58166711479576738</v>
      </c>
      <c r="AE155" s="17" cm="1">
        <f t="array" ref="AE155">MMULT(
    MMULT(
        INDEX($X$5:$AM$77, MATCH(AE$100,_xlfn.ANCHORARRAY( $W$5), 0), 0),
        $F$5:$U$20
    ),
    TRANSPOSE(
        INDEX($X$5:$AM$77, MATCH($A155,_xlfn.ANCHORARRAY( $W$5), 0), 0)
    )
)
/
(
    INDEX($AN$5:$AN$77, MATCH(AE$100,_xlfn.ANCHORARRAY( $W$5), 0))
    *
    INDEX($AN$5:$AN$77, MATCH($A155,_xlfn.ANCHORARRAY( $W$5), 0))
)</f>
        <v>0.76687578422155023</v>
      </c>
      <c r="AF155" s="17" cm="1">
        <f t="array" ref="AF155">MMULT(
    MMULT(
        INDEX($X$5:$AM$77, MATCH(AF$100,_xlfn.ANCHORARRAY( $W$5), 0), 0),
        $F$5:$U$20
    ),
    TRANSPOSE(
        INDEX($X$5:$AM$77, MATCH($A155,_xlfn.ANCHORARRAY( $W$5), 0), 0)
    )
)
/
(
    INDEX($AN$5:$AN$77, MATCH(AF$100,_xlfn.ANCHORARRAY( $W$5), 0))
    *
    INDEX($AN$5:$AN$77, MATCH($A155,_xlfn.ANCHORARRAY( $W$5), 0))
)</f>
        <v>0.91458228149583543</v>
      </c>
      <c r="AG155" s="17" cm="1">
        <f t="array" ref="AG155">MMULT(
    MMULT(
        INDEX($X$5:$AM$77, MATCH(AG$100,_xlfn.ANCHORARRAY( $W$5), 0), 0),
        $F$5:$U$20
    ),
    TRANSPOSE(
        INDEX($X$5:$AM$77, MATCH($A155,_xlfn.ANCHORARRAY( $W$5), 0), 0)
    )
)
/
(
    INDEX($AN$5:$AN$77, MATCH(AG$100,_xlfn.ANCHORARRAY( $W$5), 0))
    *
    INDEX($AN$5:$AN$77, MATCH($A155,_xlfn.ANCHORARRAY( $W$5), 0))
)</f>
        <v>0.70229569574444095</v>
      </c>
      <c r="AH155" s="17" cm="1">
        <f t="array" ref="AH155">MMULT(
    MMULT(
        INDEX($X$5:$AM$77, MATCH(AH$100,_xlfn.ANCHORARRAY( $W$5), 0), 0),
        $F$5:$U$20
    ),
    TRANSPOSE(
        INDEX($X$5:$AM$77, MATCH($A155,_xlfn.ANCHORARRAY( $W$5), 0), 0)
    )
)
/
(
    INDEX($AN$5:$AN$77, MATCH(AH$100,_xlfn.ANCHORARRAY( $W$5), 0))
    *
    INDEX($AN$5:$AN$77, MATCH($A155,_xlfn.ANCHORARRAY( $W$5), 0))
)</f>
        <v>0.52475291847622529</v>
      </c>
      <c r="AI155" s="17" cm="1">
        <f t="array" ref="AI155">MMULT(
    MMULT(
        INDEX($X$5:$AM$77, MATCH(AI$100,_xlfn.ANCHORARRAY( $W$5), 0), 0),
        $F$5:$U$20
    ),
    TRANSPOSE(
        INDEX($X$5:$AM$77, MATCH($A155,_xlfn.ANCHORARRAY( $W$5), 0), 0)
    )
)
/
(
    INDEX($AN$5:$AN$77, MATCH(AI$100,_xlfn.ANCHORARRAY( $W$5), 0))
    *
    INDEX($AN$5:$AN$77, MATCH($A155,_xlfn.ANCHORARRAY( $W$5), 0))
)</f>
        <v>0.74157646257897325</v>
      </c>
      <c r="AJ155" s="17" cm="1">
        <f t="array" ref="AJ155">MMULT(
    MMULT(
        INDEX($X$5:$AM$77, MATCH(AJ$100,_xlfn.ANCHORARRAY( $W$5), 0), 0),
        $F$5:$U$20
    ),
    TRANSPOSE(
        INDEX($X$5:$AM$77, MATCH($A155,_xlfn.ANCHORARRAY( $W$5), 0), 0)
    )
)
/
(
    INDEX($AN$5:$AN$77, MATCH(AJ$100,_xlfn.ANCHORARRAY( $W$5), 0))
    *
    INDEX($AN$5:$AN$77, MATCH($A155,_xlfn.ANCHORARRAY( $W$5), 0))
)</f>
        <v>0.7254304526374411</v>
      </c>
      <c r="AK155" s="17" cm="1">
        <f t="array" ref="AK155">MMULT(
    MMULT(
        INDEX($X$5:$AM$77, MATCH(AK$100,_xlfn.ANCHORARRAY( $W$5), 0), 0),
        $F$5:$U$20
    ),
    TRANSPOSE(
        INDEX($X$5:$AM$77, MATCH($A155,_xlfn.ANCHORARRAY( $W$5), 0), 0)
    )
)
/
(
    INDEX($AN$5:$AN$77, MATCH(AK$100,_xlfn.ANCHORARRAY( $W$5), 0))
    *
    INDEX($AN$5:$AN$77, MATCH($A155,_xlfn.ANCHORARRAY( $W$5), 0))
)</f>
        <v>0.61165181427573001</v>
      </c>
      <c r="AL155" s="17" cm="1">
        <f t="array" ref="AL155">MMULT(
    MMULT(
        INDEX($X$5:$AM$77, MATCH(AL$100,_xlfn.ANCHORARRAY( $W$5), 0), 0),
        $F$5:$U$20
    ),
    TRANSPOSE(
        INDEX($X$5:$AM$77, MATCH($A155,_xlfn.ANCHORARRAY( $W$5), 0), 0)
    )
)
/
(
    INDEX($AN$5:$AN$77, MATCH(AL$100,_xlfn.ANCHORARRAY( $W$5), 0))
    *
    INDEX($AN$5:$AN$77, MATCH($A155,_xlfn.ANCHORARRAY( $W$5), 0))
)</f>
        <v>0.43193568015776723</v>
      </c>
      <c r="AM155" s="17" cm="1">
        <f t="array" ref="AM155">MMULT(
    MMULT(
        INDEX($X$5:$AM$77, MATCH(AM$100,_xlfn.ANCHORARRAY( $W$5), 0), 0),
        $F$5:$U$20
    ),
    TRANSPOSE(
        INDEX($X$5:$AM$77, MATCH($A155,_xlfn.ANCHORARRAY( $W$5), 0), 0)
    )
)
/
(
    INDEX($AN$5:$AN$77, MATCH(AM$100,_xlfn.ANCHORARRAY( $W$5), 0))
    *
    INDEX($AN$5:$AN$77, MATCH($A155,_xlfn.ANCHORARRAY( $W$5), 0))
)</f>
        <v>0.53697664948436119</v>
      </c>
      <c r="AN155" s="17" cm="1">
        <f t="array" ref="AN155">MMULT(
    MMULT(
        INDEX($X$5:$AM$77, MATCH(AN$100,_xlfn.ANCHORARRAY( $W$5), 0), 0),
        $F$5:$U$20
    ),
    TRANSPOSE(
        INDEX($X$5:$AM$77, MATCH($A155,_xlfn.ANCHORARRAY( $W$5), 0), 0)
    )
)
/
(
    INDEX($AN$5:$AN$77, MATCH(AN$100,_xlfn.ANCHORARRAY( $W$5), 0))
    *
    INDEX($AN$5:$AN$77, MATCH($A155,_xlfn.ANCHORARRAY( $W$5), 0))
)</f>
        <v>0.63730363132331258</v>
      </c>
      <c r="AO155" s="17" cm="1">
        <f t="array" ref="AO155">MMULT(
    MMULT(
        INDEX($X$5:$AM$77, MATCH(AO$100,_xlfn.ANCHORARRAY( $W$5), 0), 0),
        $F$5:$U$20
    ),
    TRANSPOSE(
        INDEX($X$5:$AM$77, MATCH($A155,_xlfn.ANCHORARRAY( $W$5), 0), 0)
    )
)
/
(
    INDEX($AN$5:$AN$77, MATCH(AO$100,_xlfn.ANCHORARRAY( $W$5), 0))
    *
    INDEX($AN$5:$AN$77, MATCH($A155,_xlfn.ANCHORARRAY( $W$5), 0))
)</f>
        <v>0.53934794107112172</v>
      </c>
      <c r="AP155" s="17" cm="1">
        <f t="array" ref="AP155">MMULT(
    MMULT(
        INDEX($X$5:$AM$77, MATCH(AP$100,_xlfn.ANCHORARRAY( $W$5), 0), 0),
        $F$5:$U$20
    ),
    TRANSPOSE(
        INDEX($X$5:$AM$77, MATCH($A155,_xlfn.ANCHORARRAY( $W$5), 0), 0)
    )
)
/
(
    INDEX($AN$5:$AN$77, MATCH(AP$100,_xlfn.ANCHORARRAY( $W$5), 0))
    *
    INDEX($AN$5:$AN$77, MATCH($A155,_xlfn.ANCHORARRAY( $W$5), 0))
)</f>
        <v>0.59978911456370532</v>
      </c>
      <c r="AQ155" s="17" cm="1">
        <f t="array" ref="AQ155">MMULT(
    MMULT(
        INDEX($X$5:$AM$77, MATCH(AQ$100,_xlfn.ANCHORARRAY( $W$5), 0), 0),
        $F$5:$U$20
    ),
    TRANSPOSE(
        INDEX($X$5:$AM$77, MATCH($A155,_xlfn.ANCHORARRAY( $W$5), 0), 0)
    )
)
/
(
    INDEX($AN$5:$AN$77, MATCH(AQ$100,_xlfn.ANCHORARRAY( $W$5), 0))
    *
    INDEX($AN$5:$AN$77, MATCH($A155,_xlfn.ANCHORARRAY( $W$5), 0))
)</f>
        <v>0.94392630838754688</v>
      </c>
      <c r="AR155" s="17" cm="1">
        <f t="array" ref="AR155">MMULT(
    MMULT(
        INDEX($X$5:$AM$77, MATCH(AR$100,_xlfn.ANCHORARRAY( $W$5), 0), 0),
        $F$5:$U$20
    ),
    TRANSPOSE(
        INDEX($X$5:$AM$77, MATCH($A155,_xlfn.ANCHORARRAY( $W$5), 0), 0)
    )
)
/
(
    INDEX($AN$5:$AN$77, MATCH(AR$100,_xlfn.ANCHORARRAY( $W$5), 0))
    *
    INDEX($AN$5:$AN$77, MATCH($A155,_xlfn.ANCHORARRAY( $W$5), 0))
)</f>
        <v>0.77076057300690926</v>
      </c>
      <c r="AS155" s="17" cm="1">
        <f t="array" ref="AS155">MMULT(
    MMULT(
        INDEX($X$5:$AM$77, MATCH(AS$100,_xlfn.ANCHORARRAY( $W$5), 0), 0),
        $F$5:$U$20
    ),
    TRANSPOSE(
        INDEX($X$5:$AM$77, MATCH($A155,_xlfn.ANCHORARRAY( $W$5), 0), 0)
    )
)
/
(
    INDEX($AN$5:$AN$77, MATCH(AS$100,_xlfn.ANCHORARRAY( $W$5), 0))
    *
    INDEX($AN$5:$AN$77, MATCH($A155,_xlfn.ANCHORARRAY( $W$5), 0))
)</f>
        <v>0.50760054358292905</v>
      </c>
      <c r="AT155" s="17" cm="1">
        <f t="array" ref="AT155">MMULT(
    MMULT(
        INDEX($X$5:$AM$77, MATCH(AT$100,_xlfn.ANCHORARRAY( $W$5), 0), 0),
        $F$5:$U$20
    ),
    TRANSPOSE(
        INDEX($X$5:$AM$77, MATCH($A155,_xlfn.ANCHORARRAY( $W$5), 0), 0)
    )
)
/
(
    INDEX($AN$5:$AN$77, MATCH(AT$100,_xlfn.ANCHORARRAY( $W$5), 0))
    *
    INDEX($AN$5:$AN$77, MATCH($A155,_xlfn.ANCHORARRAY( $W$5), 0))
)</f>
        <v>0.6555274093566642</v>
      </c>
      <c r="AU155" s="17" cm="1">
        <f t="array" ref="AU155">MMULT(
    MMULT(
        INDEX($X$5:$AM$77, MATCH(AU$100,_xlfn.ANCHORARRAY( $W$5), 0), 0),
        $F$5:$U$20
    ),
    TRANSPOSE(
        INDEX($X$5:$AM$77, MATCH($A155,_xlfn.ANCHORARRAY( $W$5), 0), 0)
    )
)
/
(
    INDEX($AN$5:$AN$77, MATCH(AU$100,_xlfn.ANCHORARRAY( $W$5), 0))
    *
    INDEX($AN$5:$AN$77, MATCH($A155,_xlfn.ANCHORARRAY( $W$5), 0))
)</f>
        <v>0.49866740302568313</v>
      </c>
      <c r="AV155" s="17" cm="1">
        <f t="array" ref="AV155">MMULT(
    MMULT(
        INDEX($X$5:$AM$77, MATCH(AV$100,_xlfn.ANCHORARRAY( $W$5), 0), 0),
        $F$5:$U$20
    ),
    TRANSPOSE(
        INDEX($X$5:$AM$77, MATCH($A155,_xlfn.ANCHORARRAY( $W$5), 0), 0)
    )
)
/
(
    INDEX($AN$5:$AN$77, MATCH(AV$100,_xlfn.ANCHORARRAY( $W$5), 0))
    *
    INDEX($AN$5:$AN$77, MATCH($A155,_xlfn.ANCHORARRAY( $W$5), 0))
)</f>
        <v>0.51919655223437144</v>
      </c>
      <c r="AW155" s="17" cm="1">
        <f t="array" ref="AW155">MMULT(
    MMULT(
        INDEX($X$5:$AM$77, MATCH(AW$100,_xlfn.ANCHORARRAY( $W$5), 0), 0),
        $F$5:$U$20
    ),
    TRANSPOSE(
        INDEX($X$5:$AM$77, MATCH($A155,_xlfn.ANCHORARRAY( $W$5), 0), 0)
    )
)
/
(
    INDEX($AN$5:$AN$77, MATCH(AW$100,_xlfn.ANCHORARRAY( $W$5), 0))
    *
    INDEX($AN$5:$AN$77, MATCH($A155,_xlfn.ANCHORARRAY( $W$5), 0))
)</f>
        <v>0.4863136606662456</v>
      </c>
      <c r="AX155" s="17" cm="1">
        <f t="array" ref="AX155">MMULT(
    MMULT(
        INDEX($X$5:$AM$77, MATCH(AX$100,_xlfn.ANCHORARRAY( $W$5), 0), 0),
        $F$5:$U$20
    ),
    TRANSPOSE(
        INDEX($X$5:$AM$77, MATCH($A155,_xlfn.ANCHORARRAY( $W$5), 0), 0)
    )
)
/
(
    INDEX($AN$5:$AN$77, MATCH(AX$100,_xlfn.ANCHORARRAY( $W$5), 0))
    *
    INDEX($AN$5:$AN$77, MATCH($A155,_xlfn.ANCHORARRAY( $W$5), 0))
)</f>
        <v>0.71224124041007431</v>
      </c>
      <c r="AY155" s="17" cm="1">
        <f t="array" ref="AY155">MMULT(
    MMULT(
        INDEX($X$5:$AM$77, MATCH(AY$100,_xlfn.ANCHORARRAY( $W$5), 0), 0),
        $F$5:$U$20
    ),
    TRANSPOSE(
        INDEX($X$5:$AM$77, MATCH($A155,_xlfn.ANCHORARRAY( $W$5), 0), 0)
    )
)
/
(
    INDEX($AN$5:$AN$77, MATCH(AY$100,_xlfn.ANCHORARRAY( $W$5), 0))
    *
    INDEX($AN$5:$AN$77, MATCH($A155,_xlfn.ANCHORARRAY( $W$5), 0))
)</f>
        <v>0.45030258995336414</v>
      </c>
      <c r="AZ155" s="17" cm="1">
        <f t="array" ref="AZ155">MMULT(
    MMULT(
        INDEX($X$5:$AM$77, MATCH(AZ$100,_xlfn.ANCHORARRAY( $W$5), 0), 0),
        $F$5:$U$20
    ),
    TRANSPOSE(
        INDEX($X$5:$AM$77, MATCH($A155,_xlfn.ANCHORARRAY( $W$5), 0), 0)
    )
)
/
(
    INDEX($AN$5:$AN$77, MATCH(AZ$100,_xlfn.ANCHORARRAY( $W$5), 0))
    *
    INDEX($AN$5:$AN$77, MATCH($A155,_xlfn.ANCHORARRAY( $W$5), 0))
)</f>
        <v>0.54911033145651333</v>
      </c>
      <c r="BA155" s="17" cm="1">
        <f t="array" ref="BA155">MMULT(
    MMULT(
        INDEX($X$5:$AM$77, MATCH(BA$100,_xlfn.ANCHORARRAY( $W$5), 0), 0),
        $F$5:$U$20
    ),
    TRANSPOSE(
        INDEX($X$5:$AM$77, MATCH($A155,_xlfn.ANCHORARRAY( $W$5), 0), 0)
    )
)
/
(
    INDEX($AN$5:$AN$77, MATCH(BA$100,_xlfn.ANCHORARRAY( $W$5), 0))
    *
    INDEX($AN$5:$AN$77, MATCH($A155,_xlfn.ANCHORARRAY( $W$5), 0))
)</f>
        <v>0.66981030594571589</v>
      </c>
      <c r="BB155" s="17" cm="1">
        <f t="array" ref="BB155">MMULT(
    MMULT(
        INDEX($X$5:$AM$77, MATCH(BB$100,_xlfn.ANCHORARRAY( $W$5), 0), 0),
        $F$5:$U$20
    ),
    TRANSPOSE(
        INDEX($X$5:$AM$77, MATCH($A155,_xlfn.ANCHORARRAY( $W$5), 0), 0)
    )
)
/
(
    INDEX($AN$5:$AN$77, MATCH(BB$100,_xlfn.ANCHORARRAY( $W$5), 0))
    *
    INDEX($AN$5:$AN$77, MATCH($A155,_xlfn.ANCHORARRAY( $W$5), 0))
)</f>
        <v>0.48140901422628746</v>
      </c>
      <c r="BC155" s="17" cm="1">
        <f t="array" ref="BC155">MMULT(
    MMULT(
        INDEX($X$5:$AM$77, MATCH(BC$100,_xlfn.ANCHORARRAY( $W$5), 0), 0),
        $F$5:$U$20
    ),
    TRANSPOSE(
        INDEX($X$5:$AM$77, MATCH($A155,_xlfn.ANCHORARRAY( $W$5), 0), 0)
    )
)
/
(
    INDEX($AN$5:$AN$77, MATCH(BC$100,_xlfn.ANCHORARRAY( $W$5), 0))
    *
    INDEX($AN$5:$AN$77, MATCH($A155,_xlfn.ANCHORARRAY( $W$5), 0))
)</f>
        <v>0.61163108308818903</v>
      </c>
      <c r="BD155" s="17" cm="1">
        <f t="array" ref="BD155">MMULT(
    MMULT(
        INDEX($X$5:$AM$77, MATCH(BD$100,_xlfn.ANCHORARRAY( $W$5), 0), 0),
        $F$5:$U$20
    ),
    TRANSPOSE(
        INDEX($X$5:$AM$77, MATCH($A155,_xlfn.ANCHORARRAY( $W$5), 0), 0)
    )
)
/
(
    INDEX($AN$5:$AN$77, MATCH(BD$100,_xlfn.ANCHORARRAY( $W$5), 0))
    *
    INDEX($AN$5:$AN$77, MATCH($A155,_xlfn.ANCHORARRAY( $W$5), 0))
)</f>
        <v>1</v>
      </c>
      <c r="BE155" s="17" cm="1">
        <f t="array" ref="BE155">MMULT(
    MMULT(
        INDEX($X$5:$AM$77, MATCH(BE$100,_xlfn.ANCHORARRAY( $W$5), 0), 0),
        $F$5:$U$20
    ),
    TRANSPOSE(
        INDEX($X$5:$AM$77, MATCH($A155,_xlfn.ANCHORARRAY( $W$5), 0), 0)
    )
)
/
(
    INDEX($AN$5:$AN$77, MATCH(BE$100,_xlfn.ANCHORARRAY( $W$5), 0))
    *
    INDEX($AN$5:$AN$77, MATCH($A155,_xlfn.ANCHORARRAY( $W$5), 0))
)</f>
        <v>0.50669064155096366</v>
      </c>
      <c r="BF155" s="17" cm="1">
        <f t="array" ref="BF155">MMULT(
    MMULT(
        INDEX($X$5:$AM$77, MATCH(BF$100,_xlfn.ANCHORARRAY( $W$5), 0), 0),
        $F$5:$U$20
    ),
    TRANSPOSE(
        INDEX($X$5:$AM$77, MATCH($A155,_xlfn.ANCHORARRAY( $W$5), 0), 0)
    )
)
/
(
    INDEX($AN$5:$AN$77, MATCH(BF$100,_xlfn.ANCHORARRAY( $W$5), 0))
    *
    INDEX($AN$5:$AN$77, MATCH($A155,_xlfn.ANCHORARRAY( $W$5), 0))
)</f>
        <v>0.88810947198029488</v>
      </c>
      <c r="BG155" s="17" cm="1">
        <f t="array" ref="BG155">MMULT(
    MMULT(
        INDEX($X$5:$AM$77, MATCH(BG$100,_xlfn.ANCHORARRAY( $W$5), 0), 0),
        $F$5:$U$20
    ),
    TRANSPOSE(
        INDEX($X$5:$AM$77, MATCH($A155,_xlfn.ANCHORARRAY( $W$5), 0), 0)
    )
)
/
(
    INDEX($AN$5:$AN$77, MATCH(BG$100,_xlfn.ANCHORARRAY( $W$5), 0))
    *
    INDEX($AN$5:$AN$77, MATCH($A155,_xlfn.ANCHORARRAY( $W$5), 0))
)</f>
        <v>0.72026586967265638</v>
      </c>
      <c r="BH155" s="17" cm="1">
        <f t="array" ref="BH155">MMULT(
    MMULT(
        INDEX($X$5:$AM$77, MATCH(BH$100,_xlfn.ANCHORARRAY( $W$5), 0), 0),
        $F$5:$U$20
    ),
    TRANSPOSE(
        INDEX($X$5:$AM$77, MATCH($A155,_xlfn.ANCHORARRAY( $W$5), 0), 0)
    )
)
/
(
    INDEX($AN$5:$AN$77, MATCH(BH$100,_xlfn.ANCHORARRAY( $W$5), 0))
    *
    INDEX($AN$5:$AN$77, MATCH($A155,_xlfn.ANCHORARRAY( $W$5), 0))
)</f>
        <v>0.91241930269661853</v>
      </c>
      <c r="BI155" s="17" cm="1">
        <f t="array" ref="BI155">MMULT(
    MMULT(
        INDEX($X$5:$AM$77, MATCH(BI$100,_xlfn.ANCHORARRAY( $W$5), 0), 0),
        $F$5:$U$20
    ),
    TRANSPOSE(
        INDEX($X$5:$AM$77, MATCH($A155,_xlfn.ANCHORARRAY( $W$5), 0), 0)
    )
)
/
(
    INDEX($AN$5:$AN$77, MATCH(BI$100,_xlfn.ANCHORARRAY( $W$5), 0))
    *
    INDEX($AN$5:$AN$77, MATCH($A155,_xlfn.ANCHORARRAY( $W$5), 0))
)</f>
        <v>0.42673537561411107</v>
      </c>
      <c r="BJ155" s="17" cm="1">
        <f t="array" ref="BJ155">MMULT(
    MMULT(
        INDEX($X$5:$AM$77, MATCH(BJ$100,_xlfn.ANCHORARRAY( $W$5), 0), 0),
        $F$5:$U$20
    ),
    TRANSPOSE(
        INDEX($X$5:$AM$77, MATCH($A155,_xlfn.ANCHORARRAY( $W$5), 0), 0)
    )
)
/
(
    INDEX($AN$5:$AN$77, MATCH(BJ$100,_xlfn.ANCHORARRAY( $W$5), 0))
    *
    INDEX($AN$5:$AN$77, MATCH($A155,_xlfn.ANCHORARRAY( $W$5), 0))
)</f>
        <v>0.67593715620755512</v>
      </c>
      <c r="BK155" s="17" cm="1">
        <f t="array" ref="BK155">MMULT(
    MMULT(
        INDEX($X$5:$AM$77, MATCH(BK$100,_xlfn.ANCHORARRAY( $W$5), 0), 0),
        $F$5:$U$20
    ),
    TRANSPOSE(
        INDEX($X$5:$AM$77, MATCH($A155,_xlfn.ANCHORARRAY( $W$5), 0), 0)
    )
)
/
(
    INDEX($AN$5:$AN$77, MATCH(BK$100,_xlfn.ANCHORARRAY( $W$5), 0))
    *
    INDEX($AN$5:$AN$77, MATCH($A155,_xlfn.ANCHORARRAY( $W$5), 0))
)</f>
        <v>0.99437030034760709</v>
      </c>
      <c r="BL155" s="17" cm="1">
        <f t="array" ref="BL155">MMULT(
    MMULT(
        INDEX($X$5:$AM$77, MATCH(BL$100,_xlfn.ANCHORARRAY( $W$5), 0), 0),
        $F$5:$U$20
    ),
    TRANSPOSE(
        INDEX($X$5:$AM$77, MATCH($A155,_xlfn.ANCHORARRAY( $W$5), 0), 0)
    )
)
/
(
    INDEX($AN$5:$AN$77, MATCH(BL$100,_xlfn.ANCHORARRAY( $W$5), 0))
    *
    INDEX($AN$5:$AN$77, MATCH($A155,_xlfn.ANCHORARRAY( $W$5), 0))
)</f>
        <v>0.2437403169439889</v>
      </c>
      <c r="BM155" s="17" cm="1">
        <f t="array" ref="BM155">MMULT(
    MMULT(
        INDEX($X$5:$AM$77, MATCH(BM$100,_xlfn.ANCHORARRAY( $W$5), 0), 0),
        $F$5:$U$20
    ),
    TRANSPOSE(
        INDEX($X$5:$AM$77, MATCH($A155,_xlfn.ANCHORARRAY( $W$5), 0), 0)
    )
)
/
(
    INDEX($AN$5:$AN$77, MATCH(BM$100,_xlfn.ANCHORARRAY( $W$5), 0))
    *
    INDEX($AN$5:$AN$77, MATCH($A155,_xlfn.ANCHORARRAY( $W$5), 0))
)</f>
        <v>0.39304151041723046</v>
      </c>
      <c r="BN155" s="17" cm="1">
        <f t="array" ref="BN155">MMULT(
    MMULT(
        INDEX($X$5:$AM$77, MATCH(BN$100,_xlfn.ANCHORARRAY( $W$5), 0), 0),
        $F$5:$U$20
    ),
    TRANSPOSE(
        INDEX($X$5:$AM$77, MATCH($A155,_xlfn.ANCHORARRAY( $W$5), 0), 0)
    )
)
/
(
    INDEX($AN$5:$AN$77, MATCH(BN$100,_xlfn.ANCHORARRAY( $W$5), 0))
    *
    INDEX($AN$5:$AN$77, MATCH($A155,_xlfn.ANCHORARRAY( $W$5), 0))
)</f>
        <v>0.56976202128782272</v>
      </c>
      <c r="BO155" s="17" cm="1">
        <f t="array" ref="BO155">MMULT(
    MMULT(
        INDEX($X$5:$AM$77, MATCH(BO$100,_xlfn.ANCHORARRAY( $W$5), 0), 0),
        $F$5:$U$20
    ),
    TRANSPOSE(
        INDEX($X$5:$AM$77, MATCH($A155,_xlfn.ANCHORARRAY( $W$5), 0), 0)
    )
)
/
(
    INDEX($AN$5:$AN$77, MATCH(BO$100,_xlfn.ANCHORARRAY( $W$5), 0))
    *
    INDEX($AN$5:$AN$77, MATCH($A155,_xlfn.ANCHORARRAY( $W$5), 0))
)</f>
        <v>0.55114472027592365</v>
      </c>
      <c r="BP155" s="17" cm="1">
        <f t="array" ref="BP155">MMULT(
    MMULT(
        INDEX($X$5:$AM$77, MATCH(BP$100,_xlfn.ANCHORARRAY( $W$5), 0), 0),
        $F$5:$U$20
    ),
    TRANSPOSE(
        INDEX($X$5:$AM$77, MATCH($A155,_xlfn.ANCHORARRAY( $W$5), 0), 0)
    )
)
/
(
    INDEX($AN$5:$AN$77, MATCH(BP$100,_xlfn.ANCHORARRAY( $W$5), 0))
    *
    INDEX($AN$5:$AN$77, MATCH($A155,_xlfn.ANCHORARRAY( $W$5), 0))
)</f>
        <v>0.74197957446038831</v>
      </c>
      <c r="BQ155" s="17" cm="1">
        <f t="array" ref="BQ155">MMULT(
    MMULT(
        INDEX($X$5:$AM$77, MATCH(BQ$100,_xlfn.ANCHORARRAY( $W$5), 0), 0),
        $F$5:$U$20
    ),
    TRANSPOSE(
        INDEX($X$5:$AM$77, MATCH($A155,_xlfn.ANCHORARRAY( $W$5), 0), 0)
    )
)
/
(
    INDEX($AN$5:$AN$77, MATCH(BQ$100,_xlfn.ANCHORARRAY( $W$5), 0))
    *
    INDEX($AN$5:$AN$77, MATCH($A155,_xlfn.ANCHORARRAY( $W$5), 0))
)</f>
        <v>0.56606486320393923</v>
      </c>
      <c r="BR155" s="17" cm="1">
        <f t="array" ref="BR155">MMULT(
    MMULT(
        INDEX($X$5:$AM$77, MATCH(BR$100,_xlfn.ANCHORARRAY( $W$5), 0), 0),
        $F$5:$U$20
    ),
    TRANSPOSE(
        INDEX($X$5:$AM$77, MATCH($A155,_xlfn.ANCHORARRAY( $W$5), 0), 0)
    )
)
/
(
    INDEX($AN$5:$AN$77, MATCH(BR$100,_xlfn.ANCHORARRAY( $W$5), 0))
    *
    INDEX($AN$5:$AN$77, MATCH($A155,_xlfn.ANCHORARRAY( $W$5), 0))
)</f>
        <v>0.66745847552120885</v>
      </c>
      <c r="BS155" s="17" cm="1">
        <f t="array" ref="BS155">MMULT(
    MMULT(
        INDEX($X$5:$AM$77, MATCH(BS$100,_xlfn.ANCHORARRAY( $W$5), 0), 0),
        $F$5:$U$20
    ),
    TRANSPOSE(
        INDEX($X$5:$AM$77, MATCH($A155,_xlfn.ANCHORARRAY( $W$5), 0), 0)
    )
)
/
(
    INDEX($AN$5:$AN$77, MATCH(BS$100,_xlfn.ANCHORARRAY( $W$5), 0))
    *
    INDEX($AN$5:$AN$77, MATCH($A155,_xlfn.ANCHORARRAY( $W$5), 0))
)</f>
        <v>0.4469104186140806</v>
      </c>
      <c r="BT155" s="17" cm="1">
        <f t="array" ref="BT155">MMULT(
    MMULT(
        INDEX($X$5:$AM$77, MATCH(BT$100,_xlfn.ANCHORARRAY( $W$5), 0), 0),
        $F$5:$U$20
    ),
    TRANSPOSE(
        INDEX($X$5:$AM$77, MATCH($A155,_xlfn.ANCHORARRAY( $W$5), 0), 0)
    )
)
/
(
    INDEX($AN$5:$AN$77, MATCH(BT$100,_xlfn.ANCHORARRAY( $W$5), 0))
    *
    INDEX($AN$5:$AN$77, MATCH($A155,_xlfn.ANCHORARRAY( $W$5), 0))
)</f>
        <v>0.63259710076509135</v>
      </c>
      <c r="BU155" s="17" cm="1">
        <f t="array" ref="BU155">MMULT(
    MMULT(
        INDEX($X$5:$AM$77, MATCH(BU$100,_xlfn.ANCHORARRAY( $W$5), 0), 0),
        $F$5:$U$20
    ),
    TRANSPOSE(
        INDEX($X$5:$AM$77, MATCH($A155,_xlfn.ANCHORARRAY( $W$5), 0), 0)
    )
)
/
(
    INDEX($AN$5:$AN$77, MATCH(BU$100,_xlfn.ANCHORARRAY( $W$5), 0))
    *
    INDEX($AN$5:$AN$77, MATCH($A155,_xlfn.ANCHORARRAY( $W$5), 0))
)</f>
        <v>0.92101414505258361</v>
      </c>
      <c r="BV155" s="17" cm="1">
        <f t="array" ref="BV155">MMULT(
    MMULT(
        INDEX($X$5:$AM$77, MATCH(BV$100,_xlfn.ANCHORARRAY( $W$5), 0), 0),
        $F$5:$U$20
    ),
    TRANSPOSE(
        INDEX($X$5:$AM$77, MATCH($A155,_xlfn.ANCHORARRAY( $W$5), 0), 0)
    )
)
/
(
    INDEX($AN$5:$AN$77, MATCH(BV$100,_xlfn.ANCHORARRAY( $W$5), 0))
    *
    INDEX($AN$5:$AN$77, MATCH($A155,_xlfn.ANCHORARRAY( $W$5), 0))
)</f>
        <v>0.54332066931180434</v>
      </c>
    </row>
    <row r="156" spans="1:74" x14ac:dyDescent="0.3">
      <c r="A156" s="7" t="str">
        <v>Fedde, Erick</v>
      </c>
      <c r="B156" s="17" cm="1">
        <f t="array" ref="B156">MMULT(
    MMULT(
        INDEX($X$5:$AM$77, MATCH(B$100,_xlfn.ANCHORARRAY( $W$5), 0), 0),
        $F$5:$U$20
    ),
    TRANSPOSE(
        INDEX($X$5:$AM$77, MATCH($A156,_xlfn.ANCHORARRAY( $W$5), 0), 0)
    )
)
/
(
    INDEX($AN$5:$AN$77, MATCH(B$100,_xlfn.ANCHORARRAY( $W$5), 0))
    *
    INDEX($AN$5:$AN$77, MATCH($A156,_xlfn.ANCHORARRAY( $W$5), 0))
)</f>
        <v>0.76915074261660776</v>
      </c>
      <c r="C156" s="17" cm="1">
        <f t="array" ref="C156">MMULT(
    MMULT(
        INDEX($X$5:$AM$77, MATCH(C$100,_xlfn.ANCHORARRAY( $W$5), 0), 0),
        $F$5:$U$20
    ),
    TRANSPOSE(
        INDEX($X$5:$AM$77, MATCH($A156,_xlfn.ANCHORARRAY( $W$5), 0), 0)
    )
)
/
(
    INDEX($AN$5:$AN$77, MATCH(C$100,_xlfn.ANCHORARRAY( $W$5), 0))
    *
    INDEX($AN$5:$AN$77, MATCH($A156,_xlfn.ANCHORARRAY( $W$5), 0))
)</f>
        <v>0.63213882976150615</v>
      </c>
      <c r="D156" s="17" cm="1">
        <f t="array" ref="D156">MMULT(
    MMULT(
        INDEX($X$5:$AM$77, MATCH(D$100,_xlfn.ANCHORARRAY( $W$5), 0), 0),
        $F$5:$U$20
    ),
    TRANSPOSE(
        INDEX($X$5:$AM$77, MATCH($A156,_xlfn.ANCHORARRAY( $W$5), 0), 0)
    )
)
/
(
    INDEX($AN$5:$AN$77, MATCH(D$100,_xlfn.ANCHORARRAY( $W$5), 0))
    *
    INDEX($AN$5:$AN$77, MATCH($A156,_xlfn.ANCHORARRAY( $W$5), 0))
)</f>
        <v>0.74065195304362486</v>
      </c>
      <c r="E156" s="17" cm="1">
        <f t="array" ref="E156">MMULT(
    MMULT(
        INDEX($X$5:$AM$77, MATCH(E$100,_xlfn.ANCHORARRAY( $W$5), 0), 0),
        $F$5:$U$20
    ),
    TRANSPOSE(
        INDEX($X$5:$AM$77, MATCH($A156,_xlfn.ANCHORARRAY( $W$5), 0), 0)
    )
)
/
(
    INDEX($AN$5:$AN$77, MATCH(E$100,_xlfn.ANCHORARRAY( $W$5), 0))
    *
    INDEX($AN$5:$AN$77, MATCH($A156,_xlfn.ANCHORARRAY( $W$5), 0))
)</f>
        <v>0.8737632348748503</v>
      </c>
      <c r="F156" s="17" cm="1">
        <f t="array" ref="F156">MMULT(
    MMULT(
        INDEX($X$5:$AM$77, MATCH(F$100,_xlfn.ANCHORARRAY( $W$5), 0), 0),
        $F$5:$U$20
    ),
    TRANSPOSE(
        INDEX($X$5:$AM$77, MATCH($A156,_xlfn.ANCHORARRAY( $W$5), 0), 0)
    )
)
/
(
    INDEX($AN$5:$AN$77, MATCH(F$100,_xlfn.ANCHORARRAY( $W$5), 0))
    *
    INDEX($AN$5:$AN$77, MATCH($A156,_xlfn.ANCHORARRAY( $W$5), 0))
)</f>
        <v>0.73286295863064976</v>
      </c>
      <c r="G156" s="17" cm="1">
        <f t="array" ref="G156">MMULT(
    MMULT(
        INDEX($X$5:$AM$77, MATCH(G$100,_xlfn.ANCHORARRAY( $W$5), 0), 0),
        $F$5:$U$20
    ),
    TRANSPOSE(
        INDEX($X$5:$AM$77, MATCH($A156,_xlfn.ANCHORARRAY( $W$5), 0), 0)
    )
)
/
(
    INDEX($AN$5:$AN$77, MATCH(G$100,_xlfn.ANCHORARRAY( $W$5), 0))
    *
    INDEX($AN$5:$AN$77, MATCH($A156,_xlfn.ANCHORARRAY( $W$5), 0))
)</f>
        <v>0.66130922289759841</v>
      </c>
      <c r="H156" s="17" cm="1">
        <f t="array" ref="H156">MMULT(
    MMULT(
        INDEX($X$5:$AM$77, MATCH(H$100,_xlfn.ANCHORARRAY( $W$5), 0), 0),
        $F$5:$U$20
    ),
    TRANSPOSE(
        INDEX($X$5:$AM$77, MATCH($A156,_xlfn.ANCHORARRAY( $W$5), 0), 0)
    )
)
/
(
    INDEX($AN$5:$AN$77, MATCH(H$100,_xlfn.ANCHORARRAY( $W$5), 0))
    *
    INDEX($AN$5:$AN$77, MATCH($A156,_xlfn.ANCHORARRAY( $W$5), 0))
)</f>
        <v>0.83837747232367621</v>
      </c>
      <c r="I156" s="17" cm="1">
        <f t="array" ref="I156">MMULT(
    MMULT(
        INDEX($X$5:$AM$77, MATCH(I$100,_xlfn.ANCHORARRAY( $W$5), 0), 0),
        $F$5:$U$20
    ),
    TRANSPOSE(
        INDEX($X$5:$AM$77, MATCH($A156,_xlfn.ANCHORARRAY( $W$5), 0), 0)
    )
)
/
(
    INDEX($AN$5:$AN$77, MATCH(I$100,_xlfn.ANCHORARRAY( $W$5), 0))
    *
    INDEX($AN$5:$AN$77, MATCH($A156,_xlfn.ANCHORARRAY( $W$5), 0))
)</f>
        <v>0.7407641015941282</v>
      </c>
      <c r="J156" s="17" cm="1">
        <f t="array" ref="J156">MMULT(
    MMULT(
        INDEX($X$5:$AM$77, MATCH(J$100,_xlfn.ANCHORARRAY( $W$5), 0), 0),
        $F$5:$U$20
    ),
    TRANSPOSE(
        INDEX($X$5:$AM$77, MATCH($A156,_xlfn.ANCHORARRAY( $W$5), 0), 0)
    )
)
/
(
    INDEX($AN$5:$AN$77, MATCH(J$100,_xlfn.ANCHORARRAY( $W$5), 0))
    *
    INDEX($AN$5:$AN$77, MATCH($A156,_xlfn.ANCHORARRAY( $W$5), 0))
)</f>
        <v>0.84371642785594336</v>
      </c>
      <c r="K156" s="17" cm="1">
        <f t="array" ref="K156">MMULT(
    MMULT(
        INDEX($X$5:$AM$77, MATCH(K$100,_xlfn.ANCHORARRAY( $W$5), 0), 0),
        $F$5:$U$20
    ),
    TRANSPOSE(
        INDEX($X$5:$AM$77, MATCH($A156,_xlfn.ANCHORARRAY( $W$5), 0), 0)
    )
)
/
(
    INDEX($AN$5:$AN$77, MATCH(K$100,_xlfn.ANCHORARRAY( $W$5), 0))
    *
    INDEX($AN$5:$AN$77, MATCH($A156,_xlfn.ANCHORARRAY( $W$5), 0))
)</f>
        <v>0.89908019063210431</v>
      </c>
      <c r="L156" s="17" cm="1">
        <f t="array" ref="L156">MMULT(
    MMULT(
        INDEX($X$5:$AM$77, MATCH(L$100,_xlfn.ANCHORARRAY( $W$5), 0), 0),
        $F$5:$U$20
    ),
    TRANSPOSE(
        INDEX($X$5:$AM$77, MATCH($A156,_xlfn.ANCHORARRAY( $W$5), 0), 0)
    )
)
/
(
    INDEX($AN$5:$AN$77, MATCH(L$100,_xlfn.ANCHORARRAY( $W$5), 0))
    *
    INDEX($AN$5:$AN$77, MATCH($A156,_xlfn.ANCHORARRAY( $W$5), 0))
)</f>
        <v>0.91958714474290859</v>
      </c>
      <c r="M156" s="17" cm="1">
        <f t="array" ref="M156">MMULT(
    MMULT(
        INDEX($X$5:$AM$77, MATCH(M$100,_xlfn.ANCHORARRAY( $W$5), 0), 0),
        $F$5:$U$20
    ),
    TRANSPOSE(
        INDEX($X$5:$AM$77, MATCH($A156,_xlfn.ANCHORARRAY( $W$5), 0), 0)
    )
)
/
(
    INDEX($AN$5:$AN$77, MATCH(M$100,_xlfn.ANCHORARRAY( $W$5), 0))
    *
    INDEX($AN$5:$AN$77, MATCH($A156,_xlfn.ANCHORARRAY( $W$5), 0))
)</f>
        <v>0.8295127750900918</v>
      </c>
      <c r="N156" s="17" cm="1">
        <f t="array" ref="N156">MMULT(
    MMULT(
        INDEX($X$5:$AM$77, MATCH(N$100,_xlfn.ANCHORARRAY( $W$5), 0), 0),
        $F$5:$U$20
    ),
    TRANSPOSE(
        INDEX($X$5:$AM$77, MATCH($A156,_xlfn.ANCHORARRAY( $W$5), 0), 0)
    )
)
/
(
    INDEX($AN$5:$AN$77, MATCH(N$100,_xlfn.ANCHORARRAY( $W$5), 0))
    *
    INDEX($AN$5:$AN$77, MATCH($A156,_xlfn.ANCHORARRAY( $W$5), 0))
)</f>
        <v>0.60379497783441871</v>
      </c>
      <c r="O156" s="17" cm="1">
        <f t="array" ref="O156">MMULT(
    MMULT(
        INDEX($X$5:$AM$77, MATCH(O$100,_xlfn.ANCHORARRAY( $W$5), 0), 0),
        $F$5:$U$20
    ),
    TRANSPOSE(
        INDEX($X$5:$AM$77, MATCH($A156,_xlfn.ANCHORARRAY( $W$5), 0), 0)
    )
)
/
(
    INDEX($AN$5:$AN$77, MATCH(O$100,_xlfn.ANCHORARRAY( $W$5), 0))
    *
    INDEX($AN$5:$AN$77, MATCH($A156,_xlfn.ANCHORARRAY( $W$5), 0))
)</f>
        <v>0.64057983573725918</v>
      </c>
      <c r="P156" s="17" cm="1">
        <f t="array" ref="P156">MMULT(
    MMULT(
        INDEX($X$5:$AM$77, MATCH(P$100,_xlfn.ANCHORARRAY( $W$5), 0), 0),
        $F$5:$U$20
    ),
    TRANSPOSE(
        INDEX($X$5:$AM$77, MATCH($A156,_xlfn.ANCHORARRAY( $W$5), 0), 0)
    )
)
/
(
    INDEX($AN$5:$AN$77, MATCH(P$100,_xlfn.ANCHORARRAY( $W$5), 0))
    *
    INDEX($AN$5:$AN$77, MATCH($A156,_xlfn.ANCHORARRAY( $W$5), 0))
)</f>
        <v>0.73949442789817499</v>
      </c>
      <c r="Q156" s="17" cm="1">
        <f t="array" ref="Q156">MMULT(
    MMULT(
        INDEX($X$5:$AM$77, MATCH(Q$100,_xlfn.ANCHORARRAY( $W$5), 0), 0),
        $F$5:$U$20
    ),
    TRANSPOSE(
        INDEX($X$5:$AM$77, MATCH($A156,_xlfn.ANCHORARRAY( $W$5), 0), 0)
    )
)
/
(
    INDEX($AN$5:$AN$77, MATCH(Q$100,_xlfn.ANCHORARRAY( $W$5), 0))
    *
    INDEX($AN$5:$AN$77, MATCH($A156,_xlfn.ANCHORARRAY( $W$5), 0))
)</f>
        <v>0.80946771335516055</v>
      </c>
      <c r="R156" s="17" cm="1">
        <f t="array" ref="R156">MMULT(
    MMULT(
        INDEX($X$5:$AM$77, MATCH(R$100,_xlfn.ANCHORARRAY( $W$5), 0), 0),
        $F$5:$U$20
    ),
    TRANSPOSE(
        INDEX($X$5:$AM$77, MATCH($A156,_xlfn.ANCHORARRAY( $W$5), 0), 0)
    )
)
/
(
    INDEX($AN$5:$AN$77, MATCH(R$100,_xlfn.ANCHORARRAY( $W$5), 0))
    *
    INDEX($AN$5:$AN$77, MATCH($A156,_xlfn.ANCHORARRAY( $W$5), 0))
)</f>
        <v>0.73825933810108446</v>
      </c>
      <c r="S156" s="17" cm="1">
        <f t="array" ref="S156">MMULT(
    MMULT(
        INDEX($X$5:$AM$77, MATCH(S$100,_xlfn.ANCHORARRAY( $W$5), 0), 0),
        $F$5:$U$20
    ),
    TRANSPOSE(
        INDEX($X$5:$AM$77, MATCH($A156,_xlfn.ANCHORARRAY( $W$5), 0), 0)
    )
)
/
(
    INDEX($AN$5:$AN$77, MATCH(S$100,_xlfn.ANCHORARRAY( $W$5), 0))
    *
    INDEX($AN$5:$AN$77, MATCH($A156,_xlfn.ANCHORARRAY( $W$5), 0))
)</f>
        <v>0.73418989426412107</v>
      </c>
      <c r="T156" s="17" cm="1">
        <f t="array" ref="T156">MMULT(
    MMULT(
        INDEX($X$5:$AM$77, MATCH(T$100,_xlfn.ANCHORARRAY( $W$5), 0), 0),
        $F$5:$U$20
    ),
    TRANSPOSE(
        INDEX($X$5:$AM$77, MATCH($A156,_xlfn.ANCHORARRAY( $W$5), 0), 0)
    )
)
/
(
    INDEX($AN$5:$AN$77, MATCH(T$100,_xlfn.ANCHORARRAY( $W$5), 0))
    *
    INDEX($AN$5:$AN$77, MATCH($A156,_xlfn.ANCHORARRAY( $W$5), 0))
)</f>
        <v>0.25380384548227686</v>
      </c>
      <c r="U156" s="17" cm="1">
        <f t="array" ref="U156">MMULT(
    MMULT(
        INDEX($X$5:$AM$77, MATCH(U$100,_xlfn.ANCHORARRAY( $W$5), 0), 0),
        $F$5:$U$20
    ),
    TRANSPOSE(
        INDEX($X$5:$AM$77, MATCH($A156,_xlfn.ANCHORARRAY( $W$5), 0), 0)
    )
)
/
(
    INDEX($AN$5:$AN$77, MATCH(U$100,_xlfn.ANCHORARRAY( $W$5), 0))
    *
    INDEX($AN$5:$AN$77, MATCH($A156,_xlfn.ANCHORARRAY( $W$5), 0))
)</f>
        <v>0.72552262906089726</v>
      </c>
      <c r="V156" s="17" cm="1">
        <f t="array" ref="V156">MMULT(
    MMULT(
        INDEX($X$5:$AM$77, MATCH(V$100,_xlfn.ANCHORARRAY( $W$5), 0), 0),
        $F$5:$U$20
    ),
    TRANSPOSE(
        INDEX($X$5:$AM$77, MATCH($A156,_xlfn.ANCHORARRAY( $W$5), 0), 0)
    )
)
/
(
    INDEX($AN$5:$AN$77, MATCH(V$100,_xlfn.ANCHORARRAY( $W$5), 0))
    *
    INDEX($AN$5:$AN$77, MATCH($A156,_xlfn.ANCHORARRAY( $W$5), 0))
)</f>
        <v>0.68860952770217798</v>
      </c>
      <c r="W156" s="17" cm="1">
        <f t="array" ref="W156">MMULT(
    MMULT(
        INDEX($X$5:$AM$77, MATCH(W$100,_xlfn.ANCHORARRAY( $W$5), 0), 0),
        $F$5:$U$20
    ),
    TRANSPOSE(
        INDEX($X$5:$AM$77, MATCH($A156,_xlfn.ANCHORARRAY( $W$5), 0), 0)
    )
)
/
(
    INDEX($AN$5:$AN$77, MATCH(W$100,_xlfn.ANCHORARRAY( $W$5), 0))
    *
    INDEX($AN$5:$AN$77, MATCH($A156,_xlfn.ANCHORARRAY( $W$5), 0))
)</f>
        <v>0.85970257290109964</v>
      </c>
      <c r="X156" s="17" cm="1">
        <f t="array" ref="X156">MMULT(
    MMULT(
        INDEX($X$5:$AM$77, MATCH(X$100,_xlfn.ANCHORARRAY( $W$5), 0), 0),
        $F$5:$U$20
    ),
    TRANSPOSE(
        INDEX($X$5:$AM$77, MATCH($A156,_xlfn.ANCHORARRAY( $W$5), 0), 0)
    )
)
/
(
    INDEX($AN$5:$AN$77, MATCH(X$100,_xlfn.ANCHORARRAY( $W$5), 0))
    *
    INDEX($AN$5:$AN$77, MATCH($A156,_xlfn.ANCHORARRAY( $W$5), 0))
)</f>
        <v>0.69754303211409097</v>
      </c>
      <c r="Y156" s="17" cm="1">
        <f t="array" ref="Y156">MMULT(
    MMULT(
        INDEX($X$5:$AM$77, MATCH(Y$100,_xlfn.ANCHORARRAY( $W$5), 0), 0),
        $F$5:$U$20
    ),
    TRANSPOSE(
        INDEX($X$5:$AM$77, MATCH($A156,_xlfn.ANCHORARRAY( $W$5), 0), 0)
    )
)
/
(
    INDEX($AN$5:$AN$77, MATCH(Y$100,_xlfn.ANCHORARRAY( $W$5), 0))
    *
    INDEX($AN$5:$AN$77, MATCH($A156,_xlfn.ANCHORARRAY( $W$5), 0))
)</f>
        <v>0.72114903677049713</v>
      </c>
      <c r="Z156" s="17" cm="1">
        <f t="array" ref="Z156">MMULT(
    MMULT(
        INDEX($X$5:$AM$77, MATCH(Z$100,_xlfn.ANCHORARRAY( $W$5), 0), 0),
        $F$5:$U$20
    ),
    TRANSPOSE(
        INDEX($X$5:$AM$77, MATCH($A156,_xlfn.ANCHORARRAY( $W$5), 0), 0)
    )
)
/
(
    INDEX($AN$5:$AN$77, MATCH(Z$100,_xlfn.ANCHORARRAY( $W$5), 0))
    *
    INDEX($AN$5:$AN$77, MATCH($A156,_xlfn.ANCHORARRAY( $W$5), 0))
)</f>
        <v>0.71959343313445201</v>
      </c>
      <c r="AA156" s="17" cm="1">
        <f t="array" ref="AA156">MMULT(
    MMULT(
        INDEX($X$5:$AM$77, MATCH(AA$100,_xlfn.ANCHORARRAY( $W$5), 0), 0),
        $F$5:$U$20
    ),
    TRANSPOSE(
        INDEX($X$5:$AM$77, MATCH($A156,_xlfn.ANCHORARRAY( $W$5), 0), 0)
    )
)
/
(
    INDEX($AN$5:$AN$77, MATCH(AA$100,_xlfn.ANCHORARRAY( $W$5), 0))
    *
    INDEX($AN$5:$AN$77, MATCH($A156,_xlfn.ANCHORARRAY( $W$5), 0))
)</f>
        <v>0.66485866836365393</v>
      </c>
      <c r="AB156" s="17" cm="1">
        <f t="array" ref="AB156">MMULT(
    MMULT(
        INDEX($X$5:$AM$77, MATCH(AB$100,_xlfn.ANCHORARRAY( $W$5), 0), 0),
        $F$5:$U$20
    ),
    TRANSPOSE(
        INDEX($X$5:$AM$77, MATCH($A156,_xlfn.ANCHORARRAY( $W$5), 0), 0)
    )
)
/
(
    INDEX($AN$5:$AN$77, MATCH(AB$100,_xlfn.ANCHORARRAY( $W$5), 0))
    *
    INDEX($AN$5:$AN$77, MATCH($A156,_xlfn.ANCHORARRAY( $W$5), 0))
)</f>
        <v>0.84951231482984202</v>
      </c>
      <c r="AC156" s="17" cm="1">
        <f t="array" ref="AC156">MMULT(
    MMULT(
        INDEX($X$5:$AM$77, MATCH(AC$100,_xlfn.ANCHORARRAY( $W$5), 0), 0),
        $F$5:$U$20
    ),
    TRANSPOSE(
        INDEX($X$5:$AM$77, MATCH($A156,_xlfn.ANCHORARRAY( $W$5), 0), 0)
    )
)
/
(
    INDEX($AN$5:$AN$77, MATCH(AC$100,_xlfn.ANCHORARRAY( $W$5), 0))
    *
    INDEX($AN$5:$AN$77, MATCH($A156,_xlfn.ANCHORARRAY( $W$5), 0))
)</f>
        <v>0.87862423401185474</v>
      </c>
      <c r="AD156" s="17" cm="1">
        <f t="array" ref="AD156">MMULT(
    MMULT(
        INDEX($X$5:$AM$77, MATCH(AD$100,_xlfn.ANCHORARRAY( $W$5), 0), 0),
        $F$5:$U$20
    ),
    TRANSPOSE(
        INDEX($X$5:$AM$77, MATCH($A156,_xlfn.ANCHORARRAY( $W$5), 0), 0)
    )
)
/
(
    INDEX($AN$5:$AN$77, MATCH(AD$100,_xlfn.ANCHORARRAY( $W$5), 0))
    *
    INDEX($AN$5:$AN$77, MATCH($A156,_xlfn.ANCHORARRAY( $W$5), 0))
)</f>
        <v>0.72212908567550371</v>
      </c>
      <c r="AE156" s="17" cm="1">
        <f t="array" ref="AE156">MMULT(
    MMULT(
        INDEX($X$5:$AM$77, MATCH(AE$100,_xlfn.ANCHORARRAY( $W$5), 0), 0),
        $F$5:$U$20
    ),
    TRANSPOSE(
        INDEX($X$5:$AM$77, MATCH($A156,_xlfn.ANCHORARRAY( $W$5), 0), 0)
    )
)
/
(
    INDEX($AN$5:$AN$77, MATCH(AE$100,_xlfn.ANCHORARRAY( $W$5), 0))
    *
    INDEX($AN$5:$AN$77, MATCH($A156,_xlfn.ANCHORARRAY( $W$5), 0))
)</f>
        <v>0.70315418436744992</v>
      </c>
      <c r="AF156" s="17" cm="1">
        <f t="array" ref="AF156">MMULT(
    MMULT(
        INDEX($X$5:$AM$77, MATCH(AF$100,_xlfn.ANCHORARRAY( $W$5), 0), 0),
        $F$5:$U$20
    ),
    TRANSPOSE(
        INDEX($X$5:$AM$77, MATCH($A156,_xlfn.ANCHORARRAY( $W$5), 0), 0)
    )
)
/
(
    INDEX($AN$5:$AN$77, MATCH(AF$100,_xlfn.ANCHORARRAY( $W$5), 0))
    *
    INDEX($AN$5:$AN$77, MATCH($A156,_xlfn.ANCHORARRAY( $W$5), 0))
)</f>
        <v>0.77333878220397145</v>
      </c>
      <c r="AG156" s="17" cm="1">
        <f t="array" ref="AG156">MMULT(
    MMULT(
        INDEX($X$5:$AM$77, MATCH(AG$100,_xlfn.ANCHORARRAY( $W$5), 0), 0),
        $F$5:$U$20
    ),
    TRANSPOSE(
        INDEX($X$5:$AM$77, MATCH($A156,_xlfn.ANCHORARRAY( $W$5), 0), 0)
    )
)
/
(
    INDEX($AN$5:$AN$77, MATCH(AG$100,_xlfn.ANCHORARRAY( $W$5), 0))
    *
    INDEX($AN$5:$AN$77, MATCH($A156,_xlfn.ANCHORARRAY( $W$5), 0))
)</f>
        <v>0.86875828150872769</v>
      </c>
      <c r="AH156" s="17" cm="1">
        <f t="array" ref="AH156">MMULT(
    MMULT(
        INDEX($X$5:$AM$77, MATCH(AH$100,_xlfn.ANCHORARRAY( $W$5), 0), 0),
        $F$5:$U$20
    ),
    TRANSPOSE(
        INDEX($X$5:$AM$77, MATCH($A156,_xlfn.ANCHORARRAY( $W$5), 0), 0)
    )
)
/
(
    INDEX($AN$5:$AN$77, MATCH(AH$100,_xlfn.ANCHORARRAY( $W$5), 0))
    *
    INDEX($AN$5:$AN$77, MATCH($A156,_xlfn.ANCHORARRAY( $W$5), 0))
)</f>
        <v>0.63013528692885967</v>
      </c>
      <c r="AI156" s="17" cm="1">
        <f t="array" ref="AI156">MMULT(
    MMULT(
        INDEX($X$5:$AM$77, MATCH(AI$100,_xlfn.ANCHORARRAY( $W$5), 0), 0),
        $F$5:$U$20
    ),
    TRANSPOSE(
        INDEX($X$5:$AM$77, MATCH($A156,_xlfn.ANCHORARRAY( $W$5), 0), 0)
    )
)
/
(
    INDEX($AN$5:$AN$77, MATCH(AI$100,_xlfn.ANCHORARRAY( $W$5), 0))
    *
    INDEX($AN$5:$AN$77, MATCH($A156,_xlfn.ANCHORARRAY( $W$5), 0))
)</f>
        <v>0.81475501122941119</v>
      </c>
      <c r="AJ156" s="17" cm="1">
        <f t="array" ref="AJ156">MMULT(
    MMULT(
        INDEX($X$5:$AM$77, MATCH(AJ$100,_xlfn.ANCHORARRAY( $W$5), 0), 0),
        $F$5:$U$20
    ),
    TRANSPOSE(
        INDEX($X$5:$AM$77, MATCH($A156,_xlfn.ANCHORARRAY( $W$5), 0), 0)
    )
)
/
(
    INDEX($AN$5:$AN$77, MATCH(AJ$100,_xlfn.ANCHORARRAY( $W$5), 0))
    *
    INDEX($AN$5:$AN$77, MATCH($A156,_xlfn.ANCHORARRAY( $W$5), 0))
)</f>
        <v>0.67262779833261432</v>
      </c>
      <c r="AK156" s="17" cm="1">
        <f t="array" ref="AK156">MMULT(
    MMULT(
        INDEX($X$5:$AM$77, MATCH(AK$100,_xlfn.ANCHORARRAY( $W$5), 0), 0),
        $F$5:$U$20
    ),
    TRANSPOSE(
        INDEX($X$5:$AM$77, MATCH($A156,_xlfn.ANCHORARRAY( $W$5), 0), 0)
    )
)
/
(
    INDEX($AN$5:$AN$77, MATCH(AK$100,_xlfn.ANCHORARRAY( $W$5), 0))
    *
    INDEX($AN$5:$AN$77, MATCH($A156,_xlfn.ANCHORARRAY( $W$5), 0))
)</f>
        <v>0.92568929459732019</v>
      </c>
      <c r="AL156" s="17" cm="1">
        <f t="array" ref="AL156">MMULT(
    MMULT(
        INDEX($X$5:$AM$77, MATCH(AL$100,_xlfn.ANCHORARRAY( $W$5), 0), 0),
        $F$5:$U$20
    ),
    TRANSPOSE(
        INDEX($X$5:$AM$77, MATCH($A156,_xlfn.ANCHORARRAY( $W$5), 0), 0)
    )
)
/
(
    INDEX($AN$5:$AN$77, MATCH(AL$100,_xlfn.ANCHORARRAY( $W$5), 0))
    *
    INDEX($AN$5:$AN$77, MATCH($A156,_xlfn.ANCHORARRAY( $W$5), 0))
)</f>
        <v>0.63886074007093752</v>
      </c>
      <c r="AM156" s="17" cm="1">
        <f t="array" ref="AM156">MMULT(
    MMULT(
        INDEX($X$5:$AM$77, MATCH(AM$100,_xlfn.ANCHORARRAY( $W$5), 0), 0),
        $F$5:$U$20
    ),
    TRANSPOSE(
        INDEX($X$5:$AM$77, MATCH($A156,_xlfn.ANCHORARRAY( $W$5), 0), 0)
    )
)
/
(
    INDEX($AN$5:$AN$77, MATCH(AM$100,_xlfn.ANCHORARRAY( $W$5), 0))
    *
    INDEX($AN$5:$AN$77, MATCH($A156,_xlfn.ANCHORARRAY( $W$5), 0))
)</f>
        <v>0.98620768109190393</v>
      </c>
      <c r="AN156" s="17" cm="1">
        <f t="array" ref="AN156">MMULT(
    MMULT(
        INDEX($X$5:$AM$77, MATCH(AN$100,_xlfn.ANCHORARRAY( $W$5), 0), 0),
        $F$5:$U$20
    ),
    TRANSPOSE(
        INDEX($X$5:$AM$77, MATCH($A156,_xlfn.ANCHORARRAY( $W$5), 0), 0)
    )
)
/
(
    INDEX($AN$5:$AN$77, MATCH(AN$100,_xlfn.ANCHORARRAY( $W$5), 0))
    *
    INDEX($AN$5:$AN$77, MATCH($A156,_xlfn.ANCHORARRAY( $W$5), 0))
)</f>
        <v>0.6980552828849691</v>
      </c>
      <c r="AO156" s="17" cm="1">
        <f t="array" ref="AO156">MMULT(
    MMULT(
        INDEX($X$5:$AM$77, MATCH(AO$100,_xlfn.ANCHORARRAY( $W$5), 0), 0),
        $F$5:$U$20
    ),
    TRANSPOSE(
        INDEX($X$5:$AM$77, MATCH($A156,_xlfn.ANCHORARRAY( $W$5), 0), 0)
    )
)
/
(
    INDEX($AN$5:$AN$77, MATCH(AO$100,_xlfn.ANCHORARRAY( $W$5), 0))
    *
    INDEX($AN$5:$AN$77, MATCH($A156,_xlfn.ANCHORARRAY( $W$5), 0))
)</f>
        <v>0.90643271144274717</v>
      </c>
      <c r="AP156" s="17" cm="1">
        <f t="array" ref="AP156">MMULT(
    MMULT(
        INDEX($X$5:$AM$77, MATCH(AP$100,_xlfn.ANCHORARRAY( $W$5), 0), 0),
        $F$5:$U$20
    ),
    TRANSPOSE(
        INDEX($X$5:$AM$77, MATCH($A156,_xlfn.ANCHORARRAY( $W$5), 0), 0)
    )
)
/
(
    INDEX($AN$5:$AN$77, MATCH(AP$100,_xlfn.ANCHORARRAY( $W$5), 0))
    *
    INDEX($AN$5:$AN$77, MATCH($A156,_xlfn.ANCHORARRAY( $W$5), 0))
)</f>
        <v>0.80215574658396205</v>
      </c>
      <c r="AQ156" s="17" cm="1">
        <f t="array" ref="AQ156">MMULT(
    MMULT(
        INDEX($X$5:$AM$77, MATCH(AQ$100,_xlfn.ANCHORARRAY( $W$5), 0), 0),
        $F$5:$U$20
    ),
    TRANSPOSE(
        INDEX($X$5:$AM$77, MATCH($A156,_xlfn.ANCHORARRAY( $W$5), 0), 0)
    )
)
/
(
    INDEX($AN$5:$AN$77, MATCH(AQ$100,_xlfn.ANCHORARRAY( $W$5), 0))
    *
    INDEX($AN$5:$AN$77, MATCH($A156,_xlfn.ANCHORARRAY( $W$5), 0))
)</f>
        <v>0.60994169800699294</v>
      </c>
      <c r="AR156" s="17" cm="1">
        <f t="array" ref="AR156">MMULT(
    MMULT(
        INDEX($X$5:$AM$77, MATCH(AR$100,_xlfn.ANCHORARRAY( $W$5), 0), 0),
        $F$5:$U$20
    ),
    TRANSPOSE(
        INDEX($X$5:$AM$77, MATCH($A156,_xlfn.ANCHORARRAY( $W$5), 0), 0)
    )
)
/
(
    INDEX($AN$5:$AN$77, MATCH(AR$100,_xlfn.ANCHORARRAY( $W$5), 0))
    *
    INDEX($AN$5:$AN$77, MATCH($A156,_xlfn.ANCHORARRAY( $W$5), 0))
)</f>
        <v>0.67859907151013688</v>
      </c>
      <c r="AS156" s="17" cm="1">
        <f t="array" ref="AS156">MMULT(
    MMULT(
        INDEX($X$5:$AM$77, MATCH(AS$100,_xlfn.ANCHORARRAY( $W$5), 0), 0),
        $F$5:$U$20
    ),
    TRANSPOSE(
        INDEX($X$5:$AM$77, MATCH($A156,_xlfn.ANCHORARRAY( $W$5), 0), 0)
    )
)
/
(
    INDEX($AN$5:$AN$77, MATCH(AS$100,_xlfn.ANCHORARRAY( $W$5), 0))
    *
    INDEX($AN$5:$AN$77, MATCH($A156,_xlfn.ANCHORARRAY( $W$5), 0))
)</f>
        <v>0.74099589096107854</v>
      </c>
      <c r="AT156" s="17" cm="1">
        <f t="array" ref="AT156">MMULT(
    MMULT(
        INDEX($X$5:$AM$77, MATCH(AT$100,_xlfn.ANCHORARRAY( $W$5), 0), 0),
        $F$5:$U$20
    ),
    TRANSPOSE(
        INDEX($X$5:$AM$77, MATCH($A156,_xlfn.ANCHORARRAY( $W$5), 0), 0)
    )
)
/
(
    INDEX($AN$5:$AN$77, MATCH(AT$100,_xlfn.ANCHORARRAY( $W$5), 0))
    *
    INDEX($AN$5:$AN$77, MATCH($A156,_xlfn.ANCHORARRAY( $W$5), 0))
)</f>
        <v>0.86906527290161828</v>
      </c>
      <c r="AU156" s="17" cm="1">
        <f t="array" ref="AU156">MMULT(
    MMULT(
        INDEX($X$5:$AM$77, MATCH(AU$100,_xlfn.ANCHORARRAY( $W$5), 0), 0),
        $F$5:$U$20
    ),
    TRANSPOSE(
        INDEX($X$5:$AM$77, MATCH($A156,_xlfn.ANCHORARRAY( $W$5), 0), 0)
    )
)
/
(
    INDEX($AN$5:$AN$77, MATCH(AU$100,_xlfn.ANCHORARRAY( $W$5), 0))
    *
    INDEX($AN$5:$AN$77, MATCH($A156,_xlfn.ANCHORARRAY( $W$5), 0))
)</f>
        <v>0.72158578682818664</v>
      </c>
      <c r="AV156" s="17" cm="1">
        <f t="array" ref="AV156">MMULT(
    MMULT(
        INDEX($X$5:$AM$77, MATCH(AV$100,_xlfn.ANCHORARRAY( $W$5), 0), 0),
        $F$5:$U$20
    ),
    TRANSPOSE(
        INDEX($X$5:$AM$77, MATCH($A156,_xlfn.ANCHORARRAY( $W$5), 0), 0)
    )
)
/
(
    INDEX($AN$5:$AN$77, MATCH(AV$100,_xlfn.ANCHORARRAY( $W$5), 0))
    *
    INDEX($AN$5:$AN$77, MATCH($A156,_xlfn.ANCHORARRAY( $W$5), 0))
)</f>
        <v>0.7297708259087845</v>
      </c>
      <c r="AW156" s="17" cm="1">
        <f t="array" ref="AW156">MMULT(
    MMULT(
        INDEX($X$5:$AM$77, MATCH(AW$100,_xlfn.ANCHORARRAY( $W$5), 0), 0),
        $F$5:$U$20
    ),
    TRANSPOSE(
        INDEX($X$5:$AM$77, MATCH($A156,_xlfn.ANCHORARRAY( $W$5), 0), 0)
    )
)
/
(
    INDEX($AN$5:$AN$77, MATCH(AW$100,_xlfn.ANCHORARRAY( $W$5), 0))
    *
    INDEX($AN$5:$AN$77, MATCH($A156,_xlfn.ANCHORARRAY( $W$5), 0))
)</f>
        <v>0.88796062353622229</v>
      </c>
      <c r="AX156" s="17" cm="1">
        <f t="array" ref="AX156">MMULT(
    MMULT(
        INDEX($X$5:$AM$77, MATCH(AX$100,_xlfn.ANCHORARRAY( $W$5), 0), 0),
        $F$5:$U$20
    ),
    TRANSPOSE(
        INDEX($X$5:$AM$77, MATCH($A156,_xlfn.ANCHORARRAY( $W$5), 0), 0)
    )
)
/
(
    INDEX($AN$5:$AN$77, MATCH(AX$100,_xlfn.ANCHORARRAY( $W$5), 0))
    *
    INDEX($AN$5:$AN$77, MATCH($A156,_xlfn.ANCHORARRAY( $W$5), 0))
)</f>
        <v>0.69987608629774567</v>
      </c>
      <c r="AY156" s="17" cm="1">
        <f t="array" ref="AY156">MMULT(
    MMULT(
        INDEX($X$5:$AM$77, MATCH(AY$100,_xlfn.ANCHORARRAY( $W$5), 0), 0),
        $F$5:$U$20
    ),
    TRANSPOSE(
        INDEX($X$5:$AM$77, MATCH($A156,_xlfn.ANCHORARRAY( $W$5), 0), 0)
    )
)
/
(
    INDEX($AN$5:$AN$77, MATCH(AY$100,_xlfn.ANCHORARRAY( $W$5), 0))
    *
    INDEX($AN$5:$AN$77, MATCH($A156,_xlfn.ANCHORARRAY( $W$5), 0))
)</f>
        <v>0.60676840959577938</v>
      </c>
      <c r="AZ156" s="17" cm="1">
        <f t="array" ref="AZ156">MMULT(
    MMULT(
        INDEX($X$5:$AM$77, MATCH(AZ$100,_xlfn.ANCHORARRAY( $W$5), 0), 0),
        $F$5:$U$20
    ),
    TRANSPOSE(
        INDEX($X$5:$AM$77, MATCH($A156,_xlfn.ANCHORARRAY( $W$5), 0), 0)
    )
)
/
(
    INDEX($AN$5:$AN$77, MATCH(AZ$100,_xlfn.ANCHORARRAY( $W$5), 0))
    *
    INDEX($AN$5:$AN$77, MATCH($A156,_xlfn.ANCHORARRAY( $W$5), 0))
)</f>
        <v>0.70888754541358734</v>
      </c>
      <c r="BA156" s="17" cm="1">
        <f t="array" ref="BA156">MMULT(
    MMULT(
        INDEX($X$5:$AM$77, MATCH(BA$100,_xlfn.ANCHORARRAY( $W$5), 0), 0),
        $F$5:$U$20
    ),
    TRANSPOSE(
        INDEX($X$5:$AM$77, MATCH($A156,_xlfn.ANCHORARRAY( $W$5), 0), 0)
    )
)
/
(
    INDEX($AN$5:$AN$77, MATCH(BA$100,_xlfn.ANCHORARRAY( $W$5), 0))
    *
    INDEX($AN$5:$AN$77, MATCH($A156,_xlfn.ANCHORARRAY( $W$5), 0))
)</f>
        <v>0.69626737336333</v>
      </c>
      <c r="BB156" s="17" cm="1">
        <f t="array" ref="BB156">MMULT(
    MMULT(
        INDEX($X$5:$AM$77, MATCH(BB$100,_xlfn.ANCHORARRAY( $W$5), 0), 0),
        $F$5:$U$20
    ),
    TRANSPOSE(
        INDEX($X$5:$AM$77, MATCH($A156,_xlfn.ANCHORARRAY( $W$5), 0), 0)
    )
)
/
(
    INDEX($AN$5:$AN$77, MATCH(BB$100,_xlfn.ANCHORARRAY( $W$5), 0))
    *
    INDEX($AN$5:$AN$77, MATCH($A156,_xlfn.ANCHORARRAY( $W$5), 0))
)</f>
        <v>0.85332754122610899</v>
      </c>
      <c r="BC156" s="17" cm="1">
        <f t="array" ref="BC156">MMULT(
    MMULT(
        INDEX($X$5:$AM$77, MATCH(BC$100,_xlfn.ANCHORARRAY( $W$5), 0), 0),
        $F$5:$U$20
    ),
    TRANSPOSE(
        INDEX($X$5:$AM$77, MATCH($A156,_xlfn.ANCHORARRAY( $W$5), 0), 0)
    )
)
/
(
    INDEX($AN$5:$AN$77, MATCH(BC$100,_xlfn.ANCHORARRAY( $W$5), 0))
    *
    INDEX($AN$5:$AN$77, MATCH($A156,_xlfn.ANCHORARRAY( $W$5), 0))
)</f>
        <v>0.84973369702056156</v>
      </c>
      <c r="BD156" s="17" cm="1">
        <f t="array" ref="BD156">MMULT(
    MMULT(
        INDEX($X$5:$AM$77, MATCH(BD$100,_xlfn.ANCHORARRAY( $W$5), 0), 0),
        $F$5:$U$20
    ),
    TRANSPOSE(
        INDEX($X$5:$AM$77, MATCH($A156,_xlfn.ANCHORARRAY( $W$5), 0), 0)
    )
)
/
(
    INDEX($AN$5:$AN$77, MATCH(BD$100,_xlfn.ANCHORARRAY( $W$5), 0))
    *
    INDEX($AN$5:$AN$77, MATCH($A156,_xlfn.ANCHORARRAY( $W$5), 0))
)</f>
        <v>0.50669064155096366</v>
      </c>
      <c r="BE156" s="17" cm="1">
        <f t="array" ref="BE156">MMULT(
    MMULT(
        INDEX($X$5:$AM$77, MATCH(BE$100,_xlfn.ANCHORARRAY( $W$5), 0), 0),
        $F$5:$U$20
    ),
    TRANSPOSE(
        INDEX($X$5:$AM$77, MATCH($A156,_xlfn.ANCHORARRAY( $W$5), 0), 0)
    )
)
/
(
    INDEX($AN$5:$AN$77, MATCH(BE$100,_xlfn.ANCHORARRAY( $W$5), 0))
    *
    INDEX($AN$5:$AN$77, MATCH($A156,_xlfn.ANCHORARRAY( $W$5), 0))
)</f>
        <v>1</v>
      </c>
      <c r="BF156" s="17" cm="1">
        <f t="array" ref="BF156">MMULT(
    MMULT(
        INDEX($X$5:$AM$77, MATCH(BF$100,_xlfn.ANCHORARRAY( $W$5), 0), 0),
        $F$5:$U$20
    ),
    TRANSPOSE(
        INDEX($X$5:$AM$77, MATCH($A156,_xlfn.ANCHORARRAY( $W$5), 0), 0)
    )
)
/
(
    INDEX($AN$5:$AN$77, MATCH(BF$100,_xlfn.ANCHORARRAY( $W$5), 0))
    *
    INDEX($AN$5:$AN$77, MATCH($A156,_xlfn.ANCHORARRAY( $W$5), 0))
)</f>
        <v>0.676420771230132</v>
      </c>
      <c r="BG156" s="17" cm="1">
        <f t="array" ref="BG156">MMULT(
    MMULT(
        INDEX($X$5:$AM$77, MATCH(BG$100,_xlfn.ANCHORARRAY( $W$5), 0), 0),
        $F$5:$U$20
    ),
    TRANSPOSE(
        INDEX($X$5:$AM$77, MATCH($A156,_xlfn.ANCHORARRAY( $W$5), 0), 0)
    )
)
/
(
    INDEX($AN$5:$AN$77, MATCH(BG$100,_xlfn.ANCHORARRAY( $W$5), 0))
    *
    INDEX($AN$5:$AN$77, MATCH($A156,_xlfn.ANCHORARRAY( $W$5), 0))
)</f>
        <v>0.69688417168280548</v>
      </c>
      <c r="BH156" s="17" cm="1">
        <f t="array" ref="BH156">MMULT(
    MMULT(
        INDEX($X$5:$AM$77, MATCH(BH$100,_xlfn.ANCHORARRAY( $W$5), 0), 0),
        $F$5:$U$20
    ),
    TRANSPOSE(
        INDEX($X$5:$AM$77, MATCH($A156,_xlfn.ANCHORARRAY( $W$5), 0), 0)
    )
)
/
(
    INDEX($AN$5:$AN$77, MATCH(BH$100,_xlfn.ANCHORARRAY( $W$5), 0))
    *
    INDEX($AN$5:$AN$77, MATCH($A156,_xlfn.ANCHORARRAY( $W$5), 0))
)</f>
        <v>0.64243772817641687</v>
      </c>
      <c r="BI156" s="17" cm="1">
        <f t="array" ref="BI156">MMULT(
    MMULT(
        INDEX($X$5:$AM$77, MATCH(BI$100,_xlfn.ANCHORARRAY( $W$5), 0), 0),
        $F$5:$U$20
    ),
    TRANSPOSE(
        INDEX($X$5:$AM$77, MATCH($A156,_xlfn.ANCHORARRAY( $W$5), 0), 0)
    )
)
/
(
    INDEX($AN$5:$AN$77, MATCH(BI$100,_xlfn.ANCHORARRAY( $W$5), 0))
    *
    INDEX($AN$5:$AN$77, MATCH($A156,_xlfn.ANCHORARRAY( $W$5), 0))
)</f>
        <v>0.78597395585178387</v>
      </c>
      <c r="BJ156" s="17" cm="1">
        <f t="array" ref="BJ156">MMULT(
    MMULT(
        INDEX($X$5:$AM$77, MATCH(BJ$100,_xlfn.ANCHORARRAY( $W$5), 0), 0),
        $F$5:$U$20
    ),
    TRANSPOSE(
        INDEX($X$5:$AM$77, MATCH($A156,_xlfn.ANCHORARRAY( $W$5), 0), 0)
    )
)
/
(
    INDEX($AN$5:$AN$77, MATCH(BJ$100,_xlfn.ANCHORARRAY( $W$5), 0))
    *
    INDEX($AN$5:$AN$77, MATCH($A156,_xlfn.ANCHORARRAY( $W$5), 0))
)</f>
        <v>0.71482164622958999</v>
      </c>
      <c r="BK156" s="17" cm="1">
        <f t="array" ref="BK156">MMULT(
    MMULT(
        INDEX($X$5:$AM$77, MATCH(BK$100,_xlfn.ANCHORARRAY( $W$5), 0), 0),
        $F$5:$U$20
    ),
    TRANSPOSE(
        INDEX($X$5:$AM$77, MATCH($A156,_xlfn.ANCHORARRAY( $W$5), 0), 0)
    )
)
/
(
    INDEX($AN$5:$AN$77, MATCH(BK$100,_xlfn.ANCHORARRAY( $W$5), 0))
    *
    INDEX($AN$5:$AN$77, MATCH($A156,_xlfn.ANCHORARRAY( $W$5), 0))
)</f>
        <v>0.51111190153403996</v>
      </c>
      <c r="BL156" s="17" cm="1">
        <f t="array" ref="BL156">MMULT(
    MMULT(
        INDEX($X$5:$AM$77, MATCH(BL$100,_xlfn.ANCHORARRAY( $W$5), 0), 0),
        $F$5:$U$20
    ),
    TRANSPOSE(
        INDEX($X$5:$AM$77, MATCH($A156,_xlfn.ANCHORARRAY( $W$5), 0), 0)
    )
)
/
(
    INDEX($AN$5:$AN$77, MATCH(BL$100,_xlfn.ANCHORARRAY( $W$5), 0))
    *
    INDEX($AN$5:$AN$77, MATCH($A156,_xlfn.ANCHORARRAY( $W$5), 0))
)</f>
        <v>0.38829063964792621</v>
      </c>
      <c r="BM156" s="17" cm="1">
        <f t="array" ref="BM156">MMULT(
    MMULT(
        INDEX($X$5:$AM$77, MATCH(BM$100,_xlfn.ANCHORARRAY( $W$5), 0), 0),
        $F$5:$U$20
    ),
    TRANSPOSE(
        INDEX($X$5:$AM$77, MATCH($A156,_xlfn.ANCHORARRAY( $W$5), 0), 0)
    )
)
/
(
    INDEX($AN$5:$AN$77, MATCH(BM$100,_xlfn.ANCHORARRAY( $W$5), 0))
    *
    INDEX($AN$5:$AN$77, MATCH($A156,_xlfn.ANCHORARRAY( $W$5), 0))
)</f>
        <v>0.75351190132505386</v>
      </c>
      <c r="BN156" s="17" cm="1">
        <f t="array" ref="BN156">MMULT(
    MMULT(
        INDEX($X$5:$AM$77, MATCH(BN$100,_xlfn.ANCHORARRAY( $W$5), 0), 0),
        $F$5:$U$20
    ),
    TRANSPOSE(
        INDEX($X$5:$AM$77, MATCH($A156,_xlfn.ANCHORARRAY( $W$5), 0), 0)
    )
)
/
(
    INDEX($AN$5:$AN$77, MATCH(BN$100,_xlfn.ANCHORARRAY( $W$5), 0))
    *
    INDEX($AN$5:$AN$77, MATCH($A156,_xlfn.ANCHORARRAY( $W$5), 0))
)</f>
        <v>0.97410303562453704</v>
      </c>
      <c r="BO156" s="17" cm="1">
        <f t="array" ref="BO156">MMULT(
    MMULT(
        INDEX($X$5:$AM$77, MATCH(BO$100,_xlfn.ANCHORARRAY( $W$5), 0), 0),
        $F$5:$U$20
    ),
    TRANSPOSE(
        INDEX($X$5:$AM$77, MATCH($A156,_xlfn.ANCHORARRAY( $W$5), 0), 0)
    )
)
/
(
    INDEX($AN$5:$AN$77, MATCH(BO$100,_xlfn.ANCHORARRAY( $W$5), 0))
    *
    INDEX($AN$5:$AN$77, MATCH($A156,_xlfn.ANCHORARRAY( $W$5), 0))
)</f>
        <v>0.79219979063390034</v>
      </c>
      <c r="BP156" s="17" cm="1">
        <f t="array" ref="BP156">MMULT(
    MMULT(
        INDEX($X$5:$AM$77, MATCH(BP$100,_xlfn.ANCHORARRAY( $W$5), 0), 0),
        $F$5:$U$20
    ),
    TRANSPOSE(
        INDEX($X$5:$AM$77, MATCH($A156,_xlfn.ANCHORARRAY( $W$5), 0), 0)
    )
)
/
(
    INDEX($AN$5:$AN$77, MATCH(BP$100,_xlfn.ANCHORARRAY( $W$5), 0))
    *
    INDEX($AN$5:$AN$77, MATCH($A156,_xlfn.ANCHORARRAY( $W$5), 0))
)</f>
        <v>0.77146687425764315</v>
      </c>
      <c r="BQ156" s="17" cm="1">
        <f t="array" ref="BQ156">MMULT(
    MMULT(
        INDEX($X$5:$AM$77, MATCH(BQ$100,_xlfn.ANCHORARRAY( $W$5), 0), 0),
        $F$5:$U$20
    ),
    TRANSPOSE(
        INDEX($X$5:$AM$77, MATCH($A156,_xlfn.ANCHORARRAY( $W$5), 0), 0)
    )
)
/
(
    INDEX($AN$5:$AN$77, MATCH(BQ$100,_xlfn.ANCHORARRAY( $W$5), 0))
    *
    INDEX($AN$5:$AN$77, MATCH($A156,_xlfn.ANCHORARRAY( $W$5), 0))
)</f>
        <v>0.88638835606824062</v>
      </c>
      <c r="BR156" s="17" cm="1">
        <f t="array" ref="BR156">MMULT(
    MMULT(
        INDEX($X$5:$AM$77, MATCH(BR$100,_xlfn.ANCHORARRAY( $W$5), 0), 0),
        $F$5:$U$20
    ),
    TRANSPOSE(
        INDEX($X$5:$AM$77, MATCH($A156,_xlfn.ANCHORARRAY( $W$5), 0), 0)
    )
)
/
(
    INDEX($AN$5:$AN$77, MATCH(BR$100,_xlfn.ANCHORARRAY( $W$5), 0))
    *
    INDEX($AN$5:$AN$77, MATCH($A156,_xlfn.ANCHORARRAY( $W$5), 0))
)</f>
        <v>0.82053188819823197</v>
      </c>
      <c r="BS156" s="17" cm="1">
        <f t="array" ref="BS156">MMULT(
    MMULT(
        INDEX($X$5:$AM$77, MATCH(BS$100,_xlfn.ANCHORARRAY( $W$5), 0), 0),
        $F$5:$U$20
    ),
    TRANSPOSE(
        INDEX($X$5:$AM$77, MATCH($A156,_xlfn.ANCHORARRAY( $W$5), 0), 0)
    )
)
/
(
    INDEX($AN$5:$AN$77, MATCH(BS$100,_xlfn.ANCHORARRAY( $W$5), 0))
    *
    INDEX($AN$5:$AN$77, MATCH($A156,_xlfn.ANCHORARRAY( $W$5), 0))
)</f>
        <v>0.67851775774732359</v>
      </c>
      <c r="BT156" s="17" cm="1">
        <f t="array" ref="BT156">MMULT(
    MMULT(
        INDEX($X$5:$AM$77, MATCH(BT$100,_xlfn.ANCHORARRAY( $W$5), 0), 0),
        $F$5:$U$20
    ),
    TRANSPOSE(
        INDEX($X$5:$AM$77, MATCH($A156,_xlfn.ANCHORARRAY( $W$5), 0), 0)
    )
)
/
(
    INDEX($AN$5:$AN$77, MATCH(BT$100,_xlfn.ANCHORARRAY( $W$5), 0))
    *
    INDEX($AN$5:$AN$77, MATCH($A156,_xlfn.ANCHORARRAY( $W$5), 0))
)</f>
        <v>0.83247871428768483</v>
      </c>
      <c r="BU156" s="17" cm="1">
        <f t="array" ref="BU156">MMULT(
    MMULT(
        INDEX($X$5:$AM$77, MATCH(BU$100,_xlfn.ANCHORARRAY( $W$5), 0), 0),
        $F$5:$U$20
    ),
    TRANSPOSE(
        INDEX($X$5:$AM$77, MATCH($A156,_xlfn.ANCHORARRAY( $W$5), 0), 0)
    )
)
/
(
    INDEX($AN$5:$AN$77, MATCH(BU$100,_xlfn.ANCHORARRAY( $W$5), 0))
    *
    INDEX($AN$5:$AN$77, MATCH($A156,_xlfn.ANCHORARRAY( $W$5), 0))
)</f>
        <v>0.64311073866026103</v>
      </c>
      <c r="BV156" s="17" cm="1">
        <f t="array" ref="BV156">MMULT(
    MMULT(
        INDEX($X$5:$AM$77, MATCH(BV$100,_xlfn.ANCHORARRAY( $W$5), 0), 0),
        $F$5:$U$20
    ),
    TRANSPOSE(
        INDEX($X$5:$AM$77, MATCH($A156,_xlfn.ANCHORARRAY( $W$5), 0), 0)
    )
)
/
(
    INDEX($AN$5:$AN$77, MATCH(BV$100,_xlfn.ANCHORARRAY( $W$5), 0))
    *
    INDEX($AN$5:$AN$77, MATCH($A156,_xlfn.ANCHORARRAY( $W$5), 0))
)</f>
        <v>0.70293641355825298</v>
      </c>
    </row>
    <row r="157" spans="1:74" x14ac:dyDescent="0.3">
      <c r="A157" s="7" t="str">
        <v>Biddle, Jesse</v>
      </c>
      <c r="B157" s="17" cm="1">
        <f t="array" ref="B157">MMULT(
    MMULT(
        INDEX($X$5:$AM$77, MATCH(B$100,_xlfn.ANCHORARRAY( $W$5), 0), 0),
        $F$5:$U$20
    ),
    TRANSPOSE(
        INDEX($X$5:$AM$77, MATCH($A157,_xlfn.ANCHORARRAY( $W$5), 0), 0)
    )
)
/
(
    INDEX($AN$5:$AN$77, MATCH(B$100,_xlfn.ANCHORARRAY( $W$5), 0))
    *
    INDEX($AN$5:$AN$77, MATCH($A157,_xlfn.ANCHORARRAY( $W$5), 0))
)</f>
        <v>0.97897440218771492</v>
      </c>
      <c r="C157" s="17" cm="1">
        <f t="array" ref="C157">MMULT(
    MMULT(
        INDEX($X$5:$AM$77, MATCH(C$100,_xlfn.ANCHORARRAY( $W$5), 0), 0),
        $F$5:$U$20
    ),
    TRANSPOSE(
        INDEX($X$5:$AM$77, MATCH($A157,_xlfn.ANCHORARRAY( $W$5), 0), 0)
    )
)
/
(
    INDEX($AN$5:$AN$77, MATCH(C$100,_xlfn.ANCHORARRAY( $W$5), 0))
    *
    INDEX($AN$5:$AN$77, MATCH($A157,_xlfn.ANCHORARRAY( $W$5), 0))
)</f>
        <v>0.89502001888852312</v>
      </c>
      <c r="D157" s="17" cm="1">
        <f t="array" ref="D157">MMULT(
    MMULT(
        INDEX($X$5:$AM$77, MATCH(D$100,_xlfn.ANCHORARRAY( $W$5), 0), 0),
        $F$5:$U$20
    ),
    TRANSPOSE(
        INDEX($X$5:$AM$77, MATCH($A157,_xlfn.ANCHORARRAY( $W$5), 0), 0)
    )
)
/
(
    INDEX($AN$5:$AN$77, MATCH(D$100,_xlfn.ANCHORARRAY( $W$5), 0))
    *
    INDEX($AN$5:$AN$77, MATCH($A157,_xlfn.ANCHORARRAY( $W$5), 0))
)</f>
        <v>0.90932932650494303</v>
      </c>
      <c r="E157" s="17" cm="1">
        <f t="array" ref="E157">MMULT(
    MMULT(
        INDEX($X$5:$AM$77, MATCH(E$100,_xlfn.ANCHORARRAY( $W$5), 0), 0),
        $F$5:$U$20
    ),
    TRANSPOSE(
        INDEX($X$5:$AM$77, MATCH($A157,_xlfn.ANCHORARRAY( $W$5), 0), 0)
    )
)
/
(
    INDEX($AN$5:$AN$77, MATCH(E$100,_xlfn.ANCHORARRAY( $W$5), 0))
    *
    INDEX($AN$5:$AN$77, MATCH($A157,_xlfn.ANCHORARRAY( $W$5), 0))
)</f>
        <v>0.75967889424500634</v>
      </c>
      <c r="F157" s="17" cm="1">
        <f t="array" ref="F157">MMULT(
    MMULT(
        INDEX($X$5:$AM$77, MATCH(F$100,_xlfn.ANCHORARRAY( $W$5), 0), 0),
        $F$5:$U$20
    ),
    TRANSPOSE(
        INDEX($X$5:$AM$77, MATCH($A157,_xlfn.ANCHORARRAY( $W$5), 0), 0)
    )
)
/
(
    INDEX($AN$5:$AN$77, MATCH(F$100,_xlfn.ANCHORARRAY( $W$5), 0))
    *
    INDEX($AN$5:$AN$77, MATCH($A157,_xlfn.ANCHORARRAY( $W$5), 0))
)</f>
        <v>0.81786811181161467</v>
      </c>
      <c r="G157" s="17" cm="1">
        <f t="array" ref="G157">MMULT(
    MMULT(
        INDEX($X$5:$AM$77, MATCH(G$100,_xlfn.ANCHORARRAY( $W$5), 0), 0),
        $F$5:$U$20
    ),
    TRANSPOSE(
        INDEX($X$5:$AM$77, MATCH($A157,_xlfn.ANCHORARRAY( $W$5), 0), 0)
    )
)
/
(
    INDEX($AN$5:$AN$77, MATCH(G$100,_xlfn.ANCHORARRAY( $W$5), 0))
    *
    INDEX($AN$5:$AN$77, MATCH($A157,_xlfn.ANCHORARRAY( $W$5), 0))
)</f>
        <v>0.79803579724531792</v>
      </c>
      <c r="H157" s="17" cm="1">
        <f t="array" ref="H157">MMULT(
    MMULT(
        INDEX($X$5:$AM$77, MATCH(H$100,_xlfn.ANCHORARRAY( $W$5), 0), 0),
        $F$5:$U$20
    ),
    TRANSPOSE(
        INDEX($X$5:$AM$77, MATCH($A157,_xlfn.ANCHORARRAY( $W$5), 0), 0)
    )
)
/
(
    INDEX($AN$5:$AN$77, MATCH(H$100,_xlfn.ANCHORARRAY( $W$5), 0))
    *
    INDEX($AN$5:$AN$77, MATCH($A157,_xlfn.ANCHORARRAY( $W$5), 0))
)</f>
        <v>0.77200101354884387</v>
      </c>
      <c r="I157" s="17" cm="1">
        <f t="array" ref="I157">MMULT(
    MMULT(
        INDEX($X$5:$AM$77, MATCH(I$100,_xlfn.ANCHORARRAY( $W$5), 0), 0),
        $F$5:$U$20
    ),
    TRANSPOSE(
        INDEX($X$5:$AM$77, MATCH($A157,_xlfn.ANCHORARRAY( $W$5), 0), 0)
    )
)
/
(
    INDEX($AN$5:$AN$77, MATCH(I$100,_xlfn.ANCHORARRAY( $W$5), 0))
    *
    INDEX($AN$5:$AN$77, MATCH($A157,_xlfn.ANCHORARRAY( $W$5), 0))
)</f>
        <v>0.82954506977763631</v>
      </c>
      <c r="J157" s="17" cm="1">
        <f t="array" ref="J157">MMULT(
    MMULT(
        INDEX($X$5:$AM$77, MATCH(J$100,_xlfn.ANCHORARRAY( $W$5), 0), 0),
        $F$5:$U$20
    ),
    TRANSPOSE(
        INDEX($X$5:$AM$77, MATCH($A157,_xlfn.ANCHORARRAY( $W$5), 0), 0)
    )
)
/
(
    INDEX($AN$5:$AN$77, MATCH(J$100,_xlfn.ANCHORARRAY( $W$5), 0))
    *
    INDEX($AN$5:$AN$77, MATCH($A157,_xlfn.ANCHORARRAY( $W$5), 0))
)</f>
        <v>0.92890087759572337</v>
      </c>
      <c r="K157" s="17" cm="1">
        <f t="array" ref="K157">MMULT(
    MMULT(
        INDEX($X$5:$AM$77, MATCH(K$100,_xlfn.ANCHORARRAY( $W$5), 0), 0),
        $F$5:$U$20
    ),
    TRANSPOSE(
        INDEX($X$5:$AM$77, MATCH($A157,_xlfn.ANCHORARRAY( $W$5), 0), 0)
    )
)
/
(
    INDEX($AN$5:$AN$77, MATCH(K$100,_xlfn.ANCHORARRAY( $W$5), 0))
    *
    INDEX($AN$5:$AN$77, MATCH($A157,_xlfn.ANCHORARRAY( $W$5), 0))
)</f>
        <v>0.79772102857991511</v>
      </c>
      <c r="L157" s="17" cm="1">
        <f t="array" ref="L157">MMULT(
    MMULT(
        INDEX($X$5:$AM$77, MATCH(L$100,_xlfn.ANCHORARRAY( $W$5), 0), 0),
        $F$5:$U$20
    ),
    TRANSPOSE(
        INDEX($X$5:$AM$77, MATCH($A157,_xlfn.ANCHORARRAY( $W$5), 0), 0)
    )
)
/
(
    INDEX($AN$5:$AN$77, MATCH(L$100,_xlfn.ANCHORARRAY( $W$5), 0))
    *
    INDEX($AN$5:$AN$77, MATCH($A157,_xlfn.ANCHORARRAY( $W$5), 0))
)</f>
        <v>0.67269809192791941</v>
      </c>
      <c r="M157" s="17" cm="1">
        <f t="array" ref="M157">MMULT(
    MMULT(
        INDEX($X$5:$AM$77, MATCH(M$100,_xlfn.ANCHORARRAY( $W$5), 0), 0),
        $F$5:$U$20
    ),
    TRANSPOSE(
        INDEX($X$5:$AM$77, MATCH($A157,_xlfn.ANCHORARRAY( $W$5), 0), 0)
    )
)
/
(
    INDEX($AN$5:$AN$77, MATCH(M$100,_xlfn.ANCHORARRAY( $W$5), 0))
    *
    INDEX($AN$5:$AN$77, MATCH($A157,_xlfn.ANCHORARRAY( $W$5), 0))
)</f>
        <v>0.75709636636442379</v>
      </c>
      <c r="N157" s="17" cm="1">
        <f t="array" ref="N157">MMULT(
    MMULT(
        INDEX($X$5:$AM$77, MATCH(N$100,_xlfn.ANCHORARRAY( $W$5), 0), 0),
        $F$5:$U$20
    ),
    TRANSPOSE(
        INDEX($X$5:$AM$77, MATCH($A157,_xlfn.ANCHORARRAY( $W$5), 0), 0)
    )
)
/
(
    INDEX($AN$5:$AN$77, MATCH(N$100,_xlfn.ANCHORARRAY( $W$5), 0))
    *
    INDEX($AN$5:$AN$77, MATCH($A157,_xlfn.ANCHORARRAY( $W$5), 0))
)</f>
        <v>0.8318591496574147</v>
      </c>
      <c r="O157" s="17" cm="1">
        <f t="array" ref="O157">MMULT(
    MMULT(
        INDEX($X$5:$AM$77, MATCH(O$100,_xlfn.ANCHORARRAY( $W$5), 0), 0),
        $F$5:$U$20
    ),
    TRANSPOSE(
        INDEX($X$5:$AM$77, MATCH($A157,_xlfn.ANCHORARRAY( $W$5), 0), 0)
    )
)
/
(
    INDEX($AN$5:$AN$77, MATCH(O$100,_xlfn.ANCHORARRAY( $W$5), 0))
    *
    INDEX($AN$5:$AN$77, MATCH($A157,_xlfn.ANCHORARRAY( $W$5), 0))
)</f>
        <v>0.74211205612695552</v>
      </c>
      <c r="P157" s="17" cm="1">
        <f t="array" ref="P157">MMULT(
    MMULT(
        INDEX($X$5:$AM$77, MATCH(P$100,_xlfn.ANCHORARRAY( $W$5), 0), 0),
        $F$5:$U$20
    ),
    TRANSPOSE(
        INDEX($X$5:$AM$77, MATCH($A157,_xlfn.ANCHORARRAY( $W$5), 0), 0)
    )
)
/
(
    INDEX($AN$5:$AN$77, MATCH(P$100,_xlfn.ANCHORARRAY( $W$5), 0))
    *
    INDEX($AN$5:$AN$77, MATCH($A157,_xlfn.ANCHORARRAY( $W$5), 0))
)</f>
        <v>0.94269668197078282</v>
      </c>
      <c r="Q157" s="17" cm="1">
        <f t="array" ref="Q157">MMULT(
    MMULT(
        INDEX($X$5:$AM$77, MATCH(Q$100,_xlfn.ANCHORARRAY( $W$5), 0), 0),
        $F$5:$U$20
    ),
    TRANSPOSE(
        INDEX($X$5:$AM$77, MATCH($A157,_xlfn.ANCHORARRAY( $W$5), 0), 0)
    )
)
/
(
    INDEX($AN$5:$AN$77, MATCH(Q$100,_xlfn.ANCHORARRAY( $W$5), 0))
    *
    INDEX($AN$5:$AN$77, MATCH($A157,_xlfn.ANCHORARRAY( $W$5), 0))
)</f>
        <v>0.82723630447410246</v>
      </c>
      <c r="R157" s="17" cm="1">
        <f t="array" ref="R157">MMULT(
    MMULT(
        INDEX($X$5:$AM$77, MATCH(R$100,_xlfn.ANCHORARRAY( $W$5), 0), 0),
        $F$5:$U$20
    ),
    TRANSPOSE(
        INDEX($X$5:$AM$77, MATCH($A157,_xlfn.ANCHORARRAY( $W$5), 0), 0)
    )
)
/
(
    INDEX($AN$5:$AN$77, MATCH(R$100,_xlfn.ANCHORARRAY( $W$5), 0))
    *
    INDEX($AN$5:$AN$77, MATCH($A157,_xlfn.ANCHORARRAY( $W$5), 0))
)</f>
        <v>0.91571539056520379</v>
      </c>
      <c r="S157" s="17" cm="1">
        <f t="array" ref="S157">MMULT(
    MMULT(
        INDEX($X$5:$AM$77, MATCH(S$100,_xlfn.ANCHORARRAY( $W$5), 0), 0),
        $F$5:$U$20
    ),
    TRANSPOSE(
        INDEX($X$5:$AM$77, MATCH($A157,_xlfn.ANCHORARRAY( $W$5), 0), 0)
    )
)
/
(
    INDEX($AN$5:$AN$77, MATCH(S$100,_xlfn.ANCHORARRAY( $W$5), 0))
    *
    INDEX($AN$5:$AN$77, MATCH($A157,_xlfn.ANCHORARRAY( $W$5), 0))
)</f>
        <v>0.93693670753064118</v>
      </c>
      <c r="T157" s="17" cm="1">
        <f t="array" ref="T157">MMULT(
    MMULT(
        INDEX($X$5:$AM$77, MATCH(T$100,_xlfn.ANCHORARRAY( $W$5), 0), 0),
        $F$5:$U$20
    ),
    TRANSPOSE(
        INDEX($X$5:$AM$77, MATCH($A157,_xlfn.ANCHORARRAY( $W$5), 0), 0)
    )
)
/
(
    INDEX($AN$5:$AN$77, MATCH(T$100,_xlfn.ANCHORARRAY( $W$5), 0))
    *
    INDEX($AN$5:$AN$77, MATCH($A157,_xlfn.ANCHORARRAY( $W$5), 0))
)</f>
        <v>0.69469411994178931</v>
      </c>
      <c r="U157" s="17" cm="1">
        <f t="array" ref="U157">MMULT(
    MMULT(
        INDEX($X$5:$AM$77, MATCH(U$100,_xlfn.ANCHORARRAY( $W$5), 0), 0),
        $F$5:$U$20
    ),
    TRANSPOSE(
        INDEX($X$5:$AM$77, MATCH($A157,_xlfn.ANCHORARRAY( $W$5), 0), 0)
    )
)
/
(
    INDEX($AN$5:$AN$77, MATCH(U$100,_xlfn.ANCHORARRAY( $W$5), 0))
    *
    INDEX($AN$5:$AN$77, MATCH($A157,_xlfn.ANCHORARRAY( $W$5), 0))
)</f>
        <v>0.9585986845756499</v>
      </c>
      <c r="V157" s="17" cm="1">
        <f t="array" ref="V157">MMULT(
    MMULT(
        INDEX($X$5:$AM$77, MATCH(V$100,_xlfn.ANCHORARRAY( $W$5), 0), 0),
        $F$5:$U$20
    ),
    TRANSPOSE(
        INDEX($X$5:$AM$77, MATCH($A157,_xlfn.ANCHORARRAY( $W$5), 0), 0)
    )
)
/
(
    INDEX($AN$5:$AN$77, MATCH(V$100,_xlfn.ANCHORARRAY( $W$5), 0))
    *
    INDEX($AN$5:$AN$77, MATCH($A157,_xlfn.ANCHORARRAY( $W$5), 0))
)</f>
        <v>0.69178419564784388</v>
      </c>
      <c r="W157" s="17" cm="1">
        <f t="array" ref="W157">MMULT(
    MMULT(
        INDEX($X$5:$AM$77, MATCH(W$100,_xlfn.ANCHORARRAY( $W$5), 0), 0),
        $F$5:$U$20
    ),
    TRANSPOSE(
        INDEX($X$5:$AM$77, MATCH($A157,_xlfn.ANCHORARRAY( $W$5), 0), 0)
    )
)
/
(
    INDEX($AN$5:$AN$77, MATCH(W$100,_xlfn.ANCHORARRAY( $W$5), 0))
    *
    INDEX($AN$5:$AN$77, MATCH($A157,_xlfn.ANCHORARRAY( $W$5), 0))
)</f>
        <v>0.61846625272498001</v>
      </c>
      <c r="X157" s="17" cm="1">
        <f t="array" ref="X157">MMULT(
    MMULT(
        INDEX($X$5:$AM$77, MATCH(X$100,_xlfn.ANCHORARRAY( $W$5), 0), 0),
        $F$5:$U$20
    ),
    TRANSPOSE(
        INDEX($X$5:$AM$77, MATCH($A157,_xlfn.ANCHORARRAY( $W$5), 0), 0)
    )
)
/
(
    INDEX($AN$5:$AN$77, MATCH(X$100,_xlfn.ANCHORARRAY( $W$5), 0))
    *
    INDEX($AN$5:$AN$77, MATCH($A157,_xlfn.ANCHORARRAY( $W$5), 0))
)</f>
        <v>0.82055803386324011</v>
      </c>
      <c r="Y157" s="17" cm="1">
        <f t="array" ref="Y157">MMULT(
    MMULT(
        INDEX($X$5:$AM$77, MATCH(Y$100,_xlfn.ANCHORARRAY( $W$5), 0), 0),
        $F$5:$U$20
    ),
    TRANSPOSE(
        INDEX($X$5:$AM$77, MATCH($A157,_xlfn.ANCHORARRAY( $W$5), 0), 0)
    )
)
/
(
    INDEX($AN$5:$AN$77, MATCH(Y$100,_xlfn.ANCHORARRAY( $W$5), 0))
    *
    INDEX($AN$5:$AN$77, MATCH($A157,_xlfn.ANCHORARRAY( $W$5), 0))
)</f>
        <v>0.81621295482422074</v>
      </c>
      <c r="Z157" s="17" cm="1">
        <f t="array" ref="Z157">MMULT(
    MMULT(
        INDEX($X$5:$AM$77, MATCH(Z$100,_xlfn.ANCHORARRAY( $W$5), 0), 0),
        $F$5:$U$20
    ),
    TRANSPOSE(
        INDEX($X$5:$AM$77, MATCH($A157,_xlfn.ANCHORARRAY( $W$5), 0), 0)
    )
)
/
(
    INDEX($AN$5:$AN$77, MATCH(Z$100,_xlfn.ANCHORARRAY( $W$5), 0))
    *
    INDEX($AN$5:$AN$77, MATCH($A157,_xlfn.ANCHORARRAY( $W$5), 0))
)</f>
        <v>0.86688358729946691</v>
      </c>
      <c r="AA157" s="17" cm="1">
        <f t="array" ref="AA157">MMULT(
    MMULT(
        INDEX($X$5:$AM$77, MATCH(AA$100,_xlfn.ANCHORARRAY( $W$5), 0), 0),
        $F$5:$U$20
    ),
    TRANSPOSE(
        INDEX($X$5:$AM$77, MATCH($A157,_xlfn.ANCHORARRAY( $W$5), 0), 0)
    )
)
/
(
    INDEX($AN$5:$AN$77, MATCH(AA$100,_xlfn.ANCHORARRAY( $W$5), 0))
    *
    INDEX($AN$5:$AN$77, MATCH($A157,_xlfn.ANCHORARRAY( $W$5), 0))
)</f>
        <v>0.895939299399512</v>
      </c>
      <c r="AB157" s="17" cm="1">
        <f t="array" ref="AB157">MMULT(
    MMULT(
        INDEX($X$5:$AM$77, MATCH(AB$100,_xlfn.ANCHORARRAY( $W$5), 0), 0),
        $F$5:$U$20
    ),
    TRANSPOSE(
        INDEX($X$5:$AM$77, MATCH($A157,_xlfn.ANCHORARRAY( $W$5), 0), 0)
    )
)
/
(
    INDEX($AN$5:$AN$77, MATCH(AB$100,_xlfn.ANCHORARRAY( $W$5), 0))
    *
    INDEX($AN$5:$AN$77, MATCH($A157,_xlfn.ANCHORARRAY( $W$5), 0))
)</f>
        <v>0.89841562213935067</v>
      </c>
      <c r="AC157" s="17" cm="1">
        <f t="array" ref="AC157">MMULT(
    MMULT(
        INDEX($X$5:$AM$77, MATCH(AC$100,_xlfn.ANCHORARRAY( $W$5), 0), 0),
        $F$5:$U$20
    ),
    TRANSPOSE(
        INDEX($X$5:$AM$77, MATCH($A157,_xlfn.ANCHORARRAY( $W$5), 0), 0)
    )
)
/
(
    INDEX($AN$5:$AN$77, MATCH(AC$100,_xlfn.ANCHORARRAY( $W$5), 0))
    *
    INDEX($AN$5:$AN$77, MATCH($A157,_xlfn.ANCHORARRAY( $W$5), 0))
)</f>
        <v>0.82032332765590699</v>
      </c>
      <c r="AD157" s="17" cm="1">
        <f t="array" ref="AD157">MMULT(
    MMULT(
        INDEX($X$5:$AM$77, MATCH(AD$100,_xlfn.ANCHORARRAY( $W$5), 0), 0),
        $F$5:$U$20
    ),
    TRANSPOSE(
        INDEX($X$5:$AM$77, MATCH($A157,_xlfn.ANCHORARRAY( $W$5), 0), 0)
    )
)
/
(
    INDEX($AN$5:$AN$77, MATCH(AD$100,_xlfn.ANCHORARRAY( $W$5), 0))
    *
    INDEX($AN$5:$AN$77, MATCH($A157,_xlfn.ANCHORARRAY( $W$5), 0))
)</f>
        <v>0.88814096876382598</v>
      </c>
      <c r="AE157" s="17" cm="1">
        <f t="array" ref="AE157">MMULT(
    MMULT(
        INDEX($X$5:$AM$77, MATCH(AE$100,_xlfn.ANCHORARRAY( $W$5), 0), 0),
        $F$5:$U$20
    ),
    TRANSPOSE(
        INDEX($X$5:$AM$77, MATCH($A157,_xlfn.ANCHORARRAY( $W$5), 0), 0)
    )
)
/
(
    INDEX($AN$5:$AN$77, MATCH(AE$100,_xlfn.ANCHORARRAY( $W$5), 0))
    *
    INDEX($AN$5:$AN$77, MATCH($A157,_xlfn.ANCHORARRAY( $W$5), 0))
)</f>
        <v>0.88641025954117547</v>
      </c>
      <c r="AF157" s="17" cm="1">
        <f t="array" ref="AF157">MMULT(
    MMULT(
        INDEX($X$5:$AM$77, MATCH(AF$100,_xlfn.ANCHORARRAY( $W$5), 0), 0),
        $F$5:$U$20
    ),
    TRANSPOSE(
        INDEX($X$5:$AM$77, MATCH($A157,_xlfn.ANCHORARRAY( $W$5), 0), 0)
    )
)
/
(
    INDEX($AN$5:$AN$77, MATCH(AF$100,_xlfn.ANCHORARRAY( $W$5), 0))
    *
    INDEX($AN$5:$AN$77, MATCH($A157,_xlfn.ANCHORARRAY( $W$5), 0))
)</f>
        <v>0.92895872409119007</v>
      </c>
      <c r="AG157" s="17" cm="1">
        <f t="array" ref="AG157">MMULT(
    MMULT(
        INDEX($X$5:$AM$77, MATCH(AG$100,_xlfn.ANCHORARRAY( $W$5), 0), 0),
        $F$5:$U$20
    ),
    TRANSPOSE(
        INDEX($X$5:$AM$77, MATCH($A157,_xlfn.ANCHORARRAY( $W$5), 0), 0)
    )
)
/
(
    INDEX($AN$5:$AN$77, MATCH(AG$100,_xlfn.ANCHORARRAY( $W$5), 0))
    *
    INDEX($AN$5:$AN$77, MATCH($A157,_xlfn.ANCHORARRAY( $W$5), 0))
)</f>
        <v>0.85292518418386254</v>
      </c>
      <c r="AH157" s="17" cm="1">
        <f t="array" ref="AH157">MMULT(
    MMULT(
        INDEX($X$5:$AM$77, MATCH(AH$100,_xlfn.ANCHORARRAY( $W$5), 0), 0),
        $F$5:$U$20
    ),
    TRANSPOSE(
        INDEX($X$5:$AM$77, MATCH($A157,_xlfn.ANCHORARRAY( $W$5), 0), 0)
    )
)
/
(
    INDEX($AN$5:$AN$77, MATCH(AH$100,_xlfn.ANCHORARRAY( $W$5), 0))
    *
    INDEX($AN$5:$AN$77, MATCH($A157,_xlfn.ANCHORARRAY( $W$5), 0))
)</f>
        <v>0.6459337286623138</v>
      </c>
      <c r="AI157" s="17" cm="1">
        <f t="array" ref="AI157">MMULT(
    MMULT(
        INDEX($X$5:$AM$77, MATCH(AI$100,_xlfn.ANCHORARRAY( $W$5), 0), 0),
        $F$5:$U$20
    ),
    TRANSPOSE(
        INDEX($X$5:$AM$77, MATCH($A157,_xlfn.ANCHORARRAY( $W$5), 0), 0)
    )
)
/
(
    INDEX($AN$5:$AN$77, MATCH(AI$100,_xlfn.ANCHORARRAY( $W$5), 0))
    *
    INDEX($AN$5:$AN$77, MATCH($A157,_xlfn.ANCHORARRAY( $W$5), 0))
)</f>
        <v>0.88900363095498214</v>
      </c>
      <c r="AJ157" s="17" cm="1">
        <f t="array" ref="AJ157">MMULT(
    MMULT(
        INDEX($X$5:$AM$77, MATCH(AJ$100,_xlfn.ANCHORARRAY( $W$5), 0), 0),
        $F$5:$U$20
    ),
    TRANSPOSE(
        INDEX($X$5:$AM$77, MATCH($A157,_xlfn.ANCHORARRAY( $W$5), 0), 0)
    )
)
/
(
    INDEX($AN$5:$AN$77, MATCH(AJ$100,_xlfn.ANCHORARRAY( $W$5), 0))
    *
    INDEX($AN$5:$AN$77, MATCH($A157,_xlfn.ANCHORARRAY( $W$5), 0))
)</f>
        <v>0.9454307071409519</v>
      </c>
      <c r="AK157" s="17" cm="1">
        <f t="array" ref="AK157">MMULT(
    MMULT(
        INDEX($X$5:$AM$77, MATCH(AK$100,_xlfn.ANCHORARRAY( $W$5), 0), 0),
        $F$5:$U$20
    ),
    TRANSPOSE(
        INDEX($X$5:$AM$77, MATCH($A157,_xlfn.ANCHORARRAY( $W$5), 0), 0)
    )
)
/
(
    INDEX($AN$5:$AN$77, MATCH(AK$100,_xlfn.ANCHORARRAY( $W$5), 0))
    *
    INDEX($AN$5:$AN$77, MATCH($A157,_xlfn.ANCHORARRAY( $W$5), 0))
)</f>
        <v>0.82107699231851627</v>
      </c>
      <c r="AL157" s="17" cm="1">
        <f t="array" ref="AL157">MMULT(
    MMULT(
        INDEX($X$5:$AM$77, MATCH(AL$100,_xlfn.ANCHORARRAY( $W$5), 0), 0),
        $F$5:$U$20
    ),
    TRANSPOSE(
        INDEX($X$5:$AM$77, MATCH($A157,_xlfn.ANCHORARRAY( $W$5), 0), 0)
    )
)
/
(
    INDEX($AN$5:$AN$77, MATCH(AL$100,_xlfn.ANCHORARRAY( $W$5), 0))
    *
    INDEX($AN$5:$AN$77, MATCH($A157,_xlfn.ANCHORARRAY( $W$5), 0))
)</f>
        <v>0.78759729915224841</v>
      </c>
      <c r="AM157" s="17" cm="1">
        <f t="array" ref="AM157">MMULT(
    MMULT(
        INDEX($X$5:$AM$77, MATCH(AM$100,_xlfn.ANCHORARRAY( $W$5), 0), 0),
        $F$5:$U$20
    ),
    TRANSPOSE(
        INDEX($X$5:$AM$77, MATCH($A157,_xlfn.ANCHORARRAY( $W$5), 0), 0)
    )
)
/
(
    INDEX($AN$5:$AN$77, MATCH(AM$100,_xlfn.ANCHORARRAY( $W$5), 0))
    *
    INDEX($AN$5:$AN$77, MATCH($A157,_xlfn.ANCHORARRAY( $W$5), 0))
)</f>
        <v>0.69955270438126094</v>
      </c>
      <c r="AN157" s="17" cm="1">
        <f t="array" ref="AN157">MMULT(
    MMULT(
        INDEX($X$5:$AM$77, MATCH(AN$100,_xlfn.ANCHORARRAY( $W$5), 0), 0),
        $F$5:$U$20
    ),
    TRANSPOSE(
        INDEX($X$5:$AM$77, MATCH($A157,_xlfn.ANCHORARRAY( $W$5), 0), 0)
    )
)
/
(
    INDEX($AN$5:$AN$77, MATCH(AN$100,_xlfn.ANCHORARRAY( $W$5), 0))
    *
    INDEX($AN$5:$AN$77, MATCH($A157,_xlfn.ANCHORARRAY( $W$5), 0))
)</f>
        <v>0.7458133005764872</v>
      </c>
      <c r="AO157" s="17" cm="1">
        <f t="array" ref="AO157">MMULT(
    MMULT(
        INDEX($X$5:$AM$77, MATCH(AO$100,_xlfn.ANCHORARRAY( $W$5), 0), 0),
        $F$5:$U$20
    ),
    TRANSPOSE(
        INDEX($X$5:$AM$77, MATCH($A157,_xlfn.ANCHORARRAY( $W$5), 0), 0)
    )
)
/
(
    INDEX($AN$5:$AN$77, MATCH(AO$100,_xlfn.ANCHORARRAY( $W$5), 0))
    *
    INDEX($AN$5:$AN$77, MATCH($A157,_xlfn.ANCHORARRAY( $W$5), 0))
)</f>
        <v>0.6833921216532779</v>
      </c>
      <c r="AP157" s="17" cm="1">
        <f t="array" ref="AP157">MMULT(
    MMULT(
        INDEX($X$5:$AM$77, MATCH(AP$100,_xlfn.ANCHORARRAY( $W$5), 0), 0),
        $F$5:$U$20
    ),
    TRANSPOSE(
        INDEX($X$5:$AM$77, MATCH($A157,_xlfn.ANCHORARRAY( $W$5), 0), 0)
    )
)
/
(
    INDEX($AN$5:$AN$77, MATCH(AP$100,_xlfn.ANCHORARRAY( $W$5), 0))
    *
    INDEX($AN$5:$AN$77, MATCH($A157,_xlfn.ANCHORARRAY( $W$5), 0))
)</f>
        <v>0.69192721543693336</v>
      </c>
      <c r="AQ157" s="17" cm="1">
        <f t="array" ref="AQ157">MMULT(
    MMULT(
        INDEX($X$5:$AM$77, MATCH(AQ$100,_xlfn.ANCHORARRAY( $W$5), 0), 0),
        $F$5:$U$20
    ),
    TRANSPOSE(
        INDEX($X$5:$AM$77, MATCH($A157,_xlfn.ANCHORARRAY( $W$5), 0), 0)
    )
)
/
(
    INDEX($AN$5:$AN$77, MATCH(AQ$100,_xlfn.ANCHORARRAY( $W$5), 0))
    *
    INDEX($AN$5:$AN$77, MATCH($A157,_xlfn.ANCHORARRAY( $W$5), 0))
)</f>
        <v>0.94199636674223397</v>
      </c>
      <c r="AR157" s="17" cm="1">
        <f t="array" ref="AR157">MMULT(
    MMULT(
        INDEX($X$5:$AM$77, MATCH(AR$100,_xlfn.ANCHORARRAY( $W$5), 0), 0),
        $F$5:$U$20
    ),
    TRANSPOSE(
        INDEX($X$5:$AM$77, MATCH($A157,_xlfn.ANCHORARRAY( $W$5), 0), 0)
    )
)
/
(
    INDEX($AN$5:$AN$77, MATCH(AR$100,_xlfn.ANCHORARRAY( $W$5), 0))
    *
    INDEX($AN$5:$AN$77, MATCH($A157,_xlfn.ANCHORARRAY( $W$5), 0))
)</f>
        <v>0.96622441099136214</v>
      </c>
      <c r="AS157" s="17" cm="1">
        <f t="array" ref="AS157">MMULT(
    MMULT(
        INDEX($X$5:$AM$77, MATCH(AS$100,_xlfn.ANCHORARRAY( $W$5), 0), 0),
        $F$5:$U$20
    ),
    TRANSPOSE(
        INDEX($X$5:$AM$77, MATCH($A157,_xlfn.ANCHORARRAY( $W$5), 0), 0)
    )
)
/
(
    INDEX($AN$5:$AN$77, MATCH(AS$100,_xlfn.ANCHORARRAY( $W$5), 0))
    *
    INDEX($AN$5:$AN$77, MATCH($A157,_xlfn.ANCHORARRAY( $W$5), 0))
)</f>
        <v>0.80444960456052605</v>
      </c>
      <c r="AT157" s="17" cm="1">
        <f t="array" ref="AT157">MMULT(
    MMULT(
        INDEX($X$5:$AM$77, MATCH(AT$100,_xlfn.ANCHORARRAY( $W$5), 0), 0),
        $F$5:$U$20
    ),
    TRANSPOSE(
        INDEX($X$5:$AM$77, MATCH($A157,_xlfn.ANCHORARRAY( $W$5), 0), 0)
    )
)
/
(
    INDEX($AN$5:$AN$77, MATCH(AT$100,_xlfn.ANCHORARRAY( $W$5), 0))
    *
    INDEX($AN$5:$AN$77, MATCH($A157,_xlfn.ANCHORARRAY( $W$5), 0))
)</f>
        <v>0.78266497494286491</v>
      </c>
      <c r="AU157" s="17" cm="1">
        <f t="array" ref="AU157">MMULT(
    MMULT(
        INDEX($X$5:$AM$77, MATCH(AU$100,_xlfn.ANCHORARRAY( $W$5), 0), 0),
        $F$5:$U$20
    ),
    TRANSPOSE(
        INDEX($X$5:$AM$77, MATCH($A157,_xlfn.ANCHORARRAY( $W$5), 0), 0)
    )
)
/
(
    INDEX($AN$5:$AN$77, MATCH(AU$100,_xlfn.ANCHORARRAY( $W$5), 0))
    *
    INDEX($AN$5:$AN$77, MATCH($A157,_xlfn.ANCHORARRAY( $W$5), 0))
)</f>
        <v>0.82509884714100779</v>
      </c>
      <c r="AV157" s="17" cm="1">
        <f t="array" ref="AV157">MMULT(
    MMULT(
        INDEX($X$5:$AM$77, MATCH(AV$100,_xlfn.ANCHORARRAY( $W$5), 0), 0),
        $F$5:$U$20
    ),
    TRANSPOSE(
        INDEX($X$5:$AM$77, MATCH($A157,_xlfn.ANCHORARRAY( $W$5), 0), 0)
    )
)
/
(
    INDEX($AN$5:$AN$77, MATCH(AV$100,_xlfn.ANCHORARRAY( $W$5), 0))
    *
    INDEX($AN$5:$AN$77, MATCH($A157,_xlfn.ANCHORARRAY( $W$5), 0))
)</f>
        <v>0.84888869552473334</v>
      </c>
      <c r="AW157" s="17" cm="1">
        <f t="array" ref="AW157">MMULT(
    MMULT(
        INDEX($X$5:$AM$77, MATCH(AW$100,_xlfn.ANCHORARRAY( $W$5), 0), 0),
        $F$5:$U$20
    ),
    TRANSPOSE(
        INDEX($X$5:$AM$77, MATCH($A157,_xlfn.ANCHORARRAY( $W$5), 0), 0)
    )
)
/
(
    INDEX($AN$5:$AN$77, MATCH(AW$100,_xlfn.ANCHORARRAY( $W$5), 0))
    *
    INDEX($AN$5:$AN$77, MATCH($A157,_xlfn.ANCHORARRAY( $W$5), 0))
)</f>
        <v>0.66979477607325533</v>
      </c>
      <c r="AX157" s="17" cm="1">
        <f t="array" ref="AX157">MMULT(
    MMULT(
        INDEX($X$5:$AM$77, MATCH(AX$100,_xlfn.ANCHORARRAY( $W$5), 0), 0),
        $F$5:$U$20
    ),
    TRANSPOSE(
        INDEX($X$5:$AM$77, MATCH($A157,_xlfn.ANCHORARRAY( $W$5), 0), 0)
    )
)
/
(
    INDEX($AN$5:$AN$77, MATCH(AX$100,_xlfn.ANCHORARRAY( $W$5), 0))
    *
    INDEX($AN$5:$AN$77, MATCH($A157,_xlfn.ANCHORARRAY( $W$5), 0))
)</f>
        <v>0.68097300996280186</v>
      </c>
      <c r="AY157" s="17" cm="1">
        <f t="array" ref="AY157">MMULT(
    MMULT(
        INDEX($X$5:$AM$77, MATCH(AY$100,_xlfn.ANCHORARRAY( $W$5), 0), 0),
        $F$5:$U$20
    ),
    TRANSPOSE(
        INDEX($X$5:$AM$77, MATCH($A157,_xlfn.ANCHORARRAY( $W$5), 0), 0)
    )
)
/
(
    INDEX($AN$5:$AN$77, MATCH(AY$100,_xlfn.ANCHORARRAY( $W$5), 0))
    *
    INDEX($AN$5:$AN$77, MATCH($A157,_xlfn.ANCHORARRAY( $W$5), 0))
)</f>
        <v>0.58429877306587874</v>
      </c>
      <c r="AZ157" s="17" cm="1">
        <f t="array" ref="AZ157">MMULT(
    MMULT(
        INDEX($X$5:$AM$77, MATCH(AZ$100,_xlfn.ANCHORARRAY( $W$5), 0), 0),
        $F$5:$U$20
    ),
    TRANSPOSE(
        INDEX($X$5:$AM$77, MATCH($A157,_xlfn.ANCHORARRAY( $W$5), 0), 0)
    )
)
/
(
    INDEX($AN$5:$AN$77, MATCH(AZ$100,_xlfn.ANCHORARRAY( $W$5), 0))
    *
    INDEX($AN$5:$AN$77, MATCH($A157,_xlfn.ANCHORARRAY( $W$5), 0))
)</f>
        <v>0.87150520105854301</v>
      </c>
      <c r="BA157" s="17" cm="1">
        <f t="array" ref="BA157">MMULT(
    MMULT(
        INDEX($X$5:$AM$77, MATCH(BA$100,_xlfn.ANCHORARRAY( $W$5), 0), 0),
        $F$5:$U$20
    ),
    TRANSPOSE(
        INDEX($X$5:$AM$77, MATCH($A157,_xlfn.ANCHORARRAY( $W$5), 0), 0)
    )
)
/
(
    INDEX($AN$5:$AN$77, MATCH(BA$100,_xlfn.ANCHORARRAY( $W$5), 0))
    *
    INDEX($AN$5:$AN$77, MATCH($A157,_xlfn.ANCHORARRAY( $W$5), 0))
)</f>
        <v>0.9345209466380392</v>
      </c>
      <c r="BB157" s="17" cm="1">
        <f t="array" ref="BB157">MMULT(
    MMULT(
        INDEX($X$5:$AM$77, MATCH(BB$100,_xlfn.ANCHORARRAY( $W$5), 0), 0),
        $F$5:$U$20
    ),
    TRANSPOSE(
        INDEX($X$5:$AM$77, MATCH($A157,_xlfn.ANCHORARRAY( $W$5), 0), 0)
    )
)
/
(
    INDEX($AN$5:$AN$77, MATCH(BB$100,_xlfn.ANCHORARRAY( $W$5), 0))
    *
    INDEX($AN$5:$AN$77, MATCH($A157,_xlfn.ANCHORARRAY( $W$5), 0))
)</f>
        <v>0.70631406543686204</v>
      </c>
      <c r="BC157" s="17" cm="1">
        <f t="array" ref="BC157">MMULT(
    MMULT(
        INDEX($X$5:$AM$77, MATCH(BC$100,_xlfn.ANCHORARRAY( $W$5), 0), 0),
        $F$5:$U$20
    ),
    TRANSPOSE(
        INDEX($X$5:$AM$77, MATCH($A157,_xlfn.ANCHORARRAY( $W$5), 0), 0)
    )
)
/
(
    INDEX($AN$5:$AN$77, MATCH(BC$100,_xlfn.ANCHORARRAY( $W$5), 0))
    *
    INDEX($AN$5:$AN$77, MATCH($A157,_xlfn.ANCHORARRAY( $W$5), 0))
)</f>
        <v>0.77826198377763456</v>
      </c>
      <c r="BD157" s="17" cm="1">
        <f t="array" ref="BD157">MMULT(
    MMULT(
        INDEX($X$5:$AM$77, MATCH(BD$100,_xlfn.ANCHORARRAY( $W$5), 0), 0),
        $F$5:$U$20
    ),
    TRANSPOSE(
        INDEX($X$5:$AM$77, MATCH($A157,_xlfn.ANCHORARRAY( $W$5), 0), 0)
    )
)
/
(
    INDEX($AN$5:$AN$77, MATCH(BD$100,_xlfn.ANCHORARRAY( $W$5), 0))
    *
    INDEX($AN$5:$AN$77, MATCH($A157,_xlfn.ANCHORARRAY( $W$5), 0))
)</f>
        <v>0.88810947198029488</v>
      </c>
      <c r="BE157" s="17" cm="1">
        <f t="array" ref="BE157">MMULT(
    MMULT(
        INDEX($X$5:$AM$77, MATCH(BE$100,_xlfn.ANCHORARRAY( $W$5), 0), 0),
        $F$5:$U$20
    ),
    TRANSPOSE(
        INDEX($X$5:$AM$77, MATCH($A157,_xlfn.ANCHORARRAY( $W$5), 0), 0)
    )
)
/
(
    INDEX($AN$5:$AN$77, MATCH(BE$100,_xlfn.ANCHORARRAY( $W$5), 0))
    *
    INDEX($AN$5:$AN$77, MATCH($A157,_xlfn.ANCHORARRAY( $W$5), 0))
)</f>
        <v>0.67642077123013178</v>
      </c>
      <c r="BF157" s="17" cm="1">
        <f t="array" ref="BF157">MMULT(
    MMULT(
        INDEX($X$5:$AM$77, MATCH(BF$100,_xlfn.ANCHORARRAY( $W$5), 0), 0),
        $F$5:$U$20
    ),
    TRANSPOSE(
        INDEX($X$5:$AM$77, MATCH($A157,_xlfn.ANCHORARRAY( $W$5), 0), 0)
    )
)
/
(
    INDEX($AN$5:$AN$77, MATCH(BF$100,_xlfn.ANCHORARRAY( $W$5), 0))
    *
    INDEX($AN$5:$AN$77, MATCH($A157,_xlfn.ANCHORARRAY( $W$5), 0))
)</f>
        <v>1.0000000000000002</v>
      </c>
      <c r="BG157" s="17" cm="1">
        <f t="array" ref="BG157">MMULT(
    MMULT(
        INDEX($X$5:$AM$77, MATCH(BG$100,_xlfn.ANCHORARRAY( $W$5), 0), 0),
        $F$5:$U$20
    ),
    TRANSPOSE(
        INDEX($X$5:$AM$77, MATCH($A157,_xlfn.ANCHORARRAY( $W$5), 0), 0)
    )
)
/
(
    INDEX($AN$5:$AN$77, MATCH(BG$100,_xlfn.ANCHORARRAY( $W$5), 0))
    *
    INDEX($AN$5:$AN$77, MATCH($A157,_xlfn.ANCHORARRAY( $W$5), 0))
)</f>
        <v>0.93195582629300244</v>
      </c>
      <c r="BH157" s="17" cm="1">
        <f t="array" ref="BH157">MMULT(
    MMULT(
        INDEX($X$5:$AM$77, MATCH(BH$100,_xlfn.ANCHORARRAY( $W$5), 0), 0),
        $F$5:$U$20
    ),
    TRANSPOSE(
        INDEX($X$5:$AM$77, MATCH($A157,_xlfn.ANCHORARRAY( $W$5), 0), 0)
    )
)
/
(
    INDEX($AN$5:$AN$77, MATCH(BH$100,_xlfn.ANCHORARRAY( $W$5), 0))
    *
    INDEX($AN$5:$AN$77, MATCH($A157,_xlfn.ANCHORARRAY( $W$5), 0))
)</f>
        <v>0.91032940571583765</v>
      </c>
      <c r="BI157" s="17" cm="1">
        <f t="array" ref="BI157">MMULT(
    MMULT(
        INDEX($X$5:$AM$77, MATCH(BI$100,_xlfn.ANCHORARRAY( $W$5), 0), 0),
        $F$5:$U$20
    ),
    TRANSPOSE(
        INDEX($X$5:$AM$77, MATCH($A157,_xlfn.ANCHORARRAY( $W$5), 0), 0)
    )
)
/
(
    INDEX($AN$5:$AN$77, MATCH(BI$100,_xlfn.ANCHORARRAY( $W$5), 0))
    *
    INDEX($AN$5:$AN$77, MATCH($A157,_xlfn.ANCHORARRAY( $W$5), 0))
)</f>
        <v>0.55509690892788577</v>
      </c>
      <c r="BJ157" s="17" cm="1">
        <f t="array" ref="BJ157">MMULT(
    MMULT(
        INDEX($X$5:$AM$77, MATCH(BJ$100,_xlfn.ANCHORARRAY( $W$5), 0), 0),
        $F$5:$U$20
    ),
    TRANSPOSE(
        INDEX($X$5:$AM$77, MATCH($A157,_xlfn.ANCHORARRAY( $W$5), 0), 0)
    )
)
/
(
    INDEX($AN$5:$AN$77, MATCH(BJ$100,_xlfn.ANCHORARRAY( $W$5), 0))
    *
    INDEX($AN$5:$AN$77, MATCH($A157,_xlfn.ANCHORARRAY( $W$5), 0))
)</f>
        <v>0.88408086319268553</v>
      </c>
      <c r="BK157" s="17" cm="1">
        <f t="array" ref="BK157">MMULT(
    MMULT(
        INDEX($X$5:$AM$77, MATCH(BK$100,_xlfn.ANCHORARRAY( $W$5), 0), 0),
        $F$5:$U$20
    ),
    TRANSPOSE(
        INDEX($X$5:$AM$77, MATCH($A157,_xlfn.ANCHORARRAY( $W$5), 0), 0)
    )
)
/
(
    INDEX($AN$5:$AN$77, MATCH(BK$100,_xlfn.ANCHORARRAY( $W$5), 0))
    *
    INDEX($AN$5:$AN$77, MATCH($A157,_xlfn.ANCHORARRAY( $W$5), 0))
)</f>
        <v>0.89490961248078971</v>
      </c>
      <c r="BL157" s="17" cm="1">
        <f t="array" ref="BL157">MMULT(
    MMULT(
        INDEX($X$5:$AM$77, MATCH(BL$100,_xlfn.ANCHORARRAY( $W$5), 0), 0),
        $F$5:$U$20
    ),
    TRANSPOSE(
        INDEX($X$5:$AM$77, MATCH($A157,_xlfn.ANCHORARRAY( $W$5), 0), 0)
    )
)
/
(
    INDEX($AN$5:$AN$77, MATCH(BL$100,_xlfn.ANCHORARRAY( $W$5), 0))
    *
    INDEX($AN$5:$AN$77, MATCH($A157,_xlfn.ANCHORARRAY( $W$5), 0))
)</f>
        <v>0.5496169378049055</v>
      </c>
      <c r="BM157" s="17" cm="1">
        <f t="array" ref="BM157">MMULT(
    MMULT(
        INDEX($X$5:$AM$77, MATCH(BM$100,_xlfn.ANCHORARRAY( $W$5), 0), 0),
        $F$5:$U$20
    ),
    TRANSPOSE(
        INDEX($X$5:$AM$77, MATCH($A157,_xlfn.ANCHORARRAY( $W$5), 0), 0)
    )
)
/
(
    INDEX($AN$5:$AN$77, MATCH(BM$100,_xlfn.ANCHORARRAY( $W$5), 0))
    *
    INDEX($AN$5:$AN$77, MATCH($A157,_xlfn.ANCHORARRAY( $W$5), 0))
)</f>
        <v>0.66443319827287461</v>
      </c>
      <c r="BN157" s="17" cm="1">
        <f t="array" ref="BN157">MMULT(
    MMULT(
        INDEX($X$5:$AM$77, MATCH(BN$100,_xlfn.ANCHORARRAY( $W$5), 0), 0),
        $F$5:$U$20
    ),
    TRANSPOSE(
        INDEX($X$5:$AM$77, MATCH($A157,_xlfn.ANCHORARRAY( $W$5), 0), 0)
    )
)
/
(
    INDEX($AN$5:$AN$77, MATCH(BN$100,_xlfn.ANCHORARRAY( $W$5), 0))
    *
    INDEX($AN$5:$AN$77, MATCH($A157,_xlfn.ANCHORARRAY( $W$5), 0))
)</f>
        <v>0.70527404445893538</v>
      </c>
      <c r="BO157" s="17" cm="1">
        <f t="array" ref="BO157">MMULT(
    MMULT(
        INDEX($X$5:$AM$77, MATCH(BO$100,_xlfn.ANCHORARRAY( $W$5), 0), 0),
        $F$5:$U$20
    ),
    TRANSPOSE(
        INDEX($X$5:$AM$77, MATCH($A157,_xlfn.ANCHORARRAY( $W$5), 0), 0)
    )
)
/
(
    INDEX($AN$5:$AN$77, MATCH(BO$100,_xlfn.ANCHORARRAY( $W$5), 0))
    *
    INDEX($AN$5:$AN$77, MATCH($A157,_xlfn.ANCHORARRAY( $W$5), 0))
)</f>
        <v>0.79085166637139515</v>
      </c>
      <c r="BP157" s="17" cm="1">
        <f t="array" ref="BP157">MMULT(
    MMULT(
        INDEX($X$5:$AM$77, MATCH(BP$100,_xlfn.ANCHORARRAY( $W$5), 0), 0),
        $F$5:$U$20
    ),
    TRANSPOSE(
        INDEX($X$5:$AM$77, MATCH($A157,_xlfn.ANCHORARRAY( $W$5), 0), 0)
    )
)
/
(
    INDEX($AN$5:$AN$77, MATCH(BP$100,_xlfn.ANCHORARRAY( $W$5), 0))
    *
    INDEX($AN$5:$AN$77, MATCH($A157,_xlfn.ANCHORARRAY( $W$5), 0))
)</f>
        <v>0.92124271139317793</v>
      </c>
      <c r="BQ157" s="17" cm="1">
        <f t="array" ref="BQ157">MMULT(
    MMULT(
        INDEX($X$5:$AM$77, MATCH(BQ$100,_xlfn.ANCHORARRAY( $W$5), 0), 0),
        $F$5:$U$20
    ),
    TRANSPOSE(
        INDEX($X$5:$AM$77, MATCH($A157,_xlfn.ANCHORARRAY( $W$5), 0), 0)
    )
)
/
(
    INDEX($AN$5:$AN$77, MATCH(BQ$100,_xlfn.ANCHORARRAY( $W$5), 0))
    *
    INDEX($AN$5:$AN$77, MATCH($A157,_xlfn.ANCHORARRAY( $W$5), 0))
)</f>
        <v>0.70986881181149608</v>
      </c>
      <c r="BR157" s="17" cm="1">
        <f t="array" ref="BR157">MMULT(
    MMULT(
        INDEX($X$5:$AM$77, MATCH(BR$100,_xlfn.ANCHORARRAY( $W$5), 0), 0),
        $F$5:$U$20
    ),
    TRANSPOSE(
        INDEX($X$5:$AM$77, MATCH($A157,_xlfn.ANCHORARRAY( $W$5), 0), 0)
    )
)
/
(
    INDEX($AN$5:$AN$77, MATCH(BR$100,_xlfn.ANCHORARRAY( $W$5), 0))
    *
    INDEX($AN$5:$AN$77, MATCH($A157,_xlfn.ANCHORARRAY( $W$5), 0))
)</f>
        <v>0.80968070334190201</v>
      </c>
      <c r="BS157" s="17" cm="1">
        <f t="array" ref="BS157">MMULT(
    MMULT(
        INDEX($X$5:$AM$77, MATCH(BS$100,_xlfn.ANCHORARRAY( $W$5), 0), 0),
        $F$5:$U$20
    ),
    TRANSPOSE(
        INDEX($X$5:$AM$77, MATCH($A157,_xlfn.ANCHORARRAY( $W$5), 0), 0)
    )
)
/
(
    INDEX($AN$5:$AN$77, MATCH(BS$100,_xlfn.ANCHORARRAY( $W$5), 0))
    *
    INDEX($AN$5:$AN$77, MATCH($A157,_xlfn.ANCHORARRAY( $W$5), 0))
)</f>
        <v>0.77886625423600764</v>
      </c>
      <c r="BT157" s="17" cm="1">
        <f t="array" ref="BT157">MMULT(
    MMULT(
        INDEX($X$5:$AM$77, MATCH(BT$100,_xlfn.ANCHORARRAY( $W$5), 0), 0),
        $F$5:$U$20
    ),
    TRANSPOSE(
        INDEX($X$5:$AM$77, MATCH($A157,_xlfn.ANCHORARRAY( $W$5), 0), 0)
    )
)
/
(
    INDEX($AN$5:$AN$77, MATCH(BT$100,_xlfn.ANCHORARRAY( $W$5), 0))
    *
    INDEX($AN$5:$AN$77, MATCH($A157,_xlfn.ANCHORARRAY( $W$5), 0))
)</f>
        <v>0.88240472372148138</v>
      </c>
      <c r="BU157" s="17" cm="1">
        <f t="array" ref="BU157">MMULT(
    MMULT(
        INDEX($X$5:$AM$77, MATCH(BU$100,_xlfn.ANCHORARRAY( $W$5), 0), 0),
        $F$5:$U$20
    ),
    TRANSPOSE(
        INDEX($X$5:$AM$77, MATCH($A157,_xlfn.ANCHORARRAY( $W$5), 0), 0)
    )
)
/
(
    INDEX($AN$5:$AN$77, MATCH(BU$100,_xlfn.ANCHORARRAY( $W$5), 0))
    *
    INDEX($AN$5:$AN$77, MATCH($A157,_xlfn.ANCHORARRAY( $W$5), 0))
)</f>
        <v>0.9276501381397485</v>
      </c>
      <c r="BV157" s="17" cm="1">
        <f t="array" ref="BV157">MMULT(
    MMULT(
        INDEX($X$5:$AM$77, MATCH(BV$100,_xlfn.ANCHORARRAY( $W$5), 0), 0),
        $F$5:$U$20
    ),
    TRANSPOSE(
        INDEX($X$5:$AM$77, MATCH($A157,_xlfn.ANCHORARRAY( $W$5), 0), 0)
    )
)
/
(
    INDEX($AN$5:$AN$77, MATCH(BV$100,_xlfn.ANCHORARRAY( $W$5), 0))
    *
    INDEX($AN$5:$AN$77, MATCH($A157,_xlfn.ANCHORARRAY( $W$5), 0))
)</f>
        <v>0.70135490401244116</v>
      </c>
    </row>
    <row r="158" spans="1:74" x14ac:dyDescent="0.3">
      <c r="A158" s="7" t="str">
        <v>Cox, Austin</v>
      </c>
      <c r="B158" s="17" cm="1">
        <f t="array" ref="B158">MMULT(
    MMULT(
        INDEX($X$5:$AM$77, MATCH(B$100,_xlfn.ANCHORARRAY( $W$5), 0), 0),
        $F$5:$U$20
    ),
    TRANSPOSE(
        INDEX($X$5:$AM$77, MATCH($A158,_xlfn.ANCHORARRAY( $W$5), 0), 0)
    )
)
/
(
    INDEX($AN$5:$AN$77, MATCH(B$100,_xlfn.ANCHORARRAY( $W$5), 0))
    *
    INDEX($AN$5:$AN$77, MATCH($A158,_xlfn.ANCHORARRAY( $W$5), 0))
)</f>
        <v>0.92033535660597976</v>
      </c>
      <c r="C158" s="17" cm="1">
        <f t="array" ref="C158">MMULT(
    MMULT(
        INDEX($X$5:$AM$77, MATCH(C$100,_xlfn.ANCHORARRAY( $W$5), 0), 0),
        $F$5:$U$20
    ),
    TRANSPOSE(
        INDEX($X$5:$AM$77, MATCH($A158,_xlfn.ANCHORARRAY( $W$5), 0), 0)
    )
)
/
(
    INDEX($AN$5:$AN$77, MATCH(C$100,_xlfn.ANCHORARRAY( $W$5), 0))
    *
    INDEX($AN$5:$AN$77, MATCH($A158,_xlfn.ANCHORARRAY( $W$5), 0))
)</f>
        <v>0.75097949904696026</v>
      </c>
      <c r="D158" s="17" cm="1">
        <f t="array" ref="D158">MMULT(
    MMULT(
        INDEX($X$5:$AM$77, MATCH(D$100,_xlfn.ANCHORARRAY( $W$5), 0), 0),
        $F$5:$U$20
    ),
    TRANSPOSE(
        INDEX($X$5:$AM$77, MATCH($A158,_xlfn.ANCHORARRAY( $W$5), 0), 0)
    )
)
/
(
    INDEX($AN$5:$AN$77, MATCH(D$100,_xlfn.ANCHORARRAY( $W$5), 0))
    *
    INDEX($AN$5:$AN$77, MATCH($A158,_xlfn.ANCHORARRAY( $W$5), 0))
)</f>
        <v>0.92738870628129644</v>
      </c>
      <c r="E158" s="17" cm="1">
        <f t="array" ref="E158">MMULT(
    MMULT(
        INDEX($X$5:$AM$77, MATCH(E$100,_xlfn.ANCHORARRAY( $W$5), 0), 0),
        $F$5:$U$20
    ),
    TRANSPOSE(
        INDEX($X$5:$AM$77, MATCH($A158,_xlfn.ANCHORARRAY( $W$5), 0), 0)
    )
)
/
(
    INDEX($AN$5:$AN$77, MATCH(E$100,_xlfn.ANCHORARRAY( $W$5), 0))
    *
    INDEX($AN$5:$AN$77, MATCH($A158,_xlfn.ANCHORARRAY( $W$5), 0))
)</f>
        <v>0.83588518125423761</v>
      </c>
      <c r="F158" s="17" cm="1">
        <f t="array" ref="F158">MMULT(
    MMULT(
        INDEX($X$5:$AM$77, MATCH(F$100,_xlfn.ANCHORARRAY( $W$5), 0), 0),
        $F$5:$U$20
    ),
    TRANSPOSE(
        INDEX($X$5:$AM$77, MATCH($A158,_xlfn.ANCHORARRAY( $W$5), 0), 0)
    )
)
/
(
    INDEX($AN$5:$AN$77, MATCH(F$100,_xlfn.ANCHORARRAY( $W$5), 0))
    *
    INDEX($AN$5:$AN$77, MATCH($A158,_xlfn.ANCHORARRAY( $W$5), 0))
)</f>
        <v>0.93147894025029554</v>
      </c>
      <c r="G158" s="17" cm="1">
        <f t="array" ref="G158">MMULT(
    MMULT(
        INDEX($X$5:$AM$77, MATCH(G$100,_xlfn.ANCHORARRAY( $W$5), 0), 0),
        $F$5:$U$20
    ),
    TRANSPOSE(
        INDEX($X$5:$AM$77, MATCH($A158,_xlfn.ANCHORARRAY( $W$5), 0), 0)
    )
)
/
(
    INDEX($AN$5:$AN$77, MATCH(G$100,_xlfn.ANCHORARRAY( $W$5), 0))
    *
    INDEX($AN$5:$AN$77, MATCH($A158,_xlfn.ANCHORARRAY( $W$5), 0))
)</f>
        <v>0.73296472366181553</v>
      </c>
      <c r="H158" s="17" cm="1">
        <f t="array" ref="H158">MMULT(
    MMULT(
        INDEX($X$5:$AM$77, MATCH(H$100,_xlfn.ANCHORARRAY( $W$5), 0), 0),
        $F$5:$U$20
    ),
    TRANSPOSE(
        INDEX($X$5:$AM$77, MATCH($A158,_xlfn.ANCHORARRAY( $W$5), 0), 0)
    )
)
/
(
    INDEX($AN$5:$AN$77, MATCH(H$100,_xlfn.ANCHORARRAY( $W$5), 0))
    *
    INDEX($AN$5:$AN$77, MATCH($A158,_xlfn.ANCHORARRAY( $W$5), 0))
)</f>
        <v>0.68971138921456288</v>
      </c>
      <c r="I158" s="17" cm="1">
        <f t="array" ref="I158">MMULT(
    MMULT(
        INDEX($X$5:$AM$77, MATCH(I$100,_xlfn.ANCHORARRAY( $W$5), 0), 0),
        $F$5:$U$20
    ),
    TRANSPOSE(
        INDEX($X$5:$AM$77, MATCH($A158,_xlfn.ANCHORARRAY( $W$5), 0), 0)
    )
)
/
(
    INDEX($AN$5:$AN$77, MATCH(I$100,_xlfn.ANCHORARRAY( $W$5), 0))
    *
    INDEX($AN$5:$AN$77, MATCH($A158,_xlfn.ANCHORARRAY( $W$5), 0))
)</f>
        <v>0.77857593441621409</v>
      </c>
      <c r="J158" s="17" cm="1">
        <f t="array" ref="J158">MMULT(
    MMULT(
        INDEX($X$5:$AM$77, MATCH(J$100,_xlfn.ANCHORARRAY( $W$5), 0), 0),
        $F$5:$U$20
    ),
    TRANSPOSE(
        INDEX($X$5:$AM$77, MATCH($A158,_xlfn.ANCHORARRAY( $W$5), 0), 0)
    )
)
/
(
    INDEX($AN$5:$AN$77, MATCH(J$100,_xlfn.ANCHORARRAY( $W$5), 0))
    *
    INDEX($AN$5:$AN$77, MATCH($A158,_xlfn.ANCHORARRAY( $W$5), 0))
)</f>
        <v>0.93148974125396422</v>
      </c>
      <c r="K158" s="17" cm="1">
        <f t="array" ref="K158">MMULT(
    MMULT(
        INDEX($X$5:$AM$77, MATCH(K$100,_xlfn.ANCHORARRAY( $W$5), 0), 0),
        $F$5:$U$20
    ),
    TRANSPOSE(
        INDEX($X$5:$AM$77, MATCH($A158,_xlfn.ANCHORARRAY( $W$5), 0), 0)
    )
)
/
(
    INDEX($AN$5:$AN$77, MATCH(K$100,_xlfn.ANCHORARRAY( $W$5), 0))
    *
    INDEX($AN$5:$AN$77, MATCH($A158,_xlfn.ANCHORARRAY( $W$5), 0))
)</f>
        <v>0.82015988839142062</v>
      </c>
      <c r="L158" s="17" cm="1">
        <f t="array" ref="L158">MMULT(
    MMULT(
        INDEX($X$5:$AM$77, MATCH(L$100,_xlfn.ANCHORARRAY( $W$5), 0), 0),
        $F$5:$U$20
    ),
    TRANSPOSE(
        INDEX($X$5:$AM$77, MATCH($A158,_xlfn.ANCHORARRAY( $W$5), 0), 0)
    )
)
/
(
    INDEX($AN$5:$AN$77, MATCH(L$100,_xlfn.ANCHORARRAY( $W$5), 0))
    *
    INDEX($AN$5:$AN$77, MATCH($A158,_xlfn.ANCHORARRAY( $W$5), 0))
)</f>
        <v>0.61229948531755329</v>
      </c>
      <c r="M158" s="17" cm="1">
        <f t="array" ref="M158">MMULT(
    MMULT(
        INDEX($X$5:$AM$77, MATCH(M$100,_xlfn.ANCHORARRAY( $W$5), 0), 0),
        $F$5:$U$20
    ),
    TRANSPOSE(
        INDEX($X$5:$AM$77, MATCH($A158,_xlfn.ANCHORARRAY( $W$5), 0), 0)
    )
)
/
(
    INDEX($AN$5:$AN$77, MATCH(M$100,_xlfn.ANCHORARRAY( $W$5), 0))
    *
    INDEX($AN$5:$AN$77, MATCH($A158,_xlfn.ANCHORARRAY( $W$5), 0))
)</f>
        <v>0.78556529776531336</v>
      </c>
      <c r="N158" s="17" cm="1">
        <f t="array" ref="N158">MMULT(
    MMULT(
        INDEX($X$5:$AM$77, MATCH(N$100,_xlfn.ANCHORARRAY( $W$5), 0), 0),
        $F$5:$U$20
    ),
    TRANSPOSE(
        INDEX($X$5:$AM$77, MATCH($A158,_xlfn.ANCHORARRAY( $W$5), 0), 0)
    )
)
/
(
    INDEX($AN$5:$AN$77, MATCH(N$100,_xlfn.ANCHORARRAY( $W$5), 0))
    *
    INDEX($AN$5:$AN$77, MATCH($A158,_xlfn.ANCHORARRAY( $W$5), 0))
)</f>
        <v>0.94517649462027964</v>
      </c>
      <c r="O158" s="17" cm="1">
        <f t="array" ref="O158">MMULT(
    MMULT(
        INDEX($X$5:$AM$77, MATCH(O$100,_xlfn.ANCHORARRAY( $W$5), 0), 0),
        $F$5:$U$20
    ),
    TRANSPOSE(
        INDEX($X$5:$AM$77, MATCH($A158,_xlfn.ANCHORARRAY( $W$5), 0), 0)
    )
)
/
(
    INDEX($AN$5:$AN$77, MATCH(O$100,_xlfn.ANCHORARRAY( $W$5), 0))
    *
    INDEX($AN$5:$AN$77, MATCH($A158,_xlfn.ANCHORARRAY( $W$5), 0))
)</f>
        <v>0.90433054129159174</v>
      </c>
      <c r="P158" s="17" cm="1">
        <f t="array" ref="P158">MMULT(
    MMULT(
        INDEX($X$5:$AM$77, MATCH(P$100,_xlfn.ANCHORARRAY( $W$5), 0), 0),
        $F$5:$U$20
    ),
    TRANSPOSE(
        INDEX($X$5:$AM$77, MATCH($A158,_xlfn.ANCHORARRAY( $W$5), 0), 0)
    )
)
/
(
    INDEX($AN$5:$AN$77, MATCH(P$100,_xlfn.ANCHORARRAY( $W$5), 0))
    *
    INDEX($AN$5:$AN$77, MATCH($A158,_xlfn.ANCHORARRAY( $W$5), 0))
)</f>
        <v>0.97780897004119804</v>
      </c>
      <c r="Q158" s="17" cm="1">
        <f t="array" ref="Q158">MMULT(
    MMULT(
        INDEX($X$5:$AM$77, MATCH(Q$100,_xlfn.ANCHORARRAY( $W$5), 0), 0),
        $F$5:$U$20
    ),
    TRANSPOSE(
        INDEX($X$5:$AM$77, MATCH($A158,_xlfn.ANCHORARRAY( $W$5), 0), 0)
    )
)
/
(
    INDEX($AN$5:$AN$77, MATCH(Q$100,_xlfn.ANCHORARRAY( $W$5), 0))
    *
    INDEX($AN$5:$AN$77, MATCH($A158,_xlfn.ANCHORARRAY( $W$5), 0))
)</f>
        <v>0.71109087483515854</v>
      </c>
      <c r="R158" s="17" cm="1">
        <f t="array" ref="R158">MMULT(
    MMULT(
        INDEX($X$5:$AM$77, MATCH(R$100,_xlfn.ANCHORARRAY( $W$5), 0), 0),
        $F$5:$U$20
    ),
    TRANSPOSE(
        INDEX($X$5:$AM$77, MATCH($A158,_xlfn.ANCHORARRAY( $W$5), 0), 0)
    )
)
/
(
    INDEX($AN$5:$AN$77, MATCH(R$100,_xlfn.ANCHORARRAY( $W$5), 0))
    *
    INDEX($AN$5:$AN$77, MATCH($A158,_xlfn.ANCHORARRAY( $W$5), 0))
)</f>
        <v>0.87528410534919465</v>
      </c>
      <c r="S158" s="17" cm="1">
        <f t="array" ref="S158">MMULT(
    MMULT(
        INDEX($X$5:$AM$77, MATCH(S$100,_xlfn.ANCHORARRAY( $W$5), 0), 0),
        $F$5:$U$20
    ),
    TRANSPOSE(
        INDEX($X$5:$AM$77, MATCH($A158,_xlfn.ANCHORARRAY( $W$5), 0), 0)
    )
)
/
(
    INDEX($AN$5:$AN$77, MATCH(S$100,_xlfn.ANCHORARRAY( $W$5), 0))
    *
    INDEX($AN$5:$AN$77, MATCH($A158,_xlfn.ANCHORARRAY( $W$5), 0))
)</f>
        <v>0.81989806940895982</v>
      </c>
      <c r="T158" s="17" cm="1">
        <f t="array" ref="T158">MMULT(
    MMULT(
        INDEX($X$5:$AM$77, MATCH(T$100,_xlfn.ANCHORARRAY( $W$5), 0), 0),
        $F$5:$U$20
    ),
    TRANSPOSE(
        INDEX($X$5:$AM$77, MATCH($A158,_xlfn.ANCHORARRAY( $W$5), 0), 0)
    )
)
/
(
    INDEX($AN$5:$AN$77, MATCH(T$100,_xlfn.ANCHORARRAY( $W$5), 0))
    *
    INDEX($AN$5:$AN$77, MATCH($A158,_xlfn.ANCHORARRAY( $W$5), 0))
)</f>
        <v>0.55353197117619835</v>
      </c>
      <c r="U158" s="17" cm="1">
        <f t="array" ref="U158">MMULT(
    MMULT(
        INDEX($X$5:$AM$77, MATCH(U$100,_xlfn.ANCHORARRAY( $W$5), 0), 0),
        $F$5:$U$20
    ),
    TRANSPOSE(
        INDEX($X$5:$AM$77, MATCH($A158,_xlfn.ANCHORARRAY( $W$5), 0), 0)
    )
)
/
(
    INDEX($AN$5:$AN$77, MATCH(U$100,_xlfn.ANCHORARRAY( $W$5), 0))
    *
    INDEX($AN$5:$AN$77, MATCH($A158,_xlfn.ANCHORARRAY( $W$5), 0))
)</f>
        <v>0.95543997747189158</v>
      </c>
      <c r="V158" s="17" cm="1">
        <f t="array" ref="V158">MMULT(
    MMULT(
        INDEX($X$5:$AM$77, MATCH(V$100,_xlfn.ANCHORARRAY( $W$5), 0), 0),
        $F$5:$U$20
    ),
    TRANSPOSE(
        INDEX($X$5:$AM$77, MATCH($A158,_xlfn.ANCHORARRAY( $W$5), 0), 0)
    )
)
/
(
    INDEX($AN$5:$AN$77, MATCH(V$100,_xlfn.ANCHORARRAY( $W$5), 0))
    *
    INDEX($AN$5:$AN$77, MATCH($A158,_xlfn.ANCHORARRAY( $W$5), 0))
)</f>
        <v>0.56845366131651809</v>
      </c>
      <c r="W158" s="17" cm="1">
        <f t="array" ref="W158">MMULT(
    MMULT(
        INDEX($X$5:$AM$77, MATCH(W$100,_xlfn.ANCHORARRAY( $W$5), 0), 0),
        $F$5:$U$20
    ),
    TRANSPOSE(
        INDEX($X$5:$AM$77, MATCH($A158,_xlfn.ANCHORARRAY( $W$5), 0), 0)
    )
)
/
(
    INDEX($AN$5:$AN$77, MATCH(W$100,_xlfn.ANCHORARRAY( $W$5), 0))
    *
    INDEX($AN$5:$AN$77, MATCH($A158,_xlfn.ANCHORARRAY( $W$5), 0))
)</f>
        <v>0.69385598588356789</v>
      </c>
      <c r="X158" s="17" cm="1">
        <f t="array" ref="X158">MMULT(
    MMULT(
        INDEX($X$5:$AM$77, MATCH(X$100,_xlfn.ANCHORARRAY( $W$5), 0), 0),
        $F$5:$U$20
    ),
    TRANSPOSE(
        INDEX($X$5:$AM$77, MATCH($A158,_xlfn.ANCHORARRAY( $W$5), 0), 0)
    )
)
/
(
    INDEX($AN$5:$AN$77, MATCH(X$100,_xlfn.ANCHORARRAY( $W$5), 0))
    *
    INDEX($AN$5:$AN$77, MATCH($A158,_xlfn.ANCHORARRAY( $W$5), 0))
)</f>
        <v>0.93111935344991992</v>
      </c>
      <c r="Y158" s="17" cm="1">
        <f t="array" ref="Y158">MMULT(
    MMULT(
        INDEX($X$5:$AM$77, MATCH(Y$100,_xlfn.ANCHORARRAY( $W$5), 0), 0),
        $F$5:$U$20
    ),
    TRANSPOSE(
        INDEX($X$5:$AM$77, MATCH($A158,_xlfn.ANCHORARRAY( $W$5), 0), 0)
    )
)
/
(
    INDEX($AN$5:$AN$77, MATCH(Y$100,_xlfn.ANCHORARRAY( $W$5), 0))
    *
    INDEX($AN$5:$AN$77, MATCH($A158,_xlfn.ANCHORARRAY( $W$5), 0))
)</f>
        <v>0.75242824780589557</v>
      </c>
      <c r="Z158" s="17" cm="1">
        <f t="array" ref="Z158">MMULT(
    MMULT(
        INDEX($X$5:$AM$77, MATCH(Z$100,_xlfn.ANCHORARRAY( $W$5), 0), 0),
        $F$5:$U$20
    ),
    TRANSPOSE(
        INDEX($X$5:$AM$77, MATCH($A158,_xlfn.ANCHORARRAY( $W$5), 0), 0)
    )
)
/
(
    INDEX($AN$5:$AN$77, MATCH(Z$100,_xlfn.ANCHORARRAY( $W$5), 0))
    *
    INDEX($AN$5:$AN$77, MATCH($A158,_xlfn.ANCHORARRAY( $W$5), 0))
)</f>
        <v>0.9323805889801563</v>
      </c>
      <c r="AA158" s="17" cm="1">
        <f t="array" ref="AA158">MMULT(
    MMULT(
        INDEX($X$5:$AM$77, MATCH(AA$100,_xlfn.ANCHORARRAY( $W$5), 0), 0),
        $F$5:$U$20
    ),
    TRANSPOSE(
        INDEX($X$5:$AM$77, MATCH($A158,_xlfn.ANCHORARRAY( $W$5), 0), 0)
    )
)
/
(
    INDEX($AN$5:$AN$77, MATCH(AA$100,_xlfn.ANCHORARRAY( $W$5), 0))
    *
    INDEX($AN$5:$AN$77, MATCH($A158,_xlfn.ANCHORARRAY( $W$5), 0))
)</f>
        <v>0.96544973047123117</v>
      </c>
      <c r="AB158" s="17" cm="1">
        <f t="array" ref="AB158">MMULT(
    MMULT(
        INDEX($X$5:$AM$77, MATCH(AB$100,_xlfn.ANCHORARRAY( $W$5), 0), 0),
        $F$5:$U$20
    ),
    TRANSPOSE(
        INDEX($X$5:$AM$77, MATCH($A158,_xlfn.ANCHORARRAY( $W$5), 0), 0)
    )
)
/
(
    INDEX($AN$5:$AN$77, MATCH(AB$100,_xlfn.ANCHORARRAY( $W$5), 0))
    *
    INDEX($AN$5:$AN$77, MATCH($A158,_xlfn.ANCHORARRAY( $W$5), 0))
)</f>
        <v>0.92872962351376409</v>
      </c>
      <c r="AC158" s="17" cm="1">
        <f t="array" ref="AC158">MMULT(
    MMULT(
        INDEX($X$5:$AM$77, MATCH(AC$100,_xlfn.ANCHORARRAY( $W$5), 0), 0),
        $F$5:$U$20
    ),
    TRANSPOSE(
        INDEX($X$5:$AM$77, MATCH($A158,_xlfn.ANCHORARRAY( $W$5), 0), 0)
    )
)
/
(
    INDEX($AN$5:$AN$77, MATCH(AC$100,_xlfn.ANCHORARRAY( $W$5), 0))
    *
    INDEX($AN$5:$AN$77, MATCH($A158,_xlfn.ANCHORARRAY( $W$5), 0))
)</f>
        <v>0.79128382874780478</v>
      </c>
      <c r="AD158" s="17" cm="1">
        <f t="array" ref="AD158">MMULT(
    MMULT(
        INDEX($X$5:$AM$77, MATCH(AD$100,_xlfn.ANCHORARRAY( $W$5), 0), 0),
        $F$5:$U$20
    ),
    TRANSPOSE(
        INDEX($X$5:$AM$77, MATCH($A158,_xlfn.ANCHORARRAY( $W$5), 0), 0)
    )
)
/
(
    INDEX($AN$5:$AN$77, MATCH(AD$100,_xlfn.ANCHORARRAY( $W$5), 0))
    *
    INDEX($AN$5:$AN$77, MATCH($A158,_xlfn.ANCHORARRAY( $W$5), 0))
)</f>
        <v>0.91625198534819174</v>
      </c>
      <c r="AE158" s="17" cm="1">
        <f t="array" ref="AE158">MMULT(
    MMULT(
        INDEX($X$5:$AM$77, MATCH(AE$100,_xlfn.ANCHORARRAY( $W$5), 0), 0),
        $F$5:$U$20
    ),
    TRANSPOSE(
        INDEX($X$5:$AM$77, MATCH($A158,_xlfn.ANCHORARRAY( $W$5), 0), 0)
    )
)
/
(
    INDEX($AN$5:$AN$77, MATCH(AE$100,_xlfn.ANCHORARRAY( $W$5), 0))
    *
    INDEX($AN$5:$AN$77, MATCH($A158,_xlfn.ANCHORARRAY( $W$5), 0))
)</f>
        <v>0.87441946362568301</v>
      </c>
      <c r="AF158" s="17" cm="1">
        <f t="array" ref="AF158">MMULT(
    MMULT(
        INDEX($X$5:$AM$77, MATCH(AF$100,_xlfn.ANCHORARRAY( $W$5), 0), 0),
        $F$5:$U$20
    ),
    TRANSPOSE(
        INDEX($X$5:$AM$77, MATCH($A158,_xlfn.ANCHORARRAY( $W$5), 0), 0)
    )
)
/
(
    INDEX($AN$5:$AN$77, MATCH(AF$100,_xlfn.ANCHORARRAY( $W$5), 0))
    *
    INDEX($AN$5:$AN$77, MATCH($A158,_xlfn.ANCHORARRAY( $W$5), 0))
)</f>
        <v>0.81648906475479543</v>
      </c>
      <c r="AG158" s="17" cm="1">
        <f t="array" ref="AG158">MMULT(
    MMULT(
        INDEX($X$5:$AM$77, MATCH(AG$100,_xlfn.ANCHORARRAY( $W$5), 0), 0),
        $F$5:$U$20
    ),
    TRANSPOSE(
        INDEX($X$5:$AM$77, MATCH($A158,_xlfn.ANCHORARRAY( $W$5), 0), 0)
    )
)
/
(
    INDEX($AN$5:$AN$77, MATCH(AG$100,_xlfn.ANCHORARRAY( $W$5), 0))
    *
    INDEX($AN$5:$AN$77, MATCH($A158,_xlfn.ANCHORARRAY( $W$5), 0))
)</f>
        <v>0.79464265474205953</v>
      </c>
      <c r="AH158" s="17" cm="1">
        <f t="array" ref="AH158">MMULT(
    MMULT(
        INDEX($X$5:$AM$77, MATCH(AH$100,_xlfn.ANCHORARRAY( $W$5), 0), 0),
        $F$5:$U$20
    ),
    TRANSPOSE(
        INDEX($X$5:$AM$77, MATCH($A158,_xlfn.ANCHORARRAY( $W$5), 0), 0)
    )
)
/
(
    INDEX($AN$5:$AN$77, MATCH(AH$100,_xlfn.ANCHORARRAY( $W$5), 0))
    *
    INDEX($AN$5:$AN$77, MATCH($A158,_xlfn.ANCHORARRAY( $W$5), 0))
)</f>
        <v>0.67108429987759299</v>
      </c>
      <c r="AI158" s="17" cm="1">
        <f t="array" ref="AI158">MMULT(
    MMULT(
        INDEX($X$5:$AM$77, MATCH(AI$100,_xlfn.ANCHORARRAY( $W$5), 0), 0),
        $F$5:$U$20
    ),
    TRANSPOSE(
        INDEX($X$5:$AM$77, MATCH($A158,_xlfn.ANCHORARRAY( $W$5), 0), 0)
    )
)
/
(
    INDEX($AN$5:$AN$77, MATCH(AI$100,_xlfn.ANCHORARRAY( $W$5), 0))
    *
    INDEX($AN$5:$AN$77, MATCH($A158,_xlfn.ANCHORARRAY( $W$5), 0))
)</f>
        <v>0.82120238705239534</v>
      </c>
      <c r="AJ158" s="17" cm="1">
        <f t="array" ref="AJ158">MMULT(
    MMULT(
        INDEX($X$5:$AM$77, MATCH(AJ$100,_xlfn.ANCHORARRAY( $W$5), 0), 0),
        $F$5:$U$20
    ),
    TRANSPOSE(
        INDEX($X$5:$AM$77, MATCH($A158,_xlfn.ANCHORARRAY( $W$5), 0), 0)
    )
)
/
(
    INDEX($AN$5:$AN$77, MATCH(AJ$100,_xlfn.ANCHORARRAY( $W$5), 0))
    *
    INDEX($AN$5:$AN$77, MATCH($A158,_xlfn.ANCHORARRAY( $W$5), 0))
)</f>
        <v>0.98816944366751125</v>
      </c>
      <c r="AK158" s="17" cm="1">
        <f t="array" ref="AK158">MMULT(
    MMULT(
        INDEX($X$5:$AM$77, MATCH(AK$100,_xlfn.ANCHORARRAY( $W$5), 0), 0),
        $F$5:$U$20
    ),
    TRANSPOSE(
        INDEX($X$5:$AM$77, MATCH($A158,_xlfn.ANCHORARRAY( $W$5), 0), 0)
    )
)
/
(
    INDEX($AN$5:$AN$77, MATCH(AK$100,_xlfn.ANCHORARRAY( $W$5), 0))
    *
    INDEX($AN$5:$AN$77, MATCH($A158,_xlfn.ANCHORARRAY( $W$5), 0))
)</f>
        <v>0.81172166894645525</v>
      </c>
      <c r="AL158" s="17" cm="1">
        <f t="array" ref="AL158">MMULT(
    MMULT(
        INDEX($X$5:$AM$77, MATCH(AL$100,_xlfn.ANCHORARRAY( $W$5), 0), 0),
        $F$5:$U$20
    ),
    TRANSPOSE(
        INDEX($X$5:$AM$77, MATCH($A158,_xlfn.ANCHORARRAY( $W$5), 0), 0)
    )
)
/
(
    INDEX($AN$5:$AN$77, MATCH(AL$100,_xlfn.ANCHORARRAY( $W$5), 0))
    *
    INDEX($AN$5:$AN$77, MATCH($A158,_xlfn.ANCHORARRAY( $W$5), 0))
)</f>
        <v>0.90972006139789663</v>
      </c>
      <c r="AM158" s="17" cm="1">
        <f t="array" ref="AM158">MMULT(
    MMULT(
        INDEX($X$5:$AM$77, MATCH(AM$100,_xlfn.ANCHORARRAY( $W$5), 0), 0),
        $F$5:$U$20
    ),
    TRANSPOSE(
        INDEX($X$5:$AM$77, MATCH($A158,_xlfn.ANCHORARRAY( $W$5), 0), 0)
    )
)
/
(
    INDEX($AN$5:$AN$77, MATCH(AM$100,_xlfn.ANCHORARRAY( $W$5), 0))
    *
    INDEX($AN$5:$AN$77, MATCH($A158,_xlfn.ANCHORARRAY( $W$5), 0))
)</f>
        <v>0.68566387845360754</v>
      </c>
      <c r="AN158" s="17" cm="1">
        <f t="array" ref="AN158">MMULT(
    MMULT(
        INDEX($X$5:$AM$77, MATCH(AN$100,_xlfn.ANCHORARRAY( $W$5), 0), 0),
        $F$5:$U$20
    ),
    TRANSPOSE(
        INDEX($X$5:$AM$77, MATCH($A158,_xlfn.ANCHORARRAY( $W$5), 0), 0)
    )
)
/
(
    INDEX($AN$5:$AN$77, MATCH(AN$100,_xlfn.ANCHORARRAY( $W$5), 0))
    *
    INDEX($AN$5:$AN$77, MATCH($A158,_xlfn.ANCHORARRAY( $W$5), 0))
)</f>
        <v>0.69406099043183789</v>
      </c>
      <c r="AO158" s="17" cm="1">
        <f t="array" ref="AO158">MMULT(
    MMULT(
        INDEX($X$5:$AM$77, MATCH(AO$100,_xlfn.ANCHORARRAY( $W$5), 0), 0),
        $F$5:$U$20
    ),
    TRANSPOSE(
        INDEX($X$5:$AM$77, MATCH($A158,_xlfn.ANCHORARRAY( $W$5), 0), 0)
    )
)
/
(
    INDEX($AN$5:$AN$77, MATCH(AO$100,_xlfn.ANCHORARRAY( $W$5), 0))
    *
    INDEX($AN$5:$AN$77, MATCH($A158,_xlfn.ANCHORARRAY( $W$5), 0))
)</f>
        <v>0.6450579808465472</v>
      </c>
      <c r="AP158" s="17" cm="1">
        <f t="array" ref="AP158">MMULT(
    MMULT(
        INDEX($X$5:$AM$77, MATCH(AP$100,_xlfn.ANCHORARRAY( $W$5), 0), 0),
        $F$5:$U$20
    ),
    TRANSPOSE(
        INDEX($X$5:$AM$77, MATCH($A158,_xlfn.ANCHORARRAY( $W$5), 0), 0)
    )
)
/
(
    INDEX($AN$5:$AN$77, MATCH(AP$100,_xlfn.ANCHORARRAY( $W$5), 0))
    *
    INDEX($AN$5:$AN$77, MATCH($A158,_xlfn.ANCHORARRAY( $W$5), 0))
)</f>
        <v>0.77590905091032736</v>
      </c>
      <c r="AQ158" s="17" cm="1">
        <f t="array" ref="AQ158">MMULT(
    MMULT(
        INDEX($X$5:$AM$77, MATCH(AQ$100,_xlfn.ANCHORARRAY( $W$5), 0), 0),
        $F$5:$U$20
    ),
    TRANSPOSE(
        INDEX($X$5:$AM$77, MATCH($A158,_xlfn.ANCHORARRAY( $W$5), 0), 0)
    )
)
/
(
    INDEX($AN$5:$AN$77, MATCH(AQ$100,_xlfn.ANCHORARRAY( $W$5), 0))
    *
    INDEX($AN$5:$AN$77, MATCH($A158,_xlfn.ANCHORARRAY( $W$5), 0))
)</f>
        <v>0.77622441465399139</v>
      </c>
      <c r="AR158" s="17" cm="1">
        <f t="array" ref="AR158">MMULT(
    MMULT(
        INDEX($X$5:$AM$77, MATCH(AR$100,_xlfn.ANCHORARRAY( $W$5), 0), 0),
        $F$5:$U$20
    ),
    TRANSPOSE(
        INDEX($X$5:$AM$77, MATCH($A158,_xlfn.ANCHORARRAY( $W$5), 0), 0)
    )
)
/
(
    INDEX($AN$5:$AN$77, MATCH(AR$100,_xlfn.ANCHORARRAY( $W$5), 0))
    *
    INDEX($AN$5:$AN$77, MATCH($A158,_xlfn.ANCHORARRAY( $W$5), 0))
)</f>
        <v>0.98542312712703206</v>
      </c>
      <c r="AS158" s="17" cm="1">
        <f t="array" ref="AS158">MMULT(
    MMULT(
        INDEX($X$5:$AM$77, MATCH(AS$100,_xlfn.ANCHORARRAY( $W$5), 0), 0),
        $F$5:$U$20
    ),
    TRANSPOSE(
        INDEX($X$5:$AM$77, MATCH($A158,_xlfn.ANCHORARRAY( $W$5), 0), 0)
    )
)
/
(
    INDEX($AN$5:$AN$77, MATCH(AS$100,_xlfn.ANCHORARRAY( $W$5), 0))
    *
    INDEX($AN$5:$AN$77, MATCH($A158,_xlfn.ANCHORARRAY( $W$5), 0))
)</f>
        <v>0.90361304386243935</v>
      </c>
      <c r="AT158" s="17" cm="1">
        <f t="array" ref="AT158">MMULT(
    MMULT(
        INDEX($X$5:$AM$77, MATCH(AT$100,_xlfn.ANCHORARRAY( $W$5), 0), 0),
        $F$5:$U$20
    ),
    TRANSPOSE(
        INDEX($X$5:$AM$77, MATCH($A158,_xlfn.ANCHORARRAY( $W$5), 0), 0)
    )
)
/
(
    INDEX($AN$5:$AN$77, MATCH(AT$100,_xlfn.ANCHORARRAY( $W$5), 0))
    *
    INDEX($AN$5:$AN$77, MATCH($A158,_xlfn.ANCHORARRAY( $W$5), 0))
)</f>
        <v>0.7468033489159196</v>
      </c>
      <c r="AU158" s="17" cm="1">
        <f t="array" ref="AU158">MMULT(
    MMULT(
        INDEX($X$5:$AM$77, MATCH(AU$100,_xlfn.ANCHORARRAY( $W$5), 0), 0),
        $F$5:$U$20
    ),
    TRANSPOSE(
        INDEX($X$5:$AM$77, MATCH($A158,_xlfn.ANCHORARRAY( $W$5), 0), 0)
    )
)
/
(
    INDEX($AN$5:$AN$77, MATCH(AU$100,_xlfn.ANCHORARRAY( $W$5), 0))
    *
    INDEX($AN$5:$AN$77, MATCH($A158,_xlfn.ANCHORARRAY( $W$5), 0))
)</f>
        <v>0.93076351682535952</v>
      </c>
      <c r="AV158" s="17" cm="1">
        <f t="array" ref="AV158">MMULT(
    MMULT(
        INDEX($X$5:$AM$77, MATCH(AV$100,_xlfn.ANCHORARRAY( $W$5), 0), 0),
        $F$5:$U$20
    ),
    TRANSPOSE(
        INDEX($X$5:$AM$77, MATCH($A158,_xlfn.ANCHORARRAY( $W$5), 0), 0)
    )
)
/
(
    INDEX($AN$5:$AN$77, MATCH(AV$100,_xlfn.ANCHORARRAY( $W$5), 0))
    *
    INDEX($AN$5:$AN$77, MATCH($A158,_xlfn.ANCHORARRAY( $W$5), 0))
)</f>
        <v>0.92381467991521082</v>
      </c>
      <c r="AW158" s="17" cm="1">
        <f t="array" ref="AW158">MMULT(
    MMULT(
        INDEX($X$5:$AM$77, MATCH(AW$100,_xlfn.ANCHORARRAY( $W$5), 0), 0),
        $F$5:$U$20
    ),
    TRANSPOSE(
        INDEX($X$5:$AM$77, MATCH($A158,_xlfn.ANCHORARRAY( $W$5), 0), 0)
    )
)
/
(
    INDEX($AN$5:$AN$77, MATCH(AW$100,_xlfn.ANCHORARRAY( $W$5), 0))
    *
    INDEX($AN$5:$AN$77, MATCH($A158,_xlfn.ANCHORARRAY( $W$5), 0))
)</f>
        <v>0.72488989689853323</v>
      </c>
      <c r="AX158" s="17" cm="1">
        <f t="array" ref="AX158">MMULT(
    MMULT(
        INDEX($X$5:$AM$77, MATCH(AX$100,_xlfn.ANCHORARRAY( $W$5), 0), 0),
        $F$5:$U$20
    ),
    TRANSPOSE(
        INDEX($X$5:$AM$77, MATCH($A158,_xlfn.ANCHORARRAY( $W$5), 0), 0)
    )
)
/
(
    INDEX($AN$5:$AN$77, MATCH(AX$100,_xlfn.ANCHORARRAY( $W$5), 0))
    *
    INDEX($AN$5:$AN$77, MATCH($A158,_xlfn.ANCHORARRAY( $W$5), 0))
)</f>
        <v>0.58617555466257831</v>
      </c>
      <c r="AY158" s="17" cm="1">
        <f t="array" ref="AY158">MMULT(
    MMULT(
        INDEX($X$5:$AM$77, MATCH(AY$100,_xlfn.ANCHORARRAY( $W$5), 0), 0),
        $F$5:$U$20
    ),
    TRANSPOSE(
        INDEX($X$5:$AM$77, MATCH($A158,_xlfn.ANCHORARRAY( $W$5), 0), 0)
    )
)
/
(
    INDEX($AN$5:$AN$77, MATCH(AY$100,_xlfn.ANCHORARRAY( $W$5), 0))
    *
    INDEX($AN$5:$AN$77, MATCH($A158,_xlfn.ANCHORARRAY( $W$5), 0))
)</f>
        <v>0.66840898910701518</v>
      </c>
      <c r="AZ158" s="17" cm="1">
        <f t="array" ref="AZ158">MMULT(
    MMULT(
        INDEX($X$5:$AM$77, MATCH(AZ$100,_xlfn.ANCHORARRAY( $W$5), 0), 0),
        $F$5:$U$20
    ),
    TRANSPOSE(
        INDEX($X$5:$AM$77, MATCH($A158,_xlfn.ANCHORARRAY( $W$5), 0), 0)
    )
)
/
(
    INDEX($AN$5:$AN$77, MATCH(AZ$100,_xlfn.ANCHORARRAY( $W$5), 0))
    *
    INDEX($AN$5:$AN$77, MATCH($A158,_xlfn.ANCHORARRAY( $W$5), 0))
)</f>
        <v>0.92469686834321418</v>
      </c>
      <c r="BA158" s="17" cm="1">
        <f t="array" ref="BA158">MMULT(
    MMULT(
        INDEX($X$5:$AM$77, MATCH(BA$100,_xlfn.ANCHORARRAY( $W$5), 0), 0),
        $F$5:$U$20
    ),
    TRANSPOSE(
        INDEX($X$5:$AM$77, MATCH($A158,_xlfn.ANCHORARRAY( $W$5), 0), 0)
    )
)
/
(
    INDEX($AN$5:$AN$77, MATCH(BA$100,_xlfn.ANCHORARRAY( $W$5), 0))
    *
    INDEX($AN$5:$AN$77, MATCH($A158,_xlfn.ANCHORARRAY( $W$5), 0))
)</f>
        <v>0.96789370150255583</v>
      </c>
      <c r="BB158" s="17" cm="1">
        <f t="array" ref="BB158">MMULT(
    MMULT(
        INDEX($X$5:$AM$77, MATCH(BB$100,_xlfn.ANCHORARRAY( $W$5), 0), 0),
        $F$5:$U$20
    ),
    TRANSPOSE(
        INDEX($X$5:$AM$77, MATCH($A158,_xlfn.ANCHORARRAY( $W$5), 0), 0)
    )
)
/
(
    INDEX($AN$5:$AN$77, MATCH(BB$100,_xlfn.ANCHORARRAY( $W$5), 0))
    *
    INDEX($AN$5:$AN$77, MATCH($A158,_xlfn.ANCHORARRAY( $W$5), 0))
)</f>
        <v>0.74309294888004807</v>
      </c>
      <c r="BC158" s="17" cm="1">
        <f t="array" ref="BC158">MMULT(
    MMULT(
        INDEX($X$5:$AM$77, MATCH(BC$100,_xlfn.ANCHORARRAY( $W$5), 0), 0),
        $F$5:$U$20
    ),
    TRANSPOSE(
        INDEX($X$5:$AM$77, MATCH($A158,_xlfn.ANCHORARRAY( $W$5), 0), 0)
    )
)
/
(
    INDEX($AN$5:$AN$77, MATCH(BC$100,_xlfn.ANCHORARRAY( $W$5), 0))
    *
    INDEX($AN$5:$AN$77, MATCH($A158,_xlfn.ANCHORARRAY( $W$5), 0))
)</f>
        <v>0.77668206037536969</v>
      </c>
      <c r="BD158" s="17" cm="1">
        <f t="array" ref="BD158">MMULT(
    MMULT(
        INDEX($X$5:$AM$77, MATCH(BD$100,_xlfn.ANCHORARRAY( $W$5), 0), 0),
        $F$5:$U$20
    ),
    TRANSPOSE(
        INDEX($X$5:$AM$77, MATCH($A158,_xlfn.ANCHORARRAY( $W$5), 0), 0)
    )
)
/
(
    INDEX($AN$5:$AN$77, MATCH(BD$100,_xlfn.ANCHORARRAY( $W$5), 0))
    *
    INDEX($AN$5:$AN$77, MATCH($A158,_xlfn.ANCHORARRAY( $W$5), 0))
)</f>
        <v>0.72026586967265638</v>
      </c>
      <c r="BE158" s="17" cm="1">
        <f t="array" ref="BE158">MMULT(
    MMULT(
        INDEX($X$5:$AM$77, MATCH(BE$100,_xlfn.ANCHORARRAY( $W$5), 0), 0),
        $F$5:$U$20
    ),
    TRANSPOSE(
        INDEX($X$5:$AM$77, MATCH($A158,_xlfn.ANCHORARRAY( $W$5), 0), 0)
    )
)
/
(
    INDEX($AN$5:$AN$77, MATCH(BE$100,_xlfn.ANCHORARRAY( $W$5), 0))
    *
    INDEX($AN$5:$AN$77, MATCH($A158,_xlfn.ANCHORARRAY( $W$5), 0))
)</f>
        <v>0.69688417168280559</v>
      </c>
      <c r="BF158" s="17" cm="1">
        <f t="array" ref="BF158">MMULT(
    MMULT(
        INDEX($X$5:$AM$77, MATCH(BF$100,_xlfn.ANCHORARRAY( $W$5), 0), 0),
        $F$5:$U$20
    ),
    TRANSPOSE(
        INDEX($X$5:$AM$77, MATCH($A158,_xlfn.ANCHORARRAY( $W$5), 0), 0)
    )
)
/
(
    INDEX($AN$5:$AN$77, MATCH(BF$100,_xlfn.ANCHORARRAY( $W$5), 0))
    *
    INDEX($AN$5:$AN$77, MATCH($A158,_xlfn.ANCHORARRAY( $W$5), 0))
)</f>
        <v>0.93195582629300244</v>
      </c>
      <c r="BG158" s="17" cm="1">
        <f t="array" ref="BG158">MMULT(
    MMULT(
        INDEX($X$5:$AM$77, MATCH(BG$100,_xlfn.ANCHORARRAY( $W$5), 0), 0),
        $F$5:$U$20
    ),
    TRANSPOSE(
        INDEX($X$5:$AM$77, MATCH($A158,_xlfn.ANCHORARRAY( $W$5), 0), 0)
    )
)
/
(
    INDEX($AN$5:$AN$77, MATCH(BG$100,_xlfn.ANCHORARRAY( $W$5), 0))
    *
    INDEX($AN$5:$AN$77, MATCH($A158,_xlfn.ANCHORARRAY( $W$5), 0))
)</f>
        <v>1.0000000000000002</v>
      </c>
      <c r="BH158" s="17" cm="1">
        <f t="array" ref="BH158">MMULT(
    MMULT(
        INDEX($X$5:$AM$77, MATCH(BH$100,_xlfn.ANCHORARRAY( $W$5), 0), 0),
        $F$5:$U$20
    ),
    TRANSPOSE(
        INDEX($X$5:$AM$77, MATCH($A158,_xlfn.ANCHORARRAY( $W$5), 0), 0)
    )
)
/
(
    INDEX($AN$5:$AN$77, MATCH(BH$100,_xlfn.ANCHORARRAY( $W$5), 0))
    *
    INDEX($AN$5:$AN$77, MATCH($A158,_xlfn.ANCHORARRAY( $W$5), 0))
)</f>
        <v>0.78369048078679648</v>
      </c>
      <c r="BI158" s="17" cm="1">
        <f t="array" ref="BI158">MMULT(
    MMULT(
        INDEX($X$5:$AM$77, MATCH(BI$100,_xlfn.ANCHORARRAY( $W$5), 0), 0),
        $F$5:$U$20
    ),
    TRANSPOSE(
        INDEX($X$5:$AM$77, MATCH($A158,_xlfn.ANCHORARRAY( $W$5), 0), 0)
    )
)
/
(
    INDEX($AN$5:$AN$77, MATCH(BI$100,_xlfn.ANCHORARRAY( $W$5), 0))
    *
    INDEX($AN$5:$AN$77, MATCH($A158,_xlfn.ANCHORARRAY( $W$5), 0))
)</f>
        <v>0.64652171234856026</v>
      </c>
      <c r="BJ158" s="17" cm="1">
        <f t="array" ref="BJ158">MMULT(
    MMULT(
        INDEX($X$5:$AM$77, MATCH(BJ$100,_xlfn.ANCHORARRAY( $W$5), 0), 0),
        $F$5:$U$20
    ),
    TRANSPOSE(
        INDEX($X$5:$AM$77, MATCH($A158,_xlfn.ANCHORARRAY( $W$5), 0), 0)
    )
)
/
(
    INDEX($AN$5:$AN$77, MATCH(BJ$100,_xlfn.ANCHORARRAY( $W$5), 0))
    *
    INDEX($AN$5:$AN$77, MATCH($A158,_xlfn.ANCHORARRAY( $W$5), 0))
)</f>
        <v>0.80011417268726248</v>
      </c>
      <c r="BK158" s="17" cm="1">
        <f t="array" ref="BK158">MMULT(
    MMULT(
        INDEX($X$5:$AM$77, MATCH(BK$100,_xlfn.ANCHORARRAY( $W$5), 0), 0),
        $F$5:$U$20
    ),
    TRANSPOSE(
        INDEX($X$5:$AM$77, MATCH($A158,_xlfn.ANCHORARRAY( $W$5), 0), 0)
    )
)
/
(
    INDEX($AN$5:$AN$77, MATCH(BK$100,_xlfn.ANCHORARRAY( $W$5), 0))
    *
    INDEX($AN$5:$AN$77, MATCH($A158,_xlfn.ANCHORARRAY( $W$5), 0))
)</f>
        <v>0.74127318622807981</v>
      </c>
      <c r="BL158" s="17" cm="1">
        <f t="array" ref="BL158">MMULT(
    MMULT(
        INDEX($X$5:$AM$77, MATCH(BL$100,_xlfn.ANCHORARRAY( $W$5), 0), 0),
        $F$5:$U$20
    ),
    TRANSPOSE(
        INDEX($X$5:$AM$77, MATCH($A158,_xlfn.ANCHORARRAY( $W$5), 0), 0)
    )
)
/
(
    INDEX($AN$5:$AN$77, MATCH(BL$100,_xlfn.ANCHORARRAY( $W$5), 0))
    *
    INDEX($AN$5:$AN$77, MATCH($A158,_xlfn.ANCHORARRAY( $W$5), 0))
)</f>
        <v>0.76390162787885596</v>
      </c>
      <c r="BM158" s="17" cm="1">
        <f t="array" ref="BM158">MMULT(
    MMULT(
        INDEX($X$5:$AM$77, MATCH(BM$100,_xlfn.ANCHORARRAY( $W$5), 0), 0),
        $F$5:$U$20
    ),
    TRANSPOSE(
        INDEX($X$5:$AM$77, MATCH($A158,_xlfn.ANCHORARRAY( $W$5), 0), 0)
    )
)
/
(
    INDEX($AN$5:$AN$77, MATCH(BM$100,_xlfn.ANCHORARRAY( $W$5), 0))
    *
    INDEX($AN$5:$AN$77, MATCH($A158,_xlfn.ANCHORARRAY( $W$5), 0))
)</f>
        <v>0.74112884535404766</v>
      </c>
      <c r="BN158" s="17" cm="1">
        <f t="array" ref="BN158">MMULT(
    MMULT(
        INDEX($X$5:$AM$77, MATCH(BN$100,_xlfn.ANCHORARRAY( $W$5), 0), 0),
        $F$5:$U$20
    ),
    TRANSPOSE(
        INDEX($X$5:$AM$77, MATCH($A158,_xlfn.ANCHORARRAY( $W$5), 0), 0)
    )
)
/
(
    INDEX($AN$5:$AN$77, MATCH(BN$100,_xlfn.ANCHORARRAY( $W$5), 0))
    *
    INDEX($AN$5:$AN$77, MATCH($A158,_xlfn.ANCHORARRAY( $W$5), 0))
)</f>
        <v>0.66896937923584943</v>
      </c>
      <c r="BO158" s="17" cm="1">
        <f t="array" ref="BO158">MMULT(
    MMULT(
        INDEX($X$5:$AM$77, MATCH(BO$100,_xlfn.ANCHORARRAY( $W$5), 0), 0),
        $F$5:$U$20
    ),
    TRANSPOSE(
        INDEX($X$5:$AM$77, MATCH($A158,_xlfn.ANCHORARRAY( $W$5), 0), 0)
    )
)
/
(
    INDEX($AN$5:$AN$77, MATCH(BO$100,_xlfn.ANCHORARRAY( $W$5), 0))
    *
    INDEX($AN$5:$AN$77, MATCH($A158,_xlfn.ANCHORARRAY( $W$5), 0))
)</f>
        <v>0.84859431079434655</v>
      </c>
      <c r="BP158" s="17" cm="1">
        <f t="array" ref="BP158">MMULT(
    MMULT(
        INDEX($X$5:$AM$77, MATCH(BP$100,_xlfn.ANCHORARRAY( $W$5), 0), 0),
        $F$5:$U$20
    ),
    TRANSPOSE(
        INDEX($X$5:$AM$77, MATCH($A158,_xlfn.ANCHORARRAY( $W$5), 0), 0)
    )
)
/
(
    INDEX($AN$5:$AN$77, MATCH(BP$100,_xlfn.ANCHORARRAY( $W$5), 0))
    *
    INDEX($AN$5:$AN$77, MATCH($A158,_xlfn.ANCHORARRAY( $W$5), 0))
)</f>
        <v>0.87108218352365496</v>
      </c>
      <c r="BQ158" s="17" cm="1">
        <f t="array" ref="BQ158">MMULT(
    MMULT(
        INDEX($X$5:$AM$77, MATCH(BQ$100,_xlfn.ANCHORARRAY( $W$5), 0), 0),
        $F$5:$U$20
    ),
    TRANSPOSE(
        INDEX($X$5:$AM$77, MATCH($A158,_xlfn.ANCHORARRAY( $W$5), 0), 0)
    )
)
/
(
    INDEX($AN$5:$AN$77, MATCH(BQ$100,_xlfn.ANCHORARRAY( $W$5), 0))
    *
    INDEX($AN$5:$AN$77, MATCH($A158,_xlfn.ANCHORARRAY( $W$5), 0))
)</f>
        <v>0.733765197483641</v>
      </c>
      <c r="BR158" s="17" cm="1">
        <f t="array" ref="BR158">MMULT(
    MMULT(
        INDEX($X$5:$AM$77, MATCH(BR$100,_xlfn.ANCHORARRAY( $W$5), 0), 0),
        $F$5:$U$20
    ),
    TRANSPOSE(
        INDEX($X$5:$AM$77, MATCH($A158,_xlfn.ANCHORARRAY( $W$5), 0), 0)
    )
)
/
(
    INDEX($AN$5:$AN$77, MATCH(BR$100,_xlfn.ANCHORARRAY( $W$5), 0))
    *
    INDEX($AN$5:$AN$77, MATCH($A158,_xlfn.ANCHORARRAY( $W$5), 0))
)</f>
        <v>0.85745422802861848</v>
      </c>
      <c r="BS158" s="17" cm="1">
        <f t="array" ref="BS158">MMULT(
    MMULT(
        INDEX($X$5:$AM$77, MATCH(BS$100,_xlfn.ANCHORARRAY( $W$5), 0), 0),
        $F$5:$U$20
    ),
    TRANSPOSE(
        INDEX($X$5:$AM$77, MATCH($A158,_xlfn.ANCHORARRAY( $W$5), 0), 0)
    )
)
/
(
    INDEX($AN$5:$AN$77, MATCH(BS$100,_xlfn.ANCHORARRAY( $W$5), 0))
    *
    INDEX($AN$5:$AN$77, MATCH($A158,_xlfn.ANCHORARRAY( $W$5), 0))
)</f>
        <v>0.93392300027972563</v>
      </c>
      <c r="BT158" s="17" cm="1">
        <f t="array" ref="BT158">MMULT(
    MMULT(
        INDEX($X$5:$AM$77, MATCH(BT$100,_xlfn.ANCHORARRAY( $W$5), 0), 0),
        $F$5:$U$20
    ),
    TRANSPOSE(
        INDEX($X$5:$AM$77, MATCH($A158,_xlfn.ANCHORARRAY( $W$5), 0), 0)
    )
)
/
(
    INDEX($AN$5:$AN$77, MATCH(BT$100,_xlfn.ANCHORARRAY( $W$5), 0))
    *
    INDEX($AN$5:$AN$77, MATCH($A158,_xlfn.ANCHORARRAY( $W$5), 0))
)</f>
        <v>0.86641235491345636</v>
      </c>
      <c r="BU158" s="17" cm="1">
        <f t="array" ref="BU158">MMULT(
    MMULT(
        INDEX($X$5:$AM$77, MATCH(BU$100,_xlfn.ANCHORARRAY( $W$5), 0), 0),
        $F$5:$U$20
    ),
    TRANSPOSE(
        INDEX($X$5:$AM$77, MATCH($A158,_xlfn.ANCHORARRAY( $W$5), 0), 0)
    )
)
/
(
    INDEX($AN$5:$AN$77, MATCH(BU$100,_xlfn.ANCHORARRAY( $W$5), 0))
    *
    INDEX($AN$5:$AN$77, MATCH($A158,_xlfn.ANCHORARRAY( $W$5), 0))
)</f>
        <v>0.80269435246225418</v>
      </c>
      <c r="BV158" s="17" cm="1">
        <f t="array" ref="BV158">MMULT(
    MMULT(
        INDEX($X$5:$AM$77, MATCH(BV$100,_xlfn.ANCHORARRAY( $W$5), 0), 0),
        $F$5:$U$20
    ),
    TRANSPOSE(
        INDEX($X$5:$AM$77, MATCH($A158,_xlfn.ANCHORARRAY( $W$5), 0), 0)
    )
)
/
(
    INDEX($AN$5:$AN$77, MATCH(BV$100,_xlfn.ANCHORARRAY( $W$5), 0))
    *
    INDEX($AN$5:$AN$77, MATCH($A158,_xlfn.ANCHORARRAY( $W$5), 0))
)</f>
        <v>0.73043723513405812</v>
      </c>
    </row>
    <row r="159" spans="1:74" x14ac:dyDescent="0.3">
      <c r="A159" s="7" t="str">
        <v>Erlin, Robbie</v>
      </c>
      <c r="B159" s="17" cm="1">
        <f t="array" ref="B159">MMULT(
    MMULT(
        INDEX($X$5:$AM$77, MATCH(B$100,_xlfn.ANCHORARRAY( $W$5), 0), 0),
        $F$5:$U$20
    ),
    TRANSPOSE(
        INDEX($X$5:$AM$77, MATCH($A159,_xlfn.ANCHORARRAY( $W$5), 0), 0)
    )
)
/
(
    INDEX($AN$5:$AN$77, MATCH(B$100,_xlfn.ANCHORARRAY( $W$5), 0))
    *
    INDEX($AN$5:$AN$77, MATCH($A159,_xlfn.ANCHORARRAY( $W$5), 0))
)</f>
        <v>0.94161303502317195</v>
      </c>
      <c r="C159" s="17" cm="1">
        <f t="array" ref="C159">MMULT(
    MMULT(
        INDEX($X$5:$AM$77, MATCH(C$100,_xlfn.ANCHORARRAY( $W$5), 0), 0),
        $F$5:$U$20
    ),
    TRANSPOSE(
        INDEX($X$5:$AM$77, MATCH($A159,_xlfn.ANCHORARRAY( $W$5), 0), 0)
    )
)
/
(
    INDEX($AN$5:$AN$77, MATCH(C$100,_xlfn.ANCHORARRAY( $W$5), 0))
    *
    INDEX($AN$5:$AN$77, MATCH($A159,_xlfn.ANCHORARRAY( $W$5), 0))
)</f>
        <v>0.95214635730990183</v>
      </c>
      <c r="D159" s="17" cm="1">
        <f t="array" ref="D159">MMULT(
    MMULT(
        INDEX($X$5:$AM$77, MATCH(D$100,_xlfn.ANCHORARRAY( $W$5), 0), 0),
        $F$5:$U$20
    ),
    TRANSPOSE(
        INDEX($X$5:$AM$77, MATCH($A159,_xlfn.ANCHORARRAY( $W$5), 0), 0)
    )
)
/
(
    INDEX($AN$5:$AN$77, MATCH(D$100,_xlfn.ANCHORARRAY( $W$5), 0))
    *
    INDEX($AN$5:$AN$77, MATCH($A159,_xlfn.ANCHORARRAY( $W$5), 0))
)</f>
        <v>0.78660788072632337</v>
      </c>
      <c r="E159" s="17" cm="1">
        <f t="array" ref="E159">MMULT(
    MMULT(
        INDEX($X$5:$AM$77, MATCH(E$100,_xlfn.ANCHORARRAY( $W$5), 0), 0),
        $F$5:$U$20
    ),
    TRANSPOSE(
        INDEX($X$5:$AM$77, MATCH($A159,_xlfn.ANCHORARRAY( $W$5), 0), 0)
    )
)
/
(
    INDEX($AN$5:$AN$77, MATCH(E$100,_xlfn.ANCHORARRAY( $W$5), 0))
    *
    INDEX($AN$5:$AN$77, MATCH($A159,_xlfn.ANCHORARRAY( $W$5), 0))
)</f>
        <v>0.6267046511298604</v>
      </c>
      <c r="F159" s="17" cm="1">
        <f t="array" ref="F159">MMULT(
    MMULT(
        INDEX($X$5:$AM$77, MATCH(F$100,_xlfn.ANCHORARRAY( $W$5), 0), 0),
        $F$5:$U$20
    ),
    TRANSPOSE(
        INDEX($X$5:$AM$77, MATCH($A159,_xlfn.ANCHORARRAY( $W$5), 0), 0)
    )
)
/
(
    INDEX($AN$5:$AN$77, MATCH(F$100,_xlfn.ANCHORARRAY( $W$5), 0))
    *
    INDEX($AN$5:$AN$77, MATCH($A159,_xlfn.ANCHORARRAY( $W$5), 0))
)</f>
        <v>0.64373637221238145</v>
      </c>
      <c r="G159" s="17" cm="1">
        <f t="array" ref="G159">MMULT(
    MMULT(
        INDEX($X$5:$AM$77, MATCH(G$100,_xlfn.ANCHORARRAY( $W$5), 0), 0),
        $F$5:$U$20
    ),
    TRANSPOSE(
        INDEX($X$5:$AM$77, MATCH($A159,_xlfn.ANCHORARRAY( $W$5), 0), 0)
    )
)
/
(
    INDEX($AN$5:$AN$77, MATCH(G$100,_xlfn.ANCHORARRAY( $W$5), 0))
    *
    INDEX($AN$5:$AN$77, MATCH($A159,_xlfn.ANCHORARRAY( $W$5), 0))
)</f>
        <v>0.95139512419543015</v>
      </c>
      <c r="H159" s="17" cm="1">
        <f t="array" ref="H159">MMULT(
    MMULT(
        INDEX($X$5:$AM$77, MATCH(H$100,_xlfn.ANCHORARRAY( $W$5), 0), 0),
        $F$5:$U$20
    ),
    TRANSPOSE(
        INDEX($X$5:$AM$77, MATCH($A159,_xlfn.ANCHORARRAY( $W$5), 0), 0)
    )
)
/
(
    INDEX($AN$5:$AN$77, MATCH(H$100,_xlfn.ANCHORARRAY( $W$5), 0))
    *
    INDEX($AN$5:$AN$77, MATCH($A159,_xlfn.ANCHORARRAY( $W$5), 0))
)</f>
        <v>0.83554701322968061</v>
      </c>
      <c r="I159" s="17" cm="1">
        <f t="array" ref="I159">MMULT(
    MMULT(
        INDEX($X$5:$AM$77, MATCH(I$100,_xlfn.ANCHORARRAY( $W$5), 0), 0),
        $F$5:$U$20
    ),
    TRANSPOSE(
        INDEX($X$5:$AM$77, MATCH($A159,_xlfn.ANCHORARRAY( $W$5), 0), 0)
    )
)
/
(
    INDEX($AN$5:$AN$77, MATCH(I$100,_xlfn.ANCHORARRAY( $W$5), 0))
    *
    INDEX($AN$5:$AN$77, MATCH($A159,_xlfn.ANCHORARRAY( $W$5), 0))
)</f>
        <v>0.83430663710797526</v>
      </c>
      <c r="J159" s="17" cm="1">
        <f t="array" ref="J159">MMULT(
    MMULT(
        INDEX($X$5:$AM$77, MATCH(J$100,_xlfn.ANCHORARRAY( $W$5), 0), 0),
        $F$5:$U$20
    ),
    TRANSPOSE(
        INDEX($X$5:$AM$77, MATCH($A159,_xlfn.ANCHORARRAY( $W$5), 0), 0)
    )
)
/
(
    INDEX($AN$5:$AN$77, MATCH(J$100,_xlfn.ANCHORARRAY( $W$5), 0))
    *
    INDEX($AN$5:$AN$77, MATCH($A159,_xlfn.ANCHORARRAY( $W$5), 0))
)</f>
        <v>0.87205448022888787</v>
      </c>
      <c r="K159" s="17" cm="1">
        <f t="array" ref="K159">MMULT(
    MMULT(
        INDEX($X$5:$AM$77, MATCH(K$100,_xlfn.ANCHORARRAY( $W$5), 0), 0),
        $F$5:$U$20
    ),
    TRANSPOSE(
        INDEX($X$5:$AM$77, MATCH($A159,_xlfn.ANCHORARRAY( $W$5), 0), 0)
    )
)
/
(
    INDEX($AN$5:$AN$77, MATCH(K$100,_xlfn.ANCHORARRAY( $W$5), 0))
    *
    INDEX($AN$5:$AN$77, MATCH($A159,_xlfn.ANCHORARRAY( $W$5), 0))
)</f>
        <v>0.72112763234814192</v>
      </c>
      <c r="L159" s="17" cm="1">
        <f t="array" ref="L159">MMULT(
    MMULT(
        INDEX($X$5:$AM$77, MATCH(L$100,_xlfn.ANCHORARRAY( $W$5), 0), 0),
        $F$5:$U$20
    ),
    TRANSPOSE(
        INDEX($X$5:$AM$77, MATCH($A159,_xlfn.ANCHORARRAY( $W$5), 0), 0)
    )
)
/
(
    INDEX($AN$5:$AN$77, MATCH(L$100,_xlfn.ANCHORARRAY( $W$5), 0))
    *
    INDEX($AN$5:$AN$77, MATCH($A159,_xlfn.ANCHORARRAY( $W$5), 0))
)</f>
        <v>0.70869653770495944</v>
      </c>
      <c r="M159" s="17" cm="1">
        <f t="array" ref="M159">MMULT(
    MMULT(
        INDEX($X$5:$AM$77, MATCH(M$100,_xlfn.ANCHORARRAY( $W$5), 0), 0),
        $F$5:$U$20
    ),
    TRANSPOSE(
        INDEX($X$5:$AM$77, MATCH($A159,_xlfn.ANCHORARRAY( $W$5), 0), 0)
    )
)
/
(
    INDEX($AN$5:$AN$77, MATCH(M$100,_xlfn.ANCHORARRAY( $W$5), 0))
    *
    INDEX($AN$5:$AN$77, MATCH($A159,_xlfn.ANCHORARRAY( $W$5), 0))
)</f>
        <v>0.809521719182278</v>
      </c>
      <c r="N159" s="17" cm="1">
        <f t="array" ref="N159">MMULT(
    MMULT(
        INDEX($X$5:$AM$77, MATCH(N$100,_xlfn.ANCHORARRAY( $W$5), 0), 0),
        $F$5:$U$20
    ),
    TRANSPOSE(
        INDEX($X$5:$AM$77, MATCH($A159,_xlfn.ANCHORARRAY( $W$5), 0), 0)
    )
)
/
(
    INDEX($AN$5:$AN$77, MATCH(N$100,_xlfn.ANCHORARRAY( $W$5), 0))
    *
    INDEX($AN$5:$AN$77, MATCH($A159,_xlfn.ANCHORARRAY( $W$5), 0))
)</f>
        <v>0.5795566504109203</v>
      </c>
      <c r="O159" s="17" cm="1">
        <f t="array" ref="O159">MMULT(
    MMULT(
        INDEX($X$5:$AM$77, MATCH(O$100,_xlfn.ANCHORARRAY( $W$5), 0), 0),
        $F$5:$U$20
    ),
    TRANSPOSE(
        INDEX($X$5:$AM$77, MATCH($A159,_xlfn.ANCHORARRAY( $W$5), 0), 0)
    )
)
/
(
    INDEX($AN$5:$AN$77, MATCH(O$100,_xlfn.ANCHORARRAY( $W$5), 0))
    *
    INDEX($AN$5:$AN$77, MATCH($A159,_xlfn.ANCHORARRAY( $W$5), 0))
)</f>
        <v>0.52660317480072916</v>
      </c>
      <c r="P159" s="17" cm="1">
        <f t="array" ref="P159">MMULT(
    MMULT(
        INDEX($X$5:$AM$77, MATCH(P$100,_xlfn.ANCHORARRAY( $W$5), 0), 0),
        $F$5:$U$20
    ),
    TRANSPOSE(
        INDEX($X$5:$AM$77, MATCH($A159,_xlfn.ANCHORARRAY( $W$5), 0), 0)
    )
)
/
(
    INDEX($AN$5:$AN$77, MATCH(P$100,_xlfn.ANCHORARRAY( $W$5), 0))
    *
    INDEX($AN$5:$AN$77, MATCH($A159,_xlfn.ANCHORARRAY( $W$5), 0))
)</f>
        <v>0.76753470322765149</v>
      </c>
      <c r="Q159" s="17" cm="1">
        <f t="array" ref="Q159">MMULT(
    MMULT(
        INDEX($X$5:$AM$77, MATCH(Q$100,_xlfn.ANCHORARRAY( $W$5), 0), 0),
        $F$5:$U$20
    ),
    TRANSPOSE(
        INDEX($X$5:$AM$77, MATCH($A159,_xlfn.ANCHORARRAY( $W$5), 0), 0)
    )
)
/
(
    INDEX($AN$5:$AN$77, MATCH(Q$100,_xlfn.ANCHORARRAY( $W$5), 0))
    *
    INDEX($AN$5:$AN$77, MATCH($A159,_xlfn.ANCHORARRAY( $W$5), 0))
)</f>
        <v>0.86060700031522885</v>
      </c>
      <c r="R159" s="17" cm="1">
        <f t="array" ref="R159">MMULT(
    MMULT(
        INDEX($X$5:$AM$77, MATCH(R$100,_xlfn.ANCHORARRAY( $W$5), 0), 0),
        $F$5:$U$20
    ),
    TRANSPOSE(
        INDEX($X$5:$AM$77, MATCH($A159,_xlfn.ANCHORARRAY( $W$5), 0), 0)
    )
)
/
(
    INDEX($AN$5:$AN$77, MATCH(R$100,_xlfn.ANCHORARRAY( $W$5), 0))
    *
    INDEX($AN$5:$AN$77, MATCH($A159,_xlfn.ANCHORARRAY( $W$5), 0))
)</f>
        <v>0.82223028172517254</v>
      </c>
      <c r="S159" s="17" cm="1">
        <f t="array" ref="S159">MMULT(
    MMULT(
        INDEX($X$5:$AM$77, MATCH(S$100,_xlfn.ANCHORARRAY( $W$5), 0), 0),
        $F$5:$U$20
    ),
    TRANSPOSE(
        INDEX($X$5:$AM$77, MATCH($A159,_xlfn.ANCHORARRAY( $W$5), 0), 0)
    )
)
/
(
    INDEX($AN$5:$AN$77, MATCH(S$100,_xlfn.ANCHORARRAY( $W$5), 0))
    *
    INDEX($AN$5:$AN$77, MATCH($A159,_xlfn.ANCHORARRAY( $W$5), 0))
)</f>
        <v>0.95636593381031543</v>
      </c>
      <c r="T159" s="17" cm="1">
        <f t="array" ref="T159">MMULT(
    MMULT(
        INDEX($X$5:$AM$77, MATCH(T$100,_xlfn.ANCHORARRAY( $W$5), 0), 0),
        $F$5:$U$20
    ),
    TRANSPOSE(
        INDEX($X$5:$AM$77, MATCH($A159,_xlfn.ANCHORARRAY( $W$5), 0), 0)
    )
)
/
(
    INDEX($AN$5:$AN$77, MATCH(T$100,_xlfn.ANCHORARRAY( $W$5), 0))
    *
    INDEX($AN$5:$AN$77, MATCH($A159,_xlfn.ANCHORARRAY( $W$5), 0))
)</f>
        <v>0.71672368603814851</v>
      </c>
      <c r="U159" s="17" cm="1">
        <f t="array" ref="U159">MMULT(
    MMULT(
        INDEX($X$5:$AM$77, MATCH(U$100,_xlfn.ANCHORARRAY( $W$5), 0), 0),
        $F$5:$U$20
    ),
    TRANSPOSE(
        INDEX($X$5:$AM$77, MATCH($A159,_xlfn.ANCHORARRAY( $W$5), 0), 0)
    )
)
/
(
    INDEX($AN$5:$AN$77, MATCH(U$100,_xlfn.ANCHORARRAY( $W$5), 0))
    *
    INDEX($AN$5:$AN$77, MATCH($A159,_xlfn.ANCHORARRAY( $W$5), 0))
)</f>
        <v>0.83754471504389572</v>
      </c>
      <c r="V159" s="17" cm="1">
        <f t="array" ref="V159">MMULT(
    MMULT(
        INDEX($X$5:$AM$77, MATCH(V$100,_xlfn.ANCHORARRAY( $W$5), 0), 0),
        $F$5:$U$20
    ),
    TRANSPOSE(
        INDEX($X$5:$AM$77, MATCH($A159,_xlfn.ANCHORARRAY( $W$5), 0), 0)
    )
)
/
(
    INDEX($AN$5:$AN$77, MATCH(V$100,_xlfn.ANCHORARRAY( $W$5), 0))
    *
    INDEX($AN$5:$AN$77, MATCH($A159,_xlfn.ANCHORARRAY( $W$5), 0))
)</f>
        <v>0.6947567922061707</v>
      </c>
      <c r="W159" s="17" cm="1">
        <f t="array" ref="W159">MMULT(
    MMULT(
        INDEX($X$5:$AM$77, MATCH(W$100,_xlfn.ANCHORARRAY( $W$5), 0), 0),
        $F$5:$U$20
    ),
    TRANSPOSE(
        INDEX($X$5:$AM$77, MATCH($A159,_xlfn.ANCHORARRAY( $W$5), 0), 0)
    )
)
/
(
    INDEX($AN$5:$AN$77, MATCH(W$100,_xlfn.ANCHORARRAY( $W$5), 0))
    *
    INDEX($AN$5:$AN$77, MATCH($A159,_xlfn.ANCHORARRAY( $W$5), 0))
)</f>
        <v>0.45766274444181898</v>
      </c>
      <c r="X159" s="17" cm="1">
        <f t="array" ref="X159">MMULT(
    MMULT(
        INDEX($X$5:$AM$77, MATCH(X$100,_xlfn.ANCHORARRAY( $W$5), 0), 0),
        $F$5:$U$20
    ),
    TRANSPOSE(
        INDEX($X$5:$AM$77, MATCH($A159,_xlfn.ANCHORARRAY( $W$5), 0), 0)
    )
)
/
(
    INDEX($AN$5:$AN$77, MATCH(X$100,_xlfn.ANCHORARRAY( $W$5), 0))
    *
    INDEX($AN$5:$AN$77, MATCH($A159,_xlfn.ANCHORARRAY( $W$5), 0))
)</f>
        <v>0.62266420789545252</v>
      </c>
      <c r="Y159" s="17" cm="1">
        <f t="array" ref="Y159">MMULT(
    MMULT(
        INDEX($X$5:$AM$77, MATCH(Y$100,_xlfn.ANCHORARRAY( $W$5), 0), 0),
        $F$5:$U$20
    ),
    TRANSPOSE(
        INDEX($X$5:$AM$77, MATCH($A159,_xlfn.ANCHORARRAY( $W$5), 0), 0)
    )
)
/
(
    INDEX($AN$5:$AN$77, MATCH(Y$100,_xlfn.ANCHORARRAY( $W$5), 0))
    *
    INDEX($AN$5:$AN$77, MATCH($A159,_xlfn.ANCHORARRAY( $W$5), 0))
)</f>
        <v>0.88279253780750311</v>
      </c>
      <c r="Z159" s="17" cm="1">
        <f t="array" ref="Z159">MMULT(
    MMULT(
        INDEX($X$5:$AM$77, MATCH(Z$100,_xlfn.ANCHORARRAY( $W$5), 0), 0),
        $F$5:$U$20
    ),
    TRANSPOSE(
        INDEX($X$5:$AM$77, MATCH($A159,_xlfn.ANCHORARRAY( $W$5), 0), 0)
    )
)
/
(
    INDEX($AN$5:$AN$77, MATCH(Z$100,_xlfn.ANCHORARRAY( $W$5), 0))
    *
    INDEX($AN$5:$AN$77, MATCH($A159,_xlfn.ANCHORARRAY( $W$5), 0))
)</f>
        <v>0.69953348192735909</v>
      </c>
      <c r="AA159" s="17" cm="1">
        <f t="array" ref="AA159">MMULT(
    MMULT(
        INDEX($X$5:$AM$77, MATCH(AA$100,_xlfn.ANCHORARRAY( $W$5), 0), 0),
        $F$5:$U$20
    ),
    TRANSPOSE(
        INDEX($X$5:$AM$77, MATCH($A159,_xlfn.ANCHORARRAY( $W$5), 0), 0)
    )
)
/
(
    INDEX($AN$5:$AN$77, MATCH(AA$100,_xlfn.ANCHORARRAY( $W$5), 0))
    *
    INDEX($AN$5:$AN$77, MATCH($A159,_xlfn.ANCHORARRAY( $W$5), 0))
)</f>
        <v>0.68220895276519222</v>
      </c>
      <c r="AB159" s="17" cm="1">
        <f t="array" ref="AB159">MMULT(
    MMULT(
        INDEX($X$5:$AM$77, MATCH(AB$100,_xlfn.ANCHORARRAY( $W$5), 0), 0),
        $F$5:$U$20
    ),
    TRANSPOSE(
        INDEX($X$5:$AM$77, MATCH($A159,_xlfn.ANCHORARRAY( $W$5), 0), 0)
    )
)
/
(
    INDEX($AN$5:$AN$77, MATCH(AB$100,_xlfn.ANCHORARRAY( $W$5), 0))
    *
    INDEX($AN$5:$AN$77, MATCH($A159,_xlfn.ANCHORARRAY( $W$5), 0))
)</f>
        <v>0.78168179072164512</v>
      </c>
      <c r="AC159" s="17" cm="1">
        <f t="array" ref="AC159">MMULT(
    MMULT(
        INDEX($X$5:$AM$77, MATCH(AC$100,_xlfn.ANCHORARRAY( $W$5), 0), 0),
        $F$5:$U$20
    ),
    TRANSPOSE(
        INDEX($X$5:$AM$77, MATCH($A159,_xlfn.ANCHORARRAY( $W$5), 0), 0)
    )
)
/
(
    INDEX($AN$5:$AN$77, MATCH(AC$100,_xlfn.ANCHORARRAY( $W$5), 0))
    *
    INDEX($AN$5:$AN$77, MATCH($A159,_xlfn.ANCHORARRAY( $W$5), 0))
)</f>
        <v>0.70841389732905113</v>
      </c>
      <c r="AD159" s="17" cm="1">
        <f t="array" ref="AD159">MMULT(
    MMULT(
        INDEX($X$5:$AM$77, MATCH(AD$100,_xlfn.ANCHORARRAY( $W$5), 0), 0),
        $F$5:$U$20
    ),
    TRANSPOSE(
        INDEX($X$5:$AM$77, MATCH($A159,_xlfn.ANCHORARRAY( $W$5), 0), 0)
    )
)
/
(
    INDEX($AN$5:$AN$77, MATCH(AD$100,_xlfn.ANCHORARRAY( $W$5), 0))
    *
    INDEX($AN$5:$AN$77, MATCH($A159,_xlfn.ANCHORARRAY( $W$5), 0))
)</f>
        <v>0.72531852770864691</v>
      </c>
      <c r="AE159" s="17" cm="1">
        <f t="array" ref="AE159">MMULT(
    MMULT(
        INDEX($X$5:$AM$77, MATCH(AE$100,_xlfn.ANCHORARRAY( $W$5), 0), 0),
        $F$5:$U$20
    ),
    TRANSPOSE(
        INDEX($X$5:$AM$77, MATCH($A159,_xlfn.ANCHORARRAY( $W$5), 0), 0)
    )
)
/
(
    INDEX($AN$5:$AN$77, MATCH(AE$100,_xlfn.ANCHORARRAY( $W$5), 0))
    *
    INDEX($AN$5:$AN$77, MATCH($A159,_xlfn.ANCHORARRAY( $W$5), 0))
)</f>
        <v>0.92428322420807474</v>
      </c>
      <c r="AF159" s="17" cm="1">
        <f t="array" ref="AF159">MMULT(
    MMULT(
        INDEX($X$5:$AM$77, MATCH(AF$100,_xlfn.ANCHORARRAY( $W$5), 0), 0),
        $F$5:$U$20
    ),
    TRANSPOSE(
        INDEX($X$5:$AM$77, MATCH($A159,_xlfn.ANCHORARRAY( $W$5), 0), 0)
    )
)
/
(
    INDEX($AN$5:$AN$77, MATCH(AF$100,_xlfn.ANCHORARRAY( $W$5), 0))
    *
    INDEX($AN$5:$AN$77, MATCH($A159,_xlfn.ANCHORARRAY( $W$5), 0))
)</f>
        <v>0.9511544356311028</v>
      </c>
      <c r="AG159" s="17" cm="1">
        <f t="array" ref="AG159">MMULT(
    MMULT(
        INDEX($X$5:$AM$77, MATCH(AG$100,_xlfn.ANCHORARRAY( $W$5), 0), 0),
        $F$5:$U$20
    ),
    TRANSPOSE(
        INDEX($X$5:$AM$77, MATCH($A159,_xlfn.ANCHORARRAY( $W$5), 0), 0)
    )
)
/
(
    INDEX($AN$5:$AN$77, MATCH(AG$100,_xlfn.ANCHORARRAY( $W$5), 0))
    *
    INDEX($AN$5:$AN$77, MATCH($A159,_xlfn.ANCHORARRAY( $W$5), 0))
)</f>
        <v>0.86363754536209569</v>
      </c>
      <c r="AH159" s="17" cm="1">
        <f t="array" ref="AH159">MMULT(
    MMULT(
        INDEX($X$5:$AM$77, MATCH(AH$100,_xlfn.ANCHORARRAY( $W$5), 0), 0),
        $F$5:$U$20
    ),
    TRANSPOSE(
        INDEX($X$5:$AM$77, MATCH($A159,_xlfn.ANCHORARRAY( $W$5), 0), 0)
    )
)
/
(
    INDEX($AN$5:$AN$77, MATCH(AH$100,_xlfn.ANCHORARRAY( $W$5), 0))
    *
    INDEX($AN$5:$AN$77, MATCH($A159,_xlfn.ANCHORARRAY( $W$5), 0))
)</f>
        <v>0.76983271921163432</v>
      </c>
      <c r="AI159" s="17" cm="1">
        <f t="array" ref="AI159">MMULT(
    MMULT(
        INDEX($X$5:$AM$77, MATCH(AI$100,_xlfn.ANCHORARRAY( $W$5), 0), 0),
        $F$5:$U$20
    ),
    TRANSPOSE(
        INDEX($X$5:$AM$77, MATCH($A159,_xlfn.ANCHORARRAY( $W$5), 0), 0)
    )
)
/
(
    INDEX($AN$5:$AN$77, MATCH(AI$100,_xlfn.ANCHORARRAY( $W$5), 0))
    *
    INDEX($AN$5:$AN$77, MATCH($A159,_xlfn.ANCHORARRAY( $W$5), 0))
)</f>
        <v>0.91691122735088171</v>
      </c>
      <c r="AJ159" s="17" cm="1">
        <f t="array" ref="AJ159">MMULT(
    MMULT(
        INDEX($X$5:$AM$77, MATCH(AJ$100,_xlfn.ANCHORARRAY( $W$5), 0), 0),
        $F$5:$U$20
    ),
    TRANSPOSE(
        INDEX($X$5:$AM$77, MATCH($A159,_xlfn.ANCHORARRAY( $W$5), 0), 0)
    )
)
/
(
    INDEX($AN$5:$AN$77, MATCH(AJ$100,_xlfn.ANCHORARRAY( $W$5), 0))
    *
    INDEX($AN$5:$AN$77, MATCH($A159,_xlfn.ANCHORARRAY( $W$5), 0))
)</f>
        <v>0.78157221147330969</v>
      </c>
      <c r="AK159" s="17" cm="1">
        <f t="array" ref="AK159">MMULT(
    MMULT(
        INDEX($X$5:$AM$77, MATCH(AK$100,_xlfn.ANCHORARRAY( $W$5), 0), 0),
        $F$5:$U$20
    ),
    TRANSPOSE(
        INDEX($X$5:$AM$77, MATCH($A159,_xlfn.ANCHORARRAY( $W$5), 0), 0)
    )
)
/
(
    INDEX($AN$5:$AN$77, MATCH(AK$100,_xlfn.ANCHORARRAY( $W$5), 0))
    *
    INDEX($AN$5:$AN$77, MATCH($A159,_xlfn.ANCHORARRAY( $W$5), 0))
)</f>
        <v>0.77250923662269122</v>
      </c>
      <c r="AL159" s="17" cm="1">
        <f t="array" ref="AL159">MMULT(
    MMULT(
        INDEX($X$5:$AM$77, MATCH(AL$100,_xlfn.ANCHORARRAY( $W$5), 0), 0),
        $F$5:$U$20
    ),
    TRANSPOSE(
        INDEX($X$5:$AM$77, MATCH($A159,_xlfn.ANCHORARRAY( $W$5), 0), 0)
    )
)
/
(
    INDEX($AN$5:$AN$77, MATCH(AL$100,_xlfn.ANCHORARRAY( $W$5), 0))
    *
    INDEX($AN$5:$AN$77, MATCH($A159,_xlfn.ANCHORARRAY( $W$5), 0))
)</f>
        <v>0.53807463017550616</v>
      </c>
      <c r="AM159" s="17" cm="1">
        <f t="array" ref="AM159">MMULT(
    MMULT(
        INDEX($X$5:$AM$77, MATCH(AM$100,_xlfn.ANCHORARRAY( $W$5), 0), 0),
        $F$5:$U$20
    ),
    TRANSPOSE(
        INDEX($X$5:$AM$77, MATCH($A159,_xlfn.ANCHORARRAY( $W$5), 0), 0)
    )
)
/
(
    INDEX($AN$5:$AN$77, MATCH(AM$100,_xlfn.ANCHORARRAY( $W$5), 0))
    *
    INDEX($AN$5:$AN$77, MATCH($A159,_xlfn.ANCHORARRAY( $W$5), 0))
)</f>
        <v>0.63922117471230566</v>
      </c>
      <c r="AN159" s="17" cm="1">
        <f t="array" ref="AN159">MMULT(
    MMULT(
        INDEX($X$5:$AM$77, MATCH(AN$100,_xlfn.ANCHORARRAY( $W$5), 0), 0),
        $F$5:$U$20
    ),
    TRANSPOSE(
        INDEX($X$5:$AM$77, MATCH($A159,_xlfn.ANCHORARRAY( $W$5), 0), 0)
    )
)
/
(
    INDEX($AN$5:$AN$77, MATCH(AN$100,_xlfn.ANCHORARRAY( $W$5), 0))
    *
    INDEX($AN$5:$AN$77, MATCH($A159,_xlfn.ANCHORARRAY( $W$5), 0))
)</f>
        <v>0.89471344349645088</v>
      </c>
      <c r="AO159" s="17" cm="1">
        <f t="array" ref="AO159">MMULT(
    MMULT(
        INDEX($X$5:$AM$77, MATCH(AO$100,_xlfn.ANCHORARRAY( $W$5), 0), 0),
        $F$5:$U$20
    ),
    TRANSPOSE(
        INDEX($X$5:$AM$77, MATCH($A159,_xlfn.ANCHORARRAY( $W$5), 0), 0)
    )
)
/
(
    INDEX($AN$5:$AN$77, MATCH(AO$100,_xlfn.ANCHORARRAY( $W$5), 0))
    *
    INDEX($AN$5:$AN$77, MATCH($A159,_xlfn.ANCHORARRAY( $W$5), 0))
)</f>
        <v>0.63063762726863293</v>
      </c>
      <c r="AP159" s="17" cm="1">
        <f t="array" ref="AP159">MMULT(
    MMULT(
        INDEX($X$5:$AM$77, MATCH(AP$100,_xlfn.ANCHORARRAY( $W$5), 0), 0),
        $F$5:$U$20
    ),
    TRANSPOSE(
        INDEX($X$5:$AM$77, MATCH($A159,_xlfn.ANCHORARRAY( $W$5), 0), 0)
    )
)
/
(
    INDEX($AN$5:$AN$77, MATCH(AP$100,_xlfn.ANCHORARRAY( $W$5), 0))
    *
    INDEX($AN$5:$AN$77, MATCH($A159,_xlfn.ANCHORARRAY( $W$5), 0))
)</f>
        <v>0.72467027466748257</v>
      </c>
      <c r="AQ159" s="17" cm="1">
        <f t="array" ref="AQ159">MMULT(
    MMULT(
        INDEX($X$5:$AM$77, MATCH(AQ$100,_xlfn.ANCHORARRAY( $W$5), 0), 0),
        $F$5:$U$20
    ),
    TRANSPOSE(
        INDEX($X$5:$AM$77, MATCH($A159,_xlfn.ANCHORARRAY( $W$5), 0), 0)
    )
)
/
(
    INDEX($AN$5:$AN$77, MATCH(AQ$100,_xlfn.ANCHORARRAY( $W$5), 0))
    *
    INDEX($AN$5:$AN$77, MATCH($A159,_xlfn.ANCHORARRAY( $W$5), 0))
)</f>
        <v>0.96737428246284007</v>
      </c>
      <c r="AR159" s="17" cm="1">
        <f t="array" ref="AR159">MMULT(
    MMULT(
        INDEX($X$5:$AM$77, MATCH(AR$100,_xlfn.ANCHORARRAY( $W$5), 0), 0),
        $F$5:$U$20
    ),
    TRANSPOSE(
        INDEX($X$5:$AM$77, MATCH($A159,_xlfn.ANCHORARRAY( $W$5), 0), 0)
    )
)
/
(
    INDEX($AN$5:$AN$77, MATCH(AR$100,_xlfn.ANCHORARRAY( $W$5), 0))
    *
    INDEX($AN$5:$AN$77, MATCH($A159,_xlfn.ANCHORARRAY( $W$5), 0))
)</f>
        <v>0.81791932660887001</v>
      </c>
      <c r="AS159" s="17" cm="1">
        <f t="array" ref="AS159">MMULT(
    MMULT(
        INDEX($X$5:$AM$77, MATCH(AS$100,_xlfn.ANCHORARRAY( $W$5), 0), 0),
        $F$5:$U$20
    ),
    TRANSPOSE(
        INDEX($X$5:$AM$77, MATCH($A159,_xlfn.ANCHORARRAY( $W$5), 0), 0)
    )
)
/
(
    INDEX($AN$5:$AN$77, MATCH(AS$100,_xlfn.ANCHORARRAY( $W$5), 0))
    *
    INDEX($AN$5:$AN$77, MATCH($A159,_xlfn.ANCHORARRAY( $W$5), 0))
)</f>
        <v>0.73163854477909307</v>
      </c>
      <c r="AT159" s="17" cm="1">
        <f t="array" ref="AT159">MMULT(
    MMULT(
        INDEX($X$5:$AM$77, MATCH(AT$100,_xlfn.ANCHORARRAY( $W$5), 0), 0),
        $F$5:$U$20
    ),
    TRANSPOSE(
        INDEX($X$5:$AM$77, MATCH($A159,_xlfn.ANCHORARRAY( $W$5), 0), 0)
    )
)
/
(
    INDEX($AN$5:$AN$77, MATCH(AT$100,_xlfn.ANCHORARRAY( $W$5), 0))
    *
    INDEX($AN$5:$AN$77, MATCH($A159,_xlfn.ANCHORARRAY( $W$5), 0))
)</f>
        <v>0.82642776909839166</v>
      </c>
      <c r="AU159" s="17" cm="1">
        <f t="array" ref="AU159">MMULT(
    MMULT(
        INDEX($X$5:$AM$77, MATCH(AU$100,_xlfn.ANCHORARRAY( $W$5), 0), 0),
        $F$5:$U$20
    ),
    TRANSPOSE(
        INDEX($X$5:$AM$77, MATCH($A159,_xlfn.ANCHORARRAY( $W$5), 0), 0)
    )
)
/
(
    INDEX($AN$5:$AN$77, MATCH(AU$100,_xlfn.ANCHORARRAY( $W$5), 0))
    *
    INDEX($AN$5:$AN$77, MATCH($A159,_xlfn.ANCHORARRAY( $W$5), 0))
)</f>
        <v>0.68233922356886301</v>
      </c>
      <c r="AV159" s="17" cm="1">
        <f t="array" ref="AV159">MMULT(
    MMULT(
        INDEX($X$5:$AM$77, MATCH(AV$100,_xlfn.ANCHORARRAY( $W$5), 0), 0),
        $F$5:$U$20
    ),
    TRANSPOSE(
        INDEX($X$5:$AM$77, MATCH($A159,_xlfn.ANCHORARRAY( $W$5), 0), 0)
    )
)
/
(
    INDEX($AN$5:$AN$77, MATCH(AV$100,_xlfn.ANCHORARRAY( $W$5), 0))
    *
    INDEX($AN$5:$AN$77, MATCH($A159,_xlfn.ANCHORARRAY( $W$5), 0))
)</f>
        <v>0.63786877702960476</v>
      </c>
      <c r="AW159" s="17" cm="1">
        <f t="array" ref="AW159">MMULT(
    MMULT(
        INDEX($X$5:$AM$77, MATCH(AW$100,_xlfn.ANCHORARRAY( $W$5), 0), 0),
        $F$5:$U$20
    ),
    TRANSPOSE(
        INDEX($X$5:$AM$77, MATCH($A159,_xlfn.ANCHORARRAY( $W$5), 0), 0)
    )
)
/
(
    INDEX($AN$5:$AN$77, MATCH(AW$100,_xlfn.ANCHORARRAY( $W$5), 0))
    *
    INDEX($AN$5:$AN$77, MATCH($A159,_xlfn.ANCHORARRAY( $W$5), 0))
)</f>
        <v>0.71201308834400534</v>
      </c>
      <c r="AX159" s="17" cm="1">
        <f t="array" ref="AX159">MMULT(
    MMULT(
        INDEX($X$5:$AM$77, MATCH(AX$100,_xlfn.ANCHORARRAY( $W$5), 0), 0),
        $F$5:$U$20
    ),
    TRANSPOSE(
        INDEX($X$5:$AM$77, MATCH($A159,_xlfn.ANCHORARRAY( $W$5), 0), 0)
    )
)
/
(
    INDEX($AN$5:$AN$77, MATCH(AX$100,_xlfn.ANCHORARRAY( $W$5), 0))
    *
    INDEX($AN$5:$AN$77, MATCH($A159,_xlfn.ANCHORARRAY( $W$5), 0))
)</f>
        <v>0.69805708683916778</v>
      </c>
      <c r="AY159" s="17" cm="1">
        <f t="array" ref="AY159">MMULT(
    MMULT(
        INDEX($X$5:$AM$77, MATCH(AY$100,_xlfn.ANCHORARRAY( $W$5), 0), 0),
        $F$5:$U$20
    ),
    TRANSPOSE(
        INDEX($X$5:$AM$77, MATCH($A159,_xlfn.ANCHORARRAY( $W$5), 0), 0)
    )
)
/
(
    INDEX($AN$5:$AN$77, MATCH(AY$100,_xlfn.ANCHORARRAY( $W$5), 0))
    *
    INDEX($AN$5:$AN$77, MATCH($A159,_xlfn.ANCHORARRAY( $W$5), 0))
)</f>
        <v>0.6930094830872946</v>
      </c>
      <c r="AZ159" s="17" cm="1">
        <f t="array" ref="AZ159">MMULT(
    MMULT(
        INDEX($X$5:$AM$77, MATCH(AZ$100,_xlfn.ANCHORARRAY( $W$5), 0), 0),
        $F$5:$U$20
    ),
    TRANSPOSE(
        INDEX($X$5:$AM$77, MATCH($A159,_xlfn.ANCHORARRAY( $W$5), 0), 0)
    )
)
/
(
    INDEX($AN$5:$AN$77, MATCH(AZ$100,_xlfn.ANCHORARRAY( $W$5), 0))
    *
    INDEX($AN$5:$AN$77, MATCH($A159,_xlfn.ANCHORARRAY( $W$5), 0))
)</f>
        <v>0.68433310474425713</v>
      </c>
      <c r="BA159" s="17" cm="1">
        <f t="array" ref="BA159">MMULT(
    MMULT(
        INDEX($X$5:$AM$77, MATCH(BA$100,_xlfn.ANCHORARRAY( $W$5), 0), 0),
        $F$5:$U$20
    ),
    TRANSPOSE(
        INDEX($X$5:$AM$77, MATCH($A159,_xlfn.ANCHORARRAY( $W$5), 0), 0)
    )
)
/
(
    INDEX($AN$5:$AN$77, MATCH(BA$100,_xlfn.ANCHORARRAY( $W$5), 0))
    *
    INDEX($AN$5:$AN$77, MATCH($A159,_xlfn.ANCHORARRAY( $W$5), 0))
)</f>
        <v>0.75779775087464873</v>
      </c>
      <c r="BB159" s="17" cm="1">
        <f t="array" ref="BB159">MMULT(
    MMULT(
        INDEX($X$5:$AM$77, MATCH(BB$100,_xlfn.ANCHORARRAY( $W$5), 0), 0),
        $F$5:$U$20
    ),
    TRANSPOSE(
        INDEX($X$5:$AM$77, MATCH($A159,_xlfn.ANCHORARRAY( $W$5), 0), 0)
    )
)
/
(
    INDEX($AN$5:$AN$77, MATCH(BB$100,_xlfn.ANCHORARRAY( $W$5), 0))
    *
    INDEX($AN$5:$AN$77, MATCH($A159,_xlfn.ANCHORARRAY( $W$5), 0))
)</f>
        <v>0.53858885533785639</v>
      </c>
      <c r="BC159" s="17" cm="1">
        <f t="array" ref="BC159">MMULT(
    MMULT(
        INDEX($X$5:$AM$77, MATCH(BC$100,_xlfn.ANCHORARRAY( $W$5), 0), 0),
        $F$5:$U$20
    ),
    TRANSPOSE(
        INDEX($X$5:$AM$77, MATCH($A159,_xlfn.ANCHORARRAY( $W$5), 0), 0)
    )
)
/
(
    INDEX($AN$5:$AN$77, MATCH(BC$100,_xlfn.ANCHORARRAY( $W$5), 0))
    *
    INDEX($AN$5:$AN$77, MATCH($A159,_xlfn.ANCHORARRAY( $W$5), 0))
)</f>
        <v>0.84672965439900028</v>
      </c>
      <c r="BD159" s="17" cm="1">
        <f t="array" ref="BD159">MMULT(
    MMULT(
        INDEX($X$5:$AM$77, MATCH(BD$100,_xlfn.ANCHORARRAY( $W$5), 0), 0),
        $F$5:$U$20
    ),
    TRANSPOSE(
        INDEX($X$5:$AM$77, MATCH($A159,_xlfn.ANCHORARRAY( $W$5), 0), 0)
    )
)
/
(
    INDEX($AN$5:$AN$77, MATCH(BD$100,_xlfn.ANCHORARRAY( $W$5), 0))
    *
    INDEX($AN$5:$AN$77, MATCH($A159,_xlfn.ANCHORARRAY( $W$5), 0))
)</f>
        <v>0.91241930269661853</v>
      </c>
      <c r="BE159" s="17" cm="1">
        <f t="array" ref="BE159">MMULT(
    MMULT(
        INDEX($X$5:$AM$77, MATCH(BE$100,_xlfn.ANCHORARRAY( $W$5), 0), 0),
        $F$5:$U$20
    ),
    TRANSPOSE(
        INDEX($X$5:$AM$77, MATCH($A159,_xlfn.ANCHORARRAY( $W$5), 0), 0)
    )
)
/
(
    INDEX($AN$5:$AN$77, MATCH(BE$100,_xlfn.ANCHORARRAY( $W$5), 0))
    *
    INDEX($AN$5:$AN$77, MATCH($A159,_xlfn.ANCHORARRAY( $W$5), 0))
)</f>
        <v>0.64243772817641687</v>
      </c>
      <c r="BF159" s="17" cm="1">
        <f t="array" ref="BF159">MMULT(
    MMULT(
        INDEX($X$5:$AM$77, MATCH(BF$100,_xlfn.ANCHORARRAY( $W$5), 0), 0),
        $F$5:$U$20
    ),
    TRANSPOSE(
        INDEX($X$5:$AM$77, MATCH($A159,_xlfn.ANCHORARRAY( $W$5), 0), 0)
    )
)
/
(
    INDEX($AN$5:$AN$77, MATCH(BF$100,_xlfn.ANCHORARRAY( $W$5), 0))
    *
    INDEX($AN$5:$AN$77, MATCH($A159,_xlfn.ANCHORARRAY( $W$5), 0))
)</f>
        <v>0.91032940571583765</v>
      </c>
      <c r="BG159" s="17" cm="1">
        <f t="array" ref="BG159">MMULT(
    MMULT(
        INDEX($X$5:$AM$77, MATCH(BG$100,_xlfn.ANCHORARRAY( $W$5), 0), 0),
        $F$5:$U$20
    ),
    TRANSPOSE(
        INDEX($X$5:$AM$77, MATCH($A159,_xlfn.ANCHORARRAY( $W$5), 0), 0)
    )
)
/
(
    INDEX($AN$5:$AN$77, MATCH(BG$100,_xlfn.ANCHORARRAY( $W$5), 0))
    *
    INDEX($AN$5:$AN$77, MATCH($A159,_xlfn.ANCHORARRAY( $W$5), 0))
)</f>
        <v>0.78369048078679637</v>
      </c>
      <c r="BH159" s="17" cm="1">
        <f t="array" ref="BH159">MMULT(
    MMULT(
        INDEX($X$5:$AM$77, MATCH(BH$100,_xlfn.ANCHORARRAY( $W$5), 0), 0),
        $F$5:$U$20
    ),
    TRANSPOSE(
        INDEX($X$5:$AM$77, MATCH($A159,_xlfn.ANCHORARRAY( $W$5), 0), 0)
    )
)
/
(
    INDEX($AN$5:$AN$77, MATCH(BH$100,_xlfn.ANCHORARRAY( $W$5), 0))
    *
    INDEX($AN$5:$AN$77, MATCH($A159,_xlfn.ANCHORARRAY( $W$5), 0))
)</f>
        <v>1</v>
      </c>
      <c r="BI159" s="17" cm="1">
        <f t="array" ref="BI159">MMULT(
    MMULT(
        INDEX($X$5:$AM$77, MATCH(BI$100,_xlfn.ANCHORARRAY( $W$5), 0), 0),
        $F$5:$U$20
    ),
    TRANSPOSE(
        INDEX($X$5:$AM$77, MATCH($A159,_xlfn.ANCHORARRAY( $W$5), 0), 0)
    )
)
/
(
    INDEX($AN$5:$AN$77, MATCH(BI$100,_xlfn.ANCHORARRAY( $W$5), 0))
    *
    INDEX($AN$5:$AN$77, MATCH($A159,_xlfn.ANCHORARRAY( $W$5), 0))
)</f>
        <v>0.59022371610687152</v>
      </c>
      <c r="BJ159" s="17" cm="1">
        <f t="array" ref="BJ159">MMULT(
    MMULT(
        INDEX($X$5:$AM$77, MATCH(BJ$100,_xlfn.ANCHORARRAY( $W$5), 0), 0),
        $F$5:$U$20
    ),
    TRANSPOSE(
        INDEX($X$5:$AM$77, MATCH($A159,_xlfn.ANCHORARRAY( $W$5), 0), 0)
    )
)
/
(
    INDEX($AN$5:$AN$77, MATCH(BJ$100,_xlfn.ANCHORARRAY( $W$5), 0))
    *
    INDEX($AN$5:$AN$77, MATCH($A159,_xlfn.ANCHORARRAY( $W$5), 0))
)</f>
        <v>0.84286996891026755</v>
      </c>
      <c r="BK159" s="17" cm="1">
        <f t="array" ref="BK159">MMULT(
    MMULT(
        INDEX($X$5:$AM$77, MATCH(BK$100,_xlfn.ANCHORARRAY( $W$5), 0), 0),
        $F$5:$U$20
    ),
    TRANSPOSE(
        INDEX($X$5:$AM$77, MATCH($A159,_xlfn.ANCHORARRAY( $W$5), 0), 0)
    )
)
/
(
    INDEX($AN$5:$AN$77, MATCH(BK$100,_xlfn.ANCHORARRAY( $W$5), 0))
    *
    INDEX($AN$5:$AN$77, MATCH($A159,_xlfn.ANCHORARRAY( $W$5), 0))
)</f>
        <v>0.93311686970951435</v>
      </c>
      <c r="BL159" s="17" cm="1">
        <f t="array" ref="BL159">MMULT(
    MMULT(
        INDEX($X$5:$AM$77, MATCH(BL$100,_xlfn.ANCHORARRAY( $W$5), 0), 0),
        $F$5:$U$20
    ),
    TRANSPOSE(
        INDEX($X$5:$AM$77, MATCH($A159,_xlfn.ANCHORARRAY( $W$5), 0), 0)
    )
)
/
(
    INDEX($AN$5:$AN$77, MATCH(BL$100,_xlfn.ANCHORARRAY( $W$5), 0))
    *
    INDEX($AN$5:$AN$77, MATCH($A159,_xlfn.ANCHORARRAY( $W$5), 0))
)</f>
        <v>0.23154869694678953</v>
      </c>
      <c r="BM159" s="17" cm="1">
        <f t="array" ref="BM159">MMULT(
    MMULT(
        INDEX($X$5:$AM$77, MATCH(BM$100,_xlfn.ANCHORARRAY( $W$5), 0), 0),
        $F$5:$U$20
    ),
    TRANSPOSE(
        INDEX($X$5:$AM$77, MATCH($A159,_xlfn.ANCHORARRAY( $W$5), 0), 0)
    )
)
/
(
    INDEX($AN$5:$AN$77, MATCH(BM$100,_xlfn.ANCHORARRAY( $W$5), 0))
    *
    INDEX($AN$5:$AN$77, MATCH($A159,_xlfn.ANCHORARRAY( $W$5), 0))
)</f>
        <v>0.47812004415430431</v>
      </c>
      <c r="BN159" s="17" cm="1">
        <f t="array" ref="BN159">MMULT(
    MMULT(
        INDEX($X$5:$AM$77, MATCH(BN$100,_xlfn.ANCHORARRAY( $W$5), 0), 0),
        $F$5:$U$20
    ),
    TRANSPOSE(
        INDEX($X$5:$AM$77, MATCH($A159,_xlfn.ANCHORARRAY( $W$5), 0), 0)
    )
)
/
(
    INDEX($AN$5:$AN$77, MATCH(BN$100,_xlfn.ANCHORARRAY( $W$5), 0))
    *
    INDEX($AN$5:$AN$77, MATCH($A159,_xlfn.ANCHORARRAY( $W$5), 0))
)</f>
        <v>0.70475481143925511</v>
      </c>
      <c r="BO159" s="17" cm="1">
        <f t="array" ref="BO159">MMULT(
    MMULT(
        INDEX($X$5:$AM$77, MATCH(BO$100,_xlfn.ANCHORARRAY( $W$5), 0), 0),
        $F$5:$U$20
    ),
    TRANSPOSE(
        INDEX($X$5:$AM$77, MATCH($A159,_xlfn.ANCHORARRAY( $W$5), 0), 0)
    )
)
/
(
    INDEX($AN$5:$AN$77, MATCH(BO$100,_xlfn.ANCHORARRAY( $W$5), 0))
    *
    INDEX($AN$5:$AN$77, MATCH($A159,_xlfn.ANCHORARRAY( $W$5), 0))
)</f>
        <v>0.79991898482166857</v>
      </c>
      <c r="BP159" s="17" cm="1">
        <f t="array" ref="BP159">MMULT(
    MMULT(
        INDEX($X$5:$AM$77, MATCH(BP$100,_xlfn.ANCHORARRAY( $W$5), 0), 0),
        $F$5:$U$20
    ),
    TRANSPOSE(
        INDEX($X$5:$AM$77, MATCH($A159,_xlfn.ANCHORARRAY( $W$5), 0), 0)
    )
)
/
(
    INDEX($AN$5:$AN$77, MATCH(BP$100,_xlfn.ANCHORARRAY( $W$5), 0))
    *
    INDEX($AN$5:$AN$77, MATCH($A159,_xlfn.ANCHORARRAY( $W$5), 0))
)</f>
        <v>0.8507020529456466</v>
      </c>
      <c r="BQ159" s="17" cm="1">
        <f t="array" ref="BQ159">MMULT(
    MMULT(
        INDEX($X$5:$AM$77, MATCH(BQ$100,_xlfn.ANCHORARRAY( $W$5), 0), 0),
        $F$5:$U$20
    ),
    TRANSPOSE(
        INDEX($X$5:$AM$77, MATCH($A159,_xlfn.ANCHORARRAY( $W$5), 0), 0)
    )
)
/
(
    INDEX($AN$5:$AN$77, MATCH(BQ$100,_xlfn.ANCHORARRAY( $W$5), 0))
    *
    INDEX($AN$5:$AN$77, MATCH($A159,_xlfn.ANCHORARRAY( $W$5), 0))
)</f>
        <v>0.58539303816402632</v>
      </c>
      <c r="BR159" s="17" cm="1">
        <f t="array" ref="BR159">MMULT(
    MMULT(
        INDEX($X$5:$AM$77, MATCH(BR$100,_xlfn.ANCHORARRAY( $W$5), 0), 0),
        $F$5:$U$20
    ),
    TRANSPOSE(
        INDEX($X$5:$AM$77, MATCH($A159,_xlfn.ANCHORARRAY( $W$5), 0), 0)
    )
)
/
(
    INDEX($AN$5:$AN$77, MATCH(BR$100,_xlfn.ANCHORARRAY( $W$5), 0))
    *
    INDEX($AN$5:$AN$77, MATCH($A159,_xlfn.ANCHORARRAY( $W$5), 0))
)</f>
        <v>0.81948955005968827</v>
      </c>
      <c r="BS159" s="17" cm="1">
        <f t="array" ref="BS159">MMULT(
    MMULT(
        INDEX($X$5:$AM$77, MATCH(BS$100,_xlfn.ANCHORARRAY( $W$5), 0), 0),
        $F$5:$U$20
    ),
    TRANSPOSE(
        INDEX($X$5:$AM$77, MATCH($A159,_xlfn.ANCHORARRAY( $W$5), 0), 0)
    )
)
/
(
    INDEX($AN$5:$AN$77, MATCH(BS$100,_xlfn.ANCHORARRAY( $W$5), 0))
    *
    INDEX($AN$5:$AN$77, MATCH($A159,_xlfn.ANCHORARRAY( $W$5), 0))
)</f>
        <v>0.61155705142608463</v>
      </c>
      <c r="BT159" s="17" cm="1">
        <f t="array" ref="BT159">MMULT(
    MMULT(
        INDEX($X$5:$AM$77, MATCH(BT$100,_xlfn.ANCHORARRAY( $W$5), 0), 0),
        $F$5:$U$20
    ),
    TRANSPOSE(
        INDEX($X$5:$AM$77, MATCH($A159,_xlfn.ANCHORARRAY( $W$5), 0), 0)
    )
)
/
(
    INDEX($AN$5:$AN$77, MATCH(BT$100,_xlfn.ANCHORARRAY( $W$5), 0))
    *
    INDEX($AN$5:$AN$77, MATCH($A159,_xlfn.ANCHORARRAY( $W$5), 0))
)</f>
        <v>0.78137508477401829</v>
      </c>
      <c r="BU159" s="17" cm="1">
        <f t="array" ref="BU159">MMULT(
    MMULT(
        INDEX($X$5:$AM$77, MATCH(BU$100,_xlfn.ANCHORARRAY( $W$5), 0), 0),
        $F$5:$U$20
    ),
    TRANSPOSE(
        INDEX($X$5:$AM$77, MATCH($A159,_xlfn.ANCHORARRAY( $W$5), 0), 0)
    )
)
/
(
    INDEX($AN$5:$AN$77, MATCH(BU$100,_xlfn.ANCHORARRAY( $W$5), 0))
    *
    INDEX($AN$5:$AN$77, MATCH($A159,_xlfn.ANCHORARRAY( $W$5), 0))
)</f>
        <v>0.9988923036146955</v>
      </c>
      <c r="BV159" s="17" cm="1">
        <f t="array" ref="BV159">MMULT(
    MMULT(
        INDEX($X$5:$AM$77, MATCH(BV$100,_xlfn.ANCHORARRAY( $W$5), 0), 0),
        $F$5:$U$20
    ),
    TRANSPOSE(
        INDEX($X$5:$AM$77, MATCH($A159,_xlfn.ANCHORARRAY( $W$5), 0), 0)
    )
)
/
(
    INDEX($AN$5:$AN$77, MATCH(BV$100,_xlfn.ANCHORARRAY( $W$5), 0))
    *
    INDEX($AN$5:$AN$77, MATCH($A159,_xlfn.ANCHORARRAY( $W$5), 0))
)</f>
        <v>0.82119746310796304</v>
      </c>
    </row>
    <row r="160" spans="1:74" x14ac:dyDescent="0.3">
      <c r="A160" s="7" t="str">
        <v>Chirinos, Yonny</v>
      </c>
      <c r="B160" s="17" cm="1">
        <f t="array" ref="B160">MMULT(
    MMULT(
        INDEX($X$5:$AM$77, MATCH(B$100,_xlfn.ANCHORARRAY( $W$5), 0), 0),
        $F$5:$U$20
    ),
    TRANSPOSE(
        INDEX($X$5:$AM$77, MATCH($A160,_xlfn.ANCHORARRAY( $W$5), 0), 0)
    )
)
/
(
    INDEX($AN$5:$AN$77, MATCH(B$100,_xlfn.ANCHORARRAY( $W$5), 0))
    *
    INDEX($AN$5:$AN$77, MATCH($A160,_xlfn.ANCHORARRAY( $W$5), 0))
)</f>
        <v>0.67341797284314786</v>
      </c>
      <c r="C160" s="17" cm="1">
        <f t="array" ref="C160">MMULT(
    MMULT(
        INDEX($X$5:$AM$77, MATCH(C$100,_xlfn.ANCHORARRAY( $W$5), 0), 0),
        $F$5:$U$20
    ),
    TRANSPOSE(
        INDEX($X$5:$AM$77, MATCH($A160,_xlfn.ANCHORARRAY( $W$5), 0), 0)
    )
)
/
(
    INDEX($AN$5:$AN$77, MATCH(C$100,_xlfn.ANCHORARRAY( $W$5), 0))
    *
    INDEX($AN$5:$AN$77, MATCH($A160,_xlfn.ANCHORARRAY( $W$5), 0))
)</f>
        <v>0.54876608113772885</v>
      </c>
      <c r="D160" s="17" cm="1">
        <f t="array" ref="D160">MMULT(
    MMULT(
        INDEX($X$5:$AM$77, MATCH(D$100,_xlfn.ANCHORARRAY( $W$5), 0), 0),
        $F$5:$U$20
    ),
    TRANSPOSE(
        INDEX($X$5:$AM$77, MATCH($A160,_xlfn.ANCHORARRAY( $W$5), 0), 0)
    )
)
/
(
    INDEX($AN$5:$AN$77, MATCH(D$100,_xlfn.ANCHORARRAY( $W$5), 0))
    *
    INDEX($AN$5:$AN$77, MATCH($A160,_xlfn.ANCHORARRAY( $W$5), 0))
)</f>
        <v>0.62143700360016263</v>
      </c>
      <c r="E160" s="17" cm="1">
        <f t="array" ref="E160">MMULT(
    MMULT(
        INDEX($X$5:$AM$77, MATCH(E$100,_xlfn.ANCHORARRAY( $W$5), 0), 0),
        $F$5:$U$20
    ),
    TRANSPOSE(
        INDEX($X$5:$AM$77, MATCH($A160,_xlfn.ANCHORARRAY( $W$5), 0), 0)
    )
)
/
(
    INDEX($AN$5:$AN$77, MATCH(E$100,_xlfn.ANCHORARRAY( $W$5), 0))
    *
    INDEX($AN$5:$AN$77, MATCH($A160,_xlfn.ANCHORARRAY( $W$5), 0))
)</f>
        <v>0.81302636215864565</v>
      </c>
      <c r="F160" s="17" cm="1">
        <f t="array" ref="F160">MMULT(
    MMULT(
        INDEX($X$5:$AM$77, MATCH(F$100,_xlfn.ANCHORARRAY( $W$5), 0), 0),
        $F$5:$U$20
    ),
    TRANSPOSE(
        INDEX($X$5:$AM$77, MATCH($A160,_xlfn.ANCHORARRAY( $W$5), 0), 0)
    )
)
/
(
    INDEX($AN$5:$AN$77, MATCH(F$100,_xlfn.ANCHORARRAY( $W$5), 0))
    *
    INDEX($AN$5:$AN$77, MATCH($A160,_xlfn.ANCHORARRAY( $W$5), 0))
)</f>
        <v>0.64289358025925236</v>
      </c>
      <c r="G160" s="17" cm="1">
        <f t="array" ref="G160">MMULT(
    MMULT(
        INDEX($X$5:$AM$77, MATCH(G$100,_xlfn.ANCHORARRAY( $W$5), 0), 0),
        $F$5:$U$20
    ),
    TRANSPOSE(
        INDEX($X$5:$AM$77, MATCH($A160,_xlfn.ANCHORARRAY( $W$5), 0), 0)
    )
)
/
(
    INDEX($AN$5:$AN$77, MATCH(G$100,_xlfn.ANCHORARRAY( $W$5), 0))
    *
    INDEX($AN$5:$AN$77, MATCH($A160,_xlfn.ANCHORARRAY( $W$5), 0))
)</f>
        <v>0.66912496814125932</v>
      </c>
      <c r="H160" s="17" cm="1">
        <f t="array" ref="H160">MMULT(
    MMULT(
        INDEX($X$5:$AM$77, MATCH(H$100,_xlfn.ANCHORARRAY( $W$5), 0), 0),
        $F$5:$U$20
    ),
    TRANSPOSE(
        INDEX($X$5:$AM$77, MATCH($A160,_xlfn.ANCHORARRAY( $W$5), 0), 0)
    )
)
/
(
    INDEX($AN$5:$AN$77, MATCH(H$100,_xlfn.ANCHORARRAY( $W$5), 0))
    *
    INDEX($AN$5:$AN$77, MATCH($A160,_xlfn.ANCHORARRAY( $W$5), 0))
)</f>
        <v>0.67162749599532767</v>
      </c>
      <c r="I160" s="17" cm="1">
        <f t="array" ref="I160">MMULT(
    MMULT(
        INDEX($X$5:$AM$77, MATCH(I$100,_xlfn.ANCHORARRAY( $W$5), 0), 0),
        $F$5:$U$20
    ),
    TRANSPOSE(
        INDEX($X$5:$AM$77, MATCH($A160,_xlfn.ANCHORARRAY( $W$5), 0), 0)
    )
)
/
(
    INDEX($AN$5:$AN$77, MATCH(I$100,_xlfn.ANCHORARRAY( $W$5), 0))
    *
    INDEX($AN$5:$AN$77, MATCH($A160,_xlfn.ANCHORARRAY( $W$5), 0))
)</f>
        <v>0.70276431863543731</v>
      </c>
      <c r="J160" s="17" cm="1">
        <f t="array" ref="J160">MMULT(
    MMULT(
        INDEX($X$5:$AM$77, MATCH(J$100,_xlfn.ANCHORARRAY( $W$5), 0), 0),
        $F$5:$U$20
    ),
    TRANSPOSE(
        INDEX($X$5:$AM$77, MATCH($A160,_xlfn.ANCHORARRAY( $W$5), 0), 0)
    )
)
/
(
    INDEX($AN$5:$AN$77, MATCH(J$100,_xlfn.ANCHORARRAY( $W$5), 0))
    *
    INDEX($AN$5:$AN$77, MATCH($A160,_xlfn.ANCHORARRAY( $W$5), 0))
)</f>
        <v>0.78017364866019134</v>
      </c>
      <c r="K160" s="17" cm="1">
        <f t="array" ref="K160">MMULT(
    MMULT(
        INDEX($X$5:$AM$77, MATCH(K$100,_xlfn.ANCHORARRAY( $W$5), 0), 0),
        $F$5:$U$20
    ),
    TRANSPOSE(
        INDEX($X$5:$AM$77, MATCH($A160,_xlfn.ANCHORARRAY( $W$5), 0), 0)
    )
)
/
(
    INDEX($AN$5:$AN$77, MATCH(K$100,_xlfn.ANCHORARRAY( $W$5), 0))
    *
    INDEX($AN$5:$AN$77, MATCH($A160,_xlfn.ANCHORARRAY( $W$5), 0))
)</f>
        <v>0.83613779770633767</v>
      </c>
      <c r="L160" s="17" cm="1">
        <f t="array" ref="L160">MMULT(
    MMULT(
        INDEX($X$5:$AM$77, MATCH(L$100,_xlfn.ANCHORARRAY( $W$5), 0), 0),
        $F$5:$U$20
    ),
    TRANSPOSE(
        INDEX($X$5:$AM$77, MATCH($A160,_xlfn.ANCHORARRAY( $W$5), 0), 0)
    )
)
/
(
    INDEX($AN$5:$AN$77, MATCH(L$100,_xlfn.ANCHORARRAY( $W$5), 0))
    *
    INDEX($AN$5:$AN$77, MATCH($A160,_xlfn.ANCHORARRAY( $W$5), 0))
)</f>
        <v>0.73884540771944751</v>
      </c>
      <c r="M160" s="17" cm="1">
        <f t="array" ref="M160">MMULT(
    MMULT(
        INDEX($X$5:$AM$77, MATCH(M$100,_xlfn.ANCHORARRAY( $W$5), 0), 0),
        $F$5:$U$20
    ),
    TRANSPOSE(
        INDEX($X$5:$AM$77, MATCH($A160,_xlfn.ANCHORARRAY( $W$5), 0), 0)
    )
)
/
(
    INDEX($AN$5:$AN$77, MATCH(M$100,_xlfn.ANCHORARRAY( $W$5), 0))
    *
    INDEX($AN$5:$AN$77, MATCH($A160,_xlfn.ANCHORARRAY( $W$5), 0))
)</f>
        <v>0.82608243028699524</v>
      </c>
      <c r="N160" s="17" cm="1">
        <f t="array" ref="N160">MMULT(
    MMULT(
        INDEX($X$5:$AM$77, MATCH(N$100,_xlfn.ANCHORARRAY( $W$5), 0), 0),
        $F$5:$U$20
    ),
    TRANSPOSE(
        INDEX($X$5:$AM$77, MATCH($A160,_xlfn.ANCHORARRAY( $W$5), 0), 0)
    )
)
/
(
    INDEX($AN$5:$AN$77, MATCH(N$100,_xlfn.ANCHORARRAY( $W$5), 0))
    *
    INDEX($AN$5:$AN$77, MATCH($A160,_xlfn.ANCHORARRAY( $W$5), 0))
)</f>
        <v>0.48296885874805462</v>
      </c>
      <c r="O160" s="17" cm="1">
        <f t="array" ref="O160">MMULT(
    MMULT(
        INDEX($X$5:$AM$77, MATCH(O$100,_xlfn.ANCHORARRAY( $W$5), 0), 0),
        $F$5:$U$20
    ),
    TRANSPOSE(
        INDEX($X$5:$AM$77, MATCH($A160,_xlfn.ANCHORARRAY( $W$5), 0), 0)
    )
)
/
(
    INDEX($AN$5:$AN$77, MATCH(O$100,_xlfn.ANCHORARRAY( $W$5), 0))
    *
    INDEX($AN$5:$AN$77, MATCH($A160,_xlfn.ANCHORARRAY( $W$5), 0))
)</f>
        <v>0.55591364956893163</v>
      </c>
      <c r="P160" s="17" cm="1">
        <f t="array" ref="P160">MMULT(
    MMULT(
        INDEX($X$5:$AM$77, MATCH(P$100,_xlfn.ANCHORARRAY( $W$5), 0), 0),
        $F$5:$U$20
    ),
    TRANSPOSE(
        INDEX($X$5:$AM$77, MATCH($A160,_xlfn.ANCHORARRAY( $W$5), 0), 0)
    )
)
/
(
    INDEX($AN$5:$AN$77, MATCH(P$100,_xlfn.ANCHORARRAY( $W$5), 0))
    *
    INDEX($AN$5:$AN$77, MATCH($A160,_xlfn.ANCHORARRAY( $W$5), 0))
)</f>
        <v>0.57413368399301601</v>
      </c>
      <c r="Q160" s="17" cm="1">
        <f t="array" ref="Q160">MMULT(
    MMULT(
        INDEX($X$5:$AM$77, MATCH(Q$100,_xlfn.ANCHORARRAY( $W$5), 0), 0),
        $F$5:$U$20
    ),
    TRANSPOSE(
        INDEX($X$5:$AM$77, MATCH($A160,_xlfn.ANCHORARRAY( $W$5), 0), 0)
    )
)
/
(
    INDEX($AN$5:$AN$77, MATCH(Q$100,_xlfn.ANCHORARRAY( $W$5), 0))
    *
    INDEX($AN$5:$AN$77, MATCH($A160,_xlfn.ANCHORARRAY( $W$5), 0))
)</f>
        <v>0.59812469043754579</v>
      </c>
      <c r="R160" s="17" cm="1">
        <f t="array" ref="R160">MMULT(
    MMULT(
        INDEX($X$5:$AM$77, MATCH(R$100,_xlfn.ANCHORARRAY( $W$5), 0), 0),
        $F$5:$U$20
    ),
    TRANSPOSE(
        INDEX($X$5:$AM$77, MATCH($A160,_xlfn.ANCHORARRAY( $W$5), 0), 0)
    )
)
/
(
    INDEX($AN$5:$AN$77, MATCH(R$100,_xlfn.ANCHORARRAY( $W$5), 0))
    *
    INDEX($AN$5:$AN$77, MATCH($A160,_xlfn.ANCHORARRAY( $W$5), 0))
)</f>
        <v>0.59850481119798615</v>
      </c>
      <c r="S160" s="17" cm="1">
        <f t="array" ref="S160">MMULT(
    MMULT(
        INDEX($X$5:$AM$77, MATCH(S$100,_xlfn.ANCHORARRAY( $W$5), 0), 0),
        $F$5:$U$20
    ),
    TRANSPOSE(
        INDEX($X$5:$AM$77, MATCH($A160,_xlfn.ANCHORARRAY( $W$5), 0), 0)
    )
)
/
(
    INDEX($AN$5:$AN$77, MATCH(S$100,_xlfn.ANCHORARRAY( $W$5), 0))
    *
    INDEX($AN$5:$AN$77, MATCH($A160,_xlfn.ANCHORARRAY( $W$5), 0))
)</f>
        <v>0.60857066513847713</v>
      </c>
      <c r="T160" s="17" cm="1">
        <f t="array" ref="T160">MMULT(
    MMULT(
        INDEX($X$5:$AM$77, MATCH(T$100,_xlfn.ANCHORARRAY( $W$5), 0), 0),
        $F$5:$U$20
    ),
    TRANSPOSE(
        INDEX($X$5:$AM$77, MATCH($A160,_xlfn.ANCHORARRAY( $W$5), 0), 0)
    )
)
/
(
    INDEX($AN$5:$AN$77, MATCH(T$100,_xlfn.ANCHORARRAY( $W$5), 0))
    *
    INDEX($AN$5:$AN$77, MATCH($A160,_xlfn.ANCHORARRAY( $W$5), 0))
)</f>
        <v>0.20184335294608688</v>
      </c>
      <c r="U160" s="17" cm="1">
        <f t="array" ref="U160">MMULT(
    MMULT(
        INDEX($X$5:$AM$77, MATCH(U$100,_xlfn.ANCHORARRAY( $W$5), 0), 0),
        $F$5:$U$20
    ),
    TRANSPOSE(
        INDEX($X$5:$AM$77, MATCH($A160,_xlfn.ANCHORARRAY( $W$5), 0), 0)
    )
)
/
(
    INDEX($AN$5:$AN$77, MATCH(U$100,_xlfn.ANCHORARRAY( $W$5), 0))
    *
    INDEX($AN$5:$AN$77, MATCH($A160,_xlfn.ANCHORARRAY( $W$5), 0))
)</f>
        <v>0.60343534571175717</v>
      </c>
      <c r="V160" s="17" cm="1">
        <f t="array" ref="V160">MMULT(
    MMULT(
        INDEX($X$5:$AM$77, MATCH(V$100,_xlfn.ANCHORARRAY( $W$5), 0), 0),
        $F$5:$U$20
    ),
    TRANSPOSE(
        INDEX($X$5:$AM$77, MATCH($A160,_xlfn.ANCHORARRAY( $W$5), 0), 0)
    )
)
/
(
    INDEX($AN$5:$AN$77, MATCH(V$100,_xlfn.ANCHORARRAY( $W$5), 0))
    *
    INDEX($AN$5:$AN$77, MATCH($A160,_xlfn.ANCHORARRAY( $W$5), 0))
)</f>
        <v>0.6009209544772528</v>
      </c>
      <c r="W160" s="17" cm="1">
        <f t="array" ref="W160">MMULT(
    MMULT(
        INDEX($X$5:$AM$77, MATCH(W$100,_xlfn.ANCHORARRAY( $W$5), 0), 0),
        $F$5:$U$20
    ),
    TRANSPOSE(
        INDEX($X$5:$AM$77, MATCH($A160,_xlfn.ANCHORARRAY( $W$5), 0), 0)
    )
)
/
(
    INDEX($AN$5:$AN$77, MATCH(W$100,_xlfn.ANCHORARRAY( $W$5), 0))
    *
    INDEX($AN$5:$AN$77, MATCH($A160,_xlfn.ANCHORARRAY( $W$5), 0))
)</f>
        <v>0.49326688649065659</v>
      </c>
      <c r="X160" s="17" cm="1">
        <f t="array" ref="X160">MMULT(
    MMULT(
        INDEX($X$5:$AM$77, MATCH(X$100,_xlfn.ANCHORARRAY( $W$5), 0), 0),
        $F$5:$U$20
    ),
    TRANSPOSE(
        INDEX($X$5:$AM$77, MATCH($A160,_xlfn.ANCHORARRAY( $W$5), 0), 0)
    )
)
/
(
    INDEX($AN$5:$AN$77, MATCH(X$100,_xlfn.ANCHORARRAY( $W$5), 0))
    *
    INDEX($AN$5:$AN$77, MATCH($A160,_xlfn.ANCHORARRAY( $W$5), 0))
)</f>
        <v>0.59104823417485597</v>
      </c>
      <c r="Y160" s="17" cm="1">
        <f t="array" ref="Y160">MMULT(
    MMULT(
        INDEX($X$5:$AM$77, MATCH(Y$100,_xlfn.ANCHORARRAY( $W$5), 0), 0),
        $F$5:$U$20
    ),
    TRANSPOSE(
        INDEX($X$5:$AM$77, MATCH($A160,_xlfn.ANCHORARRAY( $W$5), 0), 0)
    )
)
/
(
    INDEX($AN$5:$AN$77, MATCH(Y$100,_xlfn.ANCHORARRAY( $W$5), 0))
    *
    INDEX($AN$5:$AN$77, MATCH($A160,_xlfn.ANCHORARRAY( $W$5), 0))
)</f>
        <v>0.82034843829557291</v>
      </c>
      <c r="Z160" s="17" cm="1">
        <f t="array" ref="Z160">MMULT(
    MMULT(
        INDEX($X$5:$AM$77, MATCH(Z$100,_xlfn.ANCHORARRAY( $W$5), 0), 0),
        $F$5:$U$20
    ),
    TRANSPOSE(
        INDEX($X$5:$AM$77, MATCH($A160,_xlfn.ANCHORARRAY( $W$5), 0), 0)
    )
)
/
(
    INDEX($AN$5:$AN$77, MATCH(Z$100,_xlfn.ANCHORARRAY( $W$5), 0))
    *
    INDEX($AN$5:$AN$77, MATCH($A160,_xlfn.ANCHORARRAY( $W$5), 0))
)</f>
        <v>0.60154832977525508</v>
      </c>
      <c r="AA160" s="17" cm="1">
        <f t="array" ref="AA160">MMULT(
    MMULT(
        INDEX($X$5:$AM$77, MATCH(AA$100,_xlfn.ANCHORARRAY( $W$5), 0), 0),
        $F$5:$U$20
    ),
    TRANSPOSE(
        INDEX($X$5:$AM$77, MATCH($A160,_xlfn.ANCHORARRAY( $W$5), 0), 0)
    )
)
/
(
    INDEX($AN$5:$AN$77, MATCH(AA$100,_xlfn.ANCHORARRAY( $W$5), 0))
    *
    INDEX($AN$5:$AN$77, MATCH($A160,_xlfn.ANCHORARRAY( $W$5), 0))
)</f>
        <v>0.53563023153588163</v>
      </c>
      <c r="AB160" s="17" cm="1">
        <f t="array" ref="AB160">MMULT(
    MMULT(
        INDEX($X$5:$AM$77, MATCH(AB$100,_xlfn.ANCHORARRAY( $W$5), 0), 0),
        $F$5:$U$20
    ),
    TRANSPOSE(
        INDEX($X$5:$AM$77, MATCH($A160,_xlfn.ANCHORARRAY( $W$5), 0), 0)
    )
)
/
(
    INDEX($AN$5:$AN$77, MATCH(AB$100,_xlfn.ANCHORARRAY( $W$5), 0))
    *
    INDEX($AN$5:$AN$77, MATCH($A160,_xlfn.ANCHORARRAY( $W$5), 0))
)</f>
        <v>0.7684916966941614</v>
      </c>
      <c r="AC160" s="17" cm="1">
        <f t="array" ref="AC160">MMULT(
    MMULT(
        INDEX($X$5:$AM$77, MATCH(AC$100,_xlfn.ANCHORARRAY( $W$5), 0), 0),
        $F$5:$U$20
    ),
    TRANSPOSE(
        INDEX($X$5:$AM$77, MATCH($A160,_xlfn.ANCHORARRAY( $W$5), 0), 0)
    )
)
/
(
    INDEX($AN$5:$AN$77, MATCH(AC$100,_xlfn.ANCHORARRAY( $W$5), 0))
    *
    INDEX($AN$5:$AN$77, MATCH($A160,_xlfn.ANCHORARRAY( $W$5), 0))
)</f>
        <v>0.68494840775713017</v>
      </c>
      <c r="AD160" s="17" cm="1">
        <f t="array" ref="AD160">MMULT(
    MMULT(
        INDEX($X$5:$AM$77, MATCH(AD$100,_xlfn.ANCHORARRAY( $W$5), 0), 0),
        $F$5:$U$20
    ),
    TRANSPOSE(
        INDEX($X$5:$AM$77, MATCH($A160,_xlfn.ANCHORARRAY( $W$5), 0), 0)
    )
)
/
(
    INDEX($AN$5:$AN$77, MATCH(AD$100,_xlfn.ANCHORARRAY( $W$5), 0))
    *
    INDEX($AN$5:$AN$77, MATCH($A160,_xlfn.ANCHORARRAY( $W$5), 0))
)</f>
        <v>0.58173406397978888</v>
      </c>
      <c r="AE160" s="17" cm="1">
        <f t="array" ref="AE160">MMULT(
    MMULT(
        INDEX($X$5:$AM$77, MATCH(AE$100,_xlfn.ANCHORARRAY( $W$5), 0), 0),
        $F$5:$U$20
    ),
    TRANSPOSE(
        INDEX($X$5:$AM$77, MATCH($A160,_xlfn.ANCHORARRAY( $W$5), 0), 0)
    )
)
/
(
    INDEX($AN$5:$AN$77, MATCH(AE$100,_xlfn.ANCHORARRAY( $W$5), 0))
    *
    INDEX($AN$5:$AN$77, MATCH($A160,_xlfn.ANCHORARRAY( $W$5), 0))
)</f>
        <v>0.76867313230043066</v>
      </c>
      <c r="AF160" s="17" cm="1">
        <f t="array" ref="AF160">MMULT(
    MMULT(
        INDEX($X$5:$AM$77, MATCH(AF$100,_xlfn.ANCHORARRAY( $W$5), 0), 0),
        $F$5:$U$20
    ),
    TRANSPOSE(
        INDEX($X$5:$AM$77, MATCH($A160,_xlfn.ANCHORARRAY( $W$5), 0), 0)
    )
)
/
(
    INDEX($AN$5:$AN$77, MATCH(AF$100,_xlfn.ANCHORARRAY( $W$5), 0))
    *
    INDEX($AN$5:$AN$77, MATCH($A160,_xlfn.ANCHORARRAY( $W$5), 0))
)</f>
        <v>0.69450648407996984</v>
      </c>
      <c r="AG160" s="17" cm="1">
        <f t="array" ref="AG160">MMULT(
    MMULT(
        INDEX($X$5:$AM$77, MATCH(AG$100,_xlfn.ANCHORARRAY( $W$5), 0), 0),
        $F$5:$U$20
    ),
    TRANSPOSE(
        INDEX($X$5:$AM$77, MATCH($A160,_xlfn.ANCHORARRAY( $W$5), 0), 0)
    )
)
/
(
    INDEX($AN$5:$AN$77, MATCH(AG$100,_xlfn.ANCHORARRAY( $W$5), 0))
    *
    INDEX($AN$5:$AN$77, MATCH($A160,_xlfn.ANCHORARRAY( $W$5), 0))
)</f>
        <v>0.76187161951723692</v>
      </c>
      <c r="AH160" s="17" cm="1">
        <f t="array" ref="AH160">MMULT(
    MMULT(
        INDEX($X$5:$AM$77, MATCH(AH$100,_xlfn.ANCHORARRAY( $W$5), 0), 0),
        $F$5:$U$20
    ),
    TRANSPOSE(
        INDEX($X$5:$AM$77, MATCH($A160,_xlfn.ANCHORARRAY( $W$5), 0), 0)
    )
)
/
(
    INDEX($AN$5:$AN$77, MATCH(AH$100,_xlfn.ANCHORARRAY( $W$5), 0))
    *
    INDEX($AN$5:$AN$77, MATCH($A160,_xlfn.ANCHORARRAY( $W$5), 0))
)</f>
        <v>0.82505228717916934</v>
      </c>
      <c r="AI160" s="17" cm="1">
        <f t="array" ref="AI160">MMULT(
    MMULT(
        INDEX($X$5:$AM$77, MATCH(AI$100,_xlfn.ANCHORARRAY( $W$5), 0), 0),
        $F$5:$U$20
    ),
    TRANSPOSE(
        INDEX($X$5:$AM$77, MATCH($A160,_xlfn.ANCHORARRAY( $W$5), 0), 0)
    )
)
/
(
    INDEX($AN$5:$AN$77, MATCH(AI$100,_xlfn.ANCHORARRAY( $W$5), 0))
    *
    INDEX($AN$5:$AN$77, MATCH($A160,_xlfn.ANCHORARRAY( $W$5), 0))
)</f>
        <v>0.74671848954958553</v>
      </c>
      <c r="AJ160" s="17" cm="1">
        <f t="array" ref="AJ160">MMULT(
    MMULT(
        INDEX($X$5:$AM$77, MATCH(AJ$100,_xlfn.ANCHORARRAY( $W$5), 0), 0),
        $F$5:$U$20
    ),
    TRANSPOSE(
        INDEX($X$5:$AM$77, MATCH($A160,_xlfn.ANCHORARRAY( $W$5), 0), 0)
    )
)
/
(
    INDEX($AN$5:$AN$77, MATCH(AJ$100,_xlfn.ANCHORARRAY( $W$5), 0))
    *
    INDEX($AN$5:$AN$77, MATCH($A160,_xlfn.ANCHORARRAY( $W$5), 0))
)</f>
        <v>0.5628750935013338</v>
      </c>
      <c r="AK160" s="17" cm="1">
        <f t="array" ref="AK160">MMULT(
    MMULT(
        INDEX($X$5:$AM$77, MATCH(AK$100,_xlfn.ANCHORARRAY( $W$5), 0), 0),
        $F$5:$U$20
    ),
    TRANSPOSE(
        INDEX($X$5:$AM$77, MATCH($A160,_xlfn.ANCHORARRAY( $W$5), 0), 0)
    )
)
/
(
    INDEX($AN$5:$AN$77, MATCH(AK$100,_xlfn.ANCHORARRAY( $W$5), 0))
    *
    INDEX($AN$5:$AN$77, MATCH($A160,_xlfn.ANCHORARRAY( $W$5), 0))
)</f>
        <v>0.7579368906420868</v>
      </c>
      <c r="AL160" s="17" cm="1">
        <f t="array" ref="AL160">MMULT(
    MMULT(
        INDEX($X$5:$AM$77, MATCH(AL$100,_xlfn.ANCHORARRAY( $W$5), 0), 0),
        $F$5:$U$20
    ),
    TRANSPOSE(
        INDEX($X$5:$AM$77, MATCH($A160,_xlfn.ANCHORARRAY( $W$5), 0), 0)
    )
)
/
(
    INDEX($AN$5:$AN$77, MATCH(AL$100,_xlfn.ANCHORARRAY( $W$5), 0))
    *
    INDEX($AN$5:$AN$77, MATCH($A160,_xlfn.ANCHORARRAY( $W$5), 0))
)</f>
        <v>0.51340410230887323</v>
      </c>
      <c r="AM160" s="17" cm="1">
        <f t="array" ref="AM160">MMULT(
    MMULT(
        INDEX($X$5:$AM$77, MATCH(AM$100,_xlfn.ANCHORARRAY( $W$5), 0), 0),
        $F$5:$U$20
    ),
    TRANSPOSE(
        INDEX($X$5:$AM$77, MATCH($A160,_xlfn.ANCHORARRAY( $W$5), 0), 0)
    )
)
/
(
    INDEX($AN$5:$AN$77, MATCH(AM$100,_xlfn.ANCHORARRAY( $W$5), 0))
    *
    INDEX($AN$5:$AN$77, MATCH($A160,_xlfn.ANCHORARRAY( $W$5), 0))
)</f>
        <v>0.76582682626206167</v>
      </c>
      <c r="AN160" s="17" cm="1">
        <f t="array" ref="AN160">MMULT(
    MMULT(
        INDEX($X$5:$AM$77, MATCH(AN$100,_xlfn.ANCHORARRAY( $W$5), 0), 0),
        $F$5:$U$20
    ),
    TRANSPOSE(
        INDEX($X$5:$AM$77, MATCH($A160,_xlfn.ANCHORARRAY( $W$5), 0), 0)
    )
)
/
(
    INDEX($AN$5:$AN$77, MATCH(AN$100,_xlfn.ANCHORARRAY( $W$5), 0))
    *
    INDEX($AN$5:$AN$77, MATCH($A160,_xlfn.ANCHORARRAY( $W$5), 0))
)</f>
        <v>0.69776434980883428</v>
      </c>
      <c r="AO160" s="17" cm="1">
        <f t="array" ref="AO160">MMULT(
    MMULT(
        INDEX($X$5:$AM$77, MATCH(AO$100,_xlfn.ANCHORARRAY( $W$5), 0), 0),
        $F$5:$U$20
    ),
    TRANSPOSE(
        INDEX($X$5:$AM$77, MATCH($A160,_xlfn.ANCHORARRAY( $W$5), 0), 0)
    )
)
/
(
    INDEX($AN$5:$AN$77, MATCH(AO$100,_xlfn.ANCHORARRAY( $W$5), 0))
    *
    INDEX($AN$5:$AN$77, MATCH($A160,_xlfn.ANCHORARRAY( $W$5), 0))
)</f>
        <v>0.65942956587020529</v>
      </c>
      <c r="AP160" s="17" cm="1">
        <f t="array" ref="AP160">MMULT(
    MMULT(
        INDEX($X$5:$AM$77, MATCH(AP$100,_xlfn.ANCHORARRAY( $W$5), 0), 0),
        $F$5:$U$20
    ),
    TRANSPOSE(
        INDEX($X$5:$AM$77, MATCH($A160,_xlfn.ANCHORARRAY( $W$5), 0), 0)
    )
)
/
(
    INDEX($AN$5:$AN$77, MATCH(AP$100,_xlfn.ANCHORARRAY( $W$5), 0))
    *
    INDEX($AN$5:$AN$77, MATCH($A160,_xlfn.ANCHORARRAY( $W$5), 0))
)</f>
        <v>0.92757424603394723</v>
      </c>
      <c r="AQ160" s="17" cm="1">
        <f t="array" ref="AQ160">MMULT(
    MMULT(
        INDEX($X$5:$AM$77, MATCH(AQ$100,_xlfn.ANCHORARRAY( $W$5), 0), 0),
        $F$5:$U$20
    ),
    TRANSPOSE(
        INDEX($X$5:$AM$77, MATCH($A160,_xlfn.ANCHORARRAY( $W$5), 0), 0)
    )
)
/
(
    INDEX($AN$5:$AN$77, MATCH(AQ$100,_xlfn.ANCHORARRAY( $W$5), 0))
    *
    INDEX($AN$5:$AN$77, MATCH($A160,_xlfn.ANCHORARRAY( $W$5), 0))
)</f>
        <v>0.50426434242479956</v>
      </c>
      <c r="AR160" s="17" cm="1">
        <f t="array" ref="AR160">MMULT(
    MMULT(
        INDEX($X$5:$AM$77, MATCH(AR$100,_xlfn.ANCHORARRAY( $W$5), 0), 0),
        $F$5:$U$20
    ),
    TRANSPOSE(
        INDEX($X$5:$AM$77, MATCH($A160,_xlfn.ANCHORARRAY( $W$5), 0), 0)
    )
)
/
(
    INDEX($AN$5:$AN$77, MATCH(AR$100,_xlfn.ANCHORARRAY( $W$5), 0))
    *
    INDEX($AN$5:$AN$77, MATCH($A160,_xlfn.ANCHORARRAY( $W$5), 0))
)</f>
        <v>0.56656421887552255</v>
      </c>
      <c r="AS160" s="17" cm="1">
        <f t="array" ref="AS160">MMULT(
    MMULT(
        INDEX($X$5:$AM$77, MATCH(AS$100,_xlfn.ANCHORARRAY( $W$5), 0), 0),
        $F$5:$U$20
    ),
    TRANSPOSE(
        INDEX($X$5:$AM$77, MATCH($A160,_xlfn.ANCHORARRAY( $W$5), 0), 0)
    )
)
/
(
    INDEX($AN$5:$AN$77, MATCH(AS$100,_xlfn.ANCHORARRAY( $W$5), 0))
    *
    INDEX($AN$5:$AN$77, MATCH($A160,_xlfn.ANCHORARRAY( $W$5), 0))
)</f>
        <v>0.69328586233566702</v>
      </c>
      <c r="AT160" s="17" cm="1">
        <f t="array" ref="AT160">MMULT(
    MMULT(
        INDEX($X$5:$AM$77, MATCH(AT$100,_xlfn.ANCHORARRAY( $W$5), 0), 0),
        $F$5:$U$20
    ),
    TRANSPOSE(
        INDEX($X$5:$AM$77, MATCH($A160,_xlfn.ANCHORARRAY( $W$5), 0), 0)
    )
)
/
(
    INDEX($AN$5:$AN$77, MATCH(AT$100,_xlfn.ANCHORARRAY( $W$5), 0))
    *
    INDEX($AN$5:$AN$77, MATCH($A160,_xlfn.ANCHORARRAY( $W$5), 0))
)</f>
        <v>0.8422340596295298</v>
      </c>
      <c r="AU160" s="17" cm="1">
        <f t="array" ref="AU160">MMULT(
    MMULT(
        INDEX($X$5:$AM$77, MATCH(AU$100,_xlfn.ANCHORARRAY( $W$5), 0), 0),
        $F$5:$U$20
    ),
    TRANSPOSE(
        INDEX($X$5:$AM$77, MATCH($A160,_xlfn.ANCHORARRAY( $W$5), 0), 0)
    )
)
/
(
    INDEX($AN$5:$AN$77, MATCH(AU$100,_xlfn.ANCHORARRAY( $W$5), 0))
    *
    INDEX($AN$5:$AN$77, MATCH($A160,_xlfn.ANCHORARRAY( $W$5), 0))
)</f>
        <v>0.63953258497634224</v>
      </c>
      <c r="AV160" s="17" cm="1">
        <f t="array" ref="AV160">MMULT(
    MMULT(
        INDEX($X$5:$AM$77, MATCH(AV$100,_xlfn.ANCHORARRAY( $W$5), 0), 0),
        $F$5:$U$20
    ),
    TRANSPOSE(
        INDEX($X$5:$AM$77, MATCH($A160,_xlfn.ANCHORARRAY( $W$5), 0), 0)
    )
)
/
(
    INDEX($AN$5:$AN$77, MATCH(AV$100,_xlfn.ANCHORARRAY( $W$5), 0))
    *
    INDEX($AN$5:$AN$77, MATCH($A160,_xlfn.ANCHORARRAY( $W$5), 0))
)</f>
        <v>0.60078545722072851</v>
      </c>
      <c r="AW160" s="17" cm="1">
        <f t="array" ref="AW160">MMULT(
    MMULT(
        INDEX($X$5:$AM$77, MATCH(AW$100,_xlfn.ANCHORARRAY( $W$5), 0), 0),
        $F$5:$U$20
    ),
    TRANSPOSE(
        INDEX($X$5:$AM$77, MATCH($A160,_xlfn.ANCHORARRAY( $W$5), 0), 0)
    )
)
/
(
    INDEX($AN$5:$AN$77, MATCH(AW$100,_xlfn.ANCHORARRAY( $W$5), 0))
    *
    INDEX($AN$5:$AN$77, MATCH($A160,_xlfn.ANCHORARRAY( $W$5), 0))
)</f>
        <v>0.82320890741660313</v>
      </c>
      <c r="AX160" s="17" cm="1">
        <f t="array" ref="AX160">MMULT(
    MMULT(
        INDEX($X$5:$AM$77, MATCH(AX$100,_xlfn.ANCHORARRAY( $W$5), 0), 0),
        $F$5:$U$20
    ),
    TRANSPOSE(
        INDEX($X$5:$AM$77, MATCH($A160,_xlfn.ANCHORARRAY( $W$5), 0), 0)
    )
)
/
(
    INDEX($AN$5:$AN$77, MATCH(AX$100,_xlfn.ANCHORARRAY( $W$5), 0))
    *
    INDEX($AN$5:$AN$77, MATCH($A160,_xlfn.ANCHORARRAY( $W$5), 0))
)</f>
        <v>0.48190465256452208</v>
      </c>
      <c r="AY160" s="17" cm="1">
        <f t="array" ref="AY160">MMULT(
    MMULT(
        INDEX($X$5:$AM$77, MATCH(AY$100,_xlfn.ANCHORARRAY( $W$5), 0), 0),
        $F$5:$U$20
    ),
    TRANSPOSE(
        INDEX($X$5:$AM$77, MATCH($A160,_xlfn.ANCHORARRAY( $W$5), 0), 0)
    )
)
/
(
    INDEX($AN$5:$AN$77, MATCH(AY$100,_xlfn.ANCHORARRAY( $W$5), 0))
    *
    INDEX($AN$5:$AN$77, MATCH($A160,_xlfn.ANCHORARRAY( $W$5), 0))
)</f>
        <v>0.86085933840775464</v>
      </c>
      <c r="AZ160" s="17" cm="1">
        <f t="array" ref="AZ160">MMULT(
    MMULT(
        INDEX($X$5:$AM$77, MATCH(AZ$100,_xlfn.ANCHORARRAY( $W$5), 0), 0),
        $F$5:$U$20
    ),
    TRANSPOSE(
        INDEX($X$5:$AM$77, MATCH($A160,_xlfn.ANCHORARRAY( $W$5), 0), 0)
    )
)
/
(
    INDEX($AN$5:$AN$77, MATCH(AZ$100,_xlfn.ANCHORARRAY( $W$5), 0))
    *
    INDEX($AN$5:$AN$77, MATCH($A160,_xlfn.ANCHORARRAY( $W$5), 0))
)</f>
        <v>0.57143066644173179</v>
      </c>
      <c r="BA160" s="17" cm="1">
        <f t="array" ref="BA160">MMULT(
    MMULT(
        INDEX($X$5:$AM$77, MATCH(BA$100,_xlfn.ANCHORARRAY( $W$5), 0), 0),
        $F$5:$U$20
    ),
    TRANSPOSE(
        INDEX($X$5:$AM$77, MATCH($A160,_xlfn.ANCHORARRAY( $W$5), 0), 0)
    )
)
/
(
    INDEX($AN$5:$AN$77, MATCH(BA$100,_xlfn.ANCHORARRAY( $W$5), 0))
    *
    INDEX($AN$5:$AN$77, MATCH($A160,_xlfn.ANCHORARRAY( $W$5), 0))
)</f>
        <v>0.56540024981189574</v>
      </c>
      <c r="BB160" s="17" cm="1">
        <f t="array" ref="BB160">MMULT(
    MMULT(
        INDEX($X$5:$AM$77, MATCH(BB$100,_xlfn.ANCHORARRAY( $W$5), 0), 0),
        $F$5:$U$20
    ),
    TRANSPOSE(
        INDEX($X$5:$AM$77, MATCH($A160,_xlfn.ANCHORARRAY( $W$5), 0), 0)
    )
)
/
(
    INDEX($AN$5:$AN$77, MATCH(BB$100,_xlfn.ANCHORARRAY( $W$5), 0))
    *
    INDEX($AN$5:$AN$77, MATCH($A160,_xlfn.ANCHORARRAY( $W$5), 0))
)</f>
        <v>0.76743975610447224</v>
      </c>
      <c r="BC160" s="17" cm="1">
        <f t="array" ref="BC160">MMULT(
    MMULT(
        INDEX($X$5:$AM$77, MATCH(BC$100,_xlfn.ANCHORARRAY( $W$5), 0), 0),
        $F$5:$U$20
    ),
    TRANSPOSE(
        INDEX($X$5:$AM$77, MATCH($A160,_xlfn.ANCHORARRAY( $W$5), 0), 0)
    )
)
/
(
    INDEX($AN$5:$AN$77, MATCH(BC$100,_xlfn.ANCHORARRAY( $W$5), 0))
    *
    INDEX($AN$5:$AN$77, MATCH($A160,_xlfn.ANCHORARRAY( $W$5), 0))
)</f>
        <v>0.74992317205779224</v>
      </c>
      <c r="BD160" s="17" cm="1">
        <f t="array" ref="BD160">MMULT(
    MMULT(
        INDEX($X$5:$AM$77, MATCH(BD$100,_xlfn.ANCHORARRAY( $W$5), 0), 0),
        $F$5:$U$20
    ),
    TRANSPOSE(
        INDEX($X$5:$AM$77, MATCH($A160,_xlfn.ANCHORARRAY( $W$5), 0), 0)
    )
)
/
(
    INDEX($AN$5:$AN$77, MATCH(BD$100,_xlfn.ANCHORARRAY( $W$5), 0))
    *
    INDEX($AN$5:$AN$77, MATCH($A160,_xlfn.ANCHORARRAY( $W$5), 0))
)</f>
        <v>0.42673537561411101</v>
      </c>
      <c r="BE160" s="17" cm="1">
        <f t="array" ref="BE160">MMULT(
    MMULT(
        INDEX($X$5:$AM$77, MATCH(BE$100,_xlfn.ANCHORARRAY( $W$5), 0), 0),
        $F$5:$U$20
    ),
    TRANSPOSE(
        INDEX($X$5:$AM$77, MATCH($A160,_xlfn.ANCHORARRAY( $W$5), 0), 0)
    )
)
/
(
    INDEX($AN$5:$AN$77, MATCH(BE$100,_xlfn.ANCHORARRAY( $W$5), 0))
    *
    INDEX($AN$5:$AN$77, MATCH($A160,_xlfn.ANCHORARRAY( $W$5), 0))
)</f>
        <v>0.78597395585178387</v>
      </c>
      <c r="BF160" s="17" cm="1">
        <f t="array" ref="BF160">MMULT(
    MMULT(
        INDEX($X$5:$AM$77, MATCH(BF$100,_xlfn.ANCHORARRAY( $W$5), 0), 0),
        $F$5:$U$20
    ),
    TRANSPOSE(
        INDEX($X$5:$AM$77, MATCH($A160,_xlfn.ANCHORARRAY( $W$5), 0), 0)
    )
)
/
(
    INDEX($AN$5:$AN$77, MATCH(BF$100,_xlfn.ANCHORARRAY( $W$5), 0))
    *
    INDEX($AN$5:$AN$77, MATCH($A160,_xlfn.ANCHORARRAY( $W$5), 0))
)</f>
        <v>0.55509690892788577</v>
      </c>
      <c r="BG160" s="17" cm="1">
        <f t="array" ref="BG160">MMULT(
    MMULT(
        INDEX($X$5:$AM$77, MATCH(BG$100,_xlfn.ANCHORARRAY( $W$5), 0), 0),
        $F$5:$U$20
    ),
    TRANSPOSE(
        INDEX($X$5:$AM$77, MATCH($A160,_xlfn.ANCHORARRAY( $W$5), 0), 0)
    )
)
/
(
    INDEX($AN$5:$AN$77, MATCH(BG$100,_xlfn.ANCHORARRAY( $W$5), 0))
    *
    INDEX($AN$5:$AN$77, MATCH($A160,_xlfn.ANCHORARRAY( $W$5), 0))
)</f>
        <v>0.64652171234856026</v>
      </c>
      <c r="BH160" s="17" cm="1">
        <f t="array" ref="BH160">MMULT(
    MMULT(
        INDEX($X$5:$AM$77, MATCH(BH$100,_xlfn.ANCHORARRAY( $W$5), 0), 0),
        $F$5:$U$20
    ),
    TRANSPOSE(
        INDEX($X$5:$AM$77, MATCH($A160,_xlfn.ANCHORARRAY( $W$5), 0), 0)
    )
)
/
(
    INDEX($AN$5:$AN$77, MATCH(BH$100,_xlfn.ANCHORARRAY( $W$5), 0))
    *
    INDEX($AN$5:$AN$77, MATCH($A160,_xlfn.ANCHORARRAY( $W$5), 0))
)</f>
        <v>0.59022371610687152</v>
      </c>
      <c r="BI160" s="17" cm="1">
        <f t="array" ref="BI160">MMULT(
    MMULT(
        INDEX($X$5:$AM$77, MATCH(BI$100,_xlfn.ANCHORARRAY( $W$5), 0), 0),
        $F$5:$U$20
    ),
    TRANSPOSE(
        INDEX($X$5:$AM$77, MATCH($A160,_xlfn.ANCHORARRAY( $W$5), 0), 0)
    )
)
/
(
    INDEX($AN$5:$AN$77, MATCH(BI$100,_xlfn.ANCHORARRAY( $W$5), 0))
    *
    INDEX($AN$5:$AN$77, MATCH($A160,_xlfn.ANCHORARRAY( $W$5), 0))
)</f>
        <v>0.99999999999999989</v>
      </c>
      <c r="BJ160" s="17" cm="1">
        <f t="array" ref="BJ160">MMULT(
    MMULT(
        INDEX($X$5:$AM$77, MATCH(BJ$100,_xlfn.ANCHORARRAY( $W$5), 0), 0),
        $F$5:$U$20
    ),
    TRANSPOSE(
        INDEX($X$5:$AM$77, MATCH($A160,_xlfn.ANCHORARRAY( $W$5), 0), 0)
    )
)
/
(
    INDEX($AN$5:$AN$77, MATCH(BJ$100,_xlfn.ANCHORARRAY( $W$5), 0))
    *
    INDEX($AN$5:$AN$77, MATCH($A160,_xlfn.ANCHORARRAY( $W$5), 0))
)</f>
        <v>0.58496959780303015</v>
      </c>
      <c r="BK160" s="17" cm="1">
        <f t="array" ref="BK160">MMULT(
    MMULT(
        INDEX($X$5:$AM$77, MATCH(BK$100,_xlfn.ANCHORARRAY( $W$5), 0), 0),
        $F$5:$U$20
    ),
    TRANSPOSE(
        INDEX($X$5:$AM$77, MATCH($A160,_xlfn.ANCHORARRAY( $W$5), 0), 0)
    )
)
/
(
    INDEX($AN$5:$AN$77, MATCH(BK$100,_xlfn.ANCHORARRAY( $W$5), 0))
    *
    INDEX($AN$5:$AN$77, MATCH($A160,_xlfn.ANCHORARRAY( $W$5), 0))
)</f>
        <v>0.44427212618525752</v>
      </c>
      <c r="BL160" s="17" cm="1">
        <f t="array" ref="BL160">MMULT(
    MMULT(
        INDEX($X$5:$AM$77, MATCH(BL$100,_xlfn.ANCHORARRAY( $W$5), 0), 0),
        $F$5:$U$20
    ),
    TRANSPOSE(
        INDEX($X$5:$AM$77, MATCH($A160,_xlfn.ANCHORARRAY( $W$5), 0), 0)
    )
)
/
(
    INDEX($AN$5:$AN$77, MATCH(BL$100,_xlfn.ANCHORARRAY( $W$5), 0))
    *
    INDEX($AN$5:$AN$77, MATCH($A160,_xlfn.ANCHORARRAY( $W$5), 0))
)</f>
        <v>0.30362922738317816</v>
      </c>
      <c r="BM160" s="17" cm="1">
        <f t="array" ref="BM160">MMULT(
    MMULT(
        INDEX($X$5:$AM$77, MATCH(BM$100,_xlfn.ANCHORARRAY( $W$5), 0), 0),
        $F$5:$U$20
    ),
    TRANSPOSE(
        INDEX($X$5:$AM$77, MATCH($A160,_xlfn.ANCHORARRAY( $W$5), 0), 0)
    )
)
/
(
    INDEX($AN$5:$AN$77, MATCH(BM$100,_xlfn.ANCHORARRAY( $W$5), 0))
    *
    INDEX($AN$5:$AN$77, MATCH($A160,_xlfn.ANCHORARRAY( $W$5), 0))
)</f>
        <v>0.49163690336354576</v>
      </c>
      <c r="BN160" s="17" cm="1">
        <f t="array" ref="BN160">MMULT(
    MMULT(
        INDEX($X$5:$AM$77, MATCH(BN$100,_xlfn.ANCHORARRAY( $W$5), 0), 0),
        $F$5:$U$20
    ),
    TRANSPOSE(
        INDEX($X$5:$AM$77, MATCH($A160,_xlfn.ANCHORARRAY( $W$5), 0), 0)
    )
)
/
(
    INDEX($AN$5:$AN$77, MATCH(BN$100,_xlfn.ANCHORARRAY( $W$5), 0))
    *
    INDEX($AN$5:$AN$77, MATCH($A160,_xlfn.ANCHORARRAY( $W$5), 0))
)</f>
        <v>0.80239023399388454</v>
      </c>
      <c r="BO160" s="17" cm="1">
        <f t="array" ref="BO160">MMULT(
    MMULT(
        INDEX($X$5:$AM$77, MATCH(BO$100,_xlfn.ANCHORARRAY( $W$5), 0), 0),
        $F$5:$U$20
    ),
    TRANSPOSE(
        INDEX($X$5:$AM$77, MATCH($A160,_xlfn.ANCHORARRAY( $W$5), 0), 0)
    )
)
/
(
    INDEX($AN$5:$AN$77, MATCH(BO$100,_xlfn.ANCHORARRAY( $W$5), 0))
    *
    INDEX($AN$5:$AN$77, MATCH($A160,_xlfn.ANCHORARRAY( $W$5), 0))
)</f>
        <v>0.76592479569513949</v>
      </c>
      <c r="BP160" s="17" cm="1">
        <f t="array" ref="BP160">MMULT(
    MMULT(
        INDEX($X$5:$AM$77, MATCH(BP$100,_xlfn.ANCHORARRAY( $W$5), 0), 0),
        $F$5:$U$20
    ),
    TRANSPOSE(
        INDEX($X$5:$AM$77, MATCH($A160,_xlfn.ANCHORARRAY( $W$5), 0), 0)
    )
)
/
(
    INDEX($AN$5:$AN$77, MATCH(BP$100,_xlfn.ANCHORARRAY( $W$5), 0))
    *
    INDEX($AN$5:$AN$77, MATCH($A160,_xlfn.ANCHORARRAY( $W$5), 0))
)</f>
        <v>0.58434341562969505</v>
      </c>
      <c r="BQ160" s="17" cm="1">
        <f t="array" ref="BQ160">MMULT(
    MMULT(
        INDEX($X$5:$AM$77, MATCH(BQ$100,_xlfn.ANCHORARRAY( $W$5), 0), 0),
        $F$5:$U$20
    ),
    TRANSPOSE(
        INDEX($X$5:$AM$77, MATCH($A160,_xlfn.ANCHORARRAY( $W$5), 0), 0)
    )
)
/
(
    INDEX($AN$5:$AN$77, MATCH(BQ$100,_xlfn.ANCHORARRAY( $W$5), 0))
    *
    INDEX($AN$5:$AN$77, MATCH($A160,_xlfn.ANCHORARRAY( $W$5), 0))
)</f>
        <v>0.53140822500717333</v>
      </c>
      <c r="BR160" s="17" cm="1">
        <f t="array" ref="BR160">MMULT(
    MMULT(
        INDEX($X$5:$AM$77, MATCH(BR$100,_xlfn.ANCHORARRAY( $W$5), 0), 0),
        $F$5:$U$20
    ),
    TRANSPOSE(
        INDEX($X$5:$AM$77, MATCH($A160,_xlfn.ANCHORARRAY( $W$5), 0), 0)
    )
)
/
(
    INDEX($AN$5:$AN$77, MATCH(BR$100,_xlfn.ANCHORARRAY( $W$5), 0))
    *
    INDEX($AN$5:$AN$77, MATCH($A160,_xlfn.ANCHORARRAY( $W$5), 0))
)</f>
        <v>0.82397713604808942</v>
      </c>
      <c r="BS160" s="17" cm="1">
        <f t="array" ref="BS160">MMULT(
    MMULT(
        INDEX($X$5:$AM$77, MATCH(BS$100,_xlfn.ANCHORARRAY( $W$5), 0), 0),
        $F$5:$U$20
    ),
    TRANSPOSE(
        INDEX($X$5:$AM$77, MATCH($A160,_xlfn.ANCHORARRAY( $W$5), 0), 0)
    )
)
/
(
    INDEX($AN$5:$AN$77, MATCH(BS$100,_xlfn.ANCHORARRAY( $W$5), 0))
    *
    INDEX($AN$5:$AN$77, MATCH($A160,_xlfn.ANCHORARRAY( $W$5), 0))
)</f>
        <v>0.69232439846860727</v>
      </c>
      <c r="BT160" s="17" cm="1">
        <f t="array" ref="BT160">MMULT(
    MMULT(
        INDEX($X$5:$AM$77, MATCH(BT$100,_xlfn.ANCHORARRAY( $W$5), 0), 0),
        $F$5:$U$20
    ),
    TRANSPOSE(
        INDEX($X$5:$AM$77, MATCH($A160,_xlfn.ANCHORARRAY( $W$5), 0), 0)
    )
)
/
(
    INDEX($AN$5:$AN$77, MATCH(BT$100,_xlfn.ANCHORARRAY( $W$5), 0))
    *
    INDEX($AN$5:$AN$77, MATCH($A160,_xlfn.ANCHORARRAY( $W$5), 0))
)</f>
        <v>0.65078925551060041</v>
      </c>
      <c r="BU160" s="17" cm="1">
        <f t="array" ref="BU160">MMULT(
    MMULT(
        INDEX($X$5:$AM$77, MATCH(BU$100,_xlfn.ANCHORARRAY( $W$5), 0), 0),
        $F$5:$U$20
    ),
    TRANSPOSE(
        INDEX($X$5:$AM$77, MATCH($A160,_xlfn.ANCHORARRAY( $W$5), 0), 0)
    )
)
/
(
    INDEX($AN$5:$AN$77, MATCH(BU$100,_xlfn.ANCHORARRAY( $W$5), 0))
    *
    INDEX($AN$5:$AN$77, MATCH($A160,_xlfn.ANCHORARRAY( $W$5), 0))
)</f>
        <v>0.58122999883041704</v>
      </c>
      <c r="BV160" s="17" cm="1">
        <f t="array" ref="BV160">MMULT(
    MMULT(
        INDEX($X$5:$AM$77, MATCH(BV$100,_xlfn.ANCHORARRAY( $W$5), 0), 0),
        $F$5:$U$20
    ),
    TRANSPOSE(
        INDEX($X$5:$AM$77, MATCH($A160,_xlfn.ANCHORARRAY( $W$5), 0), 0)
    )
)
/
(
    INDEX($AN$5:$AN$77, MATCH(BV$100,_xlfn.ANCHORARRAY( $W$5), 0))
    *
    INDEX($AN$5:$AN$77, MATCH($A160,_xlfn.ANCHORARRAY( $W$5), 0))
)</f>
        <v>0.73017907375793445</v>
      </c>
    </row>
    <row r="161" spans="1:74" x14ac:dyDescent="0.3">
      <c r="A161" s="7" t="str">
        <v>Rodríguez, Richard</v>
      </c>
      <c r="B161" s="17" cm="1">
        <f t="array" ref="B161">MMULT(
    MMULT(
        INDEX($X$5:$AM$77, MATCH(B$100,_xlfn.ANCHORARRAY( $W$5), 0), 0),
        $F$5:$U$20
    ),
    TRANSPOSE(
        INDEX($X$5:$AM$77, MATCH($A161,_xlfn.ANCHORARRAY( $W$5), 0), 0)
    )
)
/
(
    INDEX($AN$5:$AN$77, MATCH(B$100,_xlfn.ANCHORARRAY( $W$5), 0))
    *
    INDEX($AN$5:$AN$77, MATCH($A161,_xlfn.ANCHORARRAY( $W$5), 0))
)</f>
        <v>0.87533676890841661</v>
      </c>
      <c r="C161" s="17" cm="1">
        <f t="array" ref="C161">MMULT(
    MMULT(
        INDEX($X$5:$AM$77, MATCH(C$100,_xlfn.ANCHORARRAY( $W$5), 0), 0),
        $F$5:$U$20
    ),
    TRANSPOSE(
        INDEX($X$5:$AM$77, MATCH($A161,_xlfn.ANCHORARRAY( $W$5), 0), 0)
    )
)
/
(
    INDEX($AN$5:$AN$77, MATCH(C$100,_xlfn.ANCHORARRAY( $W$5), 0))
    *
    INDEX($AN$5:$AN$77, MATCH($A161,_xlfn.ANCHORARRAY( $W$5), 0))
)</f>
        <v>0.72153205997977865</v>
      </c>
      <c r="D161" s="17" cm="1">
        <f t="array" ref="D161">MMULT(
    MMULT(
        INDEX($X$5:$AM$77, MATCH(D$100,_xlfn.ANCHORARRAY( $W$5), 0), 0),
        $F$5:$U$20
    ),
    TRANSPOSE(
        INDEX($X$5:$AM$77, MATCH($A161,_xlfn.ANCHORARRAY( $W$5), 0), 0)
    )
)
/
(
    INDEX($AN$5:$AN$77, MATCH(D$100,_xlfn.ANCHORARRAY( $W$5), 0))
    *
    INDEX($AN$5:$AN$77, MATCH($A161,_xlfn.ANCHORARRAY( $W$5), 0))
)</f>
        <v>0.94313184893914792</v>
      </c>
      <c r="E161" s="17" cm="1">
        <f t="array" ref="E161">MMULT(
    MMULT(
        INDEX($X$5:$AM$77, MATCH(E$100,_xlfn.ANCHORARRAY( $W$5), 0), 0),
        $F$5:$U$20
    ),
    TRANSPOSE(
        INDEX($X$5:$AM$77, MATCH($A161,_xlfn.ANCHORARRAY( $W$5), 0), 0)
    )
)
/
(
    INDEX($AN$5:$AN$77, MATCH(E$100,_xlfn.ANCHORARRAY( $W$5), 0))
    *
    INDEX($AN$5:$AN$77, MATCH($A161,_xlfn.ANCHORARRAY( $W$5), 0))
)</f>
        <v>0.75399096119401987</v>
      </c>
      <c r="F161" s="17" cm="1">
        <f t="array" ref="F161">MMULT(
    MMULT(
        INDEX($X$5:$AM$77, MATCH(F$100,_xlfn.ANCHORARRAY( $W$5), 0), 0),
        $F$5:$U$20
    ),
    TRANSPOSE(
        INDEX($X$5:$AM$77, MATCH($A161,_xlfn.ANCHORARRAY( $W$5), 0), 0)
    )
)
/
(
    INDEX($AN$5:$AN$77, MATCH(F$100,_xlfn.ANCHORARRAY( $W$5), 0))
    *
    INDEX($AN$5:$AN$77, MATCH($A161,_xlfn.ANCHORARRAY( $W$5), 0))
)</f>
        <v>0.80709103426985163</v>
      </c>
      <c r="G161" s="17" cm="1">
        <f t="array" ref="G161">MMULT(
    MMULT(
        INDEX($X$5:$AM$77, MATCH(G$100,_xlfn.ANCHORARRAY( $W$5), 0), 0),
        $F$5:$U$20
    ),
    TRANSPOSE(
        INDEX($X$5:$AM$77, MATCH($A161,_xlfn.ANCHORARRAY( $W$5), 0), 0)
    )
)
/
(
    INDEX($AN$5:$AN$77, MATCH(G$100,_xlfn.ANCHORARRAY( $W$5), 0))
    *
    INDEX($AN$5:$AN$77, MATCH($A161,_xlfn.ANCHORARRAY( $W$5), 0))
)</f>
        <v>0.77472583741105283</v>
      </c>
      <c r="H161" s="17" cm="1">
        <f t="array" ref="H161">MMULT(
    MMULT(
        INDEX($X$5:$AM$77, MATCH(H$100,_xlfn.ANCHORARRAY( $W$5), 0), 0),
        $F$5:$U$20
    ),
    TRANSPOSE(
        INDEX($X$5:$AM$77, MATCH($A161,_xlfn.ANCHORARRAY( $W$5), 0), 0)
    )
)
/
(
    INDEX($AN$5:$AN$77, MATCH(H$100,_xlfn.ANCHORARRAY( $W$5), 0))
    *
    INDEX($AN$5:$AN$77, MATCH($A161,_xlfn.ANCHORARRAY( $W$5), 0))
)</f>
        <v>0.90049432898369297</v>
      </c>
      <c r="I161" s="17" cm="1">
        <f t="array" ref="I161">MMULT(
    MMULT(
        INDEX($X$5:$AM$77, MATCH(I$100,_xlfn.ANCHORARRAY( $W$5), 0), 0),
        $F$5:$U$20
    ),
    TRANSPOSE(
        INDEX($X$5:$AM$77, MATCH($A161,_xlfn.ANCHORARRAY( $W$5), 0), 0)
    )
)
/
(
    INDEX($AN$5:$AN$77, MATCH(I$100,_xlfn.ANCHORARRAY( $W$5), 0))
    *
    INDEX($AN$5:$AN$77, MATCH($A161,_xlfn.ANCHORARRAY( $W$5), 0))
)</f>
        <v>0.71987324064825942</v>
      </c>
      <c r="J161" s="17" cm="1">
        <f t="array" ref="J161">MMULT(
    MMULT(
        INDEX($X$5:$AM$77, MATCH(J$100,_xlfn.ANCHORARRAY( $W$5), 0), 0),
        $F$5:$U$20
    ),
    TRANSPOSE(
        INDEX($X$5:$AM$77, MATCH($A161,_xlfn.ANCHORARRAY( $W$5), 0), 0)
    )
)
/
(
    INDEX($AN$5:$AN$77, MATCH(J$100,_xlfn.ANCHORARRAY( $W$5), 0))
    *
    INDEX($AN$5:$AN$77, MATCH($A161,_xlfn.ANCHORARRAY( $W$5), 0))
)</f>
        <v>0.8919264349070668</v>
      </c>
      <c r="K161" s="17" cm="1">
        <f t="array" ref="K161">MMULT(
    MMULT(
        INDEX($X$5:$AM$77, MATCH(K$100,_xlfn.ANCHORARRAY( $W$5), 0), 0),
        $F$5:$U$20
    ),
    TRANSPOSE(
        INDEX($X$5:$AM$77, MATCH($A161,_xlfn.ANCHORARRAY( $W$5), 0), 0)
    )
)
/
(
    INDEX($AN$5:$AN$77, MATCH(K$100,_xlfn.ANCHORARRAY( $W$5), 0))
    *
    INDEX($AN$5:$AN$77, MATCH($A161,_xlfn.ANCHORARRAY( $W$5), 0))
)</f>
        <v>0.83310997993561364</v>
      </c>
      <c r="L161" s="17" cm="1">
        <f t="array" ref="L161">MMULT(
    MMULT(
        INDEX($X$5:$AM$77, MATCH(L$100,_xlfn.ANCHORARRAY( $W$5), 0), 0),
        $F$5:$U$20
    ),
    TRANSPOSE(
        INDEX($X$5:$AM$77, MATCH($A161,_xlfn.ANCHORARRAY( $W$5), 0), 0)
    )
)
/
(
    INDEX($AN$5:$AN$77, MATCH(L$100,_xlfn.ANCHORARRAY( $W$5), 0))
    *
    INDEX($AN$5:$AN$77, MATCH($A161,_xlfn.ANCHORARRAY( $W$5), 0))
)</f>
        <v>0.73782071355698342</v>
      </c>
      <c r="M161" s="17" cm="1">
        <f t="array" ref="M161">MMULT(
    MMULT(
        INDEX($X$5:$AM$77, MATCH(M$100,_xlfn.ANCHORARRAY( $W$5), 0), 0),
        $F$5:$U$20
    ),
    TRANSPOSE(
        INDEX($X$5:$AM$77, MATCH($A161,_xlfn.ANCHORARRAY( $W$5), 0), 0)
    )
)
/
(
    INDEX($AN$5:$AN$77, MATCH(M$100,_xlfn.ANCHORARRAY( $W$5), 0))
    *
    INDEX($AN$5:$AN$77, MATCH($A161,_xlfn.ANCHORARRAY( $W$5), 0))
)</f>
        <v>0.82402124939257426</v>
      </c>
      <c r="N161" s="17" cm="1">
        <f t="array" ref="N161">MMULT(
    MMULT(
        INDEX($X$5:$AM$77, MATCH(N$100,_xlfn.ANCHORARRAY( $W$5), 0), 0),
        $F$5:$U$20
    ),
    TRANSPOSE(
        INDEX($X$5:$AM$77, MATCH($A161,_xlfn.ANCHORARRAY( $W$5), 0), 0)
    )
)
/
(
    INDEX($AN$5:$AN$77, MATCH(N$100,_xlfn.ANCHORARRAY( $W$5), 0))
    *
    INDEX($AN$5:$AN$77, MATCH($A161,_xlfn.ANCHORARRAY( $W$5), 0))
)</f>
        <v>0.70142634331067011</v>
      </c>
      <c r="O161" s="17" cm="1">
        <f t="array" ref="O161">MMULT(
    MMULT(
        INDEX($X$5:$AM$77, MATCH(O$100,_xlfn.ANCHORARRAY( $W$5), 0), 0),
        $F$5:$U$20
    ),
    TRANSPOSE(
        INDEX($X$5:$AM$77, MATCH($A161,_xlfn.ANCHORARRAY( $W$5), 0), 0)
    )
)
/
(
    INDEX($AN$5:$AN$77, MATCH(O$100,_xlfn.ANCHORARRAY( $W$5), 0))
    *
    INDEX($AN$5:$AN$77, MATCH($A161,_xlfn.ANCHORARRAY( $W$5), 0))
)</f>
        <v>0.69524769608541215</v>
      </c>
      <c r="P161" s="17" cm="1">
        <f t="array" ref="P161">MMULT(
    MMULT(
        INDEX($X$5:$AM$77, MATCH(P$100,_xlfn.ANCHORARRAY( $W$5), 0), 0),
        $F$5:$U$20
    ),
    TRANSPOSE(
        INDEX($X$5:$AM$77, MATCH($A161,_xlfn.ANCHORARRAY( $W$5), 0), 0)
    )
)
/
(
    INDEX($AN$5:$AN$77, MATCH(P$100,_xlfn.ANCHORARRAY( $W$5), 0))
    *
    INDEX($AN$5:$AN$77, MATCH($A161,_xlfn.ANCHORARRAY( $W$5), 0))
)</f>
        <v>0.82823443578620415</v>
      </c>
      <c r="Q161" s="17" cm="1">
        <f t="array" ref="Q161">MMULT(
    MMULT(
        INDEX($X$5:$AM$77, MATCH(Q$100,_xlfn.ANCHORARRAY( $W$5), 0), 0),
        $F$5:$U$20
    ),
    TRANSPOSE(
        INDEX($X$5:$AM$77, MATCH($A161,_xlfn.ANCHORARRAY( $W$5), 0), 0)
    )
)
/
(
    INDEX($AN$5:$AN$77, MATCH(Q$100,_xlfn.ANCHORARRAY( $W$5), 0))
    *
    INDEX($AN$5:$AN$77, MATCH($A161,_xlfn.ANCHORARRAY( $W$5), 0))
)</f>
        <v>0.79758852044396111</v>
      </c>
      <c r="R161" s="17" cm="1">
        <f t="array" ref="R161">MMULT(
    MMULT(
        INDEX($X$5:$AM$77, MATCH(R$100,_xlfn.ANCHORARRAY( $W$5), 0), 0),
        $F$5:$U$20
    ),
    TRANSPOSE(
        INDEX($X$5:$AM$77, MATCH($A161,_xlfn.ANCHORARRAY( $W$5), 0), 0)
    )
)
/
(
    INDEX($AN$5:$AN$77, MATCH(R$100,_xlfn.ANCHORARRAY( $W$5), 0))
    *
    INDEX($AN$5:$AN$77, MATCH($A161,_xlfn.ANCHORARRAY( $W$5), 0))
)</f>
        <v>0.98640317004472666</v>
      </c>
      <c r="S161" s="17" cm="1">
        <f t="array" ref="S161">MMULT(
    MMULT(
        INDEX($X$5:$AM$77, MATCH(S$100,_xlfn.ANCHORARRAY( $W$5), 0), 0),
        $F$5:$U$20
    ),
    TRANSPOSE(
        INDEX($X$5:$AM$77, MATCH($A161,_xlfn.ANCHORARRAY( $W$5), 0), 0)
    )
)
/
(
    INDEX($AN$5:$AN$77, MATCH(S$100,_xlfn.ANCHORARRAY( $W$5), 0))
    *
    INDEX($AN$5:$AN$77, MATCH($A161,_xlfn.ANCHORARRAY( $W$5), 0))
)</f>
        <v>0.95426461135276031</v>
      </c>
      <c r="T161" s="17" cm="1">
        <f t="array" ref="T161">MMULT(
    MMULT(
        INDEX($X$5:$AM$77, MATCH(T$100,_xlfn.ANCHORARRAY( $W$5), 0), 0),
        $F$5:$U$20
    ),
    TRANSPOSE(
        INDEX($X$5:$AM$77, MATCH($A161,_xlfn.ANCHORARRAY( $W$5), 0), 0)
    )
)
/
(
    INDEX($AN$5:$AN$77, MATCH(T$100,_xlfn.ANCHORARRAY( $W$5), 0))
    *
    INDEX($AN$5:$AN$77, MATCH($A161,_xlfn.ANCHORARRAY( $W$5), 0))
)</f>
        <v>0.34145162456286371</v>
      </c>
      <c r="U161" s="17" cm="1">
        <f t="array" ref="U161">MMULT(
    MMULT(
        INDEX($X$5:$AM$77, MATCH(U$100,_xlfn.ANCHORARRAY( $W$5), 0), 0),
        $F$5:$U$20
    ),
    TRANSPOSE(
        INDEX($X$5:$AM$77, MATCH($A161,_xlfn.ANCHORARRAY( $W$5), 0), 0)
    )
)
/
(
    INDEX($AN$5:$AN$77, MATCH(U$100,_xlfn.ANCHORARRAY( $W$5), 0))
    *
    INDEX($AN$5:$AN$77, MATCH($A161,_xlfn.ANCHORARRAY( $W$5), 0))
)</f>
        <v>0.93263914455654873</v>
      </c>
      <c r="V161" s="17" cm="1">
        <f t="array" ref="V161">MMULT(
    MMULT(
        INDEX($X$5:$AM$77, MATCH(V$100,_xlfn.ANCHORARRAY( $W$5), 0), 0),
        $F$5:$U$20
    ),
    TRANSPOSE(
        INDEX($X$5:$AM$77, MATCH($A161,_xlfn.ANCHORARRAY( $W$5), 0), 0)
    )
)
/
(
    INDEX($AN$5:$AN$77, MATCH(V$100,_xlfn.ANCHORARRAY( $W$5), 0))
    *
    INDEX($AN$5:$AN$77, MATCH($A161,_xlfn.ANCHORARRAY( $W$5), 0))
)</f>
        <v>0.57690733024195062</v>
      </c>
      <c r="W161" s="17" cm="1">
        <f t="array" ref="W161">MMULT(
    MMULT(
        INDEX($X$5:$AM$77, MATCH(W$100,_xlfn.ANCHORARRAY( $W$5), 0), 0),
        $F$5:$U$20
    ),
    TRANSPOSE(
        INDEX($X$5:$AM$77, MATCH($A161,_xlfn.ANCHORARRAY( $W$5), 0), 0)
    )
)
/
(
    INDEX($AN$5:$AN$77, MATCH(W$100,_xlfn.ANCHORARRAY( $W$5), 0))
    *
    INDEX($AN$5:$AN$77, MATCH($A161,_xlfn.ANCHORARRAY( $W$5), 0))
)</f>
        <v>0.59142772712465819</v>
      </c>
      <c r="X161" s="17" cm="1">
        <f t="array" ref="X161">MMULT(
    MMULT(
        INDEX($X$5:$AM$77, MATCH(X$100,_xlfn.ANCHORARRAY( $W$5), 0), 0),
        $F$5:$U$20
    ),
    TRANSPOSE(
        INDEX($X$5:$AM$77, MATCH($A161,_xlfn.ANCHORARRAY( $W$5), 0), 0)
    )
)
/
(
    INDEX($AN$5:$AN$77, MATCH(X$100,_xlfn.ANCHORARRAY( $W$5), 0))
    *
    INDEX($AN$5:$AN$77, MATCH($A161,_xlfn.ANCHORARRAY( $W$5), 0))
)</f>
        <v>0.80767811225674713</v>
      </c>
      <c r="Y161" s="17" cm="1">
        <f t="array" ref="Y161">MMULT(
    MMULT(
        INDEX($X$5:$AM$77, MATCH(Y$100,_xlfn.ANCHORARRAY( $W$5), 0), 0),
        $F$5:$U$20
    ),
    TRANSPOSE(
        INDEX($X$5:$AM$77, MATCH($A161,_xlfn.ANCHORARRAY( $W$5), 0), 0)
    )
)
/
(
    INDEX($AN$5:$AN$77, MATCH(Y$100,_xlfn.ANCHORARRAY( $W$5), 0))
    *
    INDEX($AN$5:$AN$77, MATCH($A161,_xlfn.ANCHORARRAY( $W$5), 0))
)</f>
        <v>0.68969006372102437</v>
      </c>
      <c r="Z161" s="17" cm="1">
        <f t="array" ref="Z161">MMULT(
    MMULT(
        INDEX($X$5:$AM$77, MATCH(Z$100,_xlfn.ANCHORARRAY( $W$5), 0), 0),
        $F$5:$U$20
    ),
    TRANSPOSE(
        INDEX($X$5:$AM$77, MATCH($A161,_xlfn.ANCHORARRAY( $W$5), 0), 0)
    )
)
/
(
    INDEX($AN$5:$AN$77, MATCH(Z$100,_xlfn.ANCHORARRAY( $W$5), 0))
    *
    INDEX($AN$5:$AN$77, MATCH($A161,_xlfn.ANCHORARRAY( $W$5), 0))
)</f>
        <v>0.88622005440303142</v>
      </c>
      <c r="AA161" s="17" cm="1">
        <f t="array" ref="AA161">MMULT(
    MMULT(
        INDEX($X$5:$AM$77, MATCH(AA$100,_xlfn.ANCHORARRAY( $W$5), 0), 0),
        $F$5:$U$20
    ),
    TRANSPOSE(
        INDEX($X$5:$AM$77, MATCH($A161,_xlfn.ANCHORARRAY( $W$5), 0), 0)
    )
)
/
(
    INDEX($AN$5:$AN$77, MATCH(AA$100,_xlfn.ANCHORARRAY( $W$5), 0))
    *
    INDEX($AN$5:$AN$77, MATCH($A161,_xlfn.ANCHORARRAY( $W$5), 0))
)</f>
        <v>0.81648029367585218</v>
      </c>
      <c r="AB161" s="17" cm="1">
        <f t="array" ref="AB161">MMULT(
    MMULT(
        INDEX($X$5:$AM$77, MATCH(AB$100,_xlfn.ANCHORARRAY( $W$5), 0), 0),
        $F$5:$U$20
    ),
    TRANSPOSE(
        INDEX($X$5:$AM$77, MATCH($A161,_xlfn.ANCHORARRAY( $W$5), 0), 0)
    )
)
/
(
    INDEX($AN$5:$AN$77, MATCH(AB$100,_xlfn.ANCHORARRAY( $W$5), 0))
    *
    INDEX($AN$5:$AN$77, MATCH($A161,_xlfn.ANCHORARRAY( $W$5), 0))
)</f>
        <v>0.84388295149369097</v>
      </c>
      <c r="AC161" s="17" cm="1">
        <f t="array" ref="AC161">MMULT(
    MMULT(
        INDEX($X$5:$AM$77, MATCH(AC$100,_xlfn.ANCHORARRAY( $W$5), 0), 0),
        $F$5:$U$20
    ),
    TRANSPOSE(
        INDEX($X$5:$AM$77, MATCH($A161,_xlfn.ANCHORARRAY( $W$5), 0), 0)
    )
)
/
(
    INDEX($AN$5:$AN$77, MATCH(AC$100,_xlfn.ANCHORARRAY( $W$5), 0))
    *
    INDEX($AN$5:$AN$77, MATCH($A161,_xlfn.ANCHORARRAY( $W$5), 0))
)</f>
        <v>0.71145720197620632</v>
      </c>
      <c r="AD161" s="17" cm="1">
        <f t="array" ref="AD161">MMULT(
    MMULT(
        INDEX($X$5:$AM$77, MATCH(AD$100,_xlfn.ANCHORARRAY( $W$5), 0), 0),
        $F$5:$U$20
    ),
    TRANSPOSE(
        INDEX($X$5:$AM$77, MATCH($A161,_xlfn.ANCHORARRAY( $W$5), 0), 0)
    )
)
/
(
    INDEX($AN$5:$AN$77, MATCH(AD$100,_xlfn.ANCHORARRAY( $W$5), 0))
    *
    INDEX($AN$5:$AN$77, MATCH($A161,_xlfn.ANCHORARRAY( $W$5), 0))
)</f>
        <v>0.92714345813614107</v>
      </c>
      <c r="AE161" s="17" cm="1">
        <f t="array" ref="AE161">MMULT(
    MMULT(
        INDEX($X$5:$AM$77, MATCH(AE$100,_xlfn.ANCHORARRAY( $W$5), 0), 0),
        $F$5:$U$20
    ),
    TRANSPOSE(
        INDEX($X$5:$AM$77, MATCH($A161,_xlfn.ANCHORARRAY( $W$5), 0), 0)
    )
)
/
(
    INDEX($AN$5:$AN$77, MATCH(AE$100,_xlfn.ANCHORARRAY( $W$5), 0))
    *
    INDEX($AN$5:$AN$77, MATCH($A161,_xlfn.ANCHORARRAY( $W$5), 0))
)</f>
        <v>0.87531489279159169</v>
      </c>
      <c r="AF161" s="17" cm="1">
        <f t="array" ref="AF161">MMULT(
    MMULT(
        INDEX($X$5:$AM$77, MATCH(AF$100,_xlfn.ANCHORARRAY( $W$5), 0), 0),
        $F$5:$U$20
    ),
    TRANSPOSE(
        INDEX($X$5:$AM$77, MATCH($A161,_xlfn.ANCHORARRAY( $W$5), 0), 0)
    )
)
/
(
    INDEX($AN$5:$AN$77, MATCH(AF$100,_xlfn.ANCHORARRAY( $W$5), 0))
    *
    INDEX($AN$5:$AN$77, MATCH($A161,_xlfn.ANCHORARRAY( $W$5), 0))
)</f>
        <v>0.83479843234549667</v>
      </c>
      <c r="AG161" s="17" cm="1">
        <f t="array" ref="AG161">MMULT(
    MMULT(
        INDEX($X$5:$AM$77, MATCH(AG$100,_xlfn.ANCHORARRAY( $W$5), 0), 0),
        $F$5:$U$20
    ),
    TRANSPOSE(
        INDEX($X$5:$AM$77, MATCH($A161,_xlfn.ANCHORARRAY( $W$5), 0), 0)
    )
)
/
(
    INDEX($AN$5:$AN$77, MATCH(AG$100,_xlfn.ANCHORARRAY( $W$5), 0))
    *
    INDEX($AN$5:$AN$77, MATCH($A161,_xlfn.ANCHORARRAY( $W$5), 0))
)</f>
        <v>0.93726101179385224</v>
      </c>
      <c r="AH161" s="17" cm="1">
        <f t="array" ref="AH161">MMULT(
    MMULT(
        INDEX($X$5:$AM$77, MATCH(AH$100,_xlfn.ANCHORARRAY( $W$5), 0), 0),
        $F$5:$U$20
    ),
    TRANSPOSE(
        INDEX($X$5:$AM$77, MATCH($A161,_xlfn.ANCHORARRAY( $W$5), 0), 0)
    )
)
/
(
    INDEX($AN$5:$AN$77, MATCH(AH$100,_xlfn.ANCHORARRAY( $W$5), 0))
    *
    INDEX($AN$5:$AN$77, MATCH($A161,_xlfn.ANCHORARRAY( $W$5), 0))
)</f>
        <v>0.75520027991487271</v>
      </c>
      <c r="AI161" s="17" cm="1">
        <f t="array" ref="AI161">MMULT(
    MMULT(
        INDEX($X$5:$AM$77, MATCH(AI$100,_xlfn.ANCHORARRAY( $W$5), 0), 0),
        $F$5:$U$20
    ),
    TRANSPOSE(
        INDEX($X$5:$AM$77, MATCH($A161,_xlfn.ANCHORARRAY( $W$5), 0), 0)
    )
)
/
(
    INDEX($AN$5:$AN$77, MATCH(AI$100,_xlfn.ANCHORARRAY( $W$5), 0))
    *
    INDEX($AN$5:$AN$77, MATCH($A161,_xlfn.ANCHORARRAY( $W$5), 0))
)</f>
        <v>0.94664440346257173</v>
      </c>
      <c r="AJ161" s="17" cm="1">
        <f t="array" ref="AJ161">MMULT(
    MMULT(
        INDEX($X$5:$AM$77, MATCH(AJ$100,_xlfn.ANCHORARRAY( $W$5), 0), 0),
        $F$5:$U$20
    ),
    TRANSPOSE(
        INDEX($X$5:$AM$77, MATCH($A161,_xlfn.ANCHORARRAY( $W$5), 0), 0)
    )
)
/
(
    INDEX($AN$5:$AN$77, MATCH(AJ$100,_xlfn.ANCHORARRAY( $W$5), 0))
    *
    INDEX($AN$5:$AN$77, MATCH($A161,_xlfn.ANCHORARRAY( $W$5), 0))
)</f>
        <v>0.81682219799124778</v>
      </c>
      <c r="AK161" s="17" cm="1">
        <f t="array" ref="AK161">MMULT(
    MMULT(
        INDEX($X$5:$AM$77, MATCH(AK$100,_xlfn.ANCHORARRAY( $W$5), 0), 0),
        $F$5:$U$20
    ),
    TRANSPOSE(
        INDEX($X$5:$AM$77, MATCH($A161,_xlfn.ANCHORARRAY( $W$5), 0), 0)
    )
)
/
(
    INDEX($AN$5:$AN$77, MATCH(AK$100,_xlfn.ANCHORARRAY( $W$5), 0))
    *
    INDEX($AN$5:$AN$77, MATCH($A161,_xlfn.ANCHORARRAY( $W$5), 0))
)</f>
        <v>0.88990201944709579</v>
      </c>
      <c r="AL161" s="17" cm="1">
        <f t="array" ref="AL161">MMULT(
    MMULT(
        INDEX($X$5:$AM$77, MATCH(AL$100,_xlfn.ANCHORARRAY( $W$5), 0), 0),
        $F$5:$U$20
    ),
    TRANSPOSE(
        INDEX($X$5:$AM$77, MATCH($A161,_xlfn.ANCHORARRAY( $W$5), 0), 0)
    )
)
/
(
    INDEX($AN$5:$AN$77, MATCH(AL$100,_xlfn.ANCHORARRAY( $W$5), 0))
    *
    INDEX($AN$5:$AN$77, MATCH($A161,_xlfn.ANCHORARRAY( $W$5), 0))
)</f>
        <v>0.75500588982483274</v>
      </c>
      <c r="AM161" s="17" cm="1">
        <f t="array" ref="AM161">MMULT(
    MMULT(
        INDEX($X$5:$AM$77, MATCH(AM$100,_xlfn.ANCHORARRAY( $W$5), 0), 0),
        $F$5:$U$20
    ),
    TRANSPOSE(
        INDEX($X$5:$AM$77, MATCH($A161,_xlfn.ANCHORARRAY( $W$5), 0), 0)
    )
)
/
(
    INDEX($AN$5:$AN$77, MATCH(AM$100,_xlfn.ANCHORARRAY( $W$5), 0))
    *
    INDEX($AN$5:$AN$77, MATCH($A161,_xlfn.ANCHORARRAY( $W$5), 0))
)</f>
        <v>0.74675008546899024</v>
      </c>
      <c r="AN161" s="17" cm="1">
        <f t="array" ref="AN161">MMULT(
    MMULT(
        INDEX($X$5:$AM$77, MATCH(AN$100,_xlfn.ANCHORARRAY( $W$5), 0), 0),
        $F$5:$U$20
    ),
    TRANSPOSE(
        INDEX($X$5:$AM$77, MATCH($A161,_xlfn.ANCHORARRAY( $W$5), 0), 0)
    )
)
/
(
    INDEX($AN$5:$AN$77, MATCH(AN$100,_xlfn.ANCHORARRAY( $W$5), 0))
    *
    INDEX($AN$5:$AN$77, MATCH($A161,_xlfn.ANCHORARRAY( $W$5), 0))
)</f>
        <v>0.83983669509819658</v>
      </c>
      <c r="AO161" s="17" cm="1">
        <f t="array" ref="AO161">MMULT(
    MMULT(
        INDEX($X$5:$AM$77, MATCH(AO$100,_xlfn.ANCHORARRAY( $W$5), 0), 0),
        $F$5:$U$20
    ),
    TRANSPOSE(
        INDEX($X$5:$AM$77, MATCH($A161,_xlfn.ANCHORARRAY( $W$5), 0), 0)
    )
)
/
(
    INDEX($AN$5:$AN$77, MATCH(AO$100,_xlfn.ANCHORARRAY( $W$5), 0))
    *
    INDEX($AN$5:$AN$77, MATCH($A161,_xlfn.ANCHORARRAY( $W$5), 0))
)</f>
        <v>0.75027038367016663</v>
      </c>
      <c r="AP161" s="17" cm="1">
        <f t="array" ref="AP161">MMULT(
    MMULT(
        INDEX($X$5:$AM$77, MATCH(AP$100,_xlfn.ANCHORARRAY( $W$5), 0), 0),
        $F$5:$U$20
    ),
    TRANSPOSE(
        INDEX($X$5:$AM$77, MATCH($A161,_xlfn.ANCHORARRAY( $W$5), 0), 0)
    )
)
/
(
    INDEX($AN$5:$AN$77, MATCH(AP$100,_xlfn.ANCHORARRAY( $W$5), 0))
    *
    INDEX($AN$5:$AN$77, MATCH($A161,_xlfn.ANCHORARRAY( $W$5), 0))
)</f>
        <v>0.63343415021829086</v>
      </c>
      <c r="AQ161" s="17" cm="1">
        <f t="array" ref="AQ161">MMULT(
    MMULT(
        INDEX($X$5:$AM$77, MATCH(AQ$100,_xlfn.ANCHORARRAY( $W$5), 0), 0),
        $F$5:$U$20
    ),
    TRANSPOSE(
        INDEX($X$5:$AM$77, MATCH($A161,_xlfn.ANCHORARRAY( $W$5), 0), 0)
    )
)
/
(
    INDEX($AN$5:$AN$77, MATCH(AQ$100,_xlfn.ANCHORARRAY( $W$5), 0))
    *
    INDEX($AN$5:$AN$77, MATCH($A161,_xlfn.ANCHORARRAY( $W$5), 0))
)</f>
        <v>0.87286407723276649</v>
      </c>
      <c r="AR161" s="17" cm="1">
        <f t="array" ref="AR161">MMULT(
    MMULT(
        INDEX($X$5:$AM$77, MATCH(AR$100,_xlfn.ANCHORARRAY( $W$5), 0), 0),
        $F$5:$U$20
    ),
    TRANSPOSE(
        INDEX($X$5:$AM$77, MATCH($A161,_xlfn.ANCHORARRAY( $W$5), 0), 0)
    )
)
/
(
    INDEX($AN$5:$AN$77, MATCH(AR$100,_xlfn.ANCHORARRAY( $W$5), 0))
    *
    INDEX($AN$5:$AN$77, MATCH($A161,_xlfn.ANCHORARRAY( $W$5), 0))
)</f>
        <v>0.83503040996435407</v>
      </c>
      <c r="AS161" s="17" cm="1">
        <f t="array" ref="AS161">MMULT(
    MMULT(
        INDEX($X$5:$AM$77, MATCH(AS$100,_xlfn.ANCHORARRAY( $W$5), 0), 0),
        $F$5:$U$20
    ),
    TRANSPOSE(
        INDEX($X$5:$AM$77, MATCH($A161,_xlfn.ANCHORARRAY( $W$5), 0), 0)
    )
)
/
(
    INDEX($AN$5:$AN$77, MATCH(AS$100,_xlfn.ANCHORARRAY( $W$5), 0))
    *
    INDEX($AN$5:$AN$77, MATCH($A161,_xlfn.ANCHORARRAY( $W$5), 0))
)</f>
        <v>0.82422280112770707</v>
      </c>
      <c r="AT161" s="17" cm="1">
        <f t="array" ref="AT161">MMULT(
    MMULT(
        INDEX($X$5:$AM$77, MATCH(AT$100,_xlfn.ANCHORARRAY( $W$5), 0), 0),
        $F$5:$U$20
    ),
    TRANSPOSE(
        INDEX($X$5:$AM$77, MATCH($A161,_xlfn.ANCHORARRAY( $W$5), 0), 0)
    )
)
/
(
    INDEX($AN$5:$AN$77, MATCH(AT$100,_xlfn.ANCHORARRAY( $W$5), 0))
    *
    INDEX($AN$5:$AN$77, MATCH($A161,_xlfn.ANCHORARRAY( $W$5), 0))
)</f>
        <v>0.87037923966102038</v>
      </c>
      <c r="AU161" s="17" cm="1">
        <f t="array" ref="AU161">MMULT(
    MMULT(
        INDEX($X$5:$AM$77, MATCH(AU$100,_xlfn.ANCHORARRAY( $W$5), 0), 0),
        $F$5:$U$20
    ),
    TRANSPOSE(
        INDEX($X$5:$AM$77, MATCH($A161,_xlfn.ANCHORARRAY( $W$5), 0), 0)
    )
)
/
(
    INDEX($AN$5:$AN$77, MATCH(AU$100,_xlfn.ANCHORARRAY( $W$5), 0))
    *
    INDEX($AN$5:$AN$77, MATCH($A161,_xlfn.ANCHORARRAY( $W$5), 0))
)</f>
        <v>0.8281563932155851</v>
      </c>
      <c r="AV161" s="17" cm="1">
        <f t="array" ref="AV161">MMULT(
    MMULT(
        INDEX($X$5:$AM$77, MATCH(AV$100,_xlfn.ANCHORARRAY( $W$5), 0), 0),
        $F$5:$U$20
    ),
    TRANSPOSE(
        INDEX($X$5:$AM$77, MATCH($A161,_xlfn.ANCHORARRAY( $W$5), 0), 0)
    )
)
/
(
    INDEX($AN$5:$AN$77, MATCH(AV$100,_xlfn.ANCHORARRAY( $W$5), 0))
    *
    INDEX($AN$5:$AN$77, MATCH($A161,_xlfn.ANCHORARRAY( $W$5), 0))
)</f>
        <v>0.84869325361002201</v>
      </c>
      <c r="AW161" s="17" cm="1">
        <f t="array" ref="AW161">MMULT(
    MMULT(
        INDEX($X$5:$AM$77, MATCH(AW$100,_xlfn.ANCHORARRAY( $W$5), 0), 0),
        $F$5:$U$20
    ),
    TRANSPOSE(
        INDEX($X$5:$AM$77, MATCH($A161,_xlfn.ANCHORARRAY( $W$5), 0), 0)
    )
)
/
(
    INDEX($AN$5:$AN$77, MATCH(AW$100,_xlfn.ANCHORARRAY( $W$5), 0))
    *
    INDEX($AN$5:$AN$77, MATCH($A161,_xlfn.ANCHORARRAY( $W$5), 0))
)</f>
        <v>0.71042542025383082</v>
      </c>
      <c r="AX161" s="17" cm="1">
        <f t="array" ref="AX161">MMULT(
    MMULT(
        INDEX($X$5:$AM$77, MATCH(AX$100,_xlfn.ANCHORARRAY( $W$5), 0), 0),
        $F$5:$U$20
    ),
    TRANSPOSE(
        INDEX($X$5:$AM$77, MATCH($A161,_xlfn.ANCHORARRAY( $W$5), 0), 0)
    )
)
/
(
    INDEX($AN$5:$AN$77, MATCH(AX$100,_xlfn.ANCHORARRAY( $W$5), 0))
    *
    INDEX($AN$5:$AN$77, MATCH($A161,_xlfn.ANCHORARRAY( $W$5), 0))
)</f>
        <v>0.5978479821458077</v>
      </c>
      <c r="AY161" s="17" cm="1">
        <f t="array" ref="AY161">MMULT(
    MMULT(
        INDEX($X$5:$AM$77, MATCH(AY$100,_xlfn.ANCHORARRAY( $W$5), 0), 0),
        $F$5:$U$20
    ),
    TRANSPOSE(
        INDEX($X$5:$AM$77, MATCH($A161,_xlfn.ANCHORARRAY( $W$5), 0), 0)
    )
)
/
(
    INDEX($AN$5:$AN$77, MATCH(AY$100,_xlfn.ANCHORARRAY( $W$5), 0))
    *
    INDEX($AN$5:$AN$77, MATCH($A161,_xlfn.ANCHORARRAY( $W$5), 0))
)</f>
        <v>0.66133574300128528</v>
      </c>
      <c r="AZ161" s="17" cm="1">
        <f t="array" ref="AZ161">MMULT(
    MMULT(
        INDEX($X$5:$AM$77, MATCH(AZ$100,_xlfn.ANCHORARRAY( $W$5), 0), 0),
        $F$5:$U$20
    ),
    TRANSPOSE(
        INDEX($X$5:$AM$77, MATCH($A161,_xlfn.ANCHORARRAY( $W$5), 0), 0)
    )
)
/
(
    INDEX($AN$5:$AN$77, MATCH(AZ$100,_xlfn.ANCHORARRAY( $W$5), 0))
    *
    INDEX($AN$5:$AN$77, MATCH($A161,_xlfn.ANCHORARRAY( $W$5), 0))
)</f>
        <v>0.89221337021794311</v>
      </c>
      <c r="BA161" s="17" cm="1">
        <f t="array" ref="BA161">MMULT(
    MMULT(
        INDEX($X$5:$AM$77, MATCH(BA$100,_xlfn.ANCHORARRAY( $W$5), 0), 0),
        $F$5:$U$20
    ),
    TRANSPOSE(
        INDEX($X$5:$AM$77, MATCH($A161,_xlfn.ANCHORARRAY( $W$5), 0), 0)
    )
)
/
(
    INDEX($AN$5:$AN$77, MATCH(BA$100,_xlfn.ANCHORARRAY( $W$5), 0))
    *
    INDEX($AN$5:$AN$77, MATCH($A161,_xlfn.ANCHORARRAY( $W$5), 0))
)</f>
        <v>0.88012690477618039</v>
      </c>
      <c r="BB161" s="17" cm="1">
        <f t="array" ref="BB161">MMULT(
    MMULT(
        INDEX($X$5:$AM$77, MATCH(BB$100,_xlfn.ANCHORARRAY( $W$5), 0), 0),
        $F$5:$U$20
    ),
    TRANSPOSE(
        INDEX($X$5:$AM$77, MATCH($A161,_xlfn.ANCHORARRAY( $W$5), 0), 0)
    )
)
/
(
    INDEX($AN$5:$AN$77, MATCH(BB$100,_xlfn.ANCHORARRAY( $W$5), 0))
    *
    INDEX($AN$5:$AN$77, MATCH($A161,_xlfn.ANCHORARRAY( $W$5), 0))
)</f>
        <v>0.699105867174875</v>
      </c>
      <c r="BC161" s="17" cm="1">
        <f t="array" ref="BC161">MMULT(
    MMULT(
        INDEX($X$5:$AM$77, MATCH(BC$100,_xlfn.ANCHORARRAY( $W$5), 0), 0),
        $F$5:$U$20
    ),
    TRANSPOSE(
        INDEX($X$5:$AM$77, MATCH($A161,_xlfn.ANCHORARRAY( $W$5), 0), 0)
    )
)
/
(
    INDEX($AN$5:$AN$77, MATCH(BC$100,_xlfn.ANCHORARRAY( $W$5), 0))
    *
    INDEX($AN$5:$AN$77, MATCH($A161,_xlfn.ANCHORARRAY( $W$5), 0))
)</f>
        <v>0.85199343300422159</v>
      </c>
      <c r="BD161" s="17" cm="1">
        <f t="array" ref="BD161">MMULT(
    MMULT(
        INDEX($X$5:$AM$77, MATCH(BD$100,_xlfn.ANCHORARRAY( $W$5), 0), 0),
        $F$5:$U$20
    ),
    TRANSPOSE(
        INDEX($X$5:$AM$77, MATCH($A161,_xlfn.ANCHORARRAY( $W$5), 0), 0)
    )
)
/
(
    INDEX($AN$5:$AN$77, MATCH(BD$100,_xlfn.ANCHORARRAY( $W$5), 0))
    *
    INDEX($AN$5:$AN$77, MATCH($A161,_xlfn.ANCHORARRAY( $W$5), 0))
)</f>
        <v>0.67593715620755512</v>
      </c>
      <c r="BE161" s="17" cm="1">
        <f t="array" ref="BE161">MMULT(
    MMULT(
        INDEX($X$5:$AM$77, MATCH(BE$100,_xlfn.ANCHORARRAY( $W$5), 0), 0),
        $F$5:$U$20
    ),
    TRANSPOSE(
        INDEX($X$5:$AM$77, MATCH($A161,_xlfn.ANCHORARRAY( $W$5), 0), 0)
    )
)
/
(
    INDEX($AN$5:$AN$77, MATCH(BE$100,_xlfn.ANCHORARRAY( $W$5), 0))
    *
    INDEX($AN$5:$AN$77, MATCH($A161,_xlfn.ANCHORARRAY( $W$5), 0))
)</f>
        <v>0.71482164622958999</v>
      </c>
      <c r="BF161" s="17" cm="1">
        <f t="array" ref="BF161">MMULT(
    MMULT(
        INDEX($X$5:$AM$77, MATCH(BF$100,_xlfn.ANCHORARRAY( $W$5), 0), 0),
        $F$5:$U$20
    ),
    TRANSPOSE(
        INDEX($X$5:$AM$77, MATCH($A161,_xlfn.ANCHORARRAY( $W$5), 0), 0)
    )
)
/
(
    INDEX($AN$5:$AN$77, MATCH(BF$100,_xlfn.ANCHORARRAY( $W$5), 0))
    *
    INDEX($AN$5:$AN$77, MATCH($A161,_xlfn.ANCHORARRAY( $W$5), 0))
)</f>
        <v>0.88408086319268542</v>
      </c>
      <c r="BG161" s="17" cm="1">
        <f t="array" ref="BG161">MMULT(
    MMULT(
        INDEX($X$5:$AM$77, MATCH(BG$100,_xlfn.ANCHORARRAY( $W$5), 0), 0),
        $F$5:$U$20
    ),
    TRANSPOSE(
        INDEX($X$5:$AM$77, MATCH($A161,_xlfn.ANCHORARRAY( $W$5), 0), 0)
    )
)
/
(
    INDEX($AN$5:$AN$77, MATCH(BG$100,_xlfn.ANCHORARRAY( $W$5), 0))
    *
    INDEX($AN$5:$AN$77, MATCH($A161,_xlfn.ANCHORARRAY( $W$5), 0))
)</f>
        <v>0.80011417268726248</v>
      </c>
      <c r="BH161" s="17" cm="1">
        <f t="array" ref="BH161">MMULT(
    MMULT(
        INDEX($X$5:$AM$77, MATCH(BH$100,_xlfn.ANCHORARRAY( $W$5), 0), 0),
        $F$5:$U$20
    ),
    TRANSPOSE(
        INDEX($X$5:$AM$77, MATCH($A161,_xlfn.ANCHORARRAY( $W$5), 0), 0)
    )
)
/
(
    INDEX($AN$5:$AN$77, MATCH(BH$100,_xlfn.ANCHORARRAY( $W$5), 0))
    *
    INDEX($AN$5:$AN$77, MATCH($A161,_xlfn.ANCHORARRAY( $W$5), 0))
)</f>
        <v>0.84286996891026755</v>
      </c>
      <c r="BI161" s="17" cm="1">
        <f t="array" ref="BI161">MMULT(
    MMULT(
        INDEX($X$5:$AM$77, MATCH(BI$100,_xlfn.ANCHORARRAY( $W$5), 0), 0),
        $F$5:$U$20
    ),
    TRANSPOSE(
        INDEX($X$5:$AM$77, MATCH($A161,_xlfn.ANCHORARRAY( $W$5), 0), 0)
    )
)
/
(
    INDEX($AN$5:$AN$77, MATCH(BI$100,_xlfn.ANCHORARRAY( $W$5), 0))
    *
    INDEX($AN$5:$AN$77, MATCH($A161,_xlfn.ANCHORARRAY( $W$5), 0))
)</f>
        <v>0.58496959780303015</v>
      </c>
      <c r="BJ161" s="17" cm="1">
        <f t="array" ref="BJ161">MMULT(
    MMULT(
        INDEX($X$5:$AM$77, MATCH(BJ$100,_xlfn.ANCHORARRAY( $W$5), 0), 0),
        $F$5:$U$20
    ),
    TRANSPOSE(
        INDEX($X$5:$AM$77, MATCH($A161,_xlfn.ANCHORARRAY( $W$5), 0), 0)
    )
)
/
(
    INDEX($AN$5:$AN$77, MATCH(BJ$100,_xlfn.ANCHORARRAY( $W$5), 0))
    *
    INDEX($AN$5:$AN$77, MATCH($A161,_xlfn.ANCHORARRAY( $W$5), 0))
)</f>
        <v>1</v>
      </c>
      <c r="BK161" s="17" cm="1">
        <f t="array" ref="BK161">MMULT(
    MMULT(
        INDEX($X$5:$AM$77, MATCH(BK$100,_xlfn.ANCHORARRAY( $W$5), 0), 0),
        $F$5:$U$20
    ),
    TRANSPOSE(
        INDEX($X$5:$AM$77, MATCH($A161,_xlfn.ANCHORARRAY( $W$5), 0), 0)
    )
)
/
(
    INDEX($AN$5:$AN$77, MATCH(BK$100,_xlfn.ANCHORARRAY( $W$5), 0))
    *
    INDEX($AN$5:$AN$77, MATCH($A161,_xlfn.ANCHORARRAY( $W$5), 0))
)</f>
        <v>0.69690735550970773</v>
      </c>
      <c r="BL161" s="17" cm="1">
        <f t="array" ref="BL161">MMULT(
    MMULT(
        INDEX($X$5:$AM$77, MATCH(BL$100,_xlfn.ANCHORARRAY( $W$5), 0), 0),
        $F$5:$U$20
    ),
    TRANSPOSE(
        INDEX($X$5:$AM$77, MATCH($A161,_xlfn.ANCHORARRAY( $W$5), 0), 0)
    )
)
/
(
    INDEX($AN$5:$AN$77, MATCH(BL$100,_xlfn.ANCHORARRAY( $W$5), 0))
    *
    INDEX($AN$5:$AN$77, MATCH($A161,_xlfn.ANCHORARRAY( $W$5), 0))
)</f>
        <v>0.35331009352120307</v>
      </c>
      <c r="BM161" s="17" cm="1">
        <f t="array" ref="BM161">MMULT(
    MMULT(
        INDEX($X$5:$AM$77, MATCH(BM$100,_xlfn.ANCHORARRAY( $W$5), 0), 0),
        $F$5:$U$20
    ),
    TRANSPOSE(
        INDEX($X$5:$AM$77, MATCH($A161,_xlfn.ANCHORARRAY( $W$5), 0), 0)
    )
)
/
(
    INDEX($AN$5:$AN$77, MATCH(BM$100,_xlfn.ANCHORARRAY( $W$5), 0))
    *
    INDEX($AN$5:$AN$77, MATCH($A161,_xlfn.ANCHORARRAY( $W$5), 0))
)</f>
        <v>0.64978045705457244</v>
      </c>
      <c r="BN161" s="17" cm="1">
        <f t="array" ref="BN161">MMULT(
    MMULT(
        INDEX($X$5:$AM$77, MATCH(BN$100,_xlfn.ANCHORARRAY( $W$5), 0), 0),
        $F$5:$U$20
    ),
    TRANSPOSE(
        INDEX($X$5:$AM$77, MATCH($A161,_xlfn.ANCHORARRAY( $W$5), 0), 0)
    )
)
/
(
    INDEX($AN$5:$AN$77, MATCH(BN$100,_xlfn.ANCHORARRAY( $W$5), 0))
    *
    INDEX($AN$5:$AN$77, MATCH($A161,_xlfn.ANCHORARRAY( $W$5), 0))
)</f>
        <v>0.77717050500093177</v>
      </c>
      <c r="BO161" s="17" cm="1">
        <f t="array" ref="BO161">MMULT(
    MMULT(
        INDEX($X$5:$AM$77, MATCH(BO$100,_xlfn.ANCHORARRAY( $W$5), 0), 0),
        $F$5:$U$20
    ),
    TRANSPOSE(
        INDEX($X$5:$AM$77, MATCH($A161,_xlfn.ANCHORARRAY( $W$5), 0), 0)
    )
)
/
(
    INDEX($AN$5:$AN$77, MATCH(BO$100,_xlfn.ANCHORARRAY( $W$5), 0))
    *
    INDEX($AN$5:$AN$77, MATCH($A161,_xlfn.ANCHORARRAY( $W$5), 0))
)</f>
        <v>0.84033059478184025</v>
      </c>
      <c r="BP161" s="17" cm="1">
        <f t="array" ref="BP161">MMULT(
    MMULT(
        INDEX($X$5:$AM$77, MATCH(BP$100,_xlfn.ANCHORARRAY( $W$5), 0), 0),
        $F$5:$U$20
    ),
    TRANSPOSE(
        INDEX($X$5:$AM$77, MATCH($A161,_xlfn.ANCHORARRAY( $W$5), 0), 0)
    )
)
/
(
    INDEX($AN$5:$AN$77, MATCH(BP$100,_xlfn.ANCHORARRAY( $W$5), 0))
    *
    INDEX($AN$5:$AN$77, MATCH($A161,_xlfn.ANCHORARRAY( $W$5), 0))
)</f>
        <v>0.9252114171419854</v>
      </c>
      <c r="BQ161" s="17" cm="1">
        <f t="array" ref="BQ161">MMULT(
    MMULT(
        INDEX($X$5:$AM$77, MATCH(BQ$100,_xlfn.ANCHORARRAY( $W$5), 0), 0),
        $F$5:$U$20
    ),
    TRANSPOSE(
        INDEX($X$5:$AM$77, MATCH($A161,_xlfn.ANCHORARRAY( $W$5), 0), 0)
    )
)
/
(
    INDEX($AN$5:$AN$77, MATCH(BQ$100,_xlfn.ANCHORARRAY( $W$5), 0))
    *
    INDEX($AN$5:$AN$77, MATCH($A161,_xlfn.ANCHORARRAY( $W$5), 0))
)</f>
        <v>0.63149256318089286</v>
      </c>
      <c r="BR161" s="17" cm="1">
        <f t="array" ref="BR161">MMULT(
    MMULT(
        INDEX($X$5:$AM$77, MATCH(BR$100,_xlfn.ANCHORARRAY( $W$5), 0), 0),
        $F$5:$U$20
    ),
    TRANSPOSE(
        INDEX($X$5:$AM$77, MATCH($A161,_xlfn.ANCHORARRAY( $W$5), 0), 0)
    )
)
/
(
    INDEX($AN$5:$AN$77, MATCH(BR$100,_xlfn.ANCHORARRAY( $W$5), 0))
    *
    INDEX($AN$5:$AN$77, MATCH($A161,_xlfn.ANCHORARRAY( $W$5), 0))
)</f>
        <v>0.7313926434748782</v>
      </c>
      <c r="BS161" s="17" cm="1">
        <f t="array" ref="BS161">MMULT(
    MMULT(
        INDEX($X$5:$AM$77, MATCH(BS$100,_xlfn.ANCHORARRAY( $W$5), 0), 0),
        $F$5:$U$20
    ),
    TRANSPOSE(
        INDEX($X$5:$AM$77, MATCH($A161,_xlfn.ANCHORARRAY( $W$5), 0), 0)
    )
)
/
(
    INDEX($AN$5:$AN$77, MATCH(BS$100,_xlfn.ANCHORARRAY( $W$5), 0))
    *
    INDEX($AN$5:$AN$77, MATCH($A161,_xlfn.ANCHORARRAY( $W$5), 0))
)</f>
        <v>0.76281042889847572</v>
      </c>
      <c r="BT161" s="17" cm="1">
        <f t="array" ref="BT161">MMULT(
    MMULT(
        INDEX($X$5:$AM$77, MATCH(BT$100,_xlfn.ANCHORARRAY( $W$5), 0), 0),
        $F$5:$U$20
    ),
    TRANSPOSE(
        INDEX($X$5:$AM$77, MATCH($A161,_xlfn.ANCHORARRAY( $W$5), 0), 0)
    )
)
/
(
    INDEX($AN$5:$AN$77, MATCH(BT$100,_xlfn.ANCHORARRAY( $W$5), 0))
    *
    INDEX($AN$5:$AN$77, MATCH($A161,_xlfn.ANCHORARRAY( $W$5), 0))
)</f>
        <v>0.95483887200712558</v>
      </c>
      <c r="BU161" s="17" cm="1">
        <f t="array" ref="BU161">MMULT(
    MMULT(
        INDEX($X$5:$AM$77, MATCH(BU$100,_xlfn.ANCHORARRAY( $W$5), 0), 0),
        $F$5:$U$20
    ),
    TRANSPOSE(
        INDEX($X$5:$AM$77, MATCH($A161,_xlfn.ANCHORARRAY( $W$5), 0), 0)
    )
)
/
(
    INDEX($AN$5:$AN$77, MATCH(BU$100,_xlfn.ANCHORARRAY( $W$5), 0))
    *
    INDEX($AN$5:$AN$77, MATCH($A161,_xlfn.ANCHORARRAY( $W$5), 0))
)</f>
        <v>0.85323004969201399</v>
      </c>
      <c r="BV161" s="17" cm="1">
        <f t="array" ref="BV161">MMULT(
    MMULT(
        INDEX($X$5:$AM$77, MATCH(BV$100,_xlfn.ANCHORARRAY( $W$5), 0), 0),
        $F$5:$U$20
    ),
    TRANSPOSE(
        INDEX($X$5:$AM$77, MATCH($A161,_xlfn.ANCHORARRAY( $W$5), 0), 0)
    )
)
/
(
    INDEX($AN$5:$AN$77, MATCH(BV$100,_xlfn.ANCHORARRAY( $W$5), 0))
    *
    INDEX($AN$5:$AN$77, MATCH($A161,_xlfn.ANCHORARRAY( $W$5), 0))
)</f>
        <v>0.76170643753724365</v>
      </c>
    </row>
    <row r="162" spans="1:74" x14ac:dyDescent="0.3">
      <c r="A162" s="7" t="str">
        <v>Kerr, Ray</v>
      </c>
      <c r="B162" s="17" cm="1">
        <f t="array" ref="B162">MMULT(
    MMULT(
        INDEX($X$5:$AM$77, MATCH(B$100,_xlfn.ANCHORARRAY( $W$5), 0), 0),
        $F$5:$U$20
    ),
    TRANSPOSE(
        INDEX($X$5:$AM$77, MATCH($A162,_xlfn.ANCHORARRAY( $W$5), 0), 0)
    )
)
/
(
    INDEX($AN$5:$AN$77, MATCH(B$100,_xlfn.ANCHORARRAY( $W$5), 0))
    *
    INDEX($AN$5:$AN$77, MATCH($A162,_xlfn.ANCHORARRAY( $W$5), 0))
)</f>
        <v>0.89043104981881327</v>
      </c>
      <c r="C162" s="17" cm="1">
        <f t="array" ref="C162">MMULT(
    MMULT(
        INDEX($X$5:$AM$77, MATCH(C$100,_xlfn.ANCHORARRAY( $W$5), 0), 0),
        $F$5:$U$20
    ),
    TRANSPOSE(
        INDEX($X$5:$AM$77, MATCH($A162,_xlfn.ANCHORARRAY( $W$5), 0), 0)
    )
)
/
(
    INDEX($AN$5:$AN$77, MATCH(C$100,_xlfn.ANCHORARRAY( $W$5), 0))
    *
    INDEX($AN$5:$AN$77, MATCH($A162,_xlfn.ANCHORARRAY( $W$5), 0))
)</f>
        <v>0.9817756598558367</v>
      </c>
      <c r="D162" s="17" cm="1">
        <f t="array" ref="D162">MMULT(
    MMULT(
        INDEX($X$5:$AM$77, MATCH(D$100,_xlfn.ANCHORARRAY( $W$5), 0), 0),
        $F$5:$U$20
    ),
    TRANSPOSE(
        INDEX($X$5:$AM$77, MATCH($A162,_xlfn.ANCHORARRAY( $W$5), 0), 0)
    )
)
/
(
    INDEX($AN$5:$AN$77, MATCH(D$100,_xlfn.ANCHORARRAY( $W$5), 0))
    *
    INDEX($AN$5:$AN$77, MATCH($A162,_xlfn.ANCHORARRAY( $W$5), 0))
)</f>
        <v>0.64973777395790322</v>
      </c>
      <c r="E162" s="17" cm="1">
        <f t="array" ref="E162">MMULT(
    MMULT(
        INDEX($X$5:$AM$77, MATCH(E$100,_xlfn.ANCHORARRAY( $W$5), 0), 0),
        $F$5:$U$20
    ),
    TRANSPOSE(
        INDEX($X$5:$AM$77, MATCH($A162,_xlfn.ANCHORARRAY( $W$5), 0), 0)
    )
)
/
(
    INDEX($AN$5:$AN$77, MATCH(E$100,_xlfn.ANCHORARRAY( $W$5), 0))
    *
    INDEX($AN$5:$AN$77, MATCH($A162,_xlfn.ANCHORARRAY( $W$5), 0))
)</f>
        <v>0.49103621197266878</v>
      </c>
      <c r="F162" s="17" cm="1">
        <f t="array" ref="F162">MMULT(
    MMULT(
        INDEX($X$5:$AM$77, MATCH(F$100,_xlfn.ANCHORARRAY( $W$5), 0), 0),
        $F$5:$U$20
    ),
    TRANSPOSE(
        INDEX($X$5:$AM$77, MATCH($A162,_xlfn.ANCHORARRAY( $W$5), 0), 0)
    )
)
/
(
    INDEX($AN$5:$AN$77, MATCH(F$100,_xlfn.ANCHORARRAY( $W$5), 0))
    *
    INDEX($AN$5:$AN$77, MATCH($A162,_xlfn.ANCHORARRAY( $W$5), 0))
)</f>
        <v>0.50290126349229214</v>
      </c>
      <c r="G162" s="17" cm="1">
        <f t="array" ref="G162">MMULT(
    MMULT(
        INDEX($X$5:$AM$77, MATCH(G$100,_xlfn.ANCHORARRAY( $W$5), 0), 0),
        $F$5:$U$20
    ),
    TRANSPOSE(
        INDEX($X$5:$AM$77, MATCH($A162,_xlfn.ANCHORARRAY( $W$5), 0), 0)
    )
)
/
(
    INDEX($AN$5:$AN$77, MATCH(G$100,_xlfn.ANCHORARRAY( $W$5), 0))
    *
    INDEX($AN$5:$AN$77, MATCH($A162,_xlfn.ANCHORARRAY( $W$5), 0))
)</f>
        <v>0.8046135501061441</v>
      </c>
      <c r="H162" s="17" cm="1">
        <f t="array" ref="H162">MMULT(
    MMULT(
        INDEX($X$5:$AM$77, MATCH(H$100,_xlfn.ANCHORARRAY( $W$5), 0), 0),
        $F$5:$U$20
    ),
    TRANSPOSE(
        INDEX($X$5:$AM$77, MATCH($A162,_xlfn.ANCHORARRAY( $W$5), 0), 0)
    )
)
/
(
    INDEX($AN$5:$AN$77, MATCH(H$100,_xlfn.ANCHORARRAY( $W$5), 0))
    *
    INDEX($AN$5:$AN$77, MATCH($A162,_xlfn.ANCHORARRAY( $W$5), 0))
)</f>
        <v>0.67143134217847622</v>
      </c>
      <c r="I162" s="17" cm="1">
        <f t="array" ref="I162">MMULT(
    MMULT(
        INDEX($X$5:$AM$77, MATCH(I$100,_xlfn.ANCHORARRAY( $W$5), 0), 0),
        $F$5:$U$20
    ),
    TRANSPOSE(
        INDEX($X$5:$AM$77, MATCH($A162,_xlfn.ANCHORARRAY( $W$5), 0), 0)
    )
)
/
(
    INDEX($AN$5:$AN$77, MATCH(I$100,_xlfn.ANCHORARRAY( $W$5), 0))
    *
    INDEX($AN$5:$AN$77, MATCH($A162,_xlfn.ANCHORARRAY( $W$5), 0))
)</f>
        <v>0.78287962817834289</v>
      </c>
      <c r="J162" s="17" cm="1">
        <f t="array" ref="J162">MMULT(
    MMULT(
        INDEX($X$5:$AM$77, MATCH(J$100,_xlfn.ANCHORARRAY( $W$5), 0), 0),
        $F$5:$U$20
    ),
    TRANSPOSE(
        INDEX($X$5:$AM$77, MATCH($A162,_xlfn.ANCHORARRAY( $W$5), 0), 0)
    )
)
/
(
    INDEX($AN$5:$AN$77, MATCH(J$100,_xlfn.ANCHORARRAY( $W$5), 0))
    *
    INDEX($AN$5:$AN$77, MATCH($A162,_xlfn.ANCHORARRAY( $W$5), 0))
)</f>
        <v>0.78748342312561537</v>
      </c>
      <c r="K162" s="17" cm="1">
        <f t="array" ref="K162">MMULT(
    MMULT(
        INDEX($X$5:$AM$77, MATCH(K$100,_xlfn.ANCHORARRAY( $W$5), 0), 0),
        $F$5:$U$20
    ),
    TRANSPOSE(
        INDEX($X$5:$AM$77, MATCH($A162,_xlfn.ANCHORARRAY( $W$5), 0), 0)
    )
)
/
(
    INDEX($AN$5:$AN$77, MATCH(K$100,_xlfn.ANCHORARRAY( $W$5), 0))
    *
    INDEX($AN$5:$AN$77, MATCH($A162,_xlfn.ANCHORARRAY( $W$5), 0))
)</f>
        <v>0.56748689285921605</v>
      </c>
      <c r="L162" s="17" cm="1">
        <f t="array" ref="L162">MMULT(
    MMULT(
        INDEX($X$5:$AM$77, MATCH(L$100,_xlfn.ANCHORARRAY( $W$5), 0), 0),
        $F$5:$U$20
    ),
    TRANSPOSE(
        INDEX($X$5:$AM$77, MATCH($A162,_xlfn.ANCHORARRAY( $W$5), 0), 0)
    )
)
/
(
    INDEX($AN$5:$AN$77, MATCH(L$100,_xlfn.ANCHORARRAY( $W$5), 0))
    *
    INDEX($AN$5:$AN$77, MATCH($A162,_xlfn.ANCHORARRAY( $W$5), 0))
)</f>
        <v>0.59706516109854368</v>
      </c>
      <c r="M162" s="17" cm="1">
        <f t="array" ref="M162">MMULT(
    MMULT(
        INDEX($X$5:$AM$77, MATCH(M$100,_xlfn.ANCHORARRAY( $W$5), 0), 0),
        $F$5:$U$20
    ),
    TRANSPOSE(
        INDEX($X$5:$AM$77, MATCH($A162,_xlfn.ANCHORARRAY( $W$5), 0), 0)
    )
)
/
(
    INDEX($AN$5:$AN$77, MATCH(M$100,_xlfn.ANCHORARRAY( $W$5), 0))
    *
    INDEX($AN$5:$AN$77, MATCH($A162,_xlfn.ANCHORARRAY( $W$5), 0))
)</f>
        <v>0.58760695397564855</v>
      </c>
      <c r="N162" s="17" cm="1">
        <f t="array" ref="N162">MMULT(
    MMULT(
        INDEX($X$5:$AM$77, MATCH(N$100,_xlfn.ANCHORARRAY( $W$5), 0), 0),
        $F$5:$U$20
    ),
    TRANSPOSE(
        INDEX($X$5:$AM$77, MATCH($A162,_xlfn.ANCHORARRAY( $W$5), 0), 0)
    )
)
/
(
    INDEX($AN$5:$AN$77, MATCH(N$100,_xlfn.ANCHORARRAY( $W$5), 0))
    *
    INDEX($AN$5:$AN$77, MATCH($A162,_xlfn.ANCHORARRAY( $W$5), 0))
)</f>
        <v>0.54626309390449079</v>
      </c>
      <c r="O162" s="17" cm="1">
        <f t="array" ref="O162">MMULT(
    MMULT(
        INDEX($X$5:$AM$77, MATCH(O$100,_xlfn.ANCHORARRAY( $W$5), 0), 0),
        $F$5:$U$20
    ),
    TRANSPOSE(
        INDEX($X$5:$AM$77, MATCH($A162,_xlfn.ANCHORARRAY( $W$5), 0), 0)
    )
)
/
(
    INDEX($AN$5:$AN$77, MATCH(O$100,_xlfn.ANCHORARRAY( $W$5), 0))
    *
    INDEX($AN$5:$AN$77, MATCH($A162,_xlfn.ANCHORARRAY( $W$5), 0))
)</f>
        <v>0.40630425983878021</v>
      </c>
      <c r="P162" s="17" cm="1">
        <f t="array" ref="P162">MMULT(
    MMULT(
        INDEX($X$5:$AM$77, MATCH(P$100,_xlfn.ANCHORARRAY( $W$5), 0), 0),
        $F$5:$U$20
    ),
    TRANSPOSE(
        INDEX($X$5:$AM$77, MATCH($A162,_xlfn.ANCHORARRAY( $W$5), 0), 0)
    )
)
/
(
    INDEX($AN$5:$AN$77, MATCH(P$100,_xlfn.ANCHORARRAY( $W$5), 0))
    *
    INDEX($AN$5:$AN$77, MATCH($A162,_xlfn.ANCHORARRAY( $W$5), 0))
)</f>
        <v>0.73450366529171895</v>
      </c>
      <c r="Q162" s="17" cm="1">
        <f t="array" ref="Q162">MMULT(
    MMULT(
        INDEX($X$5:$AM$77, MATCH(Q$100,_xlfn.ANCHORARRAY( $W$5), 0), 0),
        $F$5:$U$20
    ),
    TRANSPOSE(
        INDEX($X$5:$AM$77, MATCH($A162,_xlfn.ANCHORARRAY( $W$5), 0), 0)
    )
)
/
(
    INDEX($AN$5:$AN$77, MATCH(Q$100,_xlfn.ANCHORARRAY( $W$5), 0))
    *
    INDEX($AN$5:$AN$77, MATCH($A162,_xlfn.ANCHORARRAY( $W$5), 0))
)</f>
        <v>0.82647967038740355</v>
      </c>
      <c r="R162" s="17" cm="1">
        <f t="array" ref="R162">MMULT(
    MMULT(
        INDEX($X$5:$AM$77, MATCH(R$100,_xlfn.ANCHORARRAY( $W$5), 0), 0),
        $F$5:$U$20
    ),
    TRANSPOSE(
        INDEX($X$5:$AM$77, MATCH($A162,_xlfn.ANCHORARRAY( $W$5), 0), 0)
    )
)
/
(
    INDEX($AN$5:$AN$77, MATCH(R$100,_xlfn.ANCHORARRAY( $W$5), 0))
    *
    INDEX($AN$5:$AN$77, MATCH($A162,_xlfn.ANCHORARRAY( $W$5), 0))
)</f>
        <v>0.69145339278312434</v>
      </c>
      <c r="S162" s="17" cm="1">
        <f t="array" ref="S162">MMULT(
    MMULT(
        INDEX($X$5:$AM$77, MATCH(S$100,_xlfn.ANCHORARRAY( $W$5), 0), 0),
        $F$5:$U$20
    ),
    TRANSPOSE(
        INDEX($X$5:$AM$77, MATCH($A162,_xlfn.ANCHORARRAY( $W$5), 0), 0)
    )
)
/
(
    INDEX($AN$5:$AN$77, MATCH(S$100,_xlfn.ANCHORARRAY( $W$5), 0))
    *
    INDEX($AN$5:$AN$77, MATCH($A162,_xlfn.ANCHORARRAY( $W$5), 0))
)</f>
        <v>0.86238391412909932</v>
      </c>
      <c r="T162" s="17" cm="1">
        <f t="array" ref="T162">MMULT(
    MMULT(
        INDEX($X$5:$AM$77, MATCH(T$100,_xlfn.ANCHORARRAY( $W$5), 0), 0),
        $F$5:$U$20
    ),
    TRANSPOSE(
        INDEX($X$5:$AM$77, MATCH($A162,_xlfn.ANCHORARRAY( $W$5), 0), 0)
    )
)
/
(
    INDEX($AN$5:$AN$77, MATCH(T$100,_xlfn.ANCHORARRAY( $W$5), 0))
    *
    INDEX($AN$5:$AN$77, MATCH($A162,_xlfn.ANCHORARRAY( $W$5), 0))
)</f>
        <v>0.90425524781665445</v>
      </c>
      <c r="U162" s="17" cm="1">
        <f t="array" ref="U162">MMULT(
    MMULT(
        INDEX($X$5:$AM$77, MATCH(U$100,_xlfn.ANCHORARRAY( $W$5), 0), 0),
        $F$5:$U$20
    ),
    TRANSPOSE(
        INDEX($X$5:$AM$77, MATCH($A162,_xlfn.ANCHORARRAY( $W$5), 0), 0)
    )
)
/
(
    INDEX($AN$5:$AN$77, MATCH(U$100,_xlfn.ANCHORARRAY( $W$5), 0))
    *
    INDEX($AN$5:$AN$77, MATCH($A162,_xlfn.ANCHORARRAY( $W$5), 0))
)</f>
        <v>0.74298329274373509</v>
      </c>
      <c r="V162" s="17" cm="1">
        <f t="array" ref="V162">MMULT(
    MMULT(
        INDEX($X$5:$AM$77, MATCH(V$100,_xlfn.ANCHORARRAY( $W$5), 0), 0),
        $F$5:$U$20
    ),
    TRANSPOSE(
        INDEX($X$5:$AM$77, MATCH($A162,_xlfn.ANCHORARRAY( $W$5), 0), 0)
    )
)
/
(
    INDEX($AN$5:$AN$77, MATCH(V$100,_xlfn.ANCHORARRAY( $W$5), 0))
    *
    INDEX($AN$5:$AN$77, MATCH($A162,_xlfn.ANCHORARRAY( $W$5), 0))
)</f>
        <v>0.72529818226948972</v>
      </c>
      <c r="W162" s="17" cm="1">
        <f t="array" ref="W162">MMULT(
    MMULT(
        INDEX($X$5:$AM$77, MATCH(W$100,_xlfn.ANCHORARRAY( $W$5), 0), 0),
        $F$5:$U$20
    ),
    TRANSPOSE(
        INDEX($X$5:$AM$77, MATCH($A162,_xlfn.ANCHORARRAY( $W$5), 0), 0)
    )
)
/
(
    INDEX($AN$5:$AN$77, MATCH(W$100,_xlfn.ANCHORARRAY( $W$5), 0))
    *
    INDEX($AN$5:$AN$77, MATCH($A162,_xlfn.ANCHORARRAY( $W$5), 0))
)</f>
        <v>0.40972389258092418</v>
      </c>
      <c r="X162" s="17" cm="1">
        <f t="array" ref="X162">MMULT(
    MMULT(
        INDEX($X$5:$AM$77, MATCH(X$100,_xlfn.ANCHORARRAY( $W$5), 0), 0),
        $F$5:$U$20
    ),
    TRANSPOSE(
        INDEX($X$5:$AM$77, MATCH($A162,_xlfn.ANCHORARRAY( $W$5), 0), 0)
    )
)
/
(
    INDEX($AN$5:$AN$77, MATCH(X$100,_xlfn.ANCHORARRAY( $W$5), 0))
    *
    INDEX($AN$5:$AN$77, MATCH($A162,_xlfn.ANCHORARRAY( $W$5), 0))
)</f>
        <v>0.4966308242260683</v>
      </c>
      <c r="Y162" s="17" cm="1">
        <f t="array" ref="Y162">MMULT(
    MMULT(
        INDEX($X$5:$AM$77, MATCH(Y$100,_xlfn.ANCHORARRAY( $W$5), 0), 0),
        $F$5:$U$20
    ),
    TRANSPOSE(
        INDEX($X$5:$AM$77, MATCH($A162,_xlfn.ANCHORARRAY( $W$5), 0), 0)
    )
)
/
(
    INDEX($AN$5:$AN$77, MATCH(Y$100,_xlfn.ANCHORARRAY( $W$5), 0))
    *
    INDEX($AN$5:$AN$77, MATCH($A162,_xlfn.ANCHORARRAY( $W$5), 0))
)</f>
        <v>0.86397794171723019</v>
      </c>
      <c r="Z162" s="17" cm="1">
        <f t="array" ref="Z162">MMULT(
    MMULT(
        INDEX($X$5:$AM$77, MATCH(Z$100,_xlfn.ANCHORARRAY( $W$5), 0), 0),
        $F$5:$U$20
    ),
    TRANSPOSE(
        INDEX($X$5:$AM$77, MATCH($A162,_xlfn.ANCHORARRAY( $W$5), 0), 0)
    )
)
/
(
    INDEX($AN$5:$AN$77, MATCH(Z$100,_xlfn.ANCHORARRAY( $W$5), 0))
    *
    INDEX($AN$5:$AN$77, MATCH($A162,_xlfn.ANCHORARRAY( $W$5), 0))
)</f>
        <v>0.56487362174485078</v>
      </c>
      <c r="AA162" s="17" cm="1">
        <f t="array" ref="AA162">MMULT(
    MMULT(
        INDEX($X$5:$AM$77, MATCH(AA$100,_xlfn.ANCHORARRAY( $W$5), 0), 0),
        $F$5:$U$20
    ),
    TRANSPOSE(
        INDEX($X$5:$AM$77, MATCH($A162,_xlfn.ANCHORARRAY( $W$5), 0), 0)
    )
)
/
(
    INDEX($AN$5:$AN$77, MATCH(AA$100,_xlfn.ANCHORARRAY( $W$5), 0))
    *
    INDEX($AN$5:$AN$77, MATCH($A162,_xlfn.ANCHORARRAY( $W$5), 0))
)</f>
        <v>0.62060771481230148</v>
      </c>
      <c r="AB162" s="17" cm="1">
        <f t="array" ref="AB162">MMULT(
    MMULT(
        INDEX($X$5:$AM$77, MATCH(AB$100,_xlfn.ANCHORARRAY( $W$5), 0), 0),
        $F$5:$U$20
    ),
    TRANSPOSE(
        INDEX($X$5:$AM$77, MATCH($A162,_xlfn.ANCHORARRAY( $W$5), 0), 0)
    )
)
/
(
    INDEX($AN$5:$AN$77, MATCH(AB$100,_xlfn.ANCHORARRAY( $W$5), 0))
    *
    INDEX($AN$5:$AN$77, MATCH($A162,_xlfn.ANCHORARRAY( $W$5), 0))
)</f>
        <v>0.68100697516231534</v>
      </c>
      <c r="AC162" s="17" cm="1">
        <f t="array" ref="AC162">MMULT(
    MMULT(
        INDEX($X$5:$AM$77, MATCH(AC$100,_xlfn.ANCHORARRAY( $W$5), 0), 0),
        $F$5:$U$20
    ),
    TRANSPOSE(
        INDEX($X$5:$AM$77, MATCH($A162,_xlfn.ANCHORARRAY( $W$5), 0), 0)
    )
)
/
(
    INDEX($AN$5:$AN$77, MATCH(AC$100,_xlfn.ANCHORARRAY( $W$5), 0))
    *
    INDEX($AN$5:$AN$77, MATCH($A162,_xlfn.ANCHORARRAY( $W$5), 0))
)</f>
        <v>0.69308431596568409</v>
      </c>
      <c r="AD162" s="17" cm="1">
        <f t="array" ref="AD162">MMULT(
    MMULT(
        INDEX($X$5:$AM$77, MATCH(AD$100,_xlfn.ANCHORARRAY( $W$5), 0), 0),
        $F$5:$U$20
    ),
    TRANSPOSE(
        INDEX($X$5:$AM$77, MATCH($A162,_xlfn.ANCHORARRAY( $W$5), 0), 0)
    )
)
/
(
    INDEX($AN$5:$AN$77, MATCH(AD$100,_xlfn.ANCHORARRAY( $W$5), 0))
    *
    INDEX($AN$5:$AN$77, MATCH($A162,_xlfn.ANCHORARRAY( $W$5), 0))
)</f>
        <v>0.59971269079755463</v>
      </c>
      <c r="AE162" s="17" cm="1">
        <f t="array" ref="AE162">MMULT(
    MMULT(
        INDEX($X$5:$AM$77, MATCH(AE$100,_xlfn.ANCHORARRAY( $W$5), 0), 0),
        $F$5:$U$20
    ),
    TRANSPOSE(
        INDEX($X$5:$AM$77, MATCH($A162,_xlfn.ANCHORARRAY( $W$5), 0), 0)
    )
)
/
(
    INDEX($AN$5:$AN$77, MATCH(AE$100,_xlfn.ANCHORARRAY( $W$5), 0))
    *
    INDEX($AN$5:$AN$77, MATCH($A162,_xlfn.ANCHORARRAY( $W$5), 0))
)</f>
        <v>0.80743448908660809</v>
      </c>
      <c r="AF162" s="17" cm="1">
        <f t="array" ref="AF162">MMULT(
    MMULT(
        INDEX($X$5:$AM$77, MATCH(AF$100,_xlfn.ANCHORARRAY( $W$5), 0), 0),
        $F$5:$U$20
    ),
    TRANSPOSE(
        INDEX($X$5:$AM$77, MATCH($A162,_xlfn.ANCHORARRAY( $W$5), 0), 0)
    )
)
/
(
    INDEX($AN$5:$AN$77, MATCH(AF$100,_xlfn.ANCHORARRAY( $W$5), 0))
    *
    INDEX($AN$5:$AN$77, MATCH($A162,_xlfn.ANCHORARRAY( $W$5), 0))
)</f>
        <v>0.91292824013728791</v>
      </c>
      <c r="AG162" s="17" cm="1">
        <f t="array" ref="AG162">MMULT(
    MMULT(
        INDEX($X$5:$AM$77, MATCH(AG$100,_xlfn.ANCHORARRAY( $W$5), 0), 0),
        $F$5:$U$20
    ),
    TRANSPOSE(
        INDEX($X$5:$AM$77, MATCH($A162,_xlfn.ANCHORARRAY( $W$5), 0), 0)
    )
)
/
(
    INDEX($AN$5:$AN$77, MATCH(AG$100,_xlfn.ANCHORARRAY( $W$5), 0))
    *
    INDEX($AN$5:$AN$77, MATCH($A162,_xlfn.ANCHORARRAY( $W$5), 0))
)</f>
        <v>0.72767025860554246</v>
      </c>
      <c r="AH162" s="17" cm="1">
        <f t="array" ref="AH162">MMULT(
    MMULT(
        INDEX($X$5:$AM$77, MATCH(AH$100,_xlfn.ANCHORARRAY( $W$5), 0), 0),
        $F$5:$U$20
    ),
    TRANSPOSE(
        INDEX($X$5:$AM$77, MATCH($A162,_xlfn.ANCHORARRAY( $W$5), 0), 0)
    )
)
/
(
    INDEX($AN$5:$AN$77, MATCH(AH$100,_xlfn.ANCHORARRAY( $W$5), 0))
    *
    INDEX($AN$5:$AN$77, MATCH($A162,_xlfn.ANCHORARRAY( $W$5), 0))
)</f>
        <v>0.58376521392470138</v>
      </c>
      <c r="AI162" s="17" cm="1">
        <f t="array" ref="AI162">MMULT(
    MMULT(
        INDEX($X$5:$AM$77, MATCH(AI$100,_xlfn.ANCHORARRAY( $W$5), 0), 0),
        $F$5:$U$20
    ),
    TRANSPOSE(
        INDEX($X$5:$AM$77, MATCH($A162,_xlfn.ANCHORARRAY( $W$5), 0), 0)
    )
)
/
(
    INDEX($AN$5:$AN$77, MATCH(AI$100,_xlfn.ANCHORARRAY( $W$5), 0))
    *
    INDEX($AN$5:$AN$77, MATCH($A162,_xlfn.ANCHORARRAY( $W$5), 0))
)</f>
        <v>0.75866863633289527</v>
      </c>
      <c r="AJ162" s="17" cm="1">
        <f t="array" ref="AJ162">MMULT(
    MMULT(
        INDEX($X$5:$AM$77, MATCH(AJ$100,_xlfn.ANCHORARRAY( $W$5), 0), 0),
        $F$5:$U$20
    ),
    TRANSPOSE(
        INDEX($X$5:$AM$77, MATCH($A162,_xlfn.ANCHORARRAY( $W$5), 0), 0)
    )
)
/
(
    INDEX($AN$5:$AN$77, MATCH(AJ$100,_xlfn.ANCHORARRAY( $W$5), 0))
    *
    INDEX($AN$5:$AN$77, MATCH($A162,_xlfn.ANCHORARRAY( $W$5), 0))
)</f>
        <v>0.73817649001242569</v>
      </c>
      <c r="AK162" s="17" cm="1">
        <f t="array" ref="AK162">MMULT(
    MMULT(
        INDEX($X$5:$AM$77, MATCH(AK$100,_xlfn.ANCHORARRAY( $W$5), 0), 0),
        $F$5:$U$20
    ),
    TRANSPOSE(
        INDEX($X$5:$AM$77, MATCH($A162,_xlfn.ANCHORARRAY( $W$5), 0), 0)
    )
)
/
(
    INDEX($AN$5:$AN$77, MATCH(AK$100,_xlfn.ANCHORARRAY( $W$5), 0))
    *
    INDEX($AN$5:$AN$77, MATCH($A162,_xlfn.ANCHORARRAY( $W$5), 0))
)</f>
        <v>0.62721632342404676</v>
      </c>
      <c r="AL162" s="17" cm="1">
        <f t="array" ref="AL162">MMULT(
    MMULT(
        INDEX($X$5:$AM$77, MATCH(AL$100,_xlfn.ANCHORARRAY( $W$5), 0), 0),
        $F$5:$U$20
    ),
    TRANSPOSE(
        INDEX($X$5:$AM$77, MATCH($A162,_xlfn.ANCHORARRAY( $W$5), 0), 0)
    )
)
/
(
    INDEX($AN$5:$AN$77, MATCH(AL$100,_xlfn.ANCHORARRAY( $W$5), 0))
    *
    INDEX($AN$5:$AN$77, MATCH($A162,_xlfn.ANCHORARRAY( $W$5), 0))
)</f>
        <v>0.44496148611430153</v>
      </c>
      <c r="AM162" s="17" cm="1">
        <f t="array" ref="AM162">MMULT(
    MMULT(
        INDEX($X$5:$AM$77, MATCH(AM$100,_xlfn.ANCHORARRAY( $W$5), 0), 0),
        $F$5:$U$20
    ),
    TRANSPOSE(
        INDEX($X$5:$AM$77, MATCH($A162,_xlfn.ANCHORARRAY( $W$5), 0), 0)
    )
)
/
(
    INDEX($AN$5:$AN$77, MATCH(AM$100,_xlfn.ANCHORARRAY( $W$5), 0))
    *
    INDEX($AN$5:$AN$77, MATCH($A162,_xlfn.ANCHORARRAY( $W$5), 0))
)</f>
        <v>0.53069754892910037</v>
      </c>
      <c r="AN162" s="17" cm="1">
        <f t="array" ref="AN162">MMULT(
    MMULT(
        INDEX($X$5:$AM$77, MATCH(AN$100,_xlfn.ANCHORARRAY( $W$5), 0), 0),
        $F$5:$U$20
    ),
    TRANSPOSE(
        INDEX($X$5:$AM$77, MATCH($A162,_xlfn.ANCHORARRAY( $W$5), 0), 0)
    )
)
/
(
    INDEX($AN$5:$AN$77, MATCH(AN$100,_xlfn.ANCHORARRAY( $W$5), 0))
    *
    INDEX($AN$5:$AN$77, MATCH($A162,_xlfn.ANCHORARRAY( $W$5), 0))
)</f>
        <v>0.67802404541297667</v>
      </c>
      <c r="AO162" s="17" cm="1">
        <f t="array" ref="AO162">MMULT(
    MMULT(
        INDEX($X$5:$AM$77, MATCH(AO$100,_xlfn.ANCHORARRAY( $W$5), 0), 0),
        $F$5:$U$20
    ),
    TRANSPOSE(
        INDEX($X$5:$AM$77, MATCH($A162,_xlfn.ANCHORARRAY( $W$5), 0), 0)
    )
)
/
(
    INDEX($AN$5:$AN$77, MATCH(AO$100,_xlfn.ANCHORARRAY( $W$5), 0))
    *
    INDEX($AN$5:$AN$77, MATCH($A162,_xlfn.ANCHORARRAY( $W$5), 0))
)</f>
        <v>0.54612641510289472</v>
      </c>
      <c r="AP162" s="17" cm="1">
        <f t="array" ref="AP162">MMULT(
    MMULT(
        INDEX($X$5:$AM$77, MATCH(AP$100,_xlfn.ANCHORARRAY( $W$5), 0), 0),
        $F$5:$U$20
    ),
    TRANSPOSE(
        INDEX($X$5:$AM$77, MATCH($A162,_xlfn.ANCHORARRAY( $W$5), 0), 0)
    )
)
/
(
    INDEX($AN$5:$AN$77, MATCH(AP$100,_xlfn.ANCHORARRAY( $W$5), 0))
    *
    INDEX($AN$5:$AN$77, MATCH($A162,_xlfn.ANCHORARRAY( $W$5), 0))
)</f>
        <v>0.6356190206175264</v>
      </c>
      <c r="AQ162" s="17" cm="1">
        <f t="array" ref="AQ162">MMULT(
    MMULT(
        INDEX($X$5:$AM$77, MATCH(AQ$100,_xlfn.ANCHORARRAY( $W$5), 0), 0),
        $F$5:$U$20
    ),
    TRANSPOSE(
        INDEX($X$5:$AM$77, MATCH($A162,_xlfn.ANCHORARRAY( $W$5), 0), 0)
    )
)
/
(
    INDEX($AN$5:$AN$77, MATCH(AQ$100,_xlfn.ANCHORARRAY( $W$5), 0))
    *
    INDEX($AN$5:$AN$77, MATCH($A162,_xlfn.ANCHORARRAY( $W$5), 0))
)</f>
        <v>0.95250548419325187</v>
      </c>
      <c r="AR162" s="17" cm="1">
        <f t="array" ref="AR162">MMULT(
    MMULT(
        INDEX($X$5:$AM$77, MATCH(AR$100,_xlfn.ANCHORARRAY( $W$5), 0), 0),
        $F$5:$U$20
    ),
    TRANSPOSE(
        INDEX($X$5:$AM$77, MATCH($A162,_xlfn.ANCHORARRAY( $W$5), 0), 0)
    )
)
/
(
    INDEX($AN$5:$AN$77, MATCH(AR$100,_xlfn.ANCHORARRAY( $W$5), 0))
    *
    INDEX($AN$5:$AN$77, MATCH($A162,_xlfn.ANCHORARRAY( $W$5), 0))
)</f>
        <v>0.78213456048842167</v>
      </c>
      <c r="AS162" s="17" cm="1">
        <f t="array" ref="AS162">MMULT(
    MMULT(
        INDEX($X$5:$AM$77, MATCH(AS$100,_xlfn.ANCHORARRAY( $W$5), 0), 0),
        $F$5:$U$20
    ),
    TRANSPOSE(
        INDEX($X$5:$AM$77, MATCH($A162,_xlfn.ANCHORARRAY( $W$5), 0), 0)
    )
)
/
(
    INDEX($AN$5:$AN$77, MATCH(AS$100,_xlfn.ANCHORARRAY( $W$5), 0))
    *
    INDEX($AN$5:$AN$77, MATCH($A162,_xlfn.ANCHORARRAY( $W$5), 0))
)</f>
        <v>0.5410957902664405</v>
      </c>
      <c r="AT162" s="17" cm="1">
        <f t="array" ref="AT162">MMULT(
    MMULT(
        INDEX($X$5:$AM$77, MATCH(AT$100,_xlfn.ANCHORARRAY( $W$5), 0), 0),
        $F$5:$U$20
    ),
    TRANSPOSE(
        INDEX($X$5:$AM$77, MATCH($A162,_xlfn.ANCHORARRAY( $W$5), 0), 0)
    )
)
/
(
    INDEX($AN$5:$AN$77, MATCH(AT$100,_xlfn.ANCHORARRAY( $W$5), 0))
    *
    INDEX($AN$5:$AN$77, MATCH($A162,_xlfn.ANCHORARRAY( $W$5), 0))
)</f>
        <v>0.68416394466562369</v>
      </c>
      <c r="AU162" s="17" cm="1">
        <f t="array" ref="AU162">MMULT(
    MMULT(
        INDEX($X$5:$AM$77, MATCH(AU$100,_xlfn.ANCHORARRAY( $W$5), 0), 0),
        $F$5:$U$20
    ),
    TRANSPOSE(
        INDEX($X$5:$AM$77, MATCH($A162,_xlfn.ANCHORARRAY( $W$5), 0), 0)
    )
)
/
(
    INDEX($AN$5:$AN$77, MATCH(AU$100,_xlfn.ANCHORARRAY( $W$5), 0))
    *
    INDEX($AN$5:$AN$77, MATCH($A162,_xlfn.ANCHORARRAY( $W$5), 0))
)</f>
        <v>0.52511083490981048</v>
      </c>
      <c r="AV162" s="17" cm="1">
        <f t="array" ref="AV162">MMULT(
    MMULT(
        INDEX($X$5:$AM$77, MATCH(AV$100,_xlfn.ANCHORARRAY( $W$5), 0), 0),
        $F$5:$U$20
    ),
    TRANSPOSE(
        INDEX($X$5:$AM$77, MATCH($A162,_xlfn.ANCHORARRAY( $W$5), 0), 0)
    )
)
/
(
    INDEX($AN$5:$AN$77, MATCH(AV$100,_xlfn.ANCHORARRAY( $W$5), 0))
    *
    INDEX($AN$5:$AN$77, MATCH($A162,_xlfn.ANCHORARRAY( $W$5), 0))
)</f>
        <v>0.5286059030639888</v>
      </c>
      <c r="AW162" s="17" cm="1">
        <f t="array" ref="AW162">MMULT(
    MMULT(
        INDEX($X$5:$AM$77, MATCH(AW$100,_xlfn.ANCHORARRAY( $W$5), 0), 0),
        $F$5:$U$20
    ),
    TRANSPOSE(
        INDEX($X$5:$AM$77, MATCH($A162,_xlfn.ANCHORARRAY( $W$5), 0), 0)
    )
)
/
(
    INDEX($AN$5:$AN$77, MATCH(AW$100,_xlfn.ANCHORARRAY( $W$5), 0))
    *
    INDEX($AN$5:$AN$77, MATCH($A162,_xlfn.ANCHORARRAY( $W$5), 0))
)</f>
        <v>0.50445392680398904</v>
      </c>
      <c r="AX162" s="17" cm="1">
        <f t="array" ref="AX162">MMULT(
    MMULT(
        INDEX($X$5:$AM$77, MATCH(AX$100,_xlfn.ANCHORARRAY( $W$5), 0), 0),
        $F$5:$U$20
    ),
    TRANSPOSE(
        INDEX($X$5:$AM$77, MATCH($A162,_xlfn.ANCHORARRAY( $W$5), 0), 0)
    )
)
/
(
    INDEX($AN$5:$AN$77, MATCH(AX$100,_xlfn.ANCHORARRAY( $W$5), 0))
    *
    INDEX($AN$5:$AN$77, MATCH($A162,_xlfn.ANCHORARRAY( $W$5), 0))
)</f>
        <v>0.72363213152469674</v>
      </c>
      <c r="AY162" s="17" cm="1">
        <f t="array" ref="AY162">MMULT(
    MMULT(
        INDEX($X$5:$AM$77, MATCH(AY$100,_xlfn.ANCHORARRAY( $W$5), 0), 0),
        $F$5:$U$20
    ),
    TRANSPOSE(
        INDEX($X$5:$AM$77, MATCH($A162,_xlfn.ANCHORARRAY( $W$5), 0), 0)
    )
)
/
(
    INDEX($AN$5:$AN$77, MATCH(AY$100,_xlfn.ANCHORARRAY( $W$5), 0))
    *
    INDEX($AN$5:$AN$77, MATCH($A162,_xlfn.ANCHORARRAY( $W$5), 0))
)</f>
        <v>0.51200328226083647</v>
      </c>
      <c r="AZ162" s="17" cm="1">
        <f t="array" ref="AZ162">MMULT(
    MMULT(
        INDEX($X$5:$AM$77, MATCH(AZ$100,_xlfn.ANCHORARRAY( $W$5), 0), 0),
        $F$5:$U$20
    ),
    TRANSPOSE(
        INDEX($X$5:$AM$77, MATCH($A162,_xlfn.ANCHORARRAY( $W$5), 0), 0)
    )
)
/
(
    INDEX($AN$5:$AN$77, MATCH(AZ$100,_xlfn.ANCHORARRAY( $W$5), 0))
    *
    INDEX($AN$5:$AN$77, MATCH($A162,_xlfn.ANCHORARRAY( $W$5), 0))
)</f>
        <v>0.56620075862434793</v>
      </c>
      <c r="BA162" s="17" cm="1">
        <f t="array" ref="BA162">MMULT(
    MMULT(
        INDEX($X$5:$AM$77, MATCH(BA$100,_xlfn.ANCHORARRAY( $W$5), 0), 0),
        $F$5:$U$20
    ),
    TRANSPOSE(
        INDEX($X$5:$AM$77, MATCH($A162,_xlfn.ANCHORARRAY( $W$5), 0), 0)
    )
)
/
(
    INDEX($AN$5:$AN$77, MATCH(BA$100,_xlfn.ANCHORARRAY( $W$5), 0))
    *
    INDEX($AN$5:$AN$77, MATCH($A162,_xlfn.ANCHORARRAY( $W$5), 0))
)</f>
        <v>0.68351609989771733</v>
      </c>
      <c r="BB162" s="17" cm="1">
        <f t="array" ref="BB162">MMULT(
    MMULT(
        INDEX($X$5:$AM$77, MATCH(BB$100,_xlfn.ANCHORARRAY( $W$5), 0), 0),
        $F$5:$U$20
    ),
    TRANSPOSE(
        INDEX($X$5:$AM$77, MATCH($A162,_xlfn.ANCHORARRAY( $W$5), 0), 0)
    )
)
/
(
    INDEX($AN$5:$AN$77, MATCH(BB$100,_xlfn.ANCHORARRAY( $W$5), 0))
    *
    INDEX($AN$5:$AN$77, MATCH($A162,_xlfn.ANCHORARRAY( $W$5), 0))
)</f>
        <v>0.45306651259870434</v>
      </c>
      <c r="BC162" s="17" cm="1">
        <f t="array" ref="BC162">MMULT(
    MMULT(
        INDEX($X$5:$AM$77, MATCH(BC$100,_xlfn.ANCHORARRAY( $W$5), 0), 0),
        $F$5:$U$20
    ),
    TRANSPOSE(
        INDEX($X$5:$AM$77, MATCH($A162,_xlfn.ANCHORARRAY( $W$5), 0), 0)
    )
)
/
(
    INDEX($AN$5:$AN$77, MATCH(BC$100,_xlfn.ANCHORARRAY( $W$5), 0))
    *
    INDEX($AN$5:$AN$77, MATCH($A162,_xlfn.ANCHORARRAY( $W$5), 0))
)</f>
        <v>0.65107100352198477</v>
      </c>
      <c r="BD162" s="17" cm="1">
        <f t="array" ref="BD162">MMULT(
    MMULT(
        INDEX($X$5:$AM$77, MATCH(BD$100,_xlfn.ANCHORARRAY( $W$5), 0), 0),
        $F$5:$U$20
    ),
    TRANSPOSE(
        INDEX($X$5:$AM$77, MATCH($A162,_xlfn.ANCHORARRAY( $W$5), 0), 0)
    )
)
/
(
    INDEX($AN$5:$AN$77, MATCH(BD$100,_xlfn.ANCHORARRAY( $W$5), 0))
    *
    INDEX($AN$5:$AN$77, MATCH($A162,_xlfn.ANCHORARRAY( $W$5), 0))
)</f>
        <v>0.99437030034760709</v>
      </c>
      <c r="BE162" s="17" cm="1">
        <f t="array" ref="BE162">MMULT(
    MMULT(
        INDEX($X$5:$AM$77, MATCH(BE$100,_xlfn.ANCHORARRAY( $W$5), 0), 0),
        $F$5:$U$20
    ),
    TRANSPOSE(
        INDEX($X$5:$AM$77, MATCH($A162,_xlfn.ANCHORARRAY( $W$5), 0), 0)
    )
)
/
(
    INDEX($AN$5:$AN$77, MATCH(BE$100,_xlfn.ANCHORARRAY( $W$5), 0))
    *
    INDEX($AN$5:$AN$77, MATCH($A162,_xlfn.ANCHORARRAY( $W$5), 0))
)</f>
        <v>0.51111190153403996</v>
      </c>
      <c r="BF162" s="17" cm="1">
        <f t="array" ref="BF162">MMULT(
    MMULT(
        INDEX($X$5:$AM$77, MATCH(BF$100,_xlfn.ANCHORARRAY( $W$5), 0), 0),
        $F$5:$U$20
    ),
    TRANSPOSE(
        INDEX($X$5:$AM$77, MATCH($A162,_xlfn.ANCHORARRAY( $W$5), 0), 0)
    )
)
/
(
    INDEX($AN$5:$AN$77, MATCH(BF$100,_xlfn.ANCHORARRAY( $W$5), 0))
    *
    INDEX($AN$5:$AN$77, MATCH($A162,_xlfn.ANCHORARRAY( $W$5), 0))
)</f>
        <v>0.89490961248078982</v>
      </c>
      <c r="BG162" s="17" cm="1">
        <f t="array" ref="BG162">MMULT(
    MMULT(
        INDEX($X$5:$AM$77, MATCH(BG$100,_xlfn.ANCHORARRAY( $W$5), 0), 0),
        $F$5:$U$20
    ),
    TRANSPOSE(
        INDEX($X$5:$AM$77, MATCH($A162,_xlfn.ANCHORARRAY( $W$5), 0), 0)
    )
)
/
(
    INDEX($AN$5:$AN$77, MATCH(BG$100,_xlfn.ANCHORARRAY( $W$5), 0))
    *
    INDEX($AN$5:$AN$77, MATCH($A162,_xlfn.ANCHORARRAY( $W$5), 0))
)</f>
        <v>0.74127318622807958</v>
      </c>
      <c r="BH162" s="17" cm="1">
        <f t="array" ref="BH162">MMULT(
    MMULT(
        INDEX($X$5:$AM$77, MATCH(BH$100,_xlfn.ANCHORARRAY( $W$5), 0), 0),
        $F$5:$U$20
    ),
    TRANSPOSE(
        INDEX($X$5:$AM$77, MATCH($A162,_xlfn.ANCHORARRAY( $W$5), 0), 0)
    )
)
/
(
    INDEX($AN$5:$AN$77, MATCH(BH$100,_xlfn.ANCHORARRAY( $W$5), 0))
    *
    INDEX($AN$5:$AN$77, MATCH($A162,_xlfn.ANCHORARRAY( $W$5), 0))
)</f>
        <v>0.93311686970951446</v>
      </c>
      <c r="BI162" s="17" cm="1">
        <f t="array" ref="BI162">MMULT(
    MMULT(
        INDEX($X$5:$AM$77, MATCH(BI$100,_xlfn.ANCHORARRAY( $W$5), 0), 0),
        $F$5:$U$20
    ),
    TRANSPOSE(
        INDEX($X$5:$AM$77, MATCH($A162,_xlfn.ANCHORARRAY( $W$5), 0), 0)
    )
)
/
(
    INDEX($AN$5:$AN$77, MATCH(BI$100,_xlfn.ANCHORARRAY( $W$5), 0))
    *
    INDEX($AN$5:$AN$77, MATCH($A162,_xlfn.ANCHORARRAY( $W$5), 0))
)</f>
        <v>0.44427212618525763</v>
      </c>
      <c r="BJ162" s="17" cm="1">
        <f t="array" ref="BJ162">MMULT(
    MMULT(
        INDEX($X$5:$AM$77, MATCH(BJ$100,_xlfn.ANCHORARRAY( $W$5), 0), 0),
        $F$5:$U$20
    ),
    TRANSPOSE(
        INDEX($X$5:$AM$77, MATCH($A162,_xlfn.ANCHORARRAY( $W$5), 0), 0)
    )
)
/
(
    INDEX($AN$5:$AN$77, MATCH(BJ$100,_xlfn.ANCHORARRAY( $W$5), 0))
    *
    INDEX($AN$5:$AN$77, MATCH($A162,_xlfn.ANCHORARRAY( $W$5), 0))
)</f>
        <v>0.69690735550970773</v>
      </c>
      <c r="BK162" s="17" cm="1">
        <f t="array" ref="BK162">MMULT(
    MMULT(
        INDEX($X$5:$AM$77, MATCH(BK$100,_xlfn.ANCHORARRAY( $W$5), 0), 0),
        $F$5:$U$20
    ),
    TRANSPOSE(
        INDEX($X$5:$AM$77, MATCH($A162,_xlfn.ANCHORARRAY( $W$5), 0), 0)
    )
)
/
(
    INDEX($AN$5:$AN$77, MATCH(BK$100,_xlfn.ANCHORARRAY( $W$5), 0))
    *
    INDEX($AN$5:$AN$77, MATCH($A162,_xlfn.ANCHORARRAY( $W$5), 0))
)</f>
        <v>0.99999999999999989</v>
      </c>
      <c r="BL162" s="17" cm="1">
        <f t="array" ref="BL162">MMULT(
    MMULT(
        INDEX($X$5:$AM$77, MATCH(BL$100,_xlfn.ANCHORARRAY( $W$5), 0), 0),
        $F$5:$U$20
    ),
    TRANSPOSE(
        INDEX($X$5:$AM$77, MATCH($A162,_xlfn.ANCHORARRAY( $W$5), 0), 0)
    )
)
/
(
    INDEX($AN$5:$AN$77, MATCH(BL$100,_xlfn.ANCHORARRAY( $W$5), 0))
    *
    INDEX($AN$5:$AN$77, MATCH($A162,_xlfn.ANCHORARRAY( $W$5), 0))
)</f>
        <v>0.24448365121271606</v>
      </c>
      <c r="BM162" s="17" cm="1">
        <f t="array" ref="BM162">MMULT(
    MMULT(
        INDEX($X$5:$AM$77, MATCH(BM$100,_xlfn.ANCHORARRAY( $W$5), 0), 0),
        $F$5:$U$20
    ),
    TRANSPOSE(
        INDEX($X$5:$AM$77, MATCH($A162,_xlfn.ANCHORARRAY( $W$5), 0), 0)
    )
)
/
(
    INDEX($AN$5:$AN$77, MATCH(BM$100,_xlfn.ANCHORARRAY( $W$5), 0))
    *
    INDEX($AN$5:$AN$77, MATCH($A162,_xlfn.ANCHORARRAY( $W$5), 0))
)</f>
        <v>0.39682742210777122</v>
      </c>
      <c r="BN162" s="17" cm="1">
        <f t="array" ref="BN162">MMULT(
    MMULT(
        INDEX($X$5:$AM$77, MATCH(BN$100,_xlfn.ANCHORARRAY( $W$5), 0), 0),
        $F$5:$U$20
    ),
    TRANSPOSE(
        INDEX($X$5:$AM$77, MATCH($A162,_xlfn.ANCHORARRAY( $W$5), 0), 0)
    )
)
/
(
    INDEX($AN$5:$AN$77, MATCH(BN$100,_xlfn.ANCHORARRAY( $W$5), 0))
    *
    INDEX($AN$5:$AN$77, MATCH($A162,_xlfn.ANCHORARRAY( $W$5), 0))
)</f>
        <v>0.56968802349329617</v>
      </c>
      <c r="BO162" s="17" cm="1">
        <f t="array" ref="BO162">MMULT(
    MMULT(
        INDEX($X$5:$AM$77, MATCH(BO$100,_xlfn.ANCHORARRAY( $W$5), 0), 0),
        $F$5:$U$20
    ),
    TRANSPOSE(
        INDEX($X$5:$AM$77, MATCH($A162,_xlfn.ANCHORARRAY( $W$5), 0), 0)
    )
)
/
(
    INDEX($AN$5:$AN$77, MATCH(BO$100,_xlfn.ANCHORARRAY( $W$5), 0))
    *
    INDEX($AN$5:$AN$77, MATCH($A162,_xlfn.ANCHORARRAY( $W$5), 0))
)</f>
        <v>0.58463245004308428</v>
      </c>
      <c r="BP162" s="17" cm="1">
        <f t="array" ref="BP162">MMULT(
    MMULT(
        INDEX($X$5:$AM$77, MATCH(BP$100,_xlfn.ANCHORARRAY( $W$5), 0), 0),
        $F$5:$U$20
    ),
    TRANSPOSE(
        INDEX($X$5:$AM$77, MATCH($A162,_xlfn.ANCHORARRAY( $W$5), 0), 0)
    )
)
/
(
    INDEX($AN$5:$AN$77, MATCH(BP$100,_xlfn.ANCHORARRAY( $W$5), 0))
    *
    INDEX($AN$5:$AN$77, MATCH($A162,_xlfn.ANCHORARRAY( $W$5), 0))
)</f>
        <v>0.76031494178908898</v>
      </c>
      <c r="BQ162" s="17" cm="1">
        <f t="array" ref="BQ162">MMULT(
    MMULT(
        INDEX($X$5:$AM$77, MATCH(BQ$100,_xlfn.ANCHORARRAY( $W$5), 0), 0),
        $F$5:$U$20
    ),
    TRANSPOSE(
        INDEX($X$5:$AM$77, MATCH($A162,_xlfn.ANCHORARRAY( $W$5), 0), 0)
    )
)
/
(
    INDEX($AN$5:$AN$77, MATCH(BQ$100,_xlfn.ANCHORARRAY( $W$5), 0))
    *
    INDEX($AN$5:$AN$77, MATCH($A162,_xlfn.ANCHORARRAY( $W$5), 0))
)</f>
        <v>0.57593132710482597</v>
      </c>
      <c r="BR162" s="17" cm="1">
        <f t="array" ref="BR162">MMULT(
    MMULT(
        INDEX($X$5:$AM$77, MATCH(BR$100,_xlfn.ANCHORARRAY( $W$5), 0), 0),
        $F$5:$U$20
    ),
    TRANSPOSE(
        INDEX($X$5:$AM$77, MATCH($A162,_xlfn.ANCHORARRAY( $W$5), 0), 0)
    )
)
/
(
    INDEX($AN$5:$AN$77, MATCH(BR$100,_xlfn.ANCHORARRAY( $W$5), 0))
    *
    INDEX($AN$5:$AN$77, MATCH($A162,_xlfn.ANCHORARRAY( $W$5), 0))
)</f>
        <v>0.68017918968550906</v>
      </c>
      <c r="BS162" s="17" cm="1">
        <f t="array" ref="BS162">MMULT(
    MMULT(
        INDEX($X$5:$AM$77, MATCH(BS$100,_xlfn.ANCHORARRAY( $W$5), 0), 0),
        $F$5:$U$20
    ),
    TRANSPOSE(
        INDEX($X$5:$AM$77, MATCH($A162,_xlfn.ANCHORARRAY( $W$5), 0), 0)
    )
)
/
(
    INDEX($AN$5:$AN$77, MATCH(BS$100,_xlfn.ANCHORARRAY( $W$5), 0))
    *
    INDEX($AN$5:$AN$77, MATCH($A162,_xlfn.ANCHORARRAY( $W$5), 0))
)</f>
        <v>0.48085875229999536</v>
      </c>
      <c r="BT162" s="17" cm="1">
        <f t="array" ref="BT162">MMULT(
    MMULT(
        INDEX($X$5:$AM$77, MATCH(BT$100,_xlfn.ANCHORARRAY( $W$5), 0), 0),
        $F$5:$U$20
    ),
    TRANSPOSE(
        INDEX($X$5:$AM$77, MATCH($A162,_xlfn.ANCHORARRAY( $W$5), 0), 0)
    )
)
/
(
    INDEX($AN$5:$AN$77, MATCH(BT$100,_xlfn.ANCHORARRAY( $W$5), 0))
    *
    INDEX($AN$5:$AN$77, MATCH($A162,_xlfn.ANCHORARRAY( $W$5), 0))
)</f>
        <v>0.65330629791112849</v>
      </c>
      <c r="BU162" s="17" cm="1">
        <f t="array" ref="BU162">MMULT(
    MMULT(
        INDEX($X$5:$AM$77, MATCH(BU$100,_xlfn.ANCHORARRAY( $W$5), 0), 0),
        $F$5:$U$20
    ),
    TRANSPOSE(
        INDEX($X$5:$AM$77, MATCH($A162,_xlfn.ANCHORARRAY( $W$5), 0), 0)
    )
)
/
(
    INDEX($AN$5:$AN$77, MATCH(BU$100,_xlfn.ANCHORARRAY( $W$5), 0))
    *
    INDEX($AN$5:$AN$77, MATCH($A162,_xlfn.ANCHORARRAY( $W$5), 0))
)</f>
        <v>0.9404232815560285</v>
      </c>
      <c r="BV162" s="17" cm="1">
        <f t="array" ref="BV162">MMULT(
    MMULT(
        INDEX($X$5:$AM$77, MATCH(BV$100,_xlfn.ANCHORARRAY( $W$5), 0), 0),
        $F$5:$U$20
    ),
    TRANSPOSE(
        INDEX($X$5:$AM$77, MATCH($A162,_xlfn.ANCHORARRAY( $W$5), 0), 0)
    )
)
/
(
    INDEX($AN$5:$AN$77, MATCH(BV$100,_xlfn.ANCHORARRAY( $W$5), 0))
    *
    INDEX($AN$5:$AN$77, MATCH($A162,_xlfn.ANCHORARRAY( $W$5), 0))
)</f>
        <v>0.58775734596299745</v>
      </c>
    </row>
    <row r="163" spans="1:74" x14ac:dyDescent="0.3">
      <c r="A163" s="7" t="str">
        <v>Kinley, Tyler</v>
      </c>
      <c r="B163" s="17" cm="1">
        <f t="array" ref="B163">MMULT(
    MMULT(
        INDEX($X$5:$AM$77, MATCH(B$100,_xlfn.ANCHORARRAY( $W$5), 0), 0),
        $F$5:$U$20
    ),
    TRANSPOSE(
        INDEX($X$5:$AM$77, MATCH($A163,_xlfn.ANCHORARRAY( $W$5), 0), 0)
    )
)
/
(
    INDEX($AN$5:$AN$77, MATCH(B$100,_xlfn.ANCHORARRAY( $W$5), 0))
    *
    INDEX($AN$5:$AN$77, MATCH($A163,_xlfn.ANCHORARRAY( $W$5), 0))
)</f>
        <v>0.49882804181163087</v>
      </c>
      <c r="C163" s="17" cm="1">
        <f t="array" ref="C163">MMULT(
    MMULT(
        INDEX($X$5:$AM$77, MATCH(C$100,_xlfn.ANCHORARRAY( $W$5), 0), 0),
        $F$5:$U$20
    ),
    TRANSPOSE(
        INDEX($X$5:$AM$77, MATCH($A163,_xlfn.ANCHORARRAY( $W$5), 0), 0)
    )
)
/
(
    INDEX($AN$5:$AN$77, MATCH(C$100,_xlfn.ANCHORARRAY( $W$5), 0))
    *
    INDEX($AN$5:$AN$77, MATCH($A163,_xlfn.ANCHORARRAY( $W$5), 0))
)</f>
        <v>0.23949593208517389</v>
      </c>
      <c r="D163" s="17" cm="1">
        <f t="array" ref="D163">MMULT(
    MMULT(
        INDEX($X$5:$AM$77, MATCH(D$100,_xlfn.ANCHORARRAY( $W$5), 0), 0),
        $F$5:$U$20
    ),
    TRANSPOSE(
        INDEX($X$5:$AM$77, MATCH($A163,_xlfn.ANCHORARRAY( $W$5), 0), 0)
    )
)
/
(
    INDEX($AN$5:$AN$77, MATCH(D$100,_xlfn.ANCHORARRAY( $W$5), 0))
    *
    INDEX($AN$5:$AN$77, MATCH($A163,_xlfn.ANCHORARRAY( $W$5), 0))
)</f>
        <v>0.63373409934092106</v>
      </c>
      <c r="E163" s="17" cm="1">
        <f t="array" ref="E163">MMULT(
    MMULT(
        INDEX($X$5:$AM$77, MATCH(E$100,_xlfn.ANCHORARRAY( $W$5), 0), 0),
        $F$5:$U$20
    ),
    TRANSPOSE(
        INDEX($X$5:$AM$77, MATCH($A163,_xlfn.ANCHORARRAY( $W$5), 0), 0)
    )
)
/
(
    INDEX($AN$5:$AN$77, MATCH(E$100,_xlfn.ANCHORARRAY( $W$5), 0))
    *
    INDEX($AN$5:$AN$77, MATCH($A163,_xlfn.ANCHORARRAY( $W$5), 0))
)</f>
        <v>0.65088423255898842</v>
      </c>
      <c r="F163" s="17" cm="1">
        <f t="array" ref="F163">MMULT(
    MMULT(
        INDEX($X$5:$AM$77, MATCH(F$100,_xlfn.ANCHORARRAY( $W$5), 0), 0),
        $F$5:$U$20
    ),
    TRANSPOSE(
        INDEX($X$5:$AM$77, MATCH($A163,_xlfn.ANCHORARRAY( $W$5), 0), 0)
    )
)
/
(
    INDEX($AN$5:$AN$77, MATCH(F$100,_xlfn.ANCHORARRAY( $W$5), 0))
    *
    INDEX($AN$5:$AN$77, MATCH($A163,_xlfn.ANCHORARRAY( $W$5), 0))
)</f>
        <v>0.79920524007607008</v>
      </c>
      <c r="G163" s="17" cm="1">
        <f t="array" ref="G163">MMULT(
    MMULT(
        INDEX($X$5:$AM$77, MATCH(G$100,_xlfn.ANCHORARRAY( $W$5), 0), 0),
        $F$5:$U$20
    ),
    TRANSPOSE(
        INDEX($X$5:$AM$77, MATCH($A163,_xlfn.ANCHORARRAY( $W$5), 0), 0)
    )
)
/
(
    INDEX($AN$5:$AN$77, MATCH(G$100,_xlfn.ANCHORARRAY( $W$5), 0))
    *
    INDEX($AN$5:$AN$77, MATCH($A163,_xlfn.ANCHORARRAY( $W$5), 0))
)</f>
        <v>0.20532216974860962</v>
      </c>
      <c r="H163" s="17" cm="1">
        <f t="array" ref="H163">MMULT(
    MMULT(
        INDEX($X$5:$AM$77, MATCH(H$100,_xlfn.ANCHORARRAY( $W$5), 0), 0),
        $F$5:$U$20
    ),
    TRANSPOSE(
        INDEX($X$5:$AM$77, MATCH($A163,_xlfn.ANCHORARRAY( $W$5), 0), 0)
    )
)
/
(
    INDEX($AN$5:$AN$77, MATCH(H$100,_xlfn.ANCHORARRAY( $W$5), 0))
    *
    INDEX($AN$5:$AN$77, MATCH($A163,_xlfn.ANCHORARRAY( $W$5), 0))
)</f>
        <v>0.17049259409654705</v>
      </c>
      <c r="I163" s="17" cm="1">
        <f t="array" ref="I163">MMULT(
    MMULT(
        INDEX($X$5:$AM$77, MATCH(I$100,_xlfn.ANCHORARRAY( $W$5), 0), 0),
        $F$5:$U$20
    ),
    TRANSPOSE(
        INDEX($X$5:$AM$77, MATCH($A163,_xlfn.ANCHORARRAY( $W$5), 0), 0)
    )
)
/
(
    INDEX($AN$5:$AN$77, MATCH(I$100,_xlfn.ANCHORARRAY( $W$5), 0))
    *
    INDEX($AN$5:$AN$77, MATCH($A163,_xlfn.ANCHORARRAY( $W$5), 0))
)</f>
        <v>0.38829084393027141</v>
      </c>
      <c r="J163" s="17" cm="1">
        <f t="array" ref="J163">MMULT(
    MMULT(
        INDEX($X$5:$AM$77, MATCH(J$100,_xlfn.ANCHORARRAY( $W$5), 0), 0),
        $F$5:$U$20
    ),
    TRANSPOSE(
        INDEX($X$5:$AM$77, MATCH($A163,_xlfn.ANCHORARRAY( $W$5), 0), 0)
    )
)
/
(
    INDEX($AN$5:$AN$77, MATCH(J$100,_xlfn.ANCHORARRAY( $W$5), 0))
    *
    INDEX($AN$5:$AN$77, MATCH($A163,_xlfn.ANCHORARRAY( $W$5), 0))
)</f>
        <v>0.52311284637385558</v>
      </c>
      <c r="K163" s="17" cm="1">
        <f t="array" ref="K163">MMULT(
    MMULT(
        INDEX($X$5:$AM$77, MATCH(K$100,_xlfn.ANCHORARRAY( $W$5), 0), 0),
        $F$5:$U$20
    ),
    TRANSPOSE(
        INDEX($X$5:$AM$77, MATCH($A163,_xlfn.ANCHORARRAY( $W$5), 0), 0)
    )
)
/
(
    INDEX($AN$5:$AN$77, MATCH(K$100,_xlfn.ANCHORARRAY( $W$5), 0))
    *
    INDEX($AN$5:$AN$77, MATCH($A163,_xlfn.ANCHORARRAY( $W$5), 0))
)</f>
        <v>0.52113021750890109</v>
      </c>
      <c r="L163" s="17" cm="1">
        <f t="array" ref="L163">MMULT(
    MMULT(
        INDEX($X$5:$AM$77, MATCH(L$100,_xlfn.ANCHORARRAY( $W$5), 0), 0),
        $F$5:$U$20
    ),
    TRANSPOSE(
        INDEX($X$5:$AM$77, MATCH($A163,_xlfn.ANCHORARRAY( $W$5), 0), 0)
    )
)
/
(
    INDEX($AN$5:$AN$77, MATCH(L$100,_xlfn.ANCHORARRAY( $W$5), 0))
    *
    INDEX($AN$5:$AN$77, MATCH($A163,_xlfn.ANCHORARRAY( $W$5), 0))
)</f>
        <v>0.17306458315874818</v>
      </c>
      <c r="M163" s="17" cm="1">
        <f t="array" ref="M163">MMULT(
    MMULT(
        INDEX($X$5:$AM$77, MATCH(M$100,_xlfn.ANCHORARRAY( $W$5), 0), 0),
        $F$5:$U$20
    ),
    TRANSPOSE(
        INDEX($X$5:$AM$77, MATCH($A163,_xlfn.ANCHORARRAY( $W$5), 0), 0)
    )
)
/
(
    INDEX($AN$5:$AN$77, MATCH(M$100,_xlfn.ANCHORARRAY( $W$5), 0))
    *
    INDEX($AN$5:$AN$77, MATCH($A163,_xlfn.ANCHORARRAY( $W$5), 0))
)</f>
        <v>0.39596277083403403</v>
      </c>
      <c r="N163" s="17" cm="1">
        <f t="array" ref="N163">MMULT(
    MMULT(
        INDEX($X$5:$AM$77, MATCH(N$100,_xlfn.ANCHORARRAY( $W$5), 0), 0),
        $F$5:$U$20
    ),
    TRANSPOSE(
        INDEX($X$5:$AM$77, MATCH($A163,_xlfn.ANCHORARRAY( $W$5), 0), 0)
    )
)
/
(
    INDEX($AN$5:$AN$77, MATCH(N$100,_xlfn.ANCHORARRAY( $W$5), 0))
    *
    INDEX($AN$5:$AN$77, MATCH($A163,_xlfn.ANCHORARRAY( $W$5), 0))
)</f>
        <v>0.9101372679702916</v>
      </c>
      <c r="O163" s="17" cm="1">
        <f t="array" ref="O163">MMULT(
    MMULT(
        INDEX($X$5:$AM$77, MATCH(O$100,_xlfn.ANCHORARRAY( $W$5), 0), 0),
        $F$5:$U$20
    ),
    TRANSPOSE(
        INDEX($X$5:$AM$77, MATCH($A163,_xlfn.ANCHORARRAY( $W$5), 0), 0)
    )
)
/
(
    INDEX($AN$5:$AN$77, MATCH(O$100,_xlfn.ANCHORARRAY( $W$5), 0))
    *
    INDEX($AN$5:$AN$77, MATCH($A163,_xlfn.ANCHORARRAY( $W$5), 0))
)</f>
        <v>0.88789752463721661</v>
      </c>
      <c r="P163" s="17" cm="1">
        <f t="array" ref="P163">MMULT(
    MMULT(
        INDEX($X$5:$AM$77, MATCH(P$100,_xlfn.ANCHORARRAY( $W$5), 0), 0),
        $F$5:$U$20
    ),
    TRANSPOSE(
        INDEX($X$5:$AM$77, MATCH($A163,_xlfn.ANCHORARRAY( $W$5), 0), 0)
    )
)
/
(
    INDEX($AN$5:$AN$77, MATCH(P$100,_xlfn.ANCHORARRAY( $W$5), 0))
    *
    INDEX($AN$5:$AN$77, MATCH($A163,_xlfn.ANCHORARRAY( $W$5), 0))
)</f>
        <v>0.75538397856479345</v>
      </c>
      <c r="Q163" s="17" cm="1">
        <f t="array" ref="Q163">MMULT(
    MMULT(
        INDEX($X$5:$AM$77, MATCH(Q$100,_xlfn.ANCHORARRAY( $W$5), 0), 0),
        $F$5:$U$20
    ),
    TRANSPOSE(
        INDEX($X$5:$AM$77, MATCH($A163,_xlfn.ANCHORARRAY( $W$5), 0), 0)
    )
)
/
(
    INDEX($AN$5:$AN$77, MATCH(Q$100,_xlfn.ANCHORARRAY( $W$5), 0))
    *
    INDEX($AN$5:$AN$77, MATCH($A163,_xlfn.ANCHORARRAY( $W$5), 0))
)</f>
        <v>0.20342267533316213</v>
      </c>
      <c r="R163" s="17" cm="1">
        <f t="array" ref="R163">MMULT(
    MMULT(
        INDEX($X$5:$AM$77, MATCH(R$100,_xlfn.ANCHORARRAY( $W$5), 0), 0),
        $F$5:$U$20
    ),
    TRANSPOSE(
        INDEX($X$5:$AM$77, MATCH($A163,_xlfn.ANCHORARRAY( $W$5), 0), 0)
    )
)
/
(
    INDEX($AN$5:$AN$77, MATCH(R$100,_xlfn.ANCHORARRAY( $W$5), 0))
    *
    INDEX($AN$5:$AN$77, MATCH($A163,_xlfn.ANCHORARRAY( $W$5), 0))
)</f>
        <v>0.50117392068859368</v>
      </c>
      <c r="S163" s="17" cm="1">
        <f t="array" ref="S163">MMULT(
    MMULT(
        INDEX($X$5:$AM$77, MATCH(S$100,_xlfn.ANCHORARRAY( $W$5), 0), 0),
        $F$5:$U$20
    ),
    TRANSPOSE(
        INDEX($X$5:$AM$77, MATCH($A163,_xlfn.ANCHORARRAY( $W$5), 0), 0)
    )
)
/
(
    INDEX($AN$5:$AN$77, MATCH(S$100,_xlfn.ANCHORARRAY( $W$5), 0))
    *
    INDEX($AN$5:$AN$77, MATCH($A163,_xlfn.ANCHORARRAY( $W$5), 0))
)</f>
        <v>0.29380259848608625</v>
      </c>
      <c r="T163" s="17" cm="1">
        <f t="array" ref="T163">MMULT(
    MMULT(
        INDEX($X$5:$AM$77, MATCH(T$100,_xlfn.ANCHORARRAY( $W$5), 0), 0),
        $F$5:$U$20
    ),
    TRANSPOSE(
        INDEX($X$5:$AM$77, MATCH($A163,_xlfn.ANCHORARRAY( $W$5), 0), 0)
    )
)
/
(
    INDEX($AN$5:$AN$77, MATCH(T$100,_xlfn.ANCHORARRAY( $W$5), 0))
    *
    INDEX($AN$5:$AN$77, MATCH($A163,_xlfn.ANCHORARRAY( $W$5), 0))
)</f>
        <v>0.22266972702947416</v>
      </c>
      <c r="U163" s="17" cm="1">
        <f t="array" ref="U163">MMULT(
    MMULT(
        INDEX($X$5:$AM$77, MATCH(U$100,_xlfn.ANCHORARRAY( $W$5), 0), 0),
        $F$5:$U$20
    ),
    TRANSPOSE(
        INDEX($X$5:$AM$77, MATCH($A163,_xlfn.ANCHORARRAY( $W$5), 0), 0)
    )
)
/
(
    INDEX($AN$5:$AN$77, MATCH(U$100,_xlfn.ANCHORARRAY( $W$5), 0))
    *
    INDEX($AN$5:$AN$77, MATCH($A163,_xlfn.ANCHORARRAY( $W$5), 0))
)</f>
        <v>0.64028095396409201</v>
      </c>
      <c r="V163" s="17" cm="1">
        <f t="array" ref="V163">MMULT(
    MMULT(
        INDEX($X$5:$AM$77, MATCH(V$100,_xlfn.ANCHORARRAY( $W$5), 0), 0),
        $F$5:$U$20
    ),
    TRANSPOSE(
        INDEX($X$5:$AM$77, MATCH($A163,_xlfn.ANCHORARRAY( $W$5), 0), 0)
    )
)
/
(
    INDEX($AN$5:$AN$77, MATCH(V$100,_xlfn.ANCHORARRAY( $W$5), 0))
    *
    INDEX($AN$5:$AN$77, MATCH($A163,_xlfn.ANCHORARRAY( $W$5), 0))
)</f>
        <v>0.17712401051309937</v>
      </c>
      <c r="W163" s="17" cm="1">
        <f t="array" ref="W163">MMULT(
    MMULT(
        INDEX($X$5:$AM$77, MATCH(W$100,_xlfn.ANCHORARRAY( $W$5), 0), 0),
        $F$5:$U$20
    ),
    TRANSPOSE(
        INDEX($X$5:$AM$77, MATCH($A163,_xlfn.ANCHORARRAY( $W$5), 0), 0)
    )
)
/
(
    INDEX($AN$5:$AN$77, MATCH(W$100,_xlfn.ANCHORARRAY( $W$5), 0))
    *
    INDEX($AN$5:$AN$77, MATCH($A163,_xlfn.ANCHORARRAY( $W$5), 0))
)</f>
        <v>0.57985482695552693</v>
      </c>
      <c r="X163" s="17" cm="1">
        <f t="array" ref="X163">MMULT(
    MMULT(
        INDEX($X$5:$AM$77, MATCH(X$100,_xlfn.ANCHORARRAY( $W$5), 0), 0),
        $F$5:$U$20
    ),
    TRANSPOSE(
        INDEX($X$5:$AM$77, MATCH($A163,_xlfn.ANCHORARRAY( $W$5), 0), 0)
    )
)
/
(
    INDEX($AN$5:$AN$77, MATCH(X$100,_xlfn.ANCHORARRAY( $W$5), 0))
    *
    INDEX($AN$5:$AN$77, MATCH($A163,_xlfn.ANCHORARRAY( $W$5), 0))
)</f>
        <v>0.81869518809410069</v>
      </c>
      <c r="Y163" s="17" cm="1">
        <f t="array" ref="Y163">MMULT(
    MMULT(
        INDEX($X$5:$AM$77, MATCH(Y$100,_xlfn.ANCHORARRAY( $W$5), 0), 0),
        $F$5:$U$20
    ),
    TRANSPOSE(
        INDEX($X$5:$AM$77, MATCH($A163,_xlfn.ANCHORARRAY( $W$5), 0), 0)
    )
)
/
(
    INDEX($AN$5:$AN$77, MATCH(Y$100,_xlfn.ANCHORARRAY( $W$5), 0))
    *
    INDEX($AN$5:$AN$77, MATCH($A163,_xlfn.ANCHORARRAY( $W$5), 0))
)</f>
        <v>0.24555032944702712</v>
      </c>
      <c r="Z163" s="17" cm="1">
        <f t="array" ref="Z163">MMULT(
    MMULT(
        INDEX($X$5:$AM$77, MATCH(Z$100,_xlfn.ANCHORARRAY( $W$5), 0), 0),
        $F$5:$U$20
    ),
    TRANSPOSE(
        INDEX($X$5:$AM$77, MATCH($A163,_xlfn.ANCHORARRAY( $W$5), 0), 0)
    )
)
/
(
    INDEX($AN$5:$AN$77, MATCH(Z$100,_xlfn.ANCHORARRAY( $W$5), 0))
    *
    INDEX($AN$5:$AN$77, MATCH($A163,_xlfn.ANCHORARRAY( $W$5), 0))
)</f>
        <v>0.73337447891953711</v>
      </c>
      <c r="AA163" s="17" cm="1">
        <f t="array" ref="AA163">MMULT(
    MMULT(
        INDEX($X$5:$AM$77, MATCH(AA$100,_xlfn.ANCHORARRAY( $W$5), 0), 0),
        $F$5:$U$20
    ),
    TRANSPOSE(
        INDEX($X$5:$AM$77, MATCH($A163,_xlfn.ANCHORARRAY( $W$5), 0), 0)
    )
)
/
(
    INDEX($AN$5:$AN$77, MATCH(AA$100,_xlfn.ANCHORARRAY( $W$5), 0))
    *
    INDEX($AN$5:$AN$77, MATCH($A163,_xlfn.ANCHORARRAY( $W$5), 0))
)</f>
        <v>0.82416760117117449</v>
      </c>
      <c r="AB163" s="17" cm="1">
        <f t="array" ref="AB163">MMULT(
    MMULT(
        INDEX($X$5:$AM$77, MATCH(AB$100,_xlfn.ANCHORARRAY( $W$5), 0), 0),
        $F$5:$U$20
    ),
    TRANSPOSE(
        INDEX($X$5:$AM$77, MATCH($A163,_xlfn.ANCHORARRAY( $W$5), 0), 0)
    )
)
/
(
    INDEX($AN$5:$AN$77, MATCH(AB$100,_xlfn.ANCHORARRAY( $W$5), 0))
    *
    INDEX($AN$5:$AN$77, MATCH($A163,_xlfn.ANCHORARRAY( $W$5), 0))
)</f>
        <v>0.65533841244964297</v>
      </c>
      <c r="AC163" s="17" cm="1">
        <f t="array" ref="AC163">MMULT(
    MMULT(
        INDEX($X$5:$AM$77, MATCH(AC$100,_xlfn.ANCHORARRAY( $W$5), 0), 0),
        $F$5:$U$20
    ),
    TRANSPOSE(
        INDEX($X$5:$AM$77, MATCH($A163,_xlfn.ANCHORARRAY( $W$5), 0), 0)
    )
)
/
(
    INDEX($AN$5:$AN$77, MATCH(AC$100,_xlfn.ANCHORARRAY( $W$5), 0))
    *
    INDEX($AN$5:$AN$77, MATCH($A163,_xlfn.ANCHORARRAY( $W$5), 0))
)</f>
        <v>0.51490401606359859</v>
      </c>
      <c r="AD163" s="17" cm="1">
        <f t="array" ref="AD163">MMULT(
    MMULT(
        INDEX($X$5:$AM$77, MATCH(AD$100,_xlfn.ANCHORARRAY( $W$5), 0), 0),
        $F$5:$U$20
    ),
    TRANSPOSE(
        INDEX($X$5:$AM$77, MATCH($A163,_xlfn.ANCHORARRAY( $W$5), 0), 0)
    )
)
/
(
    INDEX($AN$5:$AN$77, MATCH(AD$100,_xlfn.ANCHORARRAY( $W$5), 0))
    *
    INDEX($AN$5:$AN$77, MATCH($A163,_xlfn.ANCHORARRAY( $W$5), 0))
)</f>
        <v>0.67263208901058169</v>
      </c>
      <c r="AE163" s="17" cm="1">
        <f t="array" ref="AE163">MMULT(
    MMULT(
        INDEX($X$5:$AM$77, MATCH(AE$100,_xlfn.ANCHORARRAY( $W$5), 0), 0),
        $F$5:$U$20
    ),
    TRANSPOSE(
        INDEX($X$5:$AM$77, MATCH($A163,_xlfn.ANCHORARRAY( $W$5), 0), 0)
    )
)
/
(
    INDEX($AN$5:$AN$77, MATCH(AE$100,_xlfn.ANCHORARRAY( $W$5), 0))
    *
    INDEX($AN$5:$AN$77, MATCH($A163,_xlfn.ANCHORARRAY( $W$5), 0))
)</f>
        <v>0.38014770415435678</v>
      </c>
      <c r="AF163" s="17" cm="1">
        <f t="array" ref="AF163">MMULT(
    MMULT(
        INDEX($X$5:$AM$77, MATCH(AF$100,_xlfn.ANCHORARRAY( $W$5), 0), 0),
        $F$5:$U$20
    ),
    TRANSPOSE(
        INDEX($X$5:$AM$77, MATCH($A163,_xlfn.ANCHORARRAY( $W$5), 0), 0)
    )
)
/
(
    INDEX($AN$5:$AN$77, MATCH(AF$100,_xlfn.ANCHORARRAY( $W$5), 0))
    *
    INDEX($AN$5:$AN$77, MATCH($A163,_xlfn.ANCHORARRAY( $W$5), 0))
)</f>
        <v>0.31908791487405336</v>
      </c>
      <c r="AG163" s="17" cm="1">
        <f t="array" ref="AG163">MMULT(
    MMULT(
        INDEX($X$5:$AM$77, MATCH(AG$100,_xlfn.ANCHORARRAY( $W$5), 0), 0),
        $F$5:$U$20
    ),
    TRANSPOSE(
        INDEX($X$5:$AM$77, MATCH($A163,_xlfn.ANCHORARRAY( $W$5), 0), 0)
    )
)
/
(
    INDEX($AN$5:$AN$77, MATCH(AG$100,_xlfn.ANCHORARRAY( $W$5), 0))
    *
    INDEX($AN$5:$AN$77, MATCH($A163,_xlfn.ANCHORARRAY( $W$5), 0))
)</f>
        <v>0.29130776567156569</v>
      </c>
      <c r="AH163" s="17" cm="1">
        <f t="array" ref="AH163">MMULT(
    MMULT(
        INDEX($X$5:$AM$77, MATCH(AH$100,_xlfn.ANCHORARRAY( $W$5), 0), 0),
        $F$5:$U$20
    ),
    TRANSPOSE(
        INDEX($X$5:$AM$77, MATCH($A163,_xlfn.ANCHORARRAY( $W$5), 0), 0)
    )
)
/
(
    INDEX($AN$5:$AN$77, MATCH(AH$100,_xlfn.ANCHORARRAY( $W$5), 0))
    *
    INDEX($AN$5:$AN$77, MATCH($A163,_xlfn.ANCHORARRAY( $W$5), 0))
)</f>
        <v>0.15733906206527579</v>
      </c>
      <c r="AI163" s="17" cm="1">
        <f t="array" ref="AI163">MMULT(
    MMULT(
        INDEX($X$5:$AM$77, MATCH(AI$100,_xlfn.ANCHORARRAY( $W$5), 0), 0),
        $F$5:$U$20
    ),
    TRANSPOSE(
        INDEX($X$5:$AM$77, MATCH($A163,_xlfn.ANCHORARRAY( $W$5), 0), 0)
    )
)
/
(
    INDEX($AN$5:$AN$77, MATCH(AI$100,_xlfn.ANCHORARRAY( $W$5), 0))
    *
    INDEX($AN$5:$AN$77, MATCH($A163,_xlfn.ANCHORARRAY( $W$5), 0))
)</f>
        <v>0.33222101339582072</v>
      </c>
      <c r="AJ163" s="17" cm="1">
        <f t="array" ref="AJ163">MMULT(
    MMULT(
        INDEX($X$5:$AM$77, MATCH(AJ$100,_xlfn.ANCHORARRAY( $W$5), 0), 0),
        $F$5:$U$20
    ),
    TRANSPOSE(
        INDEX($X$5:$AM$77, MATCH($A163,_xlfn.ANCHORARRAY( $W$5), 0), 0)
    )
)
/
(
    INDEX($AN$5:$AN$77, MATCH(AJ$100,_xlfn.ANCHORARRAY( $W$5), 0))
    *
    INDEX($AN$5:$AN$77, MATCH($A163,_xlfn.ANCHORARRAY( $W$5), 0))
)</f>
        <v>0.77631080812899667</v>
      </c>
      <c r="AK163" s="17" cm="1">
        <f t="array" ref="AK163">MMULT(
    MMULT(
        INDEX($X$5:$AM$77, MATCH(AK$100,_xlfn.ANCHORARRAY( $W$5), 0), 0),
        $F$5:$U$20
    ),
    TRANSPOSE(
        INDEX($X$5:$AM$77, MATCH($A163,_xlfn.ANCHORARRAY( $W$5), 0), 0)
    )
)
/
(
    INDEX($AN$5:$AN$77, MATCH(AK$100,_xlfn.ANCHORARRAY( $W$5), 0))
    *
    INDEX($AN$5:$AN$77, MATCH($A163,_xlfn.ANCHORARRAY( $W$5), 0))
)</f>
        <v>0.43266096649843949</v>
      </c>
      <c r="AL163" s="17" cm="1">
        <f t="array" ref="AL163">MMULT(
    MMULT(
        INDEX($X$5:$AM$77, MATCH(AL$100,_xlfn.ANCHORARRAY( $W$5), 0), 0),
        $F$5:$U$20
    ),
    TRANSPOSE(
        INDEX($X$5:$AM$77, MATCH($A163,_xlfn.ANCHORARRAY( $W$5), 0), 0)
    )
)
/
(
    INDEX($AN$5:$AN$77, MATCH(AL$100,_xlfn.ANCHORARRAY( $W$5), 0))
    *
    INDEX($AN$5:$AN$77, MATCH($A163,_xlfn.ANCHORARRAY( $W$5), 0))
)</f>
        <v>0.87108592658579675</v>
      </c>
      <c r="AM163" s="17" cm="1">
        <f t="array" ref="AM163">MMULT(
    MMULT(
        INDEX($X$5:$AM$77, MATCH(AM$100,_xlfn.ANCHORARRAY( $W$5), 0), 0),
        $F$5:$U$20
    ),
    TRANSPOSE(
        INDEX($X$5:$AM$77, MATCH($A163,_xlfn.ANCHORARRAY( $W$5), 0), 0)
    )
)
/
(
    INDEX($AN$5:$AN$77, MATCH(AM$100,_xlfn.ANCHORARRAY( $W$5), 0))
    *
    INDEX($AN$5:$AN$77, MATCH($A163,_xlfn.ANCHORARRAY( $W$5), 0))
)</f>
        <v>0.3649286431485862</v>
      </c>
      <c r="AN163" s="17" cm="1">
        <f t="array" ref="AN163">MMULT(
    MMULT(
        INDEX($X$5:$AM$77, MATCH(AN$100,_xlfn.ANCHORARRAY( $W$5), 0), 0),
        $F$5:$U$20
    ),
    TRANSPOSE(
        INDEX($X$5:$AM$77, MATCH($A163,_xlfn.ANCHORARRAY( $W$5), 0), 0)
    )
)
/
(
    INDEX($AN$5:$AN$77, MATCH(AN$100,_xlfn.ANCHORARRAY( $W$5), 0))
    *
    INDEX($AN$5:$AN$77, MATCH($A163,_xlfn.ANCHORARRAY( $W$5), 0))
)</f>
        <v>0.17047585735170273</v>
      </c>
      <c r="AO163" s="17" cm="1">
        <f t="array" ref="AO163">MMULT(
    MMULT(
        INDEX($X$5:$AM$77, MATCH(AO$100,_xlfn.ANCHORARRAY( $W$5), 0), 0),
        $F$5:$U$20
    ),
    TRANSPOSE(
        INDEX($X$5:$AM$77, MATCH($A163,_xlfn.ANCHORARRAY( $W$5), 0), 0)
    )
)
/
(
    INDEX($AN$5:$AN$77, MATCH(AO$100,_xlfn.ANCHORARRAY( $W$5), 0))
    *
    INDEX($AN$5:$AN$77, MATCH($A163,_xlfn.ANCHORARRAY( $W$5), 0))
)</f>
        <v>0.2902789706044428</v>
      </c>
      <c r="AP163" s="17" cm="1">
        <f t="array" ref="AP163">MMULT(
    MMULT(
        INDEX($X$5:$AM$77, MATCH(AP$100,_xlfn.ANCHORARRAY( $W$5), 0), 0),
        $F$5:$U$20
    ),
    TRANSPOSE(
        INDEX($X$5:$AM$77, MATCH($A163,_xlfn.ANCHORARRAY( $W$5), 0), 0)
    )
)
/
(
    INDEX($AN$5:$AN$77, MATCH(AP$100,_xlfn.ANCHORARRAY( $W$5), 0))
    *
    INDEX($AN$5:$AN$77, MATCH($A163,_xlfn.ANCHORARRAY( $W$5), 0))
)</f>
        <v>0.38513415335989809</v>
      </c>
      <c r="AQ163" s="17" cm="1">
        <f t="array" ref="AQ163">MMULT(
    MMULT(
        INDEX($X$5:$AM$77, MATCH(AQ$100,_xlfn.ANCHORARRAY( $W$5), 0), 0),
        $F$5:$U$20
    ),
    TRANSPOSE(
        INDEX($X$5:$AM$77, MATCH($A163,_xlfn.ANCHORARRAY( $W$5), 0), 0)
    )
)
/
(
    INDEX($AN$5:$AN$77, MATCH(AQ$100,_xlfn.ANCHORARRAY( $W$5), 0))
    *
    INDEX($AN$5:$AN$77, MATCH($A163,_xlfn.ANCHORARRAY( $W$5), 0))
)</f>
        <v>0.23936817297431204</v>
      </c>
      <c r="AR163" s="17" cm="1">
        <f t="array" ref="AR163">MMULT(
    MMULT(
        INDEX($X$5:$AM$77, MATCH(AR$100,_xlfn.ANCHORARRAY( $W$5), 0), 0),
        $F$5:$U$20
    ),
    TRANSPOSE(
        INDEX($X$5:$AM$77, MATCH($A163,_xlfn.ANCHORARRAY( $W$5), 0), 0)
    )
)
/
(
    INDEX($AN$5:$AN$77, MATCH(AR$100,_xlfn.ANCHORARRAY( $W$5), 0))
    *
    INDEX($AN$5:$AN$77, MATCH($A163,_xlfn.ANCHORARRAY( $W$5), 0))
)</f>
        <v>0.73482073923313951</v>
      </c>
      <c r="AS163" s="17" cm="1">
        <f t="array" ref="AS163">MMULT(
    MMULT(
        INDEX($X$5:$AM$77, MATCH(AS$100,_xlfn.ANCHORARRAY( $W$5), 0), 0),
        $F$5:$U$20
    ),
    TRANSPOSE(
        INDEX($X$5:$AM$77, MATCH($A163,_xlfn.ANCHORARRAY( $W$5), 0), 0)
    )
)
/
(
    INDEX($AN$5:$AN$77, MATCH(AS$100,_xlfn.ANCHORARRAY( $W$5), 0))
    *
    INDEX($AN$5:$AN$77, MATCH($A163,_xlfn.ANCHORARRAY( $W$5), 0))
)</f>
        <v>0.67254836023223863</v>
      </c>
      <c r="AT163" s="17" cm="1">
        <f t="array" ref="AT163">MMULT(
    MMULT(
        INDEX($X$5:$AM$77, MATCH(AT$100,_xlfn.ANCHORARRAY( $W$5), 0), 0),
        $F$5:$U$20
    ),
    TRANSPOSE(
        INDEX($X$5:$AM$77, MATCH($A163,_xlfn.ANCHORARRAY( $W$5), 0), 0)
    )
)
/
(
    INDEX($AN$5:$AN$77, MATCH(AT$100,_xlfn.ANCHORARRAY( $W$5), 0))
    *
    INDEX($AN$5:$AN$77, MATCH($A163,_xlfn.ANCHORARRAY( $W$5), 0))
)</f>
        <v>0.23245721558609875</v>
      </c>
      <c r="AU163" s="17" cm="1">
        <f t="array" ref="AU163">MMULT(
    MMULT(
        INDEX($X$5:$AM$77, MATCH(AU$100,_xlfn.ANCHORARRAY( $W$5), 0), 0),
        $F$5:$U$20
    ),
    TRANSPOSE(
        INDEX($X$5:$AM$77, MATCH($A163,_xlfn.ANCHORARRAY( $W$5), 0), 0)
    )
)
/
(
    INDEX($AN$5:$AN$77, MATCH(AU$100,_xlfn.ANCHORARRAY( $W$5), 0))
    *
    INDEX($AN$5:$AN$77, MATCH($A163,_xlfn.ANCHORARRAY( $W$5), 0))
)</f>
        <v>0.76097865385628205</v>
      </c>
      <c r="AV163" s="17" cm="1">
        <f t="array" ref="AV163">MMULT(
    MMULT(
        INDEX($X$5:$AM$77, MATCH(AV$100,_xlfn.ANCHORARRAY( $W$5), 0), 0),
        $F$5:$U$20
    ),
    TRANSPOSE(
        INDEX($X$5:$AM$77, MATCH($A163,_xlfn.ANCHORARRAY( $W$5), 0), 0)
    )
)
/
(
    INDEX($AN$5:$AN$77, MATCH(AV$100,_xlfn.ANCHORARRAY( $W$5), 0))
    *
    INDEX($AN$5:$AN$77, MATCH($A163,_xlfn.ANCHORARRAY( $W$5), 0))
)</f>
        <v>0.77929260514361476</v>
      </c>
      <c r="AW163" s="17" cm="1">
        <f t="array" ref="AW163">MMULT(
    MMULT(
        INDEX($X$5:$AM$77, MATCH(AW$100,_xlfn.ANCHORARRAY( $W$5), 0), 0),
        $F$5:$U$20
    ),
    TRANSPOSE(
        INDEX($X$5:$AM$77, MATCH($A163,_xlfn.ANCHORARRAY( $W$5), 0), 0)
    )
)
/
(
    INDEX($AN$5:$AN$77, MATCH(AW$100,_xlfn.ANCHORARRAY( $W$5), 0))
    *
    INDEX($AN$5:$AN$77, MATCH($A163,_xlfn.ANCHORARRAY( $W$5), 0))
)</f>
        <v>0.40509081666982255</v>
      </c>
      <c r="AX163" s="17" cm="1">
        <f t="array" ref="AX163">MMULT(
    MMULT(
        INDEX($X$5:$AM$77, MATCH(AX$100,_xlfn.ANCHORARRAY( $W$5), 0), 0),
        $F$5:$U$20
    ),
    TRANSPOSE(
        INDEX($X$5:$AM$77, MATCH($A163,_xlfn.ANCHORARRAY( $W$5), 0), 0)
    )
)
/
(
    INDEX($AN$5:$AN$77, MATCH(AX$100,_xlfn.ANCHORARRAY( $W$5), 0))
    *
    INDEX($AN$5:$AN$77, MATCH($A163,_xlfn.ANCHORARRAY( $W$5), 0))
)</f>
        <v>0.17428261709941864</v>
      </c>
      <c r="AY163" s="17" cm="1">
        <f t="array" ref="AY163">MMULT(
    MMULT(
        INDEX($X$5:$AM$77, MATCH(AY$100,_xlfn.ANCHORARRAY( $W$5), 0), 0),
        $F$5:$U$20
    ),
    TRANSPOSE(
        INDEX($X$5:$AM$77, MATCH($A163,_xlfn.ANCHORARRAY( $W$5), 0), 0)
    )
)
/
(
    INDEX($AN$5:$AN$77, MATCH(AY$100,_xlfn.ANCHORARRAY( $W$5), 0))
    *
    INDEX($AN$5:$AN$77, MATCH($A163,_xlfn.ANCHORARRAY( $W$5), 0))
)</f>
        <v>0.22668382437761281</v>
      </c>
      <c r="AZ163" s="17" cm="1">
        <f t="array" ref="AZ163">MMULT(
    MMULT(
        INDEX($X$5:$AM$77, MATCH(AZ$100,_xlfn.ANCHORARRAY( $W$5), 0), 0),
        $F$5:$U$20
    ),
    TRANSPOSE(
        INDEX($X$5:$AM$77, MATCH($A163,_xlfn.ANCHORARRAY( $W$5), 0), 0)
    )
)
/
(
    INDEX($AN$5:$AN$77, MATCH(AZ$100,_xlfn.ANCHORARRAY( $W$5), 0))
    *
    INDEX($AN$5:$AN$77, MATCH($A163,_xlfn.ANCHORARRAY( $W$5), 0))
)</f>
        <v>0.73137583062143952</v>
      </c>
      <c r="BA163" s="17" cm="1">
        <f t="array" ref="BA163">MMULT(
    MMULT(
        INDEX($X$5:$AM$77, MATCH(BA$100,_xlfn.ANCHORARRAY( $W$5), 0), 0),
        $F$5:$U$20
    ),
    TRANSPOSE(
        INDEX($X$5:$AM$77, MATCH($A163,_xlfn.ANCHORARRAY( $W$5), 0), 0)
    )
)
/
(
    INDEX($AN$5:$AN$77, MATCH(BA$100,_xlfn.ANCHORARRAY( $W$5), 0))
    *
    INDEX($AN$5:$AN$77, MATCH($A163,_xlfn.ANCHORARRAY( $W$5), 0))
)</f>
        <v>0.7452217361973793</v>
      </c>
      <c r="BB163" s="17" cm="1">
        <f t="array" ref="BB163">MMULT(
    MMULT(
        INDEX($X$5:$AM$77, MATCH(BB$100,_xlfn.ANCHORARRAY( $W$5), 0), 0),
        $F$5:$U$20
    ),
    TRANSPOSE(
        INDEX($X$5:$AM$77, MATCH($A163,_xlfn.ANCHORARRAY( $W$5), 0), 0)
    )
)
/
(
    INDEX($AN$5:$AN$77, MATCH(BB$100,_xlfn.ANCHORARRAY( $W$5), 0))
    *
    INDEX($AN$5:$AN$77, MATCH($A163,_xlfn.ANCHORARRAY( $W$5), 0))
)</f>
        <v>0.5797409374761352</v>
      </c>
      <c r="BC163" s="17" cm="1">
        <f t="array" ref="BC163">MMULT(
    MMULT(
        INDEX($X$5:$AM$77, MATCH(BC$100,_xlfn.ANCHORARRAY( $W$5), 0), 0),
        $F$5:$U$20
    ),
    TRANSPOSE(
        INDEX($X$5:$AM$77, MATCH($A163,_xlfn.ANCHORARRAY( $W$5), 0), 0)
    )
)
/
(
    INDEX($AN$5:$AN$77, MATCH(BC$100,_xlfn.ANCHORARRAY( $W$5), 0))
    *
    INDEX($AN$5:$AN$77, MATCH($A163,_xlfn.ANCHORARRAY( $W$5), 0))
)</f>
        <v>0.32711185924676101</v>
      </c>
      <c r="BD163" s="17" cm="1">
        <f t="array" ref="BD163">MMULT(
    MMULT(
        INDEX($X$5:$AM$77, MATCH(BD$100,_xlfn.ANCHORARRAY( $W$5), 0), 0),
        $F$5:$U$20
    ),
    TRANSPOSE(
        INDEX($X$5:$AM$77, MATCH($A163,_xlfn.ANCHORARRAY( $W$5), 0), 0)
    )
)
/
(
    INDEX($AN$5:$AN$77, MATCH(BD$100,_xlfn.ANCHORARRAY( $W$5), 0))
    *
    INDEX($AN$5:$AN$77, MATCH($A163,_xlfn.ANCHORARRAY( $W$5), 0))
)</f>
        <v>0.2437403169439889</v>
      </c>
      <c r="BE163" s="17" cm="1">
        <f t="array" ref="BE163">MMULT(
    MMULT(
        INDEX($X$5:$AM$77, MATCH(BE$100,_xlfn.ANCHORARRAY( $W$5), 0), 0),
        $F$5:$U$20
    ),
    TRANSPOSE(
        INDEX($X$5:$AM$77, MATCH($A163,_xlfn.ANCHORARRAY( $W$5), 0), 0)
    )
)
/
(
    INDEX($AN$5:$AN$77, MATCH(BE$100,_xlfn.ANCHORARRAY( $W$5), 0))
    *
    INDEX($AN$5:$AN$77, MATCH($A163,_xlfn.ANCHORARRAY( $W$5), 0))
)</f>
        <v>0.38829063964792621</v>
      </c>
      <c r="BF163" s="17" cm="1">
        <f t="array" ref="BF163">MMULT(
    MMULT(
        INDEX($X$5:$AM$77, MATCH(BF$100,_xlfn.ANCHORARRAY( $W$5), 0), 0),
        $F$5:$U$20
    ),
    TRANSPOSE(
        INDEX($X$5:$AM$77, MATCH($A163,_xlfn.ANCHORARRAY( $W$5), 0), 0)
    )
)
/
(
    INDEX($AN$5:$AN$77, MATCH(BF$100,_xlfn.ANCHORARRAY( $W$5), 0))
    *
    INDEX($AN$5:$AN$77, MATCH($A163,_xlfn.ANCHORARRAY( $W$5), 0))
)</f>
        <v>0.5496169378049055</v>
      </c>
      <c r="BG163" s="17" cm="1">
        <f t="array" ref="BG163">MMULT(
    MMULT(
        INDEX($X$5:$AM$77, MATCH(BG$100,_xlfn.ANCHORARRAY( $W$5), 0), 0),
        $F$5:$U$20
    ),
    TRANSPOSE(
        INDEX($X$5:$AM$77, MATCH($A163,_xlfn.ANCHORARRAY( $W$5), 0), 0)
    )
)
/
(
    INDEX($AN$5:$AN$77, MATCH(BG$100,_xlfn.ANCHORARRAY( $W$5), 0))
    *
    INDEX($AN$5:$AN$77, MATCH($A163,_xlfn.ANCHORARRAY( $W$5), 0))
)</f>
        <v>0.76390162787885596</v>
      </c>
      <c r="BH163" s="17" cm="1">
        <f t="array" ref="BH163">MMULT(
    MMULT(
        INDEX($X$5:$AM$77, MATCH(BH$100,_xlfn.ANCHORARRAY( $W$5), 0), 0),
        $F$5:$U$20
    ),
    TRANSPOSE(
        INDEX($X$5:$AM$77, MATCH($A163,_xlfn.ANCHORARRAY( $W$5), 0), 0)
    )
)
/
(
    INDEX($AN$5:$AN$77, MATCH(BH$100,_xlfn.ANCHORARRAY( $W$5), 0))
    *
    INDEX($AN$5:$AN$77, MATCH($A163,_xlfn.ANCHORARRAY( $W$5), 0))
)</f>
        <v>0.23154869694678953</v>
      </c>
      <c r="BI163" s="17" cm="1">
        <f t="array" ref="BI163">MMULT(
    MMULT(
        INDEX($X$5:$AM$77, MATCH(BI$100,_xlfn.ANCHORARRAY( $W$5), 0), 0),
        $F$5:$U$20
    ),
    TRANSPOSE(
        INDEX($X$5:$AM$77, MATCH($A163,_xlfn.ANCHORARRAY( $W$5), 0), 0)
    )
)
/
(
    INDEX($AN$5:$AN$77, MATCH(BI$100,_xlfn.ANCHORARRAY( $W$5), 0))
    *
    INDEX($AN$5:$AN$77, MATCH($A163,_xlfn.ANCHORARRAY( $W$5), 0))
)</f>
        <v>0.3036292273831781</v>
      </c>
      <c r="BJ163" s="17" cm="1">
        <f t="array" ref="BJ163">MMULT(
    MMULT(
        INDEX($X$5:$AM$77, MATCH(BJ$100,_xlfn.ANCHORARRAY( $W$5), 0), 0),
        $F$5:$U$20
    ),
    TRANSPOSE(
        INDEX($X$5:$AM$77, MATCH($A163,_xlfn.ANCHORARRAY( $W$5), 0), 0)
    )
)
/
(
    INDEX($AN$5:$AN$77, MATCH(BJ$100,_xlfn.ANCHORARRAY( $W$5), 0))
    *
    INDEX($AN$5:$AN$77, MATCH($A163,_xlfn.ANCHORARRAY( $W$5), 0))
)</f>
        <v>0.35331009352120307</v>
      </c>
      <c r="BK163" s="17" cm="1">
        <f t="array" ref="BK163">MMULT(
    MMULT(
        INDEX($X$5:$AM$77, MATCH(BK$100,_xlfn.ANCHORARRAY( $W$5), 0), 0),
        $F$5:$U$20
    ),
    TRANSPOSE(
        INDEX($X$5:$AM$77, MATCH($A163,_xlfn.ANCHORARRAY( $W$5), 0), 0)
    )
)
/
(
    INDEX($AN$5:$AN$77, MATCH(BK$100,_xlfn.ANCHORARRAY( $W$5), 0))
    *
    INDEX($AN$5:$AN$77, MATCH($A163,_xlfn.ANCHORARRAY( $W$5), 0))
)</f>
        <v>0.24448365121271606</v>
      </c>
      <c r="BL163" s="17" cm="1">
        <f t="array" ref="BL163">MMULT(
    MMULT(
        INDEX($X$5:$AM$77, MATCH(BL$100,_xlfn.ANCHORARRAY( $W$5), 0), 0),
        $F$5:$U$20
    ),
    TRANSPOSE(
        INDEX($X$5:$AM$77, MATCH($A163,_xlfn.ANCHORARRAY( $W$5), 0), 0)
    )
)
/
(
    INDEX($AN$5:$AN$77, MATCH(BL$100,_xlfn.ANCHORARRAY( $W$5), 0))
    *
    INDEX($AN$5:$AN$77, MATCH($A163,_xlfn.ANCHORARRAY( $W$5), 0))
)</f>
        <v>1</v>
      </c>
      <c r="BM163" s="17" cm="1">
        <f t="array" ref="BM163">MMULT(
    MMULT(
        INDEX($X$5:$AM$77, MATCH(BM$100,_xlfn.ANCHORARRAY( $W$5), 0), 0),
        $F$5:$U$20
    ),
    TRANSPOSE(
        INDEX($X$5:$AM$77, MATCH($A163,_xlfn.ANCHORARRAY( $W$5), 0), 0)
    )
)
/
(
    INDEX($AN$5:$AN$77, MATCH(BM$100,_xlfn.ANCHORARRAY( $W$5), 0))
    *
    INDEX($AN$5:$AN$77, MATCH($A163,_xlfn.ANCHORARRAY( $W$5), 0))
)</f>
        <v>0.66124822772242087</v>
      </c>
      <c r="BN163" s="17" cm="1">
        <f t="array" ref="BN163">MMULT(
    MMULT(
        INDEX($X$5:$AM$77, MATCH(BN$100,_xlfn.ANCHORARRAY( $W$5), 0), 0),
        $F$5:$U$20
    ),
    TRANSPOSE(
        INDEX($X$5:$AM$77, MATCH($A163,_xlfn.ANCHORARRAY( $W$5), 0), 0)
    )
)
/
(
    INDEX($AN$5:$AN$77, MATCH(BN$100,_xlfn.ANCHORARRAY( $W$5), 0))
    *
    INDEX($AN$5:$AN$77, MATCH($A163,_xlfn.ANCHORARRAY( $W$5), 0))
)</f>
        <v>0.27182058058881092</v>
      </c>
      <c r="BO163" s="17" cm="1">
        <f t="array" ref="BO163">MMULT(
    MMULT(
        INDEX($X$5:$AM$77, MATCH(BO$100,_xlfn.ANCHORARRAY( $W$5), 0), 0),
        $F$5:$U$20
    ),
    TRANSPOSE(
        INDEX($X$5:$AM$77, MATCH($A163,_xlfn.ANCHORARRAY( $W$5), 0), 0)
    )
)
/
(
    INDEX($AN$5:$AN$77, MATCH(BO$100,_xlfn.ANCHORARRAY( $W$5), 0))
    *
    INDEX($AN$5:$AN$77, MATCH($A163,_xlfn.ANCHORARRAY( $W$5), 0))
)</f>
        <v>0.51208915284101275</v>
      </c>
      <c r="BP163" s="17" cm="1">
        <f t="array" ref="BP163">MMULT(
    MMULT(
        INDEX($X$5:$AM$77, MATCH(BP$100,_xlfn.ANCHORARRAY( $W$5), 0), 0),
        $F$5:$U$20
    ),
    TRANSPOSE(
        INDEX($X$5:$AM$77, MATCH($A163,_xlfn.ANCHORARRAY( $W$5), 0), 0)
    )
)
/
(
    INDEX($AN$5:$AN$77, MATCH(BP$100,_xlfn.ANCHORARRAY( $W$5), 0))
    *
    INDEX($AN$5:$AN$77, MATCH($A163,_xlfn.ANCHORARRAY( $W$5), 0))
)</f>
        <v>0.47991431055738198</v>
      </c>
      <c r="BQ163" s="17" cm="1">
        <f t="array" ref="BQ163">MMULT(
    MMULT(
        INDEX($X$5:$AM$77, MATCH(BQ$100,_xlfn.ANCHORARRAY( $W$5), 0), 0),
        $F$5:$U$20
    ),
    TRANSPOSE(
        INDEX($X$5:$AM$77, MATCH($A163,_xlfn.ANCHORARRAY( $W$5), 0), 0)
    )
)
/
(
    INDEX($AN$5:$AN$77, MATCH(BQ$100,_xlfn.ANCHORARRAY( $W$5), 0))
    *
    INDEX($AN$5:$AN$77, MATCH($A163,_xlfn.ANCHORARRAY( $W$5), 0))
)</f>
        <v>0.51997382284261462</v>
      </c>
      <c r="BR163" s="17" cm="1">
        <f t="array" ref="BR163">MMULT(
    MMULT(
        INDEX($X$5:$AM$77, MATCH(BR$100,_xlfn.ANCHORARRAY( $W$5), 0), 0),
        $F$5:$U$20
    ),
    TRANSPOSE(
        INDEX($X$5:$AM$77, MATCH($A163,_xlfn.ANCHORARRAY( $W$5), 0), 0)
    )
)
/
(
    INDEX($AN$5:$AN$77, MATCH(BR$100,_xlfn.ANCHORARRAY( $W$5), 0))
    *
    INDEX($AN$5:$AN$77, MATCH($A163,_xlfn.ANCHORARRAY( $W$5), 0))
)</f>
        <v>0.53212559752496791</v>
      </c>
      <c r="BS163" s="17" cm="1">
        <f t="array" ref="BS163">MMULT(
    MMULT(
        INDEX($X$5:$AM$77, MATCH(BS$100,_xlfn.ANCHORARRAY( $W$5), 0), 0),
        $F$5:$U$20
    ),
    TRANSPOSE(
        INDEX($X$5:$AM$77, MATCH($A163,_xlfn.ANCHORARRAY( $W$5), 0), 0)
    )
)
/
(
    INDEX($AN$5:$AN$77, MATCH(BS$100,_xlfn.ANCHORARRAY( $W$5), 0))
    *
    INDEX($AN$5:$AN$77, MATCH($A163,_xlfn.ANCHORARRAY( $W$5), 0))
)</f>
        <v>0.7960400653779629</v>
      </c>
      <c r="BT163" s="17" cm="1">
        <f t="array" ref="BT163">MMULT(
    MMULT(
        INDEX($X$5:$AM$77, MATCH(BT$100,_xlfn.ANCHORARRAY( $W$5), 0), 0),
        $F$5:$U$20
    ),
    TRANSPOSE(
        INDEX($X$5:$AM$77, MATCH($A163,_xlfn.ANCHORARRAY( $W$5), 0), 0)
    )
)
/
(
    INDEX($AN$5:$AN$77, MATCH(BT$100,_xlfn.ANCHORARRAY( $W$5), 0))
    *
    INDEX($AN$5:$AN$77, MATCH($A163,_xlfn.ANCHORARRAY( $W$5), 0))
)</f>
        <v>0.50945900791953147</v>
      </c>
      <c r="BU163" s="17" cm="1">
        <f t="array" ref="BU163">MMULT(
    MMULT(
        INDEX($X$5:$AM$77, MATCH(BU$100,_xlfn.ANCHORARRAY( $W$5), 0), 0),
        $F$5:$U$20
    ),
    TRANSPOSE(
        INDEX($X$5:$AM$77, MATCH($A163,_xlfn.ANCHORARRAY( $W$5), 0), 0)
    )
)
/
(
    INDEX($AN$5:$AN$77, MATCH(BU$100,_xlfn.ANCHORARRAY( $W$5), 0))
    *
    INDEX($AN$5:$AN$77, MATCH($A163,_xlfn.ANCHORARRAY( $W$5), 0))
)</f>
        <v>0.26228734957265482</v>
      </c>
      <c r="BV163" s="17" cm="1">
        <f t="array" ref="BV163">MMULT(
    MMULT(
        INDEX($X$5:$AM$77, MATCH(BV$100,_xlfn.ANCHORARRAY( $W$5), 0), 0),
        $F$5:$U$20
    ),
    TRANSPOSE(
        INDEX($X$5:$AM$77, MATCH($A163,_xlfn.ANCHORARRAY( $W$5), 0), 0)
    )
)
/
(
    INDEX($AN$5:$AN$77, MATCH(BV$100,_xlfn.ANCHORARRAY( $W$5), 0))
    *
    INDEX($AN$5:$AN$77, MATCH($A163,_xlfn.ANCHORARRAY( $W$5), 0))
)</f>
        <v>0.31687012090988215</v>
      </c>
    </row>
    <row r="164" spans="1:74" x14ac:dyDescent="0.3">
      <c r="A164" s="7" t="str">
        <v>Hand, Brad</v>
      </c>
      <c r="B164" s="17" cm="1">
        <f t="array" ref="B164">MMULT(
    MMULT(
        INDEX($X$5:$AM$77, MATCH(B$100,_xlfn.ANCHORARRAY( $W$5), 0), 0),
        $F$5:$U$20
    ),
    TRANSPOSE(
        INDEX($X$5:$AM$77, MATCH($A164,_xlfn.ANCHORARRAY( $W$5), 0), 0)
    )
)
/
(
    INDEX($AN$5:$AN$77, MATCH(B$100,_xlfn.ANCHORARRAY( $W$5), 0))
    *
    INDEX($AN$5:$AN$77, MATCH($A164,_xlfn.ANCHORARRAY( $W$5), 0))
)</f>
        <v>0.66449648080984203</v>
      </c>
      <c r="C164" s="17" cm="1">
        <f t="array" ref="C164">MMULT(
    MMULT(
        INDEX($X$5:$AM$77, MATCH(C$100,_xlfn.ANCHORARRAY( $W$5), 0), 0),
        $F$5:$U$20
    ),
    TRANSPOSE(
        INDEX($X$5:$AM$77, MATCH($A164,_xlfn.ANCHORARRAY( $W$5), 0), 0)
    )
)
/
(
    INDEX($AN$5:$AN$77, MATCH(C$100,_xlfn.ANCHORARRAY( $W$5), 0))
    *
    INDEX($AN$5:$AN$77, MATCH($A164,_xlfn.ANCHORARRAY( $W$5), 0))
)</f>
        <v>0.42722256157011751</v>
      </c>
      <c r="D164" s="17" cm="1">
        <f t="array" ref="D164">MMULT(
    MMULT(
        INDEX($X$5:$AM$77, MATCH(D$100,_xlfn.ANCHORARRAY( $W$5), 0), 0),
        $F$5:$U$20
    ),
    TRANSPOSE(
        INDEX($X$5:$AM$77, MATCH($A164,_xlfn.ANCHORARRAY( $W$5), 0), 0)
    )
)
/
(
    INDEX($AN$5:$AN$77, MATCH(D$100,_xlfn.ANCHORARRAY( $W$5), 0))
    *
    INDEX($AN$5:$AN$77, MATCH($A164,_xlfn.ANCHORARRAY( $W$5), 0))
)</f>
        <v>0.76227771381680254</v>
      </c>
      <c r="E164" s="17" cm="1">
        <f t="array" ref="E164">MMULT(
    MMULT(
        INDEX($X$5:$AM$77, MATCH(E$100,_xlfn.ANCHORARRAY( $W$5), 0), 0),
        $F$5:$U$20
    ),
    TRANSPOSE(
        INDEX($X$5:$AM$77, MATCH($A164,_xlfn.ANCHORARRAY( $W$5), 0), 0)
    )
)
/
(
    INDEX($AN$5:$AN$77, MATCH(E$100,_xlfn.ANCHORARRAY( $W$5), 0))
    *
    INDEX($AN$5:$AN$77, MATCH($A164,_xlfn.ANCHORARRAY( $W$5), 0))
)</f>
        <v>0.7412436909263852</v>
      </c>
      <c r="F164" s="17" cm="1">
        <f t="array" ref="F164">MMULT(
    MMULT(
        INDEX($X$5:$AM$77, MATCH(F$100,_xlfn.ANCHORARRAY( $W$5), 0), 0),
        $F$5:$U$20
    ),
    TRANSPOSE(
        INDEX($X$5:$AM$77, MATCH($A164,_xlfn.ANCHORARRAY( $W$5), 0), 0)
    )
)
/
(
    INDEX($AN$5:$AN$77, MATCH(F$100,_xlfn.ANCHORARRAY( $W$5), 0))
    *
    INDEX($AN$5:$AN$77, MATCH($A164,_xlfn.ANCHORARRAY( $W$5), 0))
)</f>
        <v>0.79341723229602823</v>
      </c>
      <c r="G164" s="17" cm="1">
        <f t="array" ref="G164">MMULT(
    MMULT(
        INDEX($X$5:$AM$77, MATCH(G$100,_xlfn.ANCHORARRAY( $W$5), 0), 0),
        $F$5:$U$20
    ),
    TRANSPOSE(
        INDEX($X$5:$AM$77, MATCH($A164,_xlfn.ANCHORARRAY( $W$5), 0), 0)
    )
)
/
(
    INDEX($AN$5:$AN$77, MATCH(G$100,_xlfn.ANCHORARRAY( $W$5), 0))
    *
    INDEX($AN$5:$AN$77, MATCH($A164,_xlfn.ANCHORARRAY( $W$5), 0))
)</f>
        <v>0.44783536431934973</v>
      </c>
      <c r="H164" s="17" cm="1">
        <f t="array" ref="H164">MMULT(
    MMULT(
        INDEX($X$5:$AM$77, MATCH(H$100,_xlfn.ANCHORARRAY( $W$5), 0), 0),
        $F$5:$U$20
    ),
    TRANSPOSE(
        INDEX($X$5:$AM$77, MATCH($A164,_xlfn.ANCHORARRAY( $W$5), 0), 0)
    )
)
/
(
    INDEX($AN$5:$AN$77, MATCH(H$100,_xlfn.ANCHORARRAY( $W$5), 0))
    *
    INDEX($AN$5:$AN$77, MATCH($A164,_xlfn.ANCHORARRAY( $W$5), 0))
)</f>
        <v>0.52737634536513944</v>
      </c>
      <c r="I164" s="17" cm="1">
        <f t="array" ref="I164">MMULT(
    MMULT(
        INDEX($X$5:$AM$77, MATCH(I$100,_xlfn.ANCHORARRAY( $W$5), 0), 0),
        $F$5:$U$20
    ),
    TRANSPOSE(
        INDEX($X$5:$AM$77, MATCH($A164,_xlfn.ANCHORARRAY( $W$5), 0), 0)
    )
)
/
(
    INDEX($AN$5:$AN$77, MATCH(I$100,_xlfn.ANCHORARRAY( $W$5), 0))
    *
    INDEX($AN$5:$AN$77, MATCH($A164,_xlfn.ANCHORARRAY( $W$5), 0))
)</f>
        <v>0.54309272874068892</v>
      </c>
      <c r="J164" s="17" cm="1">
        <f t="array" ref="J164">MMULT(
    MMULT(
        INDEX($X$5:$AM$77, MATCH(J$100,_xlfn.ANCHORARRAY( $W$5), 0), 0),
        $F$5:$U$20
    ),
    TRANSPOSE(
        INDEX($X$5:$AM$77, MATCH($A164,_xlfn.ANCHORARRAY( $W$5), 0), 0)
    )
)
/
(
    INDEX($AN$5:$AN$77, MATCH(J$100,_xlfn.ANCHORARRAY( $W$5), 0))
    *
    INDEX($AN$5:$AN$77, MATCH($A164,_xlfn.ANCHORARRAY( $W$5), 0))
)</f>
        <v>0.68796851434852013</v>
      </c>
      <c r="K164" s="17" cm="1">
        <f t="array" ref="K164">MMULT(
    MMULT(
        INDEX($X$5:$AM$77, MATCH(K$100,_xlfn.ANCHORARRAY( $W$5), 0), 0),
        $F$5:$U$20
    ),
    TRANSPOSE(
        INDEX($X$5:$AM$77, MATCH($A164,_xlfn.ANCHORARRAY( $W$5), 0), 0)
    )
)
/
(
    INDEX($AN$5:$AN$77, MATCH(K$100,_xlfn.ANCHORARRAY( $W$5), 0))
    *
    INDEX($AN$5:$AN$77, MATCH($A164,_xlfn.ANCHORARRAY( $W$5), 0))
)</f>
        <v>0.71113176871327399</v>
      </c>
      <c r="L164" s="17" cm="1">
        <f t="array" ref="L164">MMULT(
    MMULT(
        INDEX($X$5:$AM$77, MATCH(L$100,_xlfn.ANCHORARRAY( $W$5), 0), 0),
        $F$5:$U$20
    ),
    TRANSPOSE(
        INDEX($X$5:$AM$77, MATCH($A164,_xlfn.ANCHORARRAY( $W$5), 0), 0)
    )
)
/
(
    INDEX($AN$5:$AN$77, MATCH(L$100,_xlfn.ANCHORARRAY( $W$5), 0))
    *
    INDEX($AN$5:$AN$77, MATCH($A164,_xlfn.ANCHORARRAY( $W$5), 0))
)</f>
        <v>0.48668192718197956</v>
      </c>
      <c r="M164" s="17" cm="1">
        <f t="array" ref="M164">MMULT(
    MMULT(
        INDEX($X$5:$AM$77, MATCH(M$100,_xlfn.ANCHORARRAY( $W$5), 0), 0),
        $F$5:$U$20
    ),
    TRANSPOSE(
        INDEX($X$5:$AM$77, MATCH($A164,_xlfn.ANCHORARRAY( $W$5), 0), 0)
    )
)
/
(
    INDEX($AN$5:$AN$77, MATCH(M$100,_xlfn.ANCHORARRAY( $W$5), 0))
    *
    INDEX($AN$5:$AN$77, MATCH($A164,_xlfn.ANCHORARRAY( $W$5), 0))
)</f>
        <v>0.61465755829266155</v>
      </c>
      <c r="N164" s="17" cm="1">
        <f t="array" ref="N164">MMULT(
    MMULT(
        INDEX($X$5:$AM$77, MATCH(N$100,_xlfn.ANCHORARRAY( $W$5), 0), 0),
        $F$5:$U$20
    ),
    TRANSPOSE(
        INDEX($X$5:$AM$77, MATCH($A164,_xlfn.ANCHORARRAY( $W$5), 0), 0)
    )
)
/
(
    INDEX($AN$5:$AN$77, MATCH(N$100,_xlfn.ANCHORARRAY( $W$5), 0))
    *
    INDEX($AN$5:$AN$77, MATCH($A164,_xlfn.ANCHORARRAY( $W$5), 0))
)</f>
        <v>0.77603615880744881</v>
      </c>
      <c r="O164" s="17" cm="1">
        <f t="array" ref="O164">MMULT(
    MMULT(
        INDEX($X$5:$AM$77, MATCH(O$100,_xlfn.ANCHORARRAY( $W$5), 0), 0),
        $F$5:$U$20
    ),
    TRANSPOSE(
        INDEX($X$5:$AM$77, MATCH($A164,_xlfn.ANCHORARRAY( $W$5), 0), 0)
    )
)
/
(
    INDEX($AN$5:$AN$77, MATCH(O$100,_xlfn.ANCHORARRAY( $W$5), 0))
    *
    INDEX($AN$5:$AN$77, MATCH($A164,_xlfn.ANCHORARRAY( $W$5), 0))
)</f>
        <v>0.77817568636919132</v>
      </c>
      <c r="P164" s="17" cm="1">
        <f t="array" ref="P164">MMULT(
    MMULT(
        INDEX($X$5:$AM$77, MATCH(P$100,_xlfn.ANCHORARRAY( $W$5), 0), 0),
        $F$5:$U$20
    ),
    TRANSPOSE(
        INDEX($X$5:$AM$77, MATCH($A164,_xlfn.ANCHORARRAY( $W$5), 0), 0)
    )
)
/
(
    INDEX($AN$5:$AN$77, MATCH(P$100,_xlfn.ANCHORARRAY( $W$5), 0))
    *
    INDEX($AN$5:$AN$77, MATCH($A164,_xlfn.ANCHORARRAY( $W$5), 0))
)</f>
        <v>0.75720703245147791</v>
      </c>
      <c r="Q164" s="17" cm="1">
        <f t="array" ref="Q164">MMULT(
    MMULT(
        INDEX($X$5:$AM$77, MATCH(Q$100,_xlfn.ANCHORARRAY( $W$5), 0), 0),
        $F$5:$U$20
    ),
    TRANSPOSE(
        INDEX($X$5:$AM$77, MATCH($A164,_xlfn.ANCHORARRAY( $W$5), 0), 0)
    )
)
/
(
    INDEX($AN$5:$AN$77, MATCH(Q$100,_xlfn.ANCHORARRAY( $W$5), 0))
    *
    INDEX($AN$5:$AN$77, MATCH($A164,_xlfn.ANCHORARRAY( $W$5), 0))
)</f>
        <v>0.47823350769637957</v>
      </c>
      <c r="R164" s="17" cm="1">
        <f t="array" ref="R164">MMULT(
    MMULT(
        INDEX($X$5:$AM$77, MATCH(R$100,_xlfn.ANCHORARRAY( $W$5), 0), 0),
        $F$5:$U$20
    ),
    TRANSPOSE(
        INDEX($X$5:$AM$77, MATCH($A164,_xlfn.ANCHORARRAY( $W$5), 0), 0)
    )
)
/
(
    INDEX($AN$5:$AN$77, MATCH(R$100,_xlfn.ANCHORARRAY( $W$5), 0))
    *
    INDEX($AN$5:$AN$77, MATCH($A164,_xlfn.ANCHORARRAY( $W$5), 0))
)</f>
        <v>0.7169264119897597</v>
      </c>
      <c r="S164" s="17" cm="1">
        <f t="array" ref="S164">MMULT(
    MMULT(
        INDEX($X$5:$AM$77, MATCH(S$100,_xlfn.ANCHORARRAY( $W$5), 0), 0),
        $F$5:$U$20
    ),
    TRANSPOSE(
        INDEX($X$5:$AM$77, MATCH($A164,_xlfn.ANCHORARRAY( $W$5), 0), 0)
    )
)
/
(
    INDEX($AN$5:$AN$77, MATCH(S$100,_xlfn.ANCHORARRAY( $W$5), 0))
    *
    INDEX($AN$5:$AN$77, MATCH($A164,_xlfn.ANCHORARRAY( $W$5), 0))
)</f>
        <v>0.58220795733546404</v>
      </c>
      <c r="T164" s="17" cm="1">
        <f t="array" ref="T164">MMULT(
    MMULT(
        INDEX($X$5:$AM$77, MATCH(T$100,_xlfn.ANCHORARRAY( $W$5), 0), 0),
        $F$5:$U$20
    ),
    TRANSPOSE(
        INDEX($X$5:$AM$77, MATCH($A164,_xlfn.ANCHORARRAY( $W$5), 0), 0)
    )
)
/
(
    INDEX($AN$5:$AN$77, MATCH(T$100,_xlfn.ANCHORARRAY( $W$5), 0))
    *
    INDEX($AN$5:$AN$77, MATCH($A164,_xlfn.ANCHORARRAY( $W$5), 0))
)</f>
        <v>0.19908313110865589</v>
      </c>
      <c r="U164" s="17" cm="1">
        <f t="array" ref="U164">MMULT(
    MMULT(
        INDEX($X$5:$AM$77, MATCH(U$100,_xlfn.ANCHORARRAY( $W$5), 0), 0),
        $F$5:$U$20
    ),
    TRANSPOSE(
        INDEX($X$5:$AM$77, MATCH($A164,_xlfn.ANCHORARRAY( $W$5), 0), 0)
    )
)
/
(
    INDEX($AN$5:$AN$77, MATCH(U$100,_xlfn.ANCHORARRAY( $W$5), 0))
    *
    INDEX($AN$5:$AN$77, MATCH($A164,_xlfn.ANCHORARRAY( $W$5), 0))
)</f>
        <v>0.7490670507355397</v>
      </c>
      <c r="V164" s="17" cm="1">
        <f t="array" ref="V164">MMULT(
    MMULT(
        INDEX($X$5:$AM$77, MATCH(V$100,_xlfn.ANCHORARRAY( $W$5), 0), 0),
        $F$5:$U$20
    ),
    TRANSPOSE(
        INDEX($X$5:$AM$77, MATCH($A164,_xlfn.ANCHORARRAY( $W$5), 0), 0)
    )
)
/
(
    INDEX($AN$5:$AN$77, MATCH(V$100,_xlfn.ANCHORARRAY( $W$5), 0))
    *
    INDEX($AN$5:$AN$77, MATCH($A164,_xlfn.ANCHORARRAY( $W$5), 0))
)</f>
        <v>0.39011133964386213</v>
      </c>
      <c r="W164" s="17" cm="1">
        <f t="array" ref="W164">MMULT(
    MMULT(
        INDEX($X$5:$AM$77, MATCH(W$100,_xlfn.ANCHORARRAY( $W$5), 0), 0),
        $F$5:$U$20
    ),
    TRANSPOSE(
        INDEX($X$5:$AM$77, MATCH($A164,_xlfn.ANCHORARRAY( $W$5), 0), 0)
    )
)
/
(
    INDEX($AN$5:$AN$77, MATCH(W$100,_xlfn.ANCHORARRAY( $W$5), 0))
    *
    INDEX($AN$5:$AN$77, MATCH($A164,_xlfn.ANCHORARRAY( $W$5), 0))
)</f>
        <v>0.88913077262594398</v>
      </c>
      <c r="X164" s="17" cm="1">
        <f t="array" ref="X164">MMULT(
    MMULT(
        INDEX($X$5:$AM$77, MATCH(X$100,_xlfn.ANCHORARRAY( $W$5), 0), 0),
        $F$5:$U$20
    ),
    TRANSPOSE(
        INDEX($X$5:$AM$77, MATCH($A164,_xlfn.ANCHORARRAY( $W$5), 0), 0)
    )
)
/
(
    INDEX($AN$5:$AN$77, MATCH(X$100,_xlfn.ANCHORARRAY( $W$5), 0))
    *
    INDEX($AN$5:$AN$77, MATCH($A164,_xlfn.ANCHORARRAY( $W$5), 0))
)</f>
        <v>0.79808489871275778</v>
      </c>
      <c r="Y164" s="17" cm="1">
        <f t="array" ref="Y164">MMULT(
    MMULT(
        INDEX($X$5:$AM$77, MATCH(Y$100,_xlfn.ANCHORARRAY( $W$5), 0), 0),
        $F$5:$U$20
    ),
    TRANSPOSE(
        INDEX($X$5:$AM$77, MATCH($A164,_xlfn.ANCHORARRAY( $W$5), 0), 0)
    )
)
/
(
    INDEX($AN$5:$AN$77, MATCH(Y$100,_xlfn.ANCHORARRAY( $W$5), 0))
    *
    INDEX($AN$5:$AN$77, MATCH($A164,_xlfn.ANCHORARRAY( $W$5), 0))
)</f>
        <v>0.45335879052740841</v>
      </c>
      <c r="Z164" s="17" cm="1">
        <f t="array" ref="Z164">MMULT(
    MMULT(
        INDEX($X$5:$AM$77, MATCH(Z$100,_xlfn.ANCHORARRAY( $W$5), 0), 0),
        $F$5:$U$20
    ),
    TRANSPOSE(
        INDEX($X$5:$AM$77, MATCH($A164,_xlfn.ANCHORARRAY( $W$5), 0), 0)
    )
)
/
(
    INDEX($AN$5:$AN$77, MATCH(Z$100,_xlfn.ANCHORARRAY( $W$5), 0))
    *
    INDEX($AN$5:$AN$77, MATCH($A164,_xlfn.ANCHORARRAY( $W$5), 0))
)</f>
        <v>0.78941275063240735</v>
      </c>
      <c r="AA164" s="17" cm="1">
        <f t="array" ref="AA164">MMULT(
    MMULT(
        INDEX($X$5:$AM$77, MATCH(AA$100,_xlfn.ANCHORARRAY( $W$5), 0), 0),
        $F$5:$U$20
    ),
    TRANSPOSE(
        INDEX($X$5:$AM$77, MATCH($A164,_xlfn.ANCHORARRAY( $W$5), 0), 0)
    )
)
/
(
    INDEX($AN$5:$AN$77, MATCH(AA$100,_xlfn.ANCHORARRAY( $W$5), 0))
    *
    INDEX($AN$5:$AN$77, MATCH($A164,_xlfn.ANCHORARRAY( $W$5), 0))
)</f>
        <v>0.78883375340444384</v>
      </c>
      <c r="AB164" s="17" cm="1">
        <f t="array" ref="AB164">MMULT(
    MMULT(
        INDEX($X$5:$AM$77, MATCH(AB$100,_xlfn.ANCHORARRAY( $W$5), 0), 0),
        $F$5:$U$20
    ),
    TRANSPOSE(
        INDEX($X$5:$AM$77, MATCH($A164,_xlfn.ANCHORARRAY( $W$5), 0), 0)
    )
)
/
(
    INDEX($AN$5:$AN$77, MATCH(AB$100,_xlfn.ANCHORARRAY( $W$5), 0))
    *
    INDEX($AN$5:$AN$77, MATCH($A164,_xlfn.ANCHORARRAY( $W$5), 0))
)</f>
        <v>0.75363342642572395</v>
      </c>
      <c r="AC164" s="17" cm="1">
        <f t="array" ref="AC164">MMULT(
    MMULT(
        INDEX($X$5:$AM$77, MATCH(AC$100,_xlfn.ANCHORARRAY( $W$5), 0), 0),
        $F$5:$U$20
    ),
    TRANSPOSE(
        INDEX($X$5:$AM$77, MATCH($A164,_xlfn.ANCHORARRAY( $W$5), 0), 0)
    )
)
/
(
    INDEX($AN$5:$AN$77, MATCH(AC$100,_xlfn.ANCHORARRAY( $W$5), 0))
    *
    INDEX($AN$5:$AN$77, MATCH($A164,_xlfn.ANCHORARRAY( $W$5), 0))
)</f>
        <v>0.83795367304100765</v>
      </c>
      <c r="AD164" s="17" cm="1">
        <f t="array" ref="AD164">MMULT(
    MMULT(
        INDEX($X$5:$AM$77, MATCH(AD$100,_xlfn.ANCHORARRAY( $W$5), 0), 0),
        $F$5:$U$20
    ),
    TRANSPOSE(
        INDEX($X$5:$AM$77, MATCH($A164,_xlfn.ANCHORARRAY( $W$5), 0), 0)
    )
)
/
(
    INDEX($AN$5:$AN$77, MATCH(AD$100,_xlfn.ANCHORARRAY( $W$5), 0))
    *
    INDEX($AN$5:$AN$77, MATCH($A164,_xlfn.ANCHORARRAY( $W$5), 0))
)</f>
        <v>0.78683109375771798</v>
      </c>
      <c r="AE164" s="17" cm="1">
        <f t="array" ref="AE164">MMULT(
    MMULT(
        INDEX($X$5:$AM$77, MATCH(AE$100,_xlfn.ANCHORARRAY( $W$5), 0), 0),
        $F$5:$U$20
    ),
    TRANSPOSE(
        INDEX($X$5:$AM$77, MATCH($A164,_xlfn.ANCHORARRAY( $W$5), 0), 0)
    )
)
/
(
    INDEX($AN$5:$AN$77, MATCH(AE$100,_xlfn.ANCHORARRAY( $W$5), 0))
    *
    INDEX($AN$5:$AN$77, MATCH($A164,_xlfn.ANCHORARRAY( $W$5), 0))
)</f>
        <v>0.58456258809270345</v>
      </c>
      <c r="AF164" s="17" cm="1">
        <f t="array" ref="AF164">MMULT(
    MMULT(
        INDEX($X$5:$AM$77, MATCH(AF$100,_xlfn.ANCHORARRAY( $W$5), 0), 0),
        $F$5:$U$20
    ),
    TRANSPOSE(
        INDEX($X$5:$AM$77, MATCH($A164,_xlfn.ANCHORARRAY( $W$5), 0), 0)
    )
)
/
(
    INDEX($AN$5:$AN$77, MATCH(AF$100,_xlfn.ANCHORARRAY( $W$5), 0))
    *
    INDEX($AN$5:$AN$77, MATCH($A164,_xlfn.ANCHORARRAY( $W$5), 0))
)</f>
        <v>0.55223361060782905</v>
      </c>
      <c r="AG164" s="17" cm="1">
        <f t="array" ref="AG164">MMULT(
    MMULT(
        INDEX($X$5:$AM$77, MATCH(AG$100,_xlfn.ANCHORARRAY( $W$5), 0), 0),
        $F$5:$U$20
    ),
    TRANSPOSE(
        INDEX($X$5:$AM$77, MATCH($A164,_xlfn.ANCHORARRAY( $W$5), 0), 0)
    )
)
/
(
    INDEX($AN$5:$AN$77, MATCH(AG$100,_xlfn.ANCHORARRAY( $W$5), 0))
    *
    INDEX($AN$5:$AN$77, MATCH($A164,_xlfn.ANCHORARRAY( $W$5), 0))
)</f>
        <v>0.67219629660772207</v>
      </c>
      <c r="AH164" s="17" cm="1">
        <f t="array" ref="AH164">MMULT(
    MMULT(
        INDEX($X$5:$AM$77, MATCH(AH$100,_xlfn.ANCHORARRAY( $W$5), 0), 0),
        $F$5:$U$20
    ),
    TRANSPOSE(
        INDEX($X$5:$AM$77, MATCH($A164,_xlfn.ANCHORARRAY( $W$5), 0), 0)
    )
)
/
(
    INDEX($AN$5:$AN$77, MATCH(AH$100,_xlfn.ANCHORARRAY( $W$5), 0))
    *
    INDEX($AN$5:$AN$77, MATCH($A164,_xlfn.ANCHORARRAY( $W$5), 0))
)</f>
        <v>0.4421054284002443</v>
      </c>
      <c r="AI164" s="17" cm="1">
        <f t="array" ref="AI164">MMULT(
    MMULT(
        INDEX($X$5:$AM$77, MATCH(AI$100,_xlfn.ANCHORARRAY( $W$5), 0), 0),
        $F$5:$U$20
    ),
    TRANSPOSE(
        INDEX($X$5:$AM$77, MATCH($A164,_xlfn.ANCHORARRAY( $W$5), 0), 0)
    )
)
/
(
    INDEX($AN$5:$AN$77, MATCH(AI$100,_xlfn.ANCHORARRAY( $W$5), 0))
    *
    INDEX($AN$5:$AN$77, MATCH($A164,_xlfn.ANCHORARRAY( $W$5), 0))
)</f>
        <v>0.62542769605124116</v>
      </c>
      <c r="AJ164" s="17" cm="1">
        <f t="array" ref="AJ164">MMULT(
    MMULT(
        INDEX($X$5:$AM$77, MATCH(AJ$100,_xlfn.ANCHORARRAY( $W$5), 0), 0),
        $F$5:$U$20
    ),
    TRANSPOSE(
        INDEX($X$5:$AM$77, MATCH($A164,_xlfn.ANCHORARRAY( $W$5), 0), 0)
    )
)
/
(
    INDEX($AN$5:$AN$77, MATCH(AJ$100,_xlfn.ANCHORARRAY( $W$5), 0))
    *
    INDEX($AN$5:$AN$77, MATCH($A164,_xlfn.ANCHORARRAY( $W$5), 0))
)</f>
        <v>0.75262043213158214</v>
      </c>
      <c r="AK164" s="17" cm="1">
        <f t="array" ref="AK164">MMULT(
    MMULT(
        INDEX($X$5:$AM$77, MATCH(AK$100,_xlfn.ANCHORARRAY( $W$5), 0), 0),
        $F$5:$U$20
    ),
    TRANSPOSE(
        INDEX($X$5:$AM$77, MATCH($A164,_xlfn.ANCHORARRAY( $W$5), 0), 0)
    )
)
/
(
    INDEX($AN$5:$AN$77, MATCH(AK$100,_xlfn.ANCHORARRAY( $W$5), 0))
    *
    INDEX($AN$5:$AN$77, MATCH($A164,_xlfn.ANCHORARRAY( $W$5), 0))
)</f>
        <v>0.67452092744078485</v>
      </c>
      <c r="AL164" s="17" cm="1">
        <f t="array" ref="AL164">MMULT(
    MMULT(
        INDEX($X$5:$AM$77, MATCH(AL$100,_xlfn.ANCHORARRAY( $W$5), 0), 0),
        $F$5:$U$20
    ),
    TRANSPOSE(
        INDEX($X$5:$AM$77, MATCH($A164,_xlfn.ANCHORARRAY( $W$5), 0), 0)
    )
)
/
(
    INDEX($AN$5:$AN$77, MATCH(AL$100,_xlfn.ANCHORARRAY( $W$5), 0))
    *
    INDEX($AN$5:$AN$77, MATCH($A164,_xlfn.ANCHORARRAY( $W$5), 0))
)</f>
        <v>0.79833142598144358</v>
      </c>
      <c r="AM164" s="17" cm="1">
        <f t="array" ref="AM164">MMULT(
    MMULT(
        INDEX($X$5:$AM$77, MATCH(AM$100,_xlfn.ANCHORARRAY( $W$5), 0), 0),
        $F$5:$U$20
    ),
    TRANSPOSE(
        INDEX($X$5:$AM$77, MATCH($A164,_xlfn.ANCHORARRAY( $W$5), 0), 0)
    )
)
/
(
    INDEX($AN$5:$AN$77, MATCH(AM$100,_xlfn.ANCHORARRAY( $W$5), 0))
    *
    INDEX($AN$5:$AN$77, MATCH($A164,_xlfn.ANCHORARRAY( $W$5), 0))
)</f>
        <v>0.74377999186167498</v>
      </c>
      <c r="AN164" s="17" cm="1">
        <f t="array" ref="AN164">MMULT(
    MMULT(
        INDEX($X$5:$AM$77, MATCH(AN$100,_xlfn.ANCHORARRAY( $W$5), 0), 0),
        $F$5:$U$20
    ),
    TRANSPOSE(
        INDEX($X$5:$AM$77, MATCH($A164,_xlfn.ANCHORARRAY( $W$5), 0), 0)
    )
)
/
(
    INDEX($AN$5:$AN$77, MATCH(AN$100,_xlfn.ANCHORARRAY( $W$5), 0))
    *
    INDEX($AN$5:$AN$77, MATCH($A164,_xlfn.ANCHORARRAY( $W$5), 0))
)</f>
        <v>0.47572744405645151</v>
      </c>
      <c r="AO164" s="17" cm="1">
        <f t="array" ref="AO164">MMULT(
    MMULT(
        INDEX($X$5:$AM$77, MATCH(AO$100,_xlfn.ANCHORARRAY( $W$5), 0), 0),
        $F$5:$U$20
    ),
    TRANSPOSE(
        INDEX($X$5:$AM$77, MATCH($A164,_xlfn.ANCHORARRAY( $W$5), 0), 0)
    )
)
/
(
    INDEX($AN$5:$AN$77, MATCH(AO$100,_xlfn.ANCHORARRAY( $W$5), 0))
    *
    INDEX($AN$5:$AN$77, MATCH($A164,_xlfn.ANCHORARRAY( $W$5), 0))
)</f>
        <v>0.55057500576607388</v>
      </c>
      <c r="AP164" s="17" cm="1">
        <f t="array" ref="AP164">MMULT(
    MMULT(
        INDEX($X$5:$AM$77, MATCH(AP$100,_xlfn.ANCHORARRAY( $W$5), 0), 0),
        $F$5:$U$20
    ),
    TRANSPOSE(
        INDEX($X$5:$AM$77, MATCH($A164,_xlfn.ANCHORARRAY( $W$5), 0), 0)
    )
)
/
(
    INDEX($AN$5:$AN$77, MATCH(AP$100,_xlfn.ANCHORARRAY( $W$5), 0))
    *
    INDEX($AN$5:$AN$77, MATCH($A164,_xlfn.ANCHORARRAY( $W$5), 0))
)</f>
        <v>0.51411308662183997</v>
      </c>
      <c r="AQ164" s="17" cm="1">
        <f t="array" ref="AQ164">MMULT(
    MMULT(
        INDEX($X$5:$AM$77, MATCH(AQ$100,_xlfn.ANCHORARRAY( $W$5), 0), 0),
        $F$5:$U$20
    ),
    TRANSPOSE(
        INDEX($X$5:$AM$77, MATCH($A164,_xlfn.ANCHORARRAY( $W$5), 0), 0)
    )
)
/
(
    INDEX($AN$5:$AN$77, MATCH(AQ$100,_xlfn.ANCHORARRAY( $W$5), 0))
    *
    INDEX($AN$5:$AN$77, MATCH($A164,_xlfn.ANCHORARRAY( $W$5), 0))
)</f>
        <v>0.49645289674649734</v>
      </c>
      <c r="AR164" s="17" cm="1">
        <f t="array" ref="AR164">MMULT(
    MMULT(
        INDEX($X$5:$AM$77, MATCH(AR$100,_xlfn.ANCHORARRAY( $W$5), 0), 0),
        $F$5:$U$20
    ),
    TRANSPOSE(
        INDEX($X$5:$AM$77, MATCH($A164,_xlfn.ANCHORARRAY( $W$5), 0), 0)
    )
)
/
(
    INDEX($AN$5:$AN$77, MATCH(AR$100,_xlfn.ANCHORARRAY( $W$5), 0))
    *
    INDEX($AN$5:$AN$77, MATCH($A164,_xlfn.ANCHORARRAY( $W$5), 0))
)</f>
        <v>0.73839246206438247</v>
      </c>
      <c r="AS164" s="17" cm="1">
        <f t="array" ref="AS164">MMULT(
    MMULT(
        INDEX($X$5:$AM$77, MATCH(AS$100,_xlfn.ANCHORARRAY( $W$5), 0), 0),
        $F$5:$U$20
    ),
    TRANSPOSE(
        INDEX($X$5:$AM$77, MATCH($A164,_xlfn.ANCHORARRAY( $W$5), 0), 0)
    )
)
/
(
    INDEX($AN$5:$AN$77, MATCH(AS$100,_xlfn.ANCHORARRAY( $W$5), 0))
    *
    INDEX($AN$5:$AN$77, MATCH($A164,_xlfn.ANCHORARRAY( $W$5), 0))
)</f>
        <v>0.72968204229171707</v>
      </c>
      <c r="AT164" s="17" cm="1">
        <f t="array" ref="AT164">MMULT(
    MMULT(
        INDEX($X$5:$AM$77, MATCH(AT$100,_xlfn.ANCHORARRAY( $W$5), 0), 0),
        $F$5:$U$20
    ),
    TRANSPOSE(
        INDEX($X$5:$AM$77, MATCH($A164,_xlfn.ANCHORARRAY( $W$5), 0), 0)
    )
)
/
(
    INDEX($AN$5:$AN$77, MATCH(AT$100,_xlfn.ANCHORARRAY( $W$5), 0))
    *
    INDEX($AN$5:$AN$77, MATCH($A164,_xlfn.ANCHORARRAY( $W$5), 0))
)</f>
        <v>0.55730755030290668</v>
      </c>
      <c r="AU164" s="17" cm="1">
        <f t="array" ref="AU164">MMULT(
    MMULT(
        INDEX($X$5:$AM$77, MATCH(AU$100,_xlfn.ANCHORARRAY( $W$5), 0), 0),
        $F$5:$U$20
    ),
    TRANSPOSE(
        INDEX($X$5:$AM$77, MATCH($A164,_xlfn.ANCHORARRAY( $W$5), 0), 0)
    )
)
/
(
    INDEX($AN$5:$AN$77, MATCH(AU$100,_xlfn.ANCHORARRAY( $W$5), 0))
    *
    INDEX($AN$5:$AN$77, MATCH($A164,_xlfn.ANCHORARRAY( $W$5), 0))
)</f>
        <v>0.77613642827680829</v>
      </c>
      <c r="AV164" s="17" cm="1">
        <f t="array" ref="AV164">MMULT(
    MMULT(
        INDEX($X$5:$AM$77, MATCH(AV$100,_xlfn.ANCHORARRAY( $W$5), 0), 0),
        $F$5:$U$20
    ),
    TRANSPOSE(
        INDEX($X$5:$AM$77, MATCH($A164,_xlfn.ANCHORARRAY( $W$5), 0), 0)
    )
)
/
(
    INDEX($AN$5:$AN$77, MATCH(AV$100,_xlfn.ANCHORARRAY( $W$5), 0))
    *
    INDEX($AN$5:$AN$77, MATCH($A164,_xlfn.ANCHORARRAY( $W$5), 0))
)</f>
        <v>0.80655368743496381</v>
      </c>
      <c r="AW164" s="17" cm="1">
        <f t="array" ref="AW164">MMULT(
    MMULT(
        INDEX($X$5:$AM$77, MATCH(AW$100,_xlfn.ANCHORARRAY( $W$5), 0), 0),
        $F$5:$U$20
    ),
    TRANSPOSE(
        INDEX($X$5:$AM$77, MATCH($A164,_xlfn.ANCHORARRAY( $W$5), 0), 0)
    )
)
/
(
    INDEX($AN$5:$AN$77, MATCH(AW$100,_xlfn.ANCHORARRAY( $W$5), 0))
    *
    INDEX($AN$5:$AN$77, MATCH($A164,_xlfn.ANCHORARRAY( $W$5), 0))
)</f>
        <v>0.75000260308031286</v>
      </c>
      <c r="AX164" s="17" cm="1">
        <f t="array" ref="AX164">MMULT(
    MMULT(
        INDEX($X$5:$AM$77, MATCH(AX$100,_xlfn.ANCHORARRAY( $W$5), 0), 0),
        $F$5:$U$20
    ),
    TRANSPOSE(
        INDEX($X$5:$AM$77, MATCH($A164,_xlfn.ANCHORARRAY( $W$5), 0), 0)
    )
)
/
(
    INDEX($AN$5:$AN$77, MATCH(AX$100,_xlfn.ANCHORARRAY( $W$5), 0))
    *
    INDEX($AN$5:$AN$77, MATCH($A164,_xlfn.ANCHORARRAY( $W$5), 0))
)</f>
        <v>0.3671792446862997</v>
      </c>
      <c r="AY164" s="17" cm="1">
        <f t="array" ref="AY164">MMULT(
    MMULT(
        INDEX($X$5:$AM$77, MATCH(AY$100,_xlfn.ANCHORARRAY( $W$5), 0), 0),
        $F$5:$U$20
    ),
    TRANSPOSE(
        INDEX($X$5:$AM$77, MATCH($A164,_xlfn.ANCHORARRAY( $W$5), 0), 0)
    )
)
/
(
    INDEX($AN$5:$AN$77, MATCH(AY$100,_xlfn.ANCHORARRAY( $W$5), 0))
    *
    INDEX($AN$5:$AN$77, MATCH($A164,_xlfn.ANCHORARRAY( $W$5), 0))
)</f>
        <v>0.42953685878978043</v>
      </c>
      <c r="AZ164" s="17" cm="1">
        <f t="array" ref="AZ164">MMULT(
    MMULT(
        INDEX($X$5:$AM$77, MATCH(AZ$100,_xlfn.ANCHORARRAY( $W$5), 0), 0),
        $F$5:$U$20
    ),
    TRANSPOSE(
        INDEX($X$5:$AM$77, MATCH($A164,_xlfn.ANCHORARRAY( $W$5), 0), 0)
    )
)
/
(
    INDEX($AN$5:$AN$77, MATCH(AZ$100,_xlfn.ANCHORARRAY( $W$5), 0))
    *
    INDEX($AN$5:$AN$77, MATCH($A164,_xlfn.ANCHORARRAY( $W$5), 0))
)</f>
        <v>0.79168098310602297</v>
      </c>
      <c r="BA164" s="17" cm="1">
        <f t="array" ref="BA164">MMULT(
    MMULT(
        INDEX($X$5:$AM$77, MATCH(BA$100,_xlfn.ANCHORARRAY( $W$5), 0), 0),
        $F$5:$U$20
    ),
    TRANSPOSE(
        INDEX($X$5:$AM$77, MATCH($A164,_xlfn.ANCHORARRAY( $W$5), 0), 0)
    )
)
/
(
    INDEX($AN$5:$AN$77, MATCH(BA$100,_xlfn.ANCHORARRAY( $W$5), 0))
    *
    INDEX($AN$5:$AN$77, MATCH($A164,_xlfn.ANCHORARRAY( $W$5), 0))
)</f>
        <v>0.77814417768774991</v>
      </c>
      <c r="BB164" s="17" cm="1">
        <f t="array" ref="BB164">MMULT(
    MMULT(
        INDEX($X$5:$AM$77, MATCH(BB$100,_xlfn.ANCHORARRAY( $W$5), 0), 0),
        $F$5:$U$20
    ),
    TRANSPOSE(
        INDEX($X$5:$AM$77, MATCH($A164,_xlfn.ANCHORARRAY( $W$5), 0), 0)
    )
)
/
(
    INDEX($AN$5:$AN$77, MATCH(BB$100,_xlfn.ANCHORARRAY( $W$5), 0))
    *
    INDEX($AN$5:$AN$77, MATCH($A164,_xlfn.ANCHORARRAY( $W$5), 0))
)</f>
        <v>0.69735516254566277</v>
      </c>
      <c r="BC164" s="17" cm="1">
        <f t="array" ref="BC164">MMULT(
    MMULT(
        INDEX($X$5:$AM$77, MATCH(BC$100,_xlfn.ANCHORARRAY( $W$5), 0), 0),
        $F$5:$U$20
    ),
    TRANSPOSE(
        INDEX($X$5:$AM$77, MATCH($A164,_xlfn.ANCHORARRAY( $W$5), 0), 0)
    )
)
/
(
    INDEX($AN$5:$AN$77, MATCH(BC$100,_xlfn.ANCHORARRAY( $W$5), 0))
    *
    INDEX($AN$5:$AN$77, MATCH($A164,_xlfn.ANCHORARRAY( $W$5), 0))
)</f>
        <v>0.5772424371019268</v>
      </c>
      <c r="BD164" s="17" cm="1">
        <f t="array" ref="BD164">MMULT(
    MMULT(
        INDEX($X$5:$AM$77, MATCH(BD$100,_xlfn.ANCHORARRAY( $W$5), 0), 0),
        $F$5:$U$20
    ),
    TRANSPOSE(
        INDEX($X$5:$AM$77, MATCH($A164,_xlfn.ANCHORARRAY( $W$5), 0), 0)
    )
)
/
(
    INDEX($AN$5:$AN$77, MATCH(BD$100,_xlfn.ANCHORARRAY( $W$5), 0))
    *
    INDEX($AN$5:$AN$77, MATCH($A164,_xlfn.ANCHORARRAY( $W$5), 0))
)</f>
        <v>0.39304151041723046</v>
      </c>
      <c r="BE164" s="17" cm="1">
        <f t="array" ref="BE164">MMULT(
    MMULT(
        INDEX($X$5:$AM$77, MATCH(BE$100,_xlfn.ANCHORARRAY( $W$5), 0), 0),
        $F$5:$U$20
    ),
    TRANSPOSE(
        INDEX($X$5:$AM$77, MATCH($A164,_xlfn.ANCHORARRAY( $W$5), 0), 0)
    )
)
/
(
    INDEX($AN$5:$AN$77, MATCH(BE$100,_xlfn.ANCHORARRAY( $W$5), 0))
    *
    INDEX($AN$5:$AN$77, MATCH($A164,_xlfn.ANCHORARRAY( $W$5), 0))
)</f>
        <v>0.75351190132505386</v>
      </c>
      <c r="BF164" s="17" cm="1">
        <f t="array" ref="BF164">MMULT(
    MMULT(
        INDEX($X$5:$AM$77, MATCH(BF$100,_xlfn.ANCHORARRAY( $W$5), 0), 0),
        $F$5:$U$20
    ),
    TRANSPOSE(
        INDEX($X$5:$AM$77, MATCH($A164,_xlfn.ANCHORARRAY( $W$5), 0), 0)
    )
)
/
(
    INDEX($AN$5:$AN$77, MATCH(BF$100,_xlfn.ANCHORARRAY( $W$5), 0))
    *
    INDEX($AN$5:$AN$77, MATCH($A164,_xlfn.ANCHORARRAY( $W$5), 0))
)</f>
        <v>0.66443319827287461</v>
      </c>
      <c r="BG164" s="17" cm="1">
        <f t="array" ref="BG164">MMULT(
    MMULT(
        INDEX($X$5:$AM$77, MATCH(BG$100,_xlfn.ANCHORARRAY( $W$5), 0), 0),
        $F$5:$U$20
    ),
    TRANSPOSE(
        INDEX($X$5:$AM$77, MATCH($A164,_xlfn.ANCHORARRAY( $W$5), 0), 0)
    )
)
/
(
    INDEX($AN$5:$AN$77, MATCH(BG$100,_xlfn.ANCHORARRAY( $W$5), 0))
    *
    INDEX($AN$5:$AN$77, MATCH($A164,_xlfn.ANCHORARRAY( $W$5), 0))
)</f>
        <v>0.74112884535404744</v>
      </c>
      <c r="BH164" s="17" cm="1">
        <f t="array" ref="BH164">MMULT(
    MMULT(
        INDEX($X$5:$AM$77, MATCH(BH$100,_xlfn.ANCHORARRAY( $W$5), 0), 0),
        $F$5:$U$20
    ),
    TRANSPOSE(
        INDEX($X$5:$AM$77, MATCH($A164,_xlfn.ANCHORARRAY( $W$5), 0), 0)
    )
)
/
(
    INDEX($AN$5:$AN$77, MATCH(BH$100,_xlfn.ANCHORARRAY( $W$5), 0))
    *
    INDEX($AN$5:$AN$77, MATCH($A164,_xlfn.ANCHORARRAY( $W$5), 0))
)</f>
        <v>0.47812004415430431</v>
      </c>
      <c r="BI164" s="17" cm="1">
        <f t="array" ref="BI164">MMULT(
    MMULT(
        INDEX($X$5:$AM$77, MATCH(BI$100,_xlfn.ANCHORARRAY( $W$5), 0), 0),
        $F$5:$U$20
    ),
    TRANSPOSE(
        INDEX($X$5:$AM$77, MATCH($A164,_xlfn.ANCHORARRAY( $W$5), 0), 0)
    )
)
/
(
    INDEX($AN$5:$AN$77, MATCH(BI$100,_xlfn.ANCHORARRAY( $W$5), 0))
    *
    INDEX($AN$5:$AN$77, MATCH($A164,_xlfn.ANCHORARRAY( $W$5), 0))
)</f>
        <v>0.49163690336354582</v>
      </c>
      <c r="BJ164" s="17" cm="1">
        <f t="array" ref="BJ164">MMULT(
    MMULT(
        INDEX($X$5:$AM$77, MATCH(BJ$100,_xlfn.ANCHORARRAY( $W$5), 0), 0),
        $F$5:$U$20
    ),
    TRANSPOSE(
        INDEX($X$5:$AM$77, MATCH($A164,_xlfn.ANCHORARRAY( $W$5), 0), 0)
    )
)
/
(
    INDEX($AN$5:$AN$77, MATCH(BJ$100,_xlfn.ANCHORARRAY( $W$5), 0))
    *
    INDEX($AN$5:$AN$77, MATCH($A164,_xlfn.ANCHORARRAY( $W$5), 0))
)</f>
        <v>0.64978045705457255</v>
      </c>
      <c r="BK164" s="17" cm="1">
        <f t="array" ref="BK164">MMULT(
    MMULT(
        INDEX($X$5:$AM$77, MATCH(BK$100,_xlfn.ANCHORARRAY( $W$5), 0), 0),
        $F$5:$U$20
    ),
    TRANSPOSE(
        INDEX($X$5:$AM$77, MATCH($A164,_xlfn.ANCHORARRAY( $W$5), 0), 0)
    )
)
/
(
    INDEX($AN$5:$AN$77, MATCH(BK$100,_xlfn.ANCHORARRAY( $W$5), 0))
    *
    INDEX($AN$5:$AN$77, MATCH($A164,_xlfn.ANCHORARRAY( $W$5), 0))
)</f>
        <v>0.39682742210777122</v>
      </c>
      <c r="BL164" s="17" cm="1">
        <f t="array" ref="BL164">MMULT(
    MMULT(
        INDEX($X$5:$AM$77, MATCH(BL$100,_xlfn.ANCHORARRAY( $W$5), 0), 0),
        $F$5:$U$20
    ),
    TRANSPOSE(
        INDEX($X$5:$AM$77, MATCH($A164,_xlfn.ANCHORARRAY( $W$5), 0), 0)
    )
)
/
(
    INDEX($AN$5:$AN$77, MATCH(BL$100,_xlfn.ANCHORARRAY( $W$5), 0))
    *
    INDEX($AN$5:$AN$77, MATCH($A164,_xlfn.ANCHORARRAY( $W$5), 0))
)</f>
        <v>0.66124822772242087</v>
      </c>
      <c r="BM164" s="17" cm="1">
        <f t="array" ref="BM164">MMULT(
    MMULT(
        INDEX($X$5:$AM$77, MATCH(BM$100,_xlfn.ANCHORARRAY( $W$5), 0), 0),
        $F$5:$U$20
    ),
    TRANSPOSE(
        INDEX($X$5:$AM$77, MATCH($A164,_xlfn.ANCHORARRAY( $W$5), 0), 0)
    )
)
/
(
    INDEX($AN$5:$AN$77, MATCH(BM$100,_xlfn.ANCHORARRAY( $W$5), 0))
    *
    INDEX($AN$5:$AN$77, MATCH($A164,_xlfn.ANCHORARRAY( $W$5), 0))
)</f>
        <v>1</v>
      </c>
      <c r="BN164" s="17" cm="1">
        <f t="array" ref="BN164">MMULT(
    MMULT(
        INDEX($X$5:$AM$77, MATCH(BN$100,_xlfn.ANCHORARRAY( $W$5), 0), 0),
        $F$5:$U$20
    ),
    TRANSPOSE(
        INDEX($X$5:$AM$77, MATCH($A164,_xlfn.ANCHORARRAY( $W$5), 0), 0)
    )
)
/
(
    INDEX($AN$5:$AN$77, MATCH(BN$100,_xlfn.ANCHORARRAY( $W$5), 0))
    *
    INDEX($AN$5:$AN$77, MATCH($A164,_xlfn.ANCHORARRAY( $W$5), 0))
)</f>
        <v>0.64569182130915614</v>
      </c>
      <c r="BO164" s="17" cm="1">
        <f t="array" ref="BO164">MMULT(
    MMULT(
        INDEX($X$5:$AM$77, MATCH(BO$100,_xlfn.ANCHORARRAY( $W$5), 0), 0),
        $F$5:$U$20
    ),
    TRANSPOSE(
        INDEX($X$5:$AM$77, MATCH($A164,_xlfn.ANCHORARRAY( $W$5), 0), 0)
    )
)
/
(
    INDEX($AN$5:$AN$77, MATCH(BO$100,_xlfn.ANCHORARRAY( $W$5), 0))
    *
    INDEX($AN$5:$AN$77, MATCH($A164,_xlfn.ANCHORARRAY( $W$5), 0))
)</f>
        <v>0.67677469058157302</v>
      </c>
      <c r="BP164" s="17" cm="1">
        <f t="array" ref="BP164">MMULT(
    MMULT(
        INDEX($X$5:$AM$77, MATCH(BP$100,_xlfn.ANCHORARRAY( $W$5), 0), 0),
        $F$5:$U$20
    ),
    TRANSPOSE(
        INDEX($X$5:$AM$77, MATCH($A164,_xlfn.ANCHORARRAY( $W$5), 0), 0)
    )
)
/
(
    INDEX($AN$5:$AN$77, MATCH(BP$100,_xlfn.ANCHORARRAY( $W$5), 0))
    *
    INDEX($AN$5:$AN$77, MATCH($A164,_xlfn.ANCHORARRAY( $W$5), 0))
)</f>
        <v>0.83994161807042511</v>
      </c>
      <c r="BQ164" s="17" cm="1">
        <f t="array" ref="BQ164">MMULT(
    MMULT(
        INDEX($X$5:$AM$77, MATCH(BQ$100,_xlfn.ANCHORARRAY( $W$5), 0), 0),
        $F$5:$U$20
    ),
    TRANSPOSE(
        INDEX($X$5:$AM$77, MATCH($A164,_xlfn.ANCHORARRAY( $W$5), 0), 0)
    )
)
/
(
    INDEX($AN$5:$AN$77, MATCH(BQ$100,_xlfn.ANCHORARRAY( $W$5), 0))
    *
    INDEX($AN$5:$AN$77, MATCH($A164,_xlfn.ANCHORARRAY( $W$5), 0))
)</f>
        <v>0.80888940527126285</v>
      </c>
      <c r="BR164" s="17" cm="1">
        <f t="array" ref="BR164">MMULT(
    MMULT(
        INDEX($X$5:$AM$77, MATCH(BR$100,_xlfn.ANCHORARRAY( $W$5), 0), 0),
        $F$5:$U$20
    ),
    TRANSPOSE(
        INDEX($X$5:$AM$77, MATCH($A164,_xlfn.ANCHORARRAY( $W$5), 0), 0)
    )
)
/
(
    INDEX($AN$5:$AN$77, MATCH(BR$100,_xlfn.ANCHORARRAY( $W$5), 0))
    *
    INDEX($AN$5:$AN$77, MATCH($A164,_xlfn.ANCHORARRAY( $W$5), 0))
)</f>
        <v>0.62969088745298663</v>
      </c>
      <c r="BS164" s="17" cm="1">
        <f t="array" ref="BS164">MMULT(
    MMULT(
        INDEX($X$5:$AM$77, MATCH(BS$100,_xlfn.ANCHORARRAY( $W$5), 0), 0),
        $F$5:$U$20
    ),
    TRANSPOSE(
        INDEX($X$5:$AM$77, MATCH($A164,_xlfn.ANCHORARRAY( $W$5), 0), 0)
    )
)
/
(
    INDEX($AN$5:$AN$77, MATCH(BS$100,_xlfn.ANCHORARRAY( $W$5), 0))
    *
    INDEX($AN$5:$AN$77, MATCH($A164,_xlfn.ANCHORARRAY( $W$5), 0))
)</f>
        <v>0.76322519749594653</v>
      </c>
      <c r="BT164" s="17" cm="1">
        <f t="array" ref="BT164">MMULT(
    MMULT(
        INDEX($X$5:$AM$77, MATCH(BT$100,_xlfn.ANCHORARRAY( $W$5), 0), 0),
        $F$5:$U$20
    ),
    TRANSPOSE(
        INDEX($X$5:$AM$77, MATCH($A164,_xlfn.ANCHORARRAY( $W$5), 0), 0)
    )
)
/
(
    INDEX($AN$5:$AN$77, MATCH(BT$100,_xlfn.ANCHORARRAY( $W$5), 0))
    *
    INDEX($AN$5:$AN$77, MATCH($A164,_xlfn.ANCHORARRAY( $W$5), 0))
)</f>
        <v>0.72154391823349406</v>
      </c>
      <c r="BU164" s="17" cm="1">
        <f t="array" ref="BU164">MMULT(
    MMULT(
        INDEX($X$5:$AM$77, MATCH(BU$100,_xlfn.ANCHORARRAY( $W$5), 0), 0),
        $F$5:$U$20
    ),
    TRANSPOSE(
        INDEX($X$5:$AM$77, MATCH($A164,_xlfn.ANCHORARRAY( $W$5), 0), 0)
    )
)
/
(
    INDEX($AN$5:$AN$77, MATCH(BU$100,_xlfn.ANCHORARRAY( $W$5), 0))
    *
    INDEX($AN$5:$AN$77, MATCH($A164,_xlfn.ANCHORARRAY( $W$5), 0))
)</f>
        <v>0.49732361291814547</v>
      </c>
      <c r="BV164" s="17" cm="1">
        <f t="array" ref="BV164">MMULT(
    MMULT(
        INDEX($X$5:$AM$77, MATCH(BV$100,_xlfn.ANCHORARRAY( $W$5), 0), 0),
        $F$5:$U$20
    ),
    TRANSPOSE(
        INDEX($X$5:$AM$77, MATCH($A164,_xlfn.ANCHORARRAY( $W$5), 0), 0)
    )
)
/
(
    INDEX($AN$5:$AN$77, MATCH(BV$100,_xlfn.ANCHORARRAY( $W$5), 0))
    *
    INDEX($AN$5:$AN$77, MATCH($A164,_xlfn.ANCHORARRAY( $W$5), 0))
)</f>
        <v>0.51611316717673494</v>
      </c>
    </row>
    <row r="165" spans="1:74" x14ac:dyDescent="0.3">
      <c r="A165" s="7" t="str">
        <v>Heller, Ben</v>
      </c>
      <c r="B165" s="17" cm="1">
        <f t="array" ref="B165">MMULT(
    MMULT(
        INDEX($X$5:$AM$77, MATCH(B$100,_xlfn.ANCHORARRAY( $W$5), 0), 0),
        $F$5:$U$20
    ),
    TRANSPOSE(
        INDEX($X$5:$AM$77, MATCH($A165,_xlfn.ANCHORARRAY( $W$5), 0), 0)
    )
)
/
(
    INDEX($AN$5:$AN$77, MATCH(B$100,_xlfn.ANCHORARRAY( $W$5), 0))
    *
    INDEX($AN$5:$AN$77, MATCH($A165,_xlfn.ANCHORARRAY( $W$5), 0))
)</f>
        <v>0.79661356587603105</v>
      </c>
      <c r="C165" s="17" cm="1">
        <f t="array" ref="C165">MMULT(
    MMULT(
        INDEX($X$5:$AM$77, MATCH(C$100,_xlfn.ANCHORARRAY( $W$5), 0), 0),
        $F$5:$U$20
    ),
    TRANSPOSE(
        INDEX($X$5:$AM$77, MATCH($A165,_xlfn.ANCHORARRAY( $W$5), 0), 0)
    )
)
/
(
    INDEX($AN$5:$AN$77, MATCH(C$100,_xlfn.ANCHORARRAY( $W$5), 0))
    *
    INDEX($AN$5:$AN$77, MATCH($A165,_xlfn.ANCHORARRAY( $W$5), 0))
)</f>
        <v>0.6905550891823542</v>
      </c>
      <c r="D165" s="17" cm="1">
        <f t="array" ref="D165">MMULT(
    MMULT(
        INDEX($X$5:$AM$77, MATCH(D$100,_xlfn.ANCHORARRAY( $W$5), 0), 0),
        $F$5:$U$20
    ),
    TRANSPOSE(
        INDEX($X$5:$AM$77, MATCH($A165,_xlfn.ANCHORARRAY( $W$5), 0), 0)
    )
)
/
(
    INDEX($AN$5:$AN$77, MATCH(D$100,_xlfn.ANCHORARRAY( $W$5), 0))
    *
    INDEX($AN$5:$AN$77, MATCH($A165,_xlfn.ANCHORARRAY( $W$5), 0))
)</f>
        <v>0.74724601812889668</v>
      </c>
      <c r="E165" s="17" cm="1">
        <f t="array" ref="E165">MMULT(
    MMULT(
        INDEX($X$5:$AM$77, MATCH(E$100,_xlfn.ANCHORARRAY( $W$5), 0), 0),
        $F$5:$U$20
    ),
    TRANSPOSE(
        INDEX($X$5:$AM$77, MATCH($A165,_xlfn.ANCHORARRAY( $W$5), 0), 0)
    )
)
/
(
    INDEX($AN$5:$AN$77, MATCH(E$100,_xlfn.ANCHORARRAY( $W$5), 0))
    *
    INDEX($AN$5:$AN$77, MATCH($A165,_xlfn.ANCHORARRAY( $W$5), 0))
)</f>
        <v>0.86369830628848443</v>
      </c>
      <c r="F165" s="17" cm="1">
        <f t="array" ref="F165">MMULT(
    MMULT(
        INDEX($X$5:$AM$77, MATCH(F$100,_xlfn.ANCHORARRAY( $W$5), 0), 0),
        $F$5:$U$20
    ),
    TRANSPOSE(
        INDEX($X$5:$AM$77, MATCH($A165,_xlfn.ANCHORARRAY( $W$5), 0), 0)
    )
)
/
(
    INDEX($AN$5:$AN$77, MATCH(F$100,_xlfn.ANCHORARRAY( $W$5), 0))
    *
    INDEX($AN$5:$AN$77, MATCH($A165,_xlfn.ANCHORARRAY( $W$5), 0))
)</f>
        <v>0.69231166285857981</v>
      </c>
      <c r="G165" s="17" cm="1">
        <f t="array" ref="G165">MMULT(
    MMULT(
        INDEX($X$5:$AM$77, MATCH(G$100,_xlfn.ANCHORARRAY( $W$5), 0), 0),
        $F$5:$U$20
    ),
    TRANSPOSE(
        INDEX($X$5:$AM$77, MATCH($A165,_xlfn.ANCHORARRAY( $W$5), 0), 0)
    )
)
/
(
    INDEX($AN$5:$AN$77, MATCH(G$100,_xlfn.ANCHORARRAY( $W$5), 0))
    *
    INDEX($AN$5:$AN$77, MATCH($A165,_xlfn.ANCHORARRAY( $W$5), 0))
)</f>
        <v>0.70122547560657433</v>
      </c>
      <c r="H165" s="17" cm="1">
        <f t="array" ref="H165">MMULT(
    MMULT(
        INDEX($X$5:$AM$77, MATCH(H$100,_xlfn.ANCHORARRAY( $W$5), 0), 0),
        $F$5:$U$20
    ),
    TRANSPOSE(
        INDEX($X$5:$AM$77, MATCH($A165,_xlfn.ANCHORARRAY( $W$5), 0), 0)
    )
)
/
(
    INDEX($AN$5:$AN$77, MATCH(H$100,_xlfn.ANCHORARRAY( $W$5), 0))
    *
    INDEX($AN$5:$AN$77, MATCH($A165,_xlfn.ANCHORARRAY( $W$5), 0))
)</f>
        <v>0.89866680592113457</v>
      </c>
      <c r="I165" s="17" cm="1">
        <f t="array" ref="I165">MMULT(
    MMULT(
        INDEX($X$5:$AM$77, MATCH(I$100,_xlfn.ANCHORARRAY( $W$5), 0), 0),
        $F$5:$U$20
    ),
    TRANSPOSE(
        INDEX($X$5:$AM$77, MATCH($A165,_xlfn.ANCHORARRAY( $W$5), 0), 0)
    )
)
/
(
    INDEX($AN$5:$AN$77, MATCH(I$100,_xlfn.ANCHORARRAY( $W$5), 0))
    *
    INDEX($AN$5:$AN$77, MATCH($A165,_xlfn.ANCHORARRAY( $W$5), 0))
)</f>
        <v>0.77269571966571304</v>
      </c>
      <c r="J165" s="17" cm="1">
        <f t="array" ref="J165">MMULT(
    MMULT(
        INDEX($X$5:$AM$77, MATCH(J$100,_xlfn.ANCHORARRAY( $W$5), 0), 0),
        $F$5:$U$20
    ),
    TRANSPOSE(
        INDEX($X$5:$AM$77, MATCH($A165,_xlfn.ANCHORARRAY( $W$5), 0), 0)
    )
)
/
(
    INDEX($AN$5:$AN$77, MATCH(J$100,_xlfn.ANCHORARRAY( $W$5), 0))
    *
    INDEX($AN$5:$AN$77, MATCH($A165,_xlfn.ANCHORARRAY( $W$5), 0))
)</f>
        <v>0.86172693692798952</v>
      </c>
      <c r="K165" s="17" cm="1">
        <f t="array" ref="K165">MMULT(
    MMULT(
        INDEX($X$5:$AM$77, MATCH(K$100,_xlfn.ANCHORARRAY( $W$5), 0), 0),
        $F$5:$U$20
    ),
    TRANSPOSE(
        INDEX($X$5:$AM$77, MATCH($A165,_xlfn.ANCHORARRAY( $W$5), 0), 0)
    )
)
/
(
    INDEX($AN$5:$AN$77, MATCH(K$100,_xlfn.ANCHORARRAY( $W$5), 0))
    *
    INDEX($AN$5:$AN$77, MATCH($A165,_xlfn.ANCHORARRAY( $W$5), 0))
)</f>
        <v>0.91850911920847622</v>
      </c>
      <c r="L165" s="17" cm="1">
        <f t="array" ref="L165">MMULT(
    MMULT(
        INDEX($X$5:$AM$77, MATCH(L$100,_xlfn.ANCHORARRAY( $W$5), 0), 0),
        $F$5:$U$20
    ),
    TRANSPOSE(
        INDEX($X$5:$AM$77, MATCH($A165,_xlfn.ANCHORARRAY( $W$5), 0), 0)
    )
)
/
(
    INDEX($AN$5:$AN$77, MATCH(L$100,_xlfn.ANCHORARRAY( $W$5), 0))
    *
    INDEX($AN$5:$AN$77, MATCH($A165,_xlfn.ANCHORARRAY( $W$5), 0))
)</f>
        <v>0.96813508485797561</v>
      </c>
      <c r="M165" s="17" cm="1">
        <f t="array" ref="M165">MMULT(
    MMULT(
        INDEX($X$5:$AM$77, MATCH(M$100,_xlfn.ANCHORARRAY( $W$5), 0), 0),
        $F$5:$U$20
    ),
    TRANSPOSE(
        INDEX($X$5:$AM$77, MATCH($A165,_xlfn.ANCHORARRAY( $W$5), 0), 0)
    )
)
/
(
    INDEX($AN$5:$AN$77, MATCH(M$100,_xlfn.ANCHORARRAY( $W$5), 0))
    *
    INDEX($AN$5:$AN$77, MATCH($A165,_xlfn.ANCHORARRAY( $W$5), 0))
)</f>
        <v>0.84522424857415046</v>
      </c>
      <c r="N165" s="17" cm="1">
        <f t="array" ref="N165">MMULT(
    MMULT(
        INDEX($X$5:$AM$77, MATCH(N$100,_xlfn.ANCHORARRAY( $W$5), 0), 0),
        $F$5:$U$20
    ),
    TRANSPOSE(
        INDEX($X$5:$AM$77, MATCH($A165,_xlfn.ANCHORARRAY( $W$5), 0), 0)
    )
)
/
(
    INDEX($AN$5:$AN$77, MATCH(N$100,_xlfn.ANCHORARRAY( $W$5), 0))
    *
    INDEX($AN$5:$AN$77, MATCH($A165,_xlfn.ANCHORARRAY( $W$5), 0))
)</f>
        <v>0.54473235250078855</v>
      </c>
      <c r="O165" s="17" cm="1">
        <f t="array" ref="O165">MMULT(
    MMULT(
        INDEX($X$5:$AM$77, MATCH(O$100,_xlfn.ANCHORARRAY( $W$5), 0), 0),
        $F$5:$U$20
    ),
    TRANSPOSE(
        INDEX($X$5:$AM$77, MATCH($A165,_xlfn.ANCHORARRAY( $W$5), 0), 0)
    )
)
/
(
    INDEX($AN$5:$AN$77, MATCH(O$100,_xlfn.ANCHORARRAY( $W$5), 0))
    *
    INDEX($AN$5:$AN$77, MATCH($A165,_xlfn.ANCHORARRAY( $W$5), 0))
)</f>
        <v>0.57030596733366801</v>
      </c>
      <c r="P165" s="17" cm="1">
        <f t="array" ref="P165">MMULT(
    MMULT(
        INDEX($X$5:$AM$77, MATCH(P$100,_xlfn.ANCHORARRAY( $W$5), 0), 0),
        $F$5:$U$20
    ),
    TRANSPOSE(
        INDEX($X$5:$AM$77, MATCH($A165,_xlfn.ANCHORARRAY( $W$5), 0), 0)
    )
)
/
(
    INDEX($AN$5:$AN$77, MATCH(P$100,_xlfn.ANCHORARRAY( $W$5), 0))
    *
    INDEX($AN$5:$AN$77, MATCH($A165,_xlfn.ANCHORARRAY( $W$5), 0))
)</f>
        <v>0.71806478880062086</v>
      </c>
      <c r="Q165" s="17" cm="1">
        <f t="array" ref="Q165">MMULT(
    MMULT(
        INDEX($X$5:$AM$77, MATCH(Q$100,_xlfn.ANCHORARRAY( $W$5), 0), 0),
        $F$5:$U$20
    ),
    TRANSPOSE(
        INDEX($X$5:$AM$77, MATCH($A165,_xlfn.ANCHORARRAY( $W$5), 0), 0)
    )
)
/
(
    INDEX($AN$5:$AN$77, MATCH(Q$100,_xlfn.ANCHORARRAY( $W$5), 0))
    *
    INDEX($AN$5:$AN$77, MATCH($A165,_xlfn.ANCHORARRAY( $W$5), 0))
)</f>
        <v>0.86468183595720371</v>
      </c>
      <c r="R165" s="17" cm="1">
        <f t="array" ref="R165">MMULT(
    MMULT(
        INDEX($X$5:$AM$77, MATCH(R$100,_xlfn.ANCHORARRAY( $W$5), 0), 0),
        $F$5:$U$20
    ),
    TRANSPOSE(
        INDEX($X$5:$AM$77, MATCH($A165,_xlfn.ANCHORARRAY( $W$5), 0), 0)
    )
)
/
(
    INDEX($AN$5:$AN$77, MATCH(R$100,_xlfn.ANCHORARRAY( $W$5), 0))
    *
    INDEX($AN$5:$AN$77, MATCH($A165,_xlfn.ANCHORARRAY( $W$5), 0))
)</f>
        <v>0.77527924363202161</v>
      </c>
      <c r="S165" s="17" cm="1">
        <f t="array" ref="S165">MMULT(
    MMULT(
        INDEX($X$5:$AM$77, MATCH(S$100,_xlfn.ANCHORARRAY( $W$5), 0), 0),
        $F$5:$U$20
    ),
    TRANSPOSE(
        INDEX($X$5:$AM$77, MATCH($A165,_xlfn.ANCHORARRAY( $W$5), 0), 0)
    )
)
/
(
    INDEX($AN$5:$AN$77, MATCH(S$100,_xlfn.ANCHORARRAY( $W$5), 0))
    *
    INDEX($AN$5:$AN$77, MATCH($A165,_xlfn.ANCHORARRAY( $W$5), 0))
)</f>
        <v>0.80003822065269348</v>
      </c>
      <c r="T165" s="17" cm="1">
        <f t="array" ref="T165">MMULT(
    MMULT(
        INDEX($X$5:$AM$77, MATCH(T$100,_xlfn.ANCHORARRAY( $W$5), 0), 0),
        $F$5:$U$20
    ),
    TRANSPOSE(
        INDEX($X$5:$AM$77, MATCH($A165,_xlfn.ANCHORARRAY( $W$5), 0), 0)
    )
)
/
(
    INDEX($AN$5:$AN$77, MATCH(T$100,_xlfn.ANCHORARRAY( $W$5), 0))
    *
    INDEX($AN$5:$AN$77, MATCH($A165,_xlfn.ANCHORARRAY( $W$5), 0))
)</f>
        <v>0.28198077569440039</v>
      </c>
      <c r="U165" s="17" cm="1">
        <f t="array" ref="U165">MMULT(
    MMULT(
        INDEX($X$5:$AM$77, MATCH(U$100,_xlfn.ANCHORARRAY( $W$5), 0), 0),
        $F$5:$U$20
    ),
    TRANSPOSE(
        INDEX($X$5:$AM$77, MATCH($A165,_xlfn.ANCHORARRAY( $W$5), 0), 0)
    )
)
/
(
    INDEX($AN$5:$AN$77, MATCH(U$100,_xlfn.ANCHORARRAY( $W$5), 0))
    *
    INDEX($AN$5:$AN$77, MATCH($A165,_xlfn.ANCHORARRAY( $W$5), 0))
)</f>
        <v>0.73474173670894427</v>
      </c>
      <c r="V165" s="17" cm="1">
        <f t="array" ref="V165">MMULT(
    MMULT(
        INDEX($X$5:$AM$77, MATCH(V$100,_xlfn.ANCHORARRAY( $W$5), 0), 0),
        $F$5:$U$20
    ),
    TRANSPOSE(
        INDEX($X$5:$AM$77, MATCH($A165,_xlfn.ANCHORARRAY( $W$5), 0), 0)
    )
)
/
(
    INDEX($AN$5:$AN$77, MATCH(V$100,_xlfn.ANCHORARRAY( $W$5), 0))
    *
    INDEX($AN$5:$AN$77, MATCH($A165,_xlfn.ANCHORARRAY( $W$5), 0))
)</f>
        <v>0.75288336610141737</v>
      </c>
      <c r="W165" s="17" cm="1">
        <f t="array" ref="W165">MMULT(
    MMULT(
        INDEX($X$5:$AM$77, MATCH(W$100,_xlfn.ANCHORARRAY( $W$5), 0), 0),
        $F$5:$U$20
    ),
    TRANSPOSE(
        INDEX($X$5:$AM$77, MATCH($A165,_xlfn.ANCHORARRAY( $W$5), 0), 0)
    )
)
/
(
    INDEX($AN$5:$AN$77, MATCH(W$100,_xlfn.ANCHORARRAY( $W$5), 0))
    *
    INDEX($AN$5:$AN$77, MATCH($A165,_xlfn.ANCHORARRAY( $W$5), 0))
)</f>
        <v>0.75303232844128543</v>
      </c>
      <c r="X165" s="17" cm="1">
        <f t="array" ref="X165">MMULT(
    MMULT(
        INDEX($X$5:$AM$77, MATCH(X$100,_xlfn.ANCHORARRAY( $W$5), 0), 0),
        $F$5:$U$20
    ),
    TRANSPOSE(
        INDEX($X$5:$AM$77, MATCH($A165,_xlfn.ANCHORARRAY( $W$5), 0), 0)
    )
)
/
(
    INDEX($AN$5:$AN$77, MATCH(X$100,_xlfn.ANCHORARRAY( $W$5), 0))
    *
    INDEX($AN$5:$AN$77, MATCH($A165,_xlfn.ANCHORARRAY( $W$5), 0))
)</f>
        <v>0.65592808241940037</v>
      </c>
      <c r="Y165" s="17" cm="1">
        <f t="array" ref="Y165">MMULT(
    MMULT(
        INDEX($X$5:$AM$77, MATCH(Y$100,_xlfn.ANCHORARRAY( $W$5), 0), 0),
        $F$5:$U$20
    ),
    TRANSPOSE(
        INDEX($X$5:$AM$77, MATCH($A165,_xlfn.ANCHORARRAY( $W$5), 0), 0)
    )
)
/
(
    INDEX($AN$5:$AN$77, MATCH(Y$100,_xlfn.ANCHORARRAY( $W$5), 0))
    *
    INDEX($AN$5:$AN$77, MATCH($A165,_xlfn.ANCHORARRAY( $W$5), 0))
)</f>
        <v>0.77529792844160705</v>
      </c>
      <c r="Z165" s="17" cm="1">
        <f t="array" ref="Z165">MMULT(
    MMULT(
        INDEX($X$5:$AM$77, MATCH(Z$100,_xlfn.ANCHORARRAY( $W$5), 0), 0),
        $F$5:$U$20
    ),
    TRANSPOSE(
        INDEX($X$5:$AM$77, MATCH($A165,_xlfn.ANCHORARRAY( $W$5), 0), 0)
    )
)
/
(
    INDEX($AN$5:$AN$77, MATCH(Z$100,_xlfn.ANCHORARRAY( $W$5), 0))
    *
    INDEX($AN$5:$AN$77, MATCH($A165,_xlfn.ANCHORARRAY( $W$5), 0))
)</f>
        <v>0.70218581480084696</v>
      </c>
      <c r="AA165" s="17" cm="1">
        <f t="array" ref="AA165">MMULT(
    MMULT(
        INDEX($X$5:$AM$77, MATCH(AA$100,_xlfn.ANCHORARRAY( $W$5), 0), 0),
        $F$5:$U$20
    ),
    TRANSPOSE(
        INDEX($X$5:$AM$77, MATCH($A165,_xlfn.ANCHORARRAY( $W$5), 0), 0)
    )
)
/
(
    INDEX($AN$5:$AN$77, MATCH(AA$100,_xlfn.ANCHORARRAY( $W$5), 0))
    *
    INDEX($AN$5:$AN$77, MATCH($A165,_xlfn.ANCHORARRAY( $W$5), 0))
)</f>
        <v>0.63289194225904233</v>
      </c>
      <c r="AB165" s="17" cm="1">
        <f t="array" ref="AB165">MMULT(
    MMULT(
        INDEX($X$5:$AM$77, MATCH(AB$100,_xlfn.ANCHORARRAY( $W$5), 0), 0),
        $F$5:$U$20
    ),
    TRANSPOSE(
        INDEX($X$5:$AM$77, MATCH($A165,_xlfn.ANCHORARRAY( $W$5), 0), 0)
    )
)
/
(
    INDEX($AN$5:$AN$77, MATCH(AB$100,_xlfn.ANCHORARRAY( $W$5), 0))
    *
    INDEX($AN$5:$AN$77, MATCH($A165,_xlfn.ANCHORARRAY( $W$5), 0))
)</f>
        <v>0.85075403980328435</v>
      </c>
      <c r="AC165" s="17" cm="1">
        <f t="array" ref="AC165">MMULT(
    MMULT(
        INDEX($X$5:$AM$77, MATCH(AC$100,_xlfn.ANCHORARRAY( $W$5), 0), 0),
        $F$5:$U$20
    ),
    TRANSPOSE(
        INDEX($X$5:$AM$77, MATCH($A165,_xlfn.ANCHORARRAY( $W$5), 0), 0)
    )
)
/
(
    INDEX($AN$5:$AN$77, MATCH(AC$100,_xlfn.ANCHORARRAY( $W$5), 0))
    *
    INDEX($AN$5:$AN$77, MATCH($A165,_xlfn.ANCHORARRAY( $W$5), 0))
)</f>
        <v>0.85148062551439962</v>
      </c>
      <c r="AD165" s="17" cm="1">
        <f t="array" ref="AD165">MMULT(
    MMULT(
        INDEX($X$5:$AM$77, MATCH(AD$100,_xlfn.ANCHORARRAY( $W$5), 0), 0),
        $F$5:$U$20
    ),
    TRANSPOSE(
        INDEX($X$5:$AM$77, MATCH($A165,_xlfn.ANCHORARRAY( $W$5), 0), 0)
    )
)
/
(
    INDEX($AN$5:$AN$77, MATCH(AD$100,_xlfn.ANCHORARRAY( $W$5), 0))
    *
    INDEX($AN$5:$AN$77, MATCH($A165,_xlfn.ANCHORARRAY( $W$5), 0))
)</f>
        <v>0.72152125674274259</v>
      </c>
      <c r="AE165" s="17" cm="1">
        <f t="array" ref="AE165">MMULT(
    MMULT(
        INDEX($X$5:$AM$77, MATCH(AE$100,_xlfn.ANCHORARRAY( $W$5), 0), 0),
        $F$5:$U$20
    ),
    TRANSPOSE(
        INDEX($X$5:$AM$77, MATCH($A165,_xlfn.ANCHORARRAY( $W$5), 0), 0)
    )
)
/
(
    INDEX($AN$5:$AN$77, MATCH(AE$100,_xlfn.ANCHORARRAY( $W$5), 0))
    *
    INDEX($AN$5:$AN$77, MATCH($A165,_xlfn.ANCHORARRAY( $W$5), 0))
)</f>
        <v>0.73681369609951231</v>
      </c>
      <c r="AF165" s="17" cm="1">
        <f t="array" ref="AF165">MMULT(
    MMULT(
        INDEX($X$5:$AM$77, MATCH(AF$100,_xlfn.ANCHORARRAY( $W$5), 0), 0),
        $F$5:$U$20
    ),
    TRANSPOSE(
        INDEX($X$5:$AM$77, MATCH($A165,_xlfn.ANCHORARRAY( $W$5), 0), 0)
    )
)
/
(
    INDEX($AN$5:$AN$77, MATCH(AF$100,_xlfn.ANCHORARRAY( $W$5), 0))
    *
    INDEX($AN$5:$AN$77, MATCH($A165,_xlfn.ANCHORARRAY( $W$5), 0))
)</f>
        <v>0.83305153552921141</v>
      </c>
      <c r="AG165" s="17" cm="1">
        <f t="array" ref="AG165">MMULT(
    MMULT(
        INDEX($X$5:$AM$77, MATCH(AG$100,_xlfn.ANCHORARRAY( $W$5), 0), 0),
        $F$5:$U$20
    ),
    TRANSPOSE(
        INDEX($X$5:$AM$77, MATCH($A165,_xlfn.ANCHORARRAY( $W$5), 0), 0)
    )
)
/
(
    INDEX($AN$5:$AN$77, MATCH(AG$100,_xlfn.ANCHORARRAY( $W$5), 0))
    *
    INDEX($AN$5:$AN$77, MATCH($A165,_xlfn.ANCHORARRAY( $W$5), 0))
)</f>
        <v>0.91134459589265882</v>
      </c>
      <c r="AH165" s="17" cm="1">
        <f t="array" ref="AH165">MMULT(
    MMULT(
        INDEX($X$5:$AM$77, MATCH(AH$100,_xlfn.ANCHORARRAY( $W$5), 0), 0),
        $F$5:$U$20
    ),
    TRANSPOSE(
        INDEX($X$5:$AM$77, MATCH($A165,_xlfn.ANCHORARRAY( $W$5), 0), 0)
    )
)
/
(
    INDEX($AN$5:$AN$77, MATCH(AH$100,_xlfn.ANCHORARRAY( $W$5), 0))
    *
    INDEX($AN$5:$AN$77, MATCH($A165,_xlfn.ANCHORARRAY( $W$5), 0))
)</f>
        <v>0.67055517646786755</v>
      </c>
      <c r="AI165" s="17" cm="1">
        <f t="array" ref="AI165">MMULT(
    MMULT(
        INDEX($X$5:$AM$77, MATCH(AI$100,_xlfn.ANCHORARRAY( $W$5), 0), 0),
        $F$5:$U$20
    ),
    TRANSPOSE(
        INDEX($X$5:$AM$77, MATCH($A165,_xlfn.ANCHORARRAY( $W$5), 0), 0)
    )
)
/
(
    INDEX($AN$5:$AN$77, MATCH(AI$100,_xlfn.ANCHORARRAY( $W$5), 0))
    *
    INDEX($AN$5:$AN$77, MATCH($A165,_xlfn.ANCHORARRAY( $W$5), 0))
)</f>
        <v>0.87075950216430953</v>
      </c>
      <c r="AJ165" s="17" cm="1">
        <f t="array" ref="AJ165">MMULT(
    MMULT(
        INDEX($X$5:$AM$77, MATCH(AJ$100,_xlfn.ANCHORARRAY( $W$5), 0), 0),
        $F$5:$U$20
    ),
    TRANSPOSE(
        INDEX($X$5:$AM$77, MATCH($A165,_xlfn.ANCHORARRAY( $W$5), 0), 0)
    )
)
/
(
    INDEX($AN$5:$AN$77, MATCH(AJ$100,_xlfn.ANCHORARRAY( $W$5), 0))
    *
    INDEX($AN$5:$AN$77, MATCH($A165,_xlfn.ANCHORARRAY( $W$5), 0))
)</f>
        <v>0.64822315936679176</v>
      </c>
      <c r="AK165" s="17" cm="1">
        <f t="array" ref="AK165">MMULT(
    MMULT(
        INDEX($X$5:$AM$77, MATCH(AK$100,_xlfn.ANCHORARRAY( $W$5), 0), 0),
        $F$5:$U$20
    ),
    TRANSPOSE(
        INDEX($X$5:$AM$77, MATCH($A165,_xlfn.ANCHORARRAY( $W$5), 0), 0)
    )
)
/
(
    INDEX($AN$5:$AN$77, MATCH(AK$100,_xlfn.ANCHORARRAY( $W$5), 0))
    *
    INDEX($AN$5:$AN$77, MATCH($A165,_xlfn.ANCHORARRAY( $W$5), 0))
)</f>
        <v>0.95157273847296886</v>
      </c>
      <c r="AL165" s="17" cm="1">
        <f t="array" ref="AL165">MMULT(
    MMULT(
        INDEX($X$5:$AM$77, MATCH(AL$100,_xlfn.ANCHORARRAY( $W$5), 0), 0),
        $F$5:$U$20
    ),
    TRANSPOSE(
        INDEX($X$5:$AM$77, MATCH($A165,_xlfn.ANCHORARRAY( $W$5), 0), 0)
    )
)
/
(
    INDEX($AN$5:$AN$77, MATCH(AL$100,_xlfn.ANCHORARRAY( $W$5), 0))
    *
    INDEX($AN$5:$AN$77, MATCH($A165,_xlfn.ANCHORARRAY( $W$5), 0))
)</f>
        <v>0.58758357778002002</v>
      </c>
      <c r="AM165" s="17" cm="1">
        <f t="array" ref="AM165">MMULT(
    MMULT(
        INDEX($X$5:$AM$77, MATCH(AM$100,_xlfn.ANCHORARRAY( $W$5), 0), 0),
        $F$5:$U$20
    ),
    TRANSPOSE(
        INDEX($X$5:$AM$77, MATCH($A165,_xlfn.ANCHORARRAY( $W$5), 0), 0)
    )
)
/
(
    INDEX($AN$5:$AN$77, MATCH(AM$100,_xlfn.ANCHORARRAY( $W$5), 0))
    *
    INDEX($AN$5:$AN$77, MATCH($A165,_xlfn.ANCHORARRAY( $W$5), 0))
)</f>
        <v>0.98319145141872577</v>
      </c>
      <c r="AN165" s="17" cm="1">
        <f t="array" ref="AN165">MMULT(
    MMULT(
        INDEX($X$5:$AM$77, MATCH(AN$100,_xlfn.ANCHORARRAY( $W$5), 0), 0),
        $F$5:$U$20
    ),
    TRANSPOSE(
        INDEX($X$5:$AM$77, MATCH($A165,_xlfn.ANCHORARRAY( $W$5), 0), 0)
    )
)
/
(
    INDEX($AN$5:$AN$77, MATCH(AN$100,_xlfn.ANCHORARRAY( $W$5), 0))
    *
    INDEX($AN$5:$AN$77, MATCH($A165,_xlfn.ANCHORARRAY( $W$5), 0))
)</f>
        <v>0.74669994071644152</v>
      </c>
      <c r="AO165" s="17" cm="1">
        <f t="array" ref="AO165">MMULT(
    MMULT(
        INDEX($X$5:$AM$77, MATCH(AO$100,_xlfn.ANCHORARRAY( $W$5), 0), 0),
        $F$5:$U$20
    ),
    TRANSPOSE(
        INDEX($X$5:$AM$77, MATCH($A165,_xlfn.ANCHORARRAY( $W$5), 0), 0)
    )
)
/
(
    INDEX($AN$5:$AN$77, MATCH(AO$100,_xlfn.ANCHORARRAY( $W$5), 0))
    *
    INDEX($AN$5:$AN$77, MATCH($A165,_xlfn.ANCHORARRAY( $W$5), 0))
)</f>
        <v>0.93993570515375813</v>
      </c>
      <c r="AP165" s="17" cm="1">
        <f t="array" ref="AP165">MMULT(
    MMULT(
        INDEX($X$5:$AM$77, MATCH(AP$100,_xlfn.ANCHORARRAY( $W$5), 0), 0),
        $F$5:$U$20
    ),
    TRANSPOSE(
        INDEX($X$5:$AM$77, MATCH($A165,_xlfn.ANCHORARRAY( $W$5), 0), 0)
    )
)
/
(
    INDEX($AN$5:$AN$77, MATCH(AP$100,_xlfn.ANCHORARRAY( $W$5), 0))
    *
    INDEX($AN$5:$AN$77, MATCH($A165,_xlfn.ANCHORARRAY( $W$5), 0))
)</f>
        <v>0.79984913383549949</v>
      </c>
      <c r="AQ165" s="17" cm="1">
        <f t="array" ref="AQ165">MMULT(
    MMULT(
        INDEX($X$5:$AM$77, MATCH(AQ$100,_xlfn.ANCHORARRAY( $W$5), 0), 0),
        $F$5:$U$20
    ),
    TRANSPOSE(
        INDEX($X$5:$AM$77, MATCH($A165,_xlfn.ANCHORARRAY( $W$5), 0), 0)
    )
)
/
(
    INDEX($AN$5:$AN$77, MATCH(AQ$100,_xlfn.ANCHORARRAY( $W$5), 0))
    *
    INDEX($AN$5:$AN$77, MATCH($A165,_xlfn.ANCHORARRAY( $W$5), 0))
)</f>
        <v>0.68811806104749307</v>
      </c>
      <c r="AR165" s="17" cm="1">
        <f t="array" ref="AR165">MMULT(
    MMULT(
        INDEX($X$5:$AM$77, MATCH(AR$100,_xlfn.ANCHORARRAY( $W$5), 0), 0),
        $F$5:$U$20
    ),
    TRANSPOSE(
        INDEX($X$5:$AM$77, MATCH($A165,_xlfn.ANCHORARRAY( $W$5), 0), 0)
    )
)
/
(
    INDEX($AN$5:$AN$77, MATCH(AR$100,_xlfn.ANCHORARRAY( $W$5), 0))
    *
    INDEX($AN$5:$AN$77, MATCH($A165,_xlfn.ANCHORARRAY( $W$5), 0))
)</f>
        <v>0.66505923701774328</v>
      </c>
      <c r="AS165" s="17" cm="1">
        <f t="array" ref="AS165">MMULT(
    MMULT(
        INDEX($X$5:$AM$77, MATCH(AS$100,_xlfn.ANCHORARRAY( $W$5), 0), 0),
        $F$5:$U$20
    ),
    TRANSPOSE(
        INDEX($X$5:$AM$77, MATCH($A165,_xlfn.ANCHORARRAY( $W$5), 0), 0)
    )
)
/
(
    INDEX($AN$5:$AN$77, MATCH(AS$100,_xlfn.ANCHORARRAY( $W$5), 0))
    *
    INDEX($AN$5:$AN$77, MATCH($A165,_xlfn.ANCHORARRAY( $W$5), 0))
)</f>
        <v>0.71073231930495584</v>
      </c>
      <c r="AT165" s="17" cm="1">
        <f t="array" ref="AT165">MMULT(
    MMULT(
        INDEX($X$5:$AM$77, MATCH(AT$100,_xlfn.ANCHORARRAY( $W$5), 0), 0),
        $F$5:$U$20
    ),
    TRANSPOSE(
        INDEX($X$5:$AM$77, MATCH($A165,_xlfn.ANCHORARRAY( $W$5), 0), 0)
    )
)
/
(
    INDEX($AN$5:$AN$77, MATCH(AT$100,_xlfn.ANCHORARRAY( $W$5), 0))
    *
    INDEX($AN$5:$AN$77, MATCH($A165,_xlfn.ANCHORARRAY( $W$5), 0))
)</f>
        <v>0.92452358091025733</v>
      </c>
      <c r="AU165" s="17" cm="1">
        <f t="array" ref="AU165">MMULT(
    MMULT(
        INDEX($X$5:$AM$77, MATCH(AU$100,_xlfn.ANCHORARRAY( $W$5), 0), 0),
        $F$5:$U$20
    ),
    TRANSPOSE(
        INDEX($X$5:$AM$77, MATCH($A165,_xlfn.ANCHORARRAY( $W$5), 0), 0)
    )
)
/
(
    INDEX($AN$5:$AN$77, MATCH(AU$100,_xlfn.ANCHORARRAY( $W$5), 0))
    *
    INDEX($AN$5:$AN$77, MATCH($A165,_xlfn.ANCHORARRAY( $W$5), 0))
)</f>
        <v>0.68488523247658051</v>
      </c>
      <c r="AV165" s="17" cm="1">
        <f t="array" ref="AV165">MMULT(
    MMULT(
        INDEX($X$5:$AM$77, MATCH(AV$100,_xlfn.ANCHORARRAY( $W$5), 0), 0),
        $F$5:$U$20
    ),
    TRANSPOSE(
        INDEX($X$5:$AM$77, MATCH($A165,_xlfn.ANCHORARRAY( $W$5), 0), 0)
    )
)
/
(
    INDEX($AN$5:$AN$77, MATCH(AV$100,_xlfn.ANCHORARRAY( $W$5), 0))
    *
    INDEX($AN$5:$AN$77, MATCH($A165,_xlfn.ANCHORARRAY( $W$5), 0))
)</f>
        <v>0.70773900027674486</v>
      </c>
      <c r="AW165" s="17" cm="1">
        <f t="array" ref="AW165">MMULT(
    MMULT(
        INDEX($X$5:$AM$77, MATCH(AW$100,_xlfn.ANCHORARRAY( $W$5), 0), 0),
        $F$5:$U$20
    ),
    TRANSPOSE(
        INDEX($X$5:$AM$77, MATCH($A165,_xlfn.ANCHORARRAY( $W$5), 0), 0)
    )
)
/
(
    INDEX($AN$5:$AN$77, MATCH(AW$100,_xlfn.ANCHORARRAY( $W$5), 0))
    *
    INDEX($AN$5:$AN$77, MATCH($A165,_xlfn.ANCHORARRAY( $W$5), 0))
)</f>
        <v>0.84934069151402802</v>
      </c>
      <c r="AX165" s="17" cm="1">
        <f t="array" ref="AX165">MMULT(
    MMULT(
        INDEX($X$5:$AM$77, MATCH(AX$100,_xlfn.ANCHORARRAY( $W$5), 0), 0),
        $F$5:$U$20
    ),
    TRANSPOSE(
        INDEX($X$5:$AM$77, MATCH($A165,_xlfn.ANCHORARRAY( $W$5), 0), 0)
    )
)
/
(
    INDEX($AN$5:$AN$77, MATCH(AX$100,_xlfn.ANCHORARRAY( $W$5), 0))
    *
    INDEX($AN$5:$AN$77, MATCH($A165,_xlfn.ANCHORARRAY( $W$5), 0))
)</f>
        <v>0.73598226652821019</v>
      </c>
      <c r="AY165" s="17" cm="1">
        <f t="array" ref="AY165">MMULT(
    MMULT(
        INDEX($X$5:$AM$77, MATCH(AY$100,_xlfn.ANCHORARRAY( $W$5), 0), 0),
        $F$5:$U$20
    ),
    TRANSPOSE(
        INDEX($X$5:$AM$77, MATCH($A165,_xlfn.ANCHORARRAY( $W$5), 0), 0)
    )
)
/
(
    INDEX($AN$5:$AN$77, MATCH(AY$100,_xlfn.ANCHORARRAY( $W$5), 0))
    *
    INDEX($AN$5:$AN$77, MATCH($A165,_xlfn.ANCHORARRAY( $W$5), 0))
)</f>
        <v>0.62352057654217852</v>
      </c>
      <c r="AZ165" s="17" cm="1">
        <f t="array" ref="AZ165">MMULT(
    MMULT(
        INDEX($X$5:$AM$77, MATCH(AZ$100,_xlfn.ANCHORARRAY( $W$5), 0), 0),
        $F$5:$U$20
    ),
    TRANSPOSE(
        INDEX($X$5:$AM$77, MATCH($A165,_xlfn.ANCHORARRAY( $W$5), 0), 0)
    )
)
/
(
    INDEX($AN$5:$AN$77, MATCH(AZ$100,_xlfn.ANCHORARRAY( $W$5), 0))
    *
    INDEX($AN$5:$AN$77, MATCH($A165,_xlfn.ANCHORARRAY( $W$5), 0))
)</f>
        <v>0.69640580382355644</v>
      </c>
      <c r="BA165" s="17" cm="1">
        <f t="array" ref="BA165">MMULT(
    MMULT(
        INDEX($X$5:$AM$77, MATCH(BA$100,_xlfn.ANCHORARRAY( $W$5), 0), 0),
        $F$5:$U$20
    ),
    TRANSPOSE(
        INDEX($X$5:$AM$77, MATCH($A165,_xlfn.ANCHORARRAY( $W$5), 0), 0)
    )
)
/
(
    INDEX($AN$5:$AN$77, MATCH(BA$100,_xlfn.ANCHORARRAY( $W$5), 0))
    *
    INDEX($AN$5:$AN$77, MATCH($A165,_xlfn.ANCHORARRAY( $W$5), 0))
)</f>
        <v>0.68446937572879374</v>
      </c>
      <c r="BB165" s="17" cm="1">
        <f t="array" ref="BB165">MMULT(
    MMULT(
        INDEX($X$5:$AM$77, MATCH(BB$100,_xlfn.ANCHORARRAY( $W$5), 0), 0),
        $F$5:$U$20
    ),
    TRANSPOSE(
        INDEX($X$5:$AM$77, MATCH($A165,_xlfn.ANCHORARRAY( $W$5), 0), 0)
    )
)
/
(
    INDEX($AN$5:$AN$77, MATCH(BB$100,_xlfn.ANCHORARRAY( $W$5), 0))
    *
    INDEX($AN$5:$AN$77, MATCH($A165,_xlfn.ANCHORARRAY( $W$5), 0))
)</f>
        <v>0.86347968866577995</v>
      </c>
      <c r="BC165" s="17" cm="1">
        <f t="array" ref="BC165">MMULT(
    MMULT(
        INDEX($X$5:$AM$77, MATCH(BC$100,_xlfn.ANCHORARRAY( $W$5), 0), 0),
        $F$5:$U$20
    ),
    TRANSPOSE(
        INDEX($X$5:$AM$77, MATCH($A165,_xlfn.ANCHORARRAY( $W$5), 0), 0)
    )
)
/
(
    INDEX($AN$5:$AN$77, MATCH(BC$100,_xlfn.ANCHORARRAY( $W$5), 0))
    *
    INDEX($AN$5:$AN$77, MATCH($A165,_xlfn.ANCHORARRAY( $W$5), 0))
)</f>
        <v>0.8695831636941096</v>
      </c>
      <c r="BD165" s="17" cm="1">
        <f t="array" ref="BD165">MMULT(
    MMULT(
        INDEX($X$5:$AM$77, MATCH(BD$100,_xlfn.ANCHORARRAY( $W$5), 0), 0),
        $F$5:$U$20
    ),
    TRANSPOSE(
        INDEX($X$5:$AM$77, MATCH($A165,_xlfn.ANCHORARRAY( $W$5), 0), 0)
    )
)
/
(
    INDEX($AN$5:$AN$77, MATCH(BD$100,_xlfn.ANCHORARRAY( $W$5), 0))
    *
    INDEX($AN$5:$AN$77, MATCH($A165,_xlfn.ANCHORARRAY( $W$5), 0))
)</f>
        <v>0.56976202128782272</v>
      </c>
      <c r="BE165" s="17" cm="1">
        <f t="array" ref="BE165">MMULT(
    MMULT(
        INDEX($X$5:$AM$77, MATCH(BE$100,_xlfn.ANCHORARRAY( $W$5), 0), 0),
        $F$5:$U$20
    ),
    TRANSPOSE(
        INDEX($X$5:$AM$77, MATCH($A165,_xlfn.ANCHORARRAY( $W$5), 0), 0)
    )
)
/
(
    INDEX($AN$5:$AN$77, MATCH(BE$100,_xlfn.ANCHORARRAY( $W$5), 0))
    *
    INDEX($AN$5:$AN$77, MATCH($A165,_xlfn.ANCHORARRAY( $W$5), 0))
)</f>
        <v>0.97410303562453704</v>
      </c>
      <c r="BF165" s="17" cm="1">
        <f t="array" ref="BF165">MMULT(
    MMULT(
        INDEX($X$5:$AM$77, MATCH(BF$100,_xlfn.ANCHORARRAY( $W$5), 0), 0),
        $F$5:$U$20
    ),
    TRANSPOSE(
        INDEX($X$5:$AM$77, MATCH($A165,_xlfn.ANCHORARRAY( $W$5), 0), 0)
    )
)
/
(
    INDEX($AN$5:$AN$77, MATCH(BF$100,_xlfn.ANCHORARRAY( $W$5), 0))
    *
    INDEX($AN$5:$AN$77, MATCH($A165,_xlfn.ANCHORARRAY( $W$5), 0))
)</f>
        <v>0.70527404445893549</v>
      </c>
      <c r="BG165" s="17" cm="1">
        <f t="array" ref="BG165">MMULT(
    MMULT(
        INDEX($X$5:$AM$77, MATCH(BG$100,_xlfn.ANCHORARRAY( $W$5), 0), 0),
        $F$5:$U$20
    ),
    TRANSPOSE(
        INDEX($X$5:$AM$77, MATCH($A165,_xlfn.ANCHORARRAY( $W$5), 0), 0)
    )
)
/
(
    INDEX($AN$5:$AN$77, MATCH(BG$100,_xlfn.ANCHORARRAY( $W$5), 0))
    *
    INDEX($AN$5:$AN$77, MATCH($A165,_xlfn.ANCHORARRAY( $W$5), 0))
)</f>
        <v>0.66896937923584932</v>
      </c>
      <c r="BH165" s="17" cm="1">
        <f t="array" ref="BH165">MMULT(
    MMULT(
        INDEX($X$5:$AM$77, MATCH(BH$100,_xlfn.ANCHORARRAY( $W$5), 0), 0),
        $F$5:$U$20
    ),
    TRANSPOSE(
        INDEX($X$5:$AM$77, MATCH($A165,_xlfn.ANCHORARRAY( $W$5), 0), 0)
    )
)
/
(
    INDEX($AN$5:$AN$77, MATCH(BH$100,_xlfn.ANCHORARRAY( $W$5), 0))
    *
    INDEX($AN$5:$AN$77, MATCH($A165,_xlfn.ANCHORARRAY( $W$5), 0))
)</f>
        <v>0.704754811439255</v>
      </c>
      <c r="BI165" s="17" cm="1">
        <f t="array" ref="BI165">MMULT(
    MMULT(
        INDEX($X$5:$AM$77, MATCH(BI$100,_xlfn.ANCHORARRAY( $W$5), 0), 0),
        $F$5:$U$20
    ),
    TRANSPOSE(
        INDEX($X$5:$AM$77, MATCH($A165,_xlfn.ANCHORARRAY( $W$5), 0), 0)
    )
)
/
(
    INDEX($AN$5:$AN$77, MATCH(BI$100,_xlfn.ANCHORARRAY( $W$5), 0))
    *
    INDEX($AN$5:$AN$77, MATCH($A165,_xlfn.ANCHORARRAY( $W$5), 0))
)</f>
        <v>0.80239023399388454</v>
      </c>
      <c r="BJ165" s="17" cm="1">
        <f t="array" ref="BJ165">MMULT(
    MMULT(
        INDEX($X$5:$AM$77, MATCH(BJ$100,_xlfn.ANCHORARRAY( $W$5), 0), 0),
        $F$5:$U$20
    ),
    TRANSPOSE(
        INDEX($X$5:$AM$77, MATCH($A165,_xlfn.ANCHORARRAY( $W$5), 0), 0)
    )
)
/
(
    INDEX($AN$5:$AN$77, MATCH(BJ$100,_xlfn.ANCHORARRAY( $W$5), 0))
    *
    INDEX($AN$5:$AN$77, MATCH($A165,_xlfn.ANCHORARRAY( $W$5), 0))
)</f>
        <v>0.77717050500093177</v>
      </c>
      <c r="BK165" s="17" cm="1">
        <f t="array" ref="BK165">MMULT(
    MMULT(
        INDEX($X$5:$AM$77, MATCH(BK$100,_xlfn.ANCHORARRAY( $W$5), 0), 0),
        $F$5:$U$20
    ),
    TRANSPOSE(
        INDEX($X$5:$AM$77, MATCH($A165,_xlfn.ANCHORARRAY( $W$5), 0), 0)
    )
)
/
(
    INDEX($AN$5:$AN$77, MATCH(BK$100,_xlfn.ANCHORARRAY( $W$5), 0))
    *
    INDEX($AN$5:$AN$77, MATCH($A165,_xlfn.ANCHORARRAY( $W$5), 0))
)</f>
        <v>0.56968802349329606</v>
      </c>
      <c r="BL165" s="17" cm="1">
        <f t="array" ref="BL165">MMULT(
    MMULT(
        INDEX($X$5:$AM$77, MATCH(BL$100,_xlfn.ANCHORARRAY( $W$5), 0), 0),
        $F$5:$U$20
    ),
    TRANSPOSE(
        INDEX($X$5:$AM$77, MATCH($A165,_xlfn.ANCHORARRAY( $W$5), 0), 0)
    )
)
/
(
    INDEX($AN$5:$AN$77, MATCH(BL$100,_xlfn.ANCHORARRAY( $W$5), 0))
    *
    INDEX($AN$5:$AN$77, MATCH($A165,_xlfn.ANCHORARRAY( $W$5), 0))
)</f>
        <v>0.27182058058881092</v>
      </c>
      <c r="BM165" s="17" cm="1">
        <f t="array" ref="BM165">MMULT(
    MMULT(
        INDEX($X$5:$AM$77, MATCH(BM$100,_xlfn.ANCHORARRAY( $W$5), 0), 0),
        $F$5:$U$20
    ),
    TRANSPOSE(
        INDEX($X$5:$AM$77, MATCH($A165,_xlfn.ANCHORARRAY( $W$5), 0), 0)
    )
)
/
(
    INDEX($AN$5:$AN$77, MATCH(BM$100,_xlfn.ANCHORARRAY( $W$5), 0))
    *
    INDEX($AN$5:$AN$77, MATCH($A165,_xlfn.ANCHORARRAY( $W$5), 0))
)</f>
        <v>0.64569182130915603</v>
      </c>
      <c r="BN165" s="17" cm="1">
        <f t="array" ref="BN165">MMULT(
    MMULT(
        INDEX($X$5:$AM$77, MATCH(BN$100,_xlfn.ANCHORARRAY( $W$5), 0), 0),
        $F$5:$U$20
    ),
    TRANSPOSE(
        INDEX($X$5:$AM$77, MATCH($A165,_xlfn.ANCHORARRAY( $W$5), 0), 0)
    )
)
/
(
    INDEX($AN$5:$AN$77, MATCH(BN$100,_xlfn.ANCHORARRAY( $W$5), 0))
    *
    INDEX($AN$5:$AN$77, MATCH($A165,_xlfn.ANCHORARRAY( $W$5), 0))
)</f>
        <v>1.0000000000000002</v>
      </c>
      <c r="BO165" s="17" cm="1">
        <f t="array" ref="BO165">MMULT(
    MMULT(
        INDEX($X$5:$AM$77, MATCH(BO$100,_xlfn.ANCHORARRAY( $W$5), 0), 0),
        $F$5:$U$20
    ),
    TRANSPOSE(
        INDEX($X$5:$AM$77, MATCH($A165,_xlfn.ANCHORARRAY( $W$5), 0), 0)
    )
)
/
(
    INDEX($AN$5:$AN$77, MATCH(BO$100,_xlfn.ANCHORARRAY( $W$5), 0))
    *
    INDEX($AN$5:$AN$77, MATCH($A165,_xlfn.ANCHORARRAY( $W$5), 0))
)</f>
        <v>0.78514050368077626</v>
      </c>
      <c r="BP165" s="17" cm="1">
        <f t="array" ref="BP165">MMULT(
    MMULT(
        INDEX($X$5:$AM$77, MATCH(BP$100,_xlfn.ANCHORARRAY( $W$5), 0), 0),
        $F$5:$U$20
    ),
    TRANSPOSE(
        INDEX($X$5:$AM$77, MATCH($A165,_xlfn.ANCHORARRAY( $W$5), 0), 0)
    )
)
/
(
    INDEX($AN$5:$AN$77, MATCH(BP$100,_xlfn.ANCHORARRAY( $W$5), 0))
    *
    INDEX($AN$5:$AN$77, MATCH($A165,_xlfn.ANCHORARRAY( $W$5), 0))
)</f>
        <v>0.76539398547591575</v>
      </c>
      <c r="BQ165" s="17" cm="1">
        <f t="array" ref="BQ165">MMULT(
    MMULT(
        INDEX($X$5:$AM$77, MATCH(BQ$100,_xlfn.ANCHORARRAY( $W$5), 0), 0),
        $F$5:$U$20
    ),
    TRANSPOSE(
        INDEX($X$5:$AM$77, MATCH($A165,_xlfn.ANCHORARRAY( $W$5), 0), 0)
    )
)
/
(
    INDEX($AN$5:$AN$77, MATCH(BQ$100,_xlfn.ANCHORARRAY( $W$5), 0))
    *
    INDEX($AN$5:$AN$77, MATCH($A165,_xlfn.ANCHORARRAY( $W$5), 0))
)</f>
        <v>0.81270062574227142</v>
      </c>
      <c r="BR165" s="17" cm="1">
        <f t="array" ref="BR165">MMULT(
    MMULT(
        INDEX($X$5:$AM$77, MATCH(BR$100,_xlfn.ANCHORARRAY( $W$5), 0), 0),
        $F$5:$U$20
    ),
    TRANSPOSE(
        INDEX($X$5:$AM$77, MATCH($A165,_xlfn.ANCHORARRAY( $W$5), 0), 0)
    )
)
/
(
    INDEX($AN$5:$AN$77, MATCH(BR$100,_xlfn.ANCHORARRAY( $W$5), 0))
    *
    INDEX($AN$5:$AN$77, MATCH($A165,_xlfn.ANCHORARRAY( $W$5), 0))
)</f>
        <v>0.8125480476335909</v>
      </c>
      <c r="BS165" s="17" cm="1">
        <f t="array" ref="BS165">MMULT(
    MMULT(
        INDEX($X$5:$AM$77, MATCH(BS$100,_xlfn.ANCHORARRAY( $W$5), 0), 0),
        $F$5:$U$20
    ),
    TRANSPOSE(
        INDEX($X$5:$AM$77, MATCH($A165,_xlfn.ANCHORARRAY( $W$5), 0), 0)
    )
)
/
(
    INDEX($AN$5:$AN$77, MATCH(BS$100,_xlfn.ANCHORARRAY( $W$5), 0))
    *
    INDEX($AN$5:$AN$77, MATCH($A165,_xlfn.ANCHORARRAY( $W$5), 0))
)</f>
        <v>0.62949714285051805</v>
      </c>
      <c r="BT165" s="17" cm="1">
        <f t="array" ref="BT165">MMULT(
    MMULT(
        INDEX($X$5:$AM$77, MATCH(BT$100,_xlfn.ANCHORARRAY( $W$5), 0), 0),
        $F$5:$U$20
    ),
    TRANSPOSE(
        INDEX($X$5:$AM$77, MATCH($A165,_xlfn.ANCHORARRAY( $W$5), 0), 0)
    )
)
/
(
    INDEX($AN$5:$AN$77, MATCH(BT$100,_xlfn.ANCHORARRAY( $W$5), 0))
    *
    INDEX($AN$5:$AN$77, MATCH($A165,_xlfn.ANCHORARRAY( $W$5), 0))
)</f>
        <v>0.85788828359288472</v>
      </c>
      <c r="BU165" s="17" cm="1">
        <f t="array" ref="BU165">MMULT(
    MMULT(
        INDEX($X$5:$AM$77, MATCH(BU$100,_xlfn.ANCHORARRAY( $W$5), 0), 0),
        $F$5:$U$20
    ),
    TRANSPOSE(
        INDEX($X$5:$AM$77, MATCH($A165,_xlfn.ANCHORARRAY( $W$5), 0), 0)
    )
)
/
(
    INDEX($AN$5:$AN$77, MATCH(BU$100,_xlfn.ANCHORARRAY( $W$5), 0))
    *
    INDEX($AN$5:$AN$77, MATCH($A165,_xlfn.ANCHORARRAY( $W$5), 0))
)</f>
        <v>0.70344307574387421</v>
      </c>
      <c r="BV165" s="17" cm="1">
        <f t="array" ref="BV165">MMULT(
    MMULT(
        INDEX($X$5:$AM$77, MATCH(BV$100,_xlfn.ANCHORARRAY( $W$5), 0), 0),
        $F$5:$U$20
    ),
    TRANSPOSE(
        INDEX($X$5:$AM$77, MATCH($A165,_xlfn.ANCHORARRAY( $W$5), 0), 0)
    )
)
/
(
    INDEX($AN$5:$AN$77, MATCH(BV$100,_xlfn.ANCHORARRAY( $W$5), 0))
    *
    INDEX($AN$5:$AN$77, MATCH($A165,_xlfn.ANCHORARRAY( $W$5), 0))
)</f>
        <v>0.71138818981057594</v>
      </c>
    </row>
    <row r="166" spans="1:74" x14ac:dyDescent="0.3">
      <c r="A166" s="7" t="str">
        <v>Suarez, José</v>
      </c>
      <c r="B166" s="17" cm="1">
        <f t="array" ref="B166">MMULT(
    MMULT(
        INDEX($X$5:$AM$77, MATCH(B$100,_xlfn.ANCHORARRAY( $W$5), 0), 0),
        $F$5:$U$20
    ),
    TRANSPOSE(
        INDEX($X$5:$AM$77, MATCH($A166,_xlfn.ANCHORARRAY( $W$5), 0), 0)
    )
)
/
(
    INDEX($AN$5:$AN$77, MATCH(B$100,_xlfn.ANCHORARRAY( $W$5), 0))
    *
    INDEX($AN$5:$AN$77, MATCH($A166,_xlfn.ANCHORARRAY( $W$5), 0))
)</f>
        <v>0.85759370697714765</v>
      </c>
      <c r="C166" s="17" cm="1">
        <f t="array" ref="C166">MMULT(
    MMULT(
        INDEX($X$5:$AM$77, MATCH(C$100,_xlfn.ANCHORARRAY( $W$5), 0), 0),
        $F$5:$U$20
    ),
    TRANSPOSE(
        INDEX($X$5:$AM$77, MATCH($A166,_xlfn.ANCHORARRAY( $W$5), 0), 0)
    )
)
/
(
    INDEX($AN$5:$AN$77, MATCH(C$100,_xlfn.ANCHORARRAY( $W$5), 0))
    *
    INDEX($AN$5:$AN$77, MATCH($A166,_xlfn.ANCHORARRAY( $W$5), 0))
)</f>
        <v>0.66018543139395147</v>
      </c>
      <c r="D166" s="17" cm="1">
        <f t="array" ref="D166">MMULT(
    MMULT(
        INDEX($X$5:$AM$77, MATCH(D$100,_xlfn.ANCHORARRAY( $W$5), 0), 0),
        $F$5:$U$20
    ),
    TRANSPOSE(
        INDEX($X$5:$AM$77, MATCH($A166,_xlfn.ANCHORARRAY( $W$5), 0), 0)
    )
)
/
(
    INDEX($AN$5:$AN$77, MATCH(D$100,_xlfn.ANCHORARRAY( $W$5), 0))
    *
    INDEX($AN$5:$AN$77, MATCH($A166,_xlfn.ANCHORARRAY( $W$5), 0))
)</f>
        <v>0.90753693319964202</v>
      </c>
      <c r="E166" s="17" cm="1">
        <f t="array" ref="E166">MMULT(
    MMULT(
        INDEX($X$5:$AM$77, MATCH(E$100,_xlfn.ANCHORARRAY( $W$5), 0), 0),
        $F$5:$U$20
    ),
    TRANSPOSE(
        INDEX($X$5:$AM$77, MATCH($A166,_xlfn.ANCHORARRAY( $W$5), 0), 0)
    )
)
/
(
    INDEX($AN$5:$AN$77, MATCH(E$100,_xlfn.ANCHORARRAY( $W$5), 0))
    *
    INDEX($AN$5:$AN$77, MATCH($A166,_xlfn.ANCHORARRAY( $W$5), 0))
)</f>
        <v>0.86516736148981177</v>
      </c>
      <c r="F166" s="17" cm="1">
        <f t="array" ref="F166">MMULT(
    MMULT(
        INDEX($X$5:$AM$77, MATCH(F$100,_xlfn.ANCHORARRAY( $W$5), 0), 0),
        $F$5:$U$20
    ),
    TRANSPOSE(
        INDEX($X$5:$AM$77, MATCH($A166,_xlfn.ANCHORARRAY( $W$5), 0), 0)
    )
)
/
(
    INDEX($AN$5:$AN$77, MATCH(F$100,_xlfn.ANCHORARRAY( $W$5), 0))
    *
    INDEX($AN$5:$AN$77, MATCH($A166,_xlfn.ANCHORARRAY( $W$5), 0))
)</f>
        <v>0.901261427369493</v>
      </c>
      <c r="G166" s="17" cm="1">
        <f t="array" ref="G166">MMULT(
    MMULT(
        INDEX($X$5:$AM$77, MATCH(G$100,_xlfn.ANCHORARRAY( $W$5), 0), 0),
        $F$5:$U$20
    ),
    TRANSPOSE(
        INDEX($X$5:$AM$77, MATCH($A166,_xlfn.ANCHORARRAY( $W$5), 0), 0)
    )
)
/
(
    INDEX($AN$5:$AN$77, MATCH(G$100,_xlfn.ANCHORARRAY( $W$5), 0))
    *
    INDEX($AN$5:$AN$77, MATCH($A166,_xlfn.ANCHORARRAY( $W$5), 0))
)</f>
        <v>0.87885934249082664</v>
      </c>
      <c r="H166" s="17" cm="1">
        <f t="array" ref="H166">MMULT(
    MMULT(
        INDEX($X$5:$AM$77, MATCH(H$100,_xlfn.ANCHORARRAY( $W$5), 0), 0),
        $F$5:$U$20
    ),
    TRANSPOSE(
        INDEX($X$5:$AM$77, MATCH($A166,_xlfn.ANCHORARRAY( $W$5), 0), 0)
    )
)
/
(
    INDEX($AN$5:$AN$77, MATCH(H$100,_xlfn.ANCHORARRAY( $W$5), 0))
    *
    INDEX($AN$5:$AN$77, MATCH($A166,_xlfn.ANCHORARRAY( $W$5), 0))
)</f>
        <v>0.82872952171307823</v>
      </c>
      <c r="I166" s="17" cm="1">
        <f t="array" ref="I166">MMULT(
    MMULT(
        INDEX($X$5:$AM$77, MATCH(I$100,_xlfn.ANCHORARRAY( $W$5), 0), 0),
        $F$5:$U$20
    ),
    TRANSPOSE(
        INDEX($X$5:$AM$77, MATCH($A166,_xlfn.ANCHORARRAY( $W$5), 0), 0)
    )
)
/
(
    INDEX($AN$5:$AN$77, MATCH(I$100,_xlfn.ANCHORARRAY( $W$5), 0))
    *
    INDEX($AN$5:$AN$77, MATCH($A166,_xlfn.ANCHORARRAY( $W$5), 0))
)</f>
        <v>0.76901209935851456</v>
      </c>
      <c r="J166" s="17" cm="1">
        <f t="array" ref="J166">MMULT(
    MMULT(
        INDEX($X$5:$AM$77, MATCH(J$100,_xlfn.ANCHORARRAY( $W$5), 0), 0),
        $F$5:$U$20
    ),
    TRANSPOSE(
        INDEX($X$5:$AM$77, MATCH($A166,_xlfn.ANCHORARRAY( $W$5), 0), 0)
    )
)
/
(
    INDEX($AN$5:$AN$77, MATCH(J$100,_xlfn.ANCHORARRAY( $W$5), 0))
    *
    INDEX($AN$5:$AN$77, MATCH($A166,_xlfn.ANCHORARRAY( $W$5), 0))
)</f>
        <v>0.88838102123707074</v>
      </c>
      <c r="K166" s="17" cm="1">
        <f t="array" ref="K166">MMULT(
    MMULT(
        INDEX($X$5:$AM$77, MATCH(K$100,_xlfn.ANCHORARRAY( $W$5), 0), 0),
        $F$5:$U$20
    ),
    TRANSPOSE(
        INDEX($X$5:$AM$77, MATCH($A166,_xlfn.ANCHORARRAY( $W$5), 0), 0)
    )
)
/
(
    INDEX($AN$5:$AN$77, MATCH(K$100,_xlfn.ANCHORARRAY( $W$5), 0))
    *
    INDEX($AN$5:$AN$77, MATCH($A166,_xlfn.ANCHORARRAY( $W$5), 0))
)</f>
        <v>0.89459608440773541</v>
      </c>
      <c r="L166" s="17" cm="1">
        <f t="array" ref="L166">MMULT(
    MMULT(
        INDEX($X$5:$AM$77, MATCH(L$100,_xlfn.ANCHORARRAY( $W$5), 0), 0),
        $F$5:$U$20
    ),
    TRANSPOSE(
        INDEX($X$5:$AM$77, MATCH($A166,_xlfn.ANCHORARRAY( $W$5), 0), 0)
    )
)
/
(
    INDEX($AN$5:$AN$77, MATCH(L$100,_xlfn.ANCHORARRAY( $W$5), 0))
    *
    INDEX($AN$5:$AN$77, MATCH($A166,_xlfn.ANCHORARRAY( $W$5), 0))
)</f>
        <v>0.71893497813799367</v>
      </c>
      <c r="M166" s="17" cm="1">
        <f t="array" ref="M166">MMULT(
    MMULT(
        INDEX($X$5:$AM$77, MATCH(M$100,_xlfn.ANCHORARRAY( $W$5), 0), 0),
        $F$5:$U$20
    ),
    TRANSPOSE(
        INDEX($X$5:$AM$77, MATCH($A166,_xlfn.ANCHORARRAY( $W$5), 0), 0)
    )
)
/
(
    INDEX($AN$5:$AN$77, MATCH(M$100,_xlfn.ANCHORARRAY( $W$5), 0))
    *
    INDEX($AN$5:$AN$77, MATCH($A166,_xlfn.ANCHORARRAY( $W$5), 0))
)</f>
        <v>0.98313725668421537</v>
      </c>
      <c r="N166" s="17" cm="1">
        <f t="array" ref="N166">MMULT(
    MMULT(
        INDEX($X$5:$AM$77, MATCH(N$100,_xlfn.ANCHORARRAY( $W$5), 0), 0),
        $F$5:$U$20
    ),
    TRANSPOSE(
        INDEX($X$5:$AM$77, MATCH($A166,_xlfn.ANCHORARRAY( $W$5), 0), 0)
    )
)
/
(
    INDEX($AN$5:$AN$77, MATCH(N$100,_xlfn.ANCHORARRAY( $W$5), 0))
    *
    INDEX($AN$5:$AN$77, MATCH($A166,_xlfn.ANCHORARRAY( $W$5), 0))
)</f>
        <v>0.74959465262561042</v>
      </c>
      <c r="O166" s="17" cm="1">
        <f t="array" ref="O166">MMULT(
    MMULT(
        INDEX($X$5:$AM$77, MATCH(O$100,_xlfn.ANCHORARRAY( $W$5), 0), 0),
        $F$5:$U$20
    ),
    TRANSPOSE(
        INDEX($X$5:$AM$77, MATCH($A166,_xlfn.ANCHORARRAY( $W$5), 0), 0)
    )
)
/
(
    INDEX($AN$5:$AN$77, MATCH(O$100,_xlfn.ANCHORARRAY( $W$5), 0))
    *
    INDEX($AN$5:$AN$77, MATCH($A166,_xlfn.ANCHORARRAY( $W$5), 0))
)</f>
        <v>0.83124206366550546</v>
      </c>
      <c r="P166" s="17" cm="1">
        <f t="array" ref="P166">MMULT(
    MMULT(
        INDEX($X$5:$AM$77, MATCH(P$100,_xlfn.ANCHORARRAY( $W$5), 0), 0),
        $F$5:$U$20
    ),
    TRANSPOSE(
        INDEX($X$5:$AM$77, MATCH($A166,_xlfn.ANCHORARRAY( $W$5), 0), 0)
    )
)
/
(
    INDEX($AN$5:$AN$77, MATCH(P$100,_xlfn.ANCHORARRAY( $W$5), 0))
    *
    INDEX($AN$5:$AN$77, MATCH($A166,_xlfn.ANCHORARRAY( $W$5), 0))
)</f>
        <v>0.81748178679085981</v>
      </c>
      <c r="Q166" s="17" cm="1">
        <f t="array" ref="Q166">MMULT(
    MMULT(
        INDEX($X$5:$AM$77, MATCH(Q$100,_xlfn.ANCHORARRAY( $W$5), 0), 0),
        $F$5:$U$20
    ),
    TRANSPOSE(
        INDEX($X$5:$AM$77, MATCH($A166,_xlfn.ANCHORARRAY( $W$5), 0), 0)
    )
)
/
(
    INDEX($AN$5:$AN$77, MATCH(Q$100,_xlfn.ANCHORARRAY( $W$5), 0))
    *
    INDEX($AN$5:$AN$77, MATCH($A166,_xlfn.ANCHORARRAY( $W$5), 0))
)</f>
        <v>0.69309610543895694</v>
      </c>
      <c r="R166" s="17" cm="1">
        <f t="array" ref="R166">MMULT(
    MMULT(
        INDEX($X$5:$AM$77, MATCH(R$100,_xlfn.ANCHORARRAY( $W$5), 0), 0),
        $F$5:$U$20
    ),
    TRANSPOSE(
        INDEX($X$5:$AM$77, MATCH($A166,_xlfn.ANCHORARRAY( $W$5), 0), 0)
    )
)
/
(
    INDEX($AN$5:$AN$77, MATCH(R$100,_xlfn.ANCHORARRAY( $W$5), 0))
    *
    INDEX($AN$5:$AN$77, MATCH($A166,_xlfn.ANCHORARRAY( $W$5), 0))
)</f>
        <v>0.86701039030974025</v>
      </c>
      <c r="S166" s="17" cm="1">
        <f t="array" ref="S166">MMULT(
    MMULT(
        INDEX($X$5:$AM$77, MATCH(S$100,_xlfn.ANCHORARRAY( $W$5), 0), 0),
        $F$5:$U$20
    ),
    TRANSPOSE(
        INDEX($X$5:$AM$77, MATCH($A166,_xlfn.ANCHORARRAY( $W$5), 0), 0)
    )
)
/
(
    INDEX($AN$5:$AN$77, MATCH(S$100,_xlfn.ANCHORARRAY( $W$5), 0))
    *
    INDEX($AN$5:$AN$77, MATCH($A166,_xlfn.ANCHORARRAY( $W$5), 0))
)</f>
        <v>0.83111070533340936</v>
      </c>
      <c r="T166" s="17" cm="1">
        <f t="array" ref="T166">MMULT(
    MMULT(
        INDEX($X$5:$AM$77, MATCH(T$100,_xlfn.ANCHORARRAY( $W$5), 0), 0),
        $F$5:$U$20
    ),
    TRANSPOSE(
        INDEX($X$5:$AM$77, MATCH($A166,_xlfn.ANCHORARRAY( $W$5), 0), 0)
    )
)
/
(
    INDEX($AN$5:$AN$77, MATCH(T$100,_xlfn.ANCHORARRAY( $W$5), 0))
    *
    INDEX($AN$5:$AN$77, MATCH($A166,_xlfn.ANCHORARRAY( $W$5), 0))
)</f>
        <v>0.28133642654314811</v>
      </c>
      <c r="U166" s="17" cm="1">
        <f t="array" ref="U166">MMULT(
    MMULT(
        INDEX($X$5:$AM$77, MATCH(U$100,_xlfn.ANCHORARRAY( $W$5), 0), 0),
        $F$5:$U$20
    ),
    TRANSPOSE(
        INDEX($X$5:$AM$77, MATCH($A166,_xlfn.ANCHORARRAY( $W$5), 0), 0)
    )
)
/
(
    INDEX($AN$5:$AN$77, MATCH(U$100,_xlfn.ANCHORARRAY( $W$5), 0))
    *
    INDEX($AN$5:$AN$77, MATCH($A166,_xlfn.ANCHORARRAY( $W$5), 0))
)</f>
        <v>0.88466351993207493</v>
      </c>
      <c r="V166" s="17" cm="1">
        <f t="array" ref="V166">MMULT(
    MMULT(
        INDEX($X$5:$AM$77, MATCH(V$100,_xlfn.ANCHORARRAY( $W$5), 0), 0),
        $F$5:$U$20
    ),
    TRANSPOSE(
        INDEX($X$5:$AM$77, MATCH($A166,_xlfn.ANCHORARRAY( $W$5), 0), 0)
    )
)
/
(
    INDEX($AN$5:$AN$77, MATCH(V$100,_xlfn.ANCHORARRAY( $W$5), 0))
    *
    INDEX($AN$5:$AN$77, MATCH($A166,_xlfn.ANCHORARRAY( $W$5), 0))
)</f>
        <v>0.50667123709799977</v>
      </c>
      <c r="W166" s="17" cm="1">
        <f t="array" ref="W166">MMULT(
    MMULT(
        INDEX($X$5:$AM$77, MATCH(W$100,_xlfn.ANCHORARRAY( $W$5), 0), 0),
        $F$5:$U$20
    ),
    TRANSPOSE(
        INDEX($X$5:$AM$77, MATCH($A166,_xlfn.ANCHORARRAY( $W$5), 0), 0)
    )
)
/
(
    INDEX($AN$5:$AN$77, MATCH(W$100,_xlfn.ANCHORARRAY( $W$5), 0))
    *
    INDEX($AN$5:$AN$77, MATCH($A166,_xlfn.ANCHORARRAY( $W$5), 0))
)</f>
        <v>0.61741878422411245</v>
      </c>
      <c r="X166" s="17" cm="1">
        <f t="array" ref="X166">MMULT(
    MMULT(
        INDEX($X$5:$AM$77, MATCH(X$100,_xlfn.ANCHORARRAY( $W$5), 0), 0),
        $F$5:$U$20
    ),
    TRANSPOSE(
        INDEX($X$5:$AM$77, MATCH($A166,_xlfn.ANCHORARRAY( $W$5), 0), 0)
    )
)
/
(
    INDEX($AN$5:$AN$77, MATCH(X$100,_xlfn.ANCHORARRAY( $W$5), 0))
    *
    INDEX($AN$5:$AN$77, MATCH($A166,_xlfn.ANCHORARRAY( $W$5), 0))
)</f>
        <v>0.86860927901771667</v>
      </c>
      <c r="Y166" s="17" cm="1">
        <f t="array" ref="Y166">MMULT(
    MMULT(
        INDEX($X$5:$AM$77, MATCH(Y$100,_xlfn.ANCHORARRAY( $W$5), 0), 0),
        $F$5:$U$20
    ),
    TRANSPOSE(
        INDEX($X$5:$AM$77, MATCH($A166,_xlfn.ANCHORARRAY( $W$5), 0), 0)
    )
)
/
(
    INDEX($AN$5:$AN$77, MATCH(Y$100,_xlfn.ANCHORARRAY( $W$5), 0))
    *
    INDEX($AN$5:$AN$77, MATCH($A166,_xlfn.ANCHORARRAY( $W$5), 0))
)</f>
        <v>0.72269604398285858</v>
      </c>
      <c r="Z166" s="17" cm="1">
        <f t="array" ref="Z166">MMULT(
    MMULT(
        INDEX($X$5:$AM$77, MATCH(Z$100,_xlfn.ANCHORARRAY( $W$5), 0), 0),
        $F$5:$U$20
    ),
    TRANSPOSE(
        INDEX($X$5:$AM$77, MATCH($A166,_xlfn.ANCHORARRAY( $W$5), 0), 0)
    )
)
/
(
    INDEX($AN$5:$AN$77, MATCH(Z$100,_xlfn.ANCHORARRAY( $W$5), 0))
    *
    INDEX($AN$5:$AN$77, MATCH($A166,_xlfn.ANCHORARRAY( $W$5), 0))
)</f>
        <v>0.89018833843005196</v>
      </c>
      <c r="AA166" s="17" cm="1">
        <f t="array" ref="AA166">MMULT(
    MMULT(
        INDEX($X$5:$AM$77, MATCH(AA$100,_xlfn.ANCHORARRAY( $W$5), 0), 0),
        $F$5:$U$20
    ),
    TRANSPOSE(
        INDEX($X$5:$AM$77, MATCH($A166,_xlfn.ANCHORARRAY( $W$5), 0), 0)
    )
)
/
(
    INDEX($AN$5:$AN$77, MATCH(AA$100,_xlfn.ANCHORARRAY( $W$5), 0))
    *
    INDEX($AN$5:$AN$77, MATCH($A166,_xlfn.ANCHORARRAY( $W$5), 0))
)</f>
        <v>0.81530821531125286</v>
      </c>
      <c r="AB166" s="17" cm="1">
        <f t="array" ref="AB166">MMULT(
    MMULT(
        INDEX($X$5:$AM$77, MATCH(AB$100,_xlfn.ANCHORARRAY( $W$5), 0), 0),
        $F$5:$U$20
    ),
    TRANSPOSE(
        INDEX($X$5:$AM$77, MATCH($A166,_xlfn.ANCHORARRAY( $W$5), 0), 0)
    )
)
/
(
    INDEX($AN$5:$AN$77, MATCH(AB$100,_xlfn.ANCHORARRAY( $W$5), 0))
    *
    INDEX($AN$5:$AN$77, MATCH($A166,_xlfn.ANCHORARRAY( $W$5), 0))
)</f>
        <v>0.90003526950429924</v>
      </c>
      <c r="AC166" s="17" cm="1">
        <f t="array" ref="AC166">MMULT(
    MMULT(
        INDEX($X$5:$AM$77, MATCH(AC$100,_xlfn.ANCHORARRAY( $W$5), 0), 0),
        $F$5:$U$20
    ),
    TRANSPOSE(
        INDEX($X$5:$AM$77, MATCH($A166,_xlfn.ANCHORARRAY( $W$5), 0), 0)
    )
)
/
(
    INDEX($AN$5:$AN$77, MATCH(AC$100,_xlfn.ANCHORARRAY( $W$5), 0))
    *
    INDEX($AN$5:$AN$77, MATCH($A166,_xlfn.ANCHORARRAY( $W$5), 0))
)</f>
        <v>0.7036357476427203</v>
      </c>
      <c r="AD166" s="17" cm="1">
        <f t="array" ref="AD166">MMULT(
    MMULT(
        INDEX($X$5:$AM$77, MATCH(AD$100,_xlfn.ANCHORARRAY( $W$5), 0), 0),
        $F$5:$U$20
    ),
    TRANSPOSE(
        INDEX($X$5:$AM$77, MATCH($A166,_xlfn.ANCHORARRAY( $W$5), 0), 0)
    )
)
/
(
    INDEX($AN$5:$AN$77, MATCH(AD$100,_xlfn.ANCHORARRAY( $W$5), 0))
    *
    INDEX($AN$5:$AN$77, MATCH($A166,_xlfn.ANCHORARRAY( $W$5), 0))
)</f>
        <v>0.8664618551273906</v>
      </c>
      <c r="AE166" s="17" cm="1">
        <f t="array" ref="AE166">MMULT(
    MMULT(
        INDEX($X$5:$AM$77, MATCH(AE$100,_xlfn.ANCHORARRAY( $W$5), 0), 0),
        $F$5:$U$20
    ),
    TRANSPOSE(
        INDEX($X$5:$AM$77, MATCH($A166,_xlfn.ANCHORARRAY( $W$5), 0), 0)
    )
)
/
(
    INDEX($AN$5:$AN$77, MATCH(AE$100,_xlfn.ANCHORARRAY( $W$5), 0))
    *
    INDEX($AN$5:$AN$77, MATCH($A166,_xlfn.ANCHORARRAY( $W$5), 0))
)</f>
        <v>0.89578205409859424</v>
      </c>
      <c r="AF166" s="17" cm="1">
        <f t="array" ref="AF166">MMULT(
    MMULT(
        INDEX($X$5:$AM$77, MATCH(AF$100,_xlfn.ANCHORARRAY( $W$5), 0), 0),
        $F$5:$U$20
    ),
    TRANSPOSE(
        INDEX($X$5:$AM$77, MATCH($A166,_xlfn.ANCHORARRAY( $W$5), 0), 0)
    )
)
/
(
    INDEX($AN$5:$AN$77, MATCH(AF$100,_xlfn.ANCHORARRAY( $W$5), 0))
    *
    INDEX($AN$5:$AN$77, MATCH($A166,_xlfn.ANCHORARRAY( $W$5), 0))
)</f>
        <v>0.78895580468243975</v>
      </c>
      <c r="AG166" s="17" cm="1">
        <f t="array" ref="AG166">MMULT(
    MMULT(
        INDEX($X$5:$AM$77, MATCH(AG$100,_xlfn.ANCHORARRAY( $W$5), 0), 0),
        $F$5:$U$20
    ),
    TRANSPOSE(
        INDEX($X$5:$AM$77, MATCH($A166,_xlfn.ANCHORARRAY( $W$5), 0), 0)
    )
)
/
(
    INDEX($AN$5:$AN$77, MATCH(AG$100,_xlfn.ANCHORARRAY( $W$5), 0))
    *
    INDEX($AN$5:$AN$77, MATCH($A166,_xlfn.ANCHORARRAY( $W$5), 0))
)</f>
        <v>0.86011781589402736</v>
      </c>
      <c r="AH166" s="17" cm="1">
        <f t="array" ref="AH166">MMULT(
    MMULT(
        INDEX($X$5:$AM$77, MATCH(AH$100,_xlfn.ANCHORARRAY( $W$5), 0), 0),
        $F$5:$U$20
    ),
    TRANSPOSE(
        INDEX($X$5:$AM$77, MATCH($A166,_xlfn.ANCHORARRAY( $W$5), 0), 0)
    )
)
/
(
    INDEX($AN$5:$AN$77, MATCH(AH$100,_xlfn.ANCHORARRAY( $W$5), 0))
    *
    INDEX($AN$5:$AN$77, MATCH($A166,_xlfn.ANCHORARRAY( $W$5), 0))
)</f>
        <v>0.82484998095745354</v>
      </c>
      <c r="AI166" s="17" cm="1">
        <f t="array" ref="AI166">MMULT(
    MMULT(
        INDEX($X$5:$AM$77, MATCH(AI$100,_xlfn.ANCHORARRAY( $W$5), 0), 0),
        $F$5:$U$20
    ),
    TRANSPOSE(
        INDEX($X$5:$AM$77, MATCH($A166,_xlfn.ANCHORARRAY( $W$5), 0), 0)
    )
)
/
(
    INDEX($AN$5:$AN$77, MATCH(AI$100,_xlfn.ANCHORARRAY( $W$5), 0))
    *
    INDEX($AN$5:$AN$77, MATCH($A166,_xlfn.ANCHORARRAY( $W$5), 0))
)</f>
        <v>0.92259720126689859</v>
      </c>
      <c r="AJ166" s="17" cm="1">
        <f t="array" ref="AJ166">MMULT(
    MMULT(
        INDEX($X$5:$AM$77, MATCH(AJ$100,_xlfn.ANCHORARRAY( $W$5), 0), 0),
        $F$5:$U$20
    ),
    TRANSPOSE(
        INDEX($X$5:$AM$77, MATCH($A166,_xlfn.ANCHORARRAY( $W$5), 0), 0)
    )
)
/
(
    INDEX($AN$5:$AN$77, MATCH(AJ$100,_xlfn.ANCHORARRAY( $W$5), 0))
    *
    INDEX($AN$5:$AN$77, MATCH($A166,_xlfn.ANCHORARRAY( $W$5), 0))
)</f>
        <v>0.83788763824761736</v>
      </c>
      <c r="AK166" s="17" cm="1">
        <f t="array" ref="AK166">MMULT(
    MMULT(
        INDEX($X$5:$AM$77, MATCH(AK$100,_xlfn.ANCHORARRAY( $W$5), 0), 0),
        $F$5:$U$20
    ),
    TRANSPOSE(
        INDEX($X$5:$AM$77, MATCH($A166,_xlfn.ANCHORARRAY( $W$5), 0), 0)
    )
)
/
(
    INDEX($AN$5:$AN$77, MATCH(AK$100,_xlfn.ANCHORARRAY( $W$5), 0))
    *
    INDEX($AN$5:$AN$77, MATCH($A166,_xlfn.ANCHORARRAY( $W$5), 0))
)</f>
        <v>0.87772284710449122</v>
      </c>
      <c r="AL166" s="17" cm="1">
        <f t="array" ref="AL166">MMULT(
    MMULT(
        INDEX($X$5:$AM$77, MATCH(AL$100,_xlfn.ANCHORARRAY( $W$5), 0), 0),
        $F$5:$U$20
    ),
    TRANSPOSE(
        INDEX($X$5:$AM$77, MATCH($A166,_xlfn.ANCHORARRAY( $W$5), 0), 0)
    )
)
/
(
    INDEX($AN$5:$AN$77, MATCH(AL$100,_xlfn.ANCHORARRAY( $W$5), 0))
    *
    INDEX($AN$5:$AN$77, MATCH($A166,_xlfn.ANCHORARRAY( $W$5), 0))
)</f>
        <v>0.78733016119420252</v>
      </c>
      <c r="AM166" s="17" cm="1">
        <f t="array" ref="AM166">MMULT(
    MMULT(
        INDEX($X$5:$AM$77, MATCH(AM$100,_xlfn.ANCHORARRAY( $W$5), 0), 0),
        $F$5:$U$20
    ),
    TRANSPOSE(
        INDEX($X$5:$AM$77, MATCH($A166,_xlfn.ANCHORARRAY( $W$5), 0), 0)
    )
)
/
(
    INDEX($AN$5:$AN$77, MATCH(AM$100,_xlfn.ANCHORARRAY( $W$5), 0))
    *
    INDEX($AN$5:$AN$77, MATCH($A166,_xlfn.ANCHORARRAY( $W$5), 0))
)</f>
        <v>0.74577318406346094</v>
      </c>
      <c r="AN166" s="17" cm="1">
        <f t="array" ref="AN166">MMULT(
    MMULT(
        INDEX($X$5:$AM$77, MATCH(AN$100,_xlfn.ANCHORARRAY( $W$5), 0), 0),
        $F$5:$U$20
    ),
    TRANSPOSE(
        INDEX($X$5:$AM$77, MATCH($A166,_xlfn.ANCHORARRAY( $W$5), 0), 0)
    )
)
/
(
    INDEX($AN$5:$AN$77, MATCH(AN$100,_xlfn.ANCHORARRAY( $W$5), 0))
    *
    INDEX($AN$5:$AN$77, MATCH($A166,_xlfn.ANCHORARRAY( $W$5), 0))
)</f>
        <v>0.92073857673684656</v>
      </c>
      <c r="AO166" s="17" cm="1">
        <f t="array" ref="AO166">MMULT(
    MMULT(
        INDEX($X$5:$AM$77, MATCH(AO$100,_xlfn.ANCHORARRAY( $W$5), 0), 0),
        $F$5:$U$20
    ),
    TRANSPOSE(
        INDEX($X$5:$AM$77, MATCH($A166,_xlfn.ANCHORARRAY( $W$5), 0), 0)
    )
)
/
(
    INDEX($AN$5:$AN$77, MATCH(AO$100,_xlfn.ANCHORARRAY( $W$5), 0))
    *
    INDEX($AN$5:$AN$77, MATCH($A166,_xlfn.ANCHORARRAY( $W$5), 0))
)</f>
        <v>0.67120573608675316</v>
      </c>
      <c r="AP166" s="17" cm="1">
        <f t="array" ref="AP166">MMULT(
    MMULT(
        INDEX($X$5:$AM$77, MATCH(AP$100,_xlfn.ANCHORARRAY( $W$5), 0), 0),
        $F$5:$U$20
    ),
    TRANSPOSE(
        INDEX($X$5:$AM$77, MATCH($A166,_xlfn.ANCHORARRAY( $W$5), 0), 0)
    )
)
/
(
    INDEX($AN$5:$AN$77, MATCH(AP$100,_xlfn.ANCHORARRAY( $W$5), 0))
    *
    INDEX($AN$5:$AN$77, MATCH($A166,_xlfn.ANCHORARRAY( $W$5), 0))
)</f>
        <v>0.79802003779814989</v>
      </c>
      <c r="AQ166" s="17" cm="1">
        <f t="array" ref="AQ166">MMULT(
    MMULT(
        INDEX($X$5:$AM$77, MATCH(AQ$100,_xlfn.ANCHORARRAY( $W$5), 0), 0),
        $F$5:$U$20
    ),
    TRANSPOSE(
        INDEX($X$5:$AM$77, MATCH($A166,_xlfn.ANCHORARRAY( $W$5), 0), 0)
    )
)
/
(
    INDEX($AN$5:$AN$77, MATCH(AQ$100,_xlfn.ANCHORARRAY( $W$5), 0))
    *
    INDEX($AN$5:$AN$77, MATCH($A166,_xlfn.ANCHORARRAY( $W$5), 0))
)</f>
        <v>0.70284505722400648</v>
      </c>
      <c r="AR166" s="17" cm="1">
        <f t="array" ref="AR166">MMULT(
    MMULT(
        INDEX($X$5:$AM$77, MATCH(AR$100,_xlfn.ANCHORARRAY( $W$5), 0), 0),
        $F$5:$U$20
    ),
    TRANSPOSE(
        INDEX($X$5:$AM$77, MATCH($A166,_xlfn.ANCHORARRAY( $W$5), 0), 0)
    )
)
/
(
    INDEX($AN$5:$AN$77, MATCH(AR$100,_xlfn.ANCHORARRAY( $W$5), 0))
    *
    INDEX($AN$5:$AN$77, MATCH($A166,_xlfn.ANCHORARRAY( $W$5), 0))
)</f>
        <v>0.83416951270498219</v>
      </c>
      <c r="AS166" s="17" cm="1">
        <f t="array" ref="AS166">MMULT(
    MMULT(
        INDEX($X$5:$AM$77, MATCH(AS$100,_xlfn.ANCHORARRAY( $W$5), 0), 0),
        $F$5:$U$20
    ),
    TRANSPOSE(
        INDEX($X$5:$AM$77, MATCH($A166,_xlfn.ANCHORARRAY( $W$5), 0), 0)
    )
)
/
(
    INDEX($AN$5:$AN$77, MATCH(AS$100,_xlfn.ANCHORARRAY( $W$5), 0))
    *
    INDEX($AN$5:$AN$77, MATCH($A166,_xlfn.ANCHORARRAY( $W$5), 0))
)</f>
        <v>0.97549543804059713</v>
      </c>
      <c r="AT166" s="17" cm="1">
        <f t="array" ref="AT166">MMULT(
    MMULT(
        INDEX($X$5:$AM$77, MATCH(AT$100,_xlfn.ANCHORARRAY( $W$5), 0), 0),
        $F$5:$U$20
    ),
    TRANSPOSE(
        INDEX($X$5:$AM$77, MATCH($A166,_xlfn.ANCHORARRAY( $W$5), 0), 0)
    )
)
/
(
    INDEX($AN$5:$AN$77, MATCH(AT$100,_xlfn.ANCHORARRAY( $W$5), 0))
    *
    INDEX($AN$5:$AN$77, MATCH($A166,_xlfn.ANCHORARRAY( $W$5), 0))
)</f>
        <v>0.84219552978057199</v>
      </c>
      <c r="AU166" s="17" cm="1">
        <f t="array" ref="AU166">MMULT(
    MMULT(
        INDEX($X$5:$AM$77, MATCH(AU$100,_xlfn.ANCHORARRAY( $W$5), 0), 0),
        $F$5:$U$20
    ),
    TRANSPOSE(
        INDEX($X$5:$AM$77, MATCH($A166,_xlfn.ANCHORARRAY( $W$5), 0), 0)
    )
)
/
(
    INDEX($AN$5:$AN$77, MATCH(AU$100,_xlfn.ANCHORARRAY( $W$5), 0))
    *
    INDEX($AN$5:$AN$77, MATCH($A166,_xlfn.ANCHORARRAY( $W$5), 0))
)</f>
        <v>0.92810247506413013</v>
      </c>
      <c r="AV166" s="17" cm="1">
        <f t="array" ref="AV166">MMULT(
    MMULT(
        INDEX($X$5:$AM$77, MATCH(AV$100,_xlfn.ANCHORARRAY( $W$5), 0), 0),
        $F$5:$U$20
    ),
    TRANSPOSE(
        INDEX($X$5:$AM$77, MATCH($A166,_xlfn.ANCHORARRAY( $W$5), 0), 0)
    )
)
/
(
    INDEX($AN$5:$AN$77, MATCH(AV$100,_xlfn.ANCHORARRAY( $W$5), 0))
    *
    INDEX($AN$5:$AN$77, MATCH($A166,_xlfn.ANCHORARRAY( $W$5), 0))
)</f>
        <v>0.84195082722432923</v>
      </c>
      <c r="AW166" s="17" cm="1">
        <f t="array" ref="AW166">MMULT(
    MMULT(
        INDEX($X$5:$AM$77, MATCH(AW$100,_xlfn.ANCHORARRAY( $W$5), 0), 0),
        $F$5:$U$20
    ),
    TRANSPOSE(
        INDEX($X$5:$AM$77, MATCH($A166,_xlfn.ANCHORARRAY( $W$5), 0), 0)
    )
)
/
(
    INDEX($AN$5:$AN$77, MATCH(AW$100,_xlfn.ANCHORARRAY( $W$5), 0))
    *
    INDEX($AN$5:$AN$77, MATCH($A166,_xlfn.ANCHORARRAY( $W$5), 0))
)</f>
        <v>0.92457953102230028</v>
      </c>
      <c r="AX166" s="17" cm="1">
        <f t="array" ref="AX166">MMULT(
    MMULT(
        INDEX($X$5:$AM$77, MATCH(AX$100,_xlfn.ANCHORARRAY( $W$5), 0), 0),
        $F$5:$U$20
    ),
    TRANSPOSE(
        INDEX($X$5:$AM$77, MATCH($A166,_xlfn.ANCHORARRAY( $W$5), 0), 0)
    )
)
/
(
    INDEX($AN$5:$AN$77, MATCH(AX$100,_xlfn.ANCHORARRAY( $W$5), 0))
    *
    INDEX($AN$5:$AN$77, MATCH($A166,_xlfn.ANCHORARRAY( $W$5), 0))
)</f>
        <v>0.51025807478474272</v>
      </c>
      <c r="AY166" s="17" cm="1">
        <f t="array" ref="AY166">MMULT(
    MMULT(
        INDEX($X$5:$AM$77, MATCH(AY$100,_xlfn.ANCHORARRAY( $W$5), 0), 0),
        $F$5:$U$20
    ),
    TRANSPOSE(
        INDEX($X$5:$AM$77, MATCH($A166,_xlfn.ANCHORARRAY( $W$5), 0), 0)
    )
)
/
(
    INDEX($AN$5:$AN$77, MATCH(AY$100,_xlfn.ANCHORARRAY( $W$5), 0))
    *
    INDEX($AN$5:$AN$77, MATCH($A166,_xlfn.ANCHORARRAY( $W$5), 0))
)</f>
        <v>0.80932902336468771</v>
      </c>
      <c r="AZ166" s="17" cm="1">
        <f t="array" ref="AZ166">MMULT(
    MMULT(
        INDEX($X$5:$AM$77, MATCH(AZ$100,_xlfn.ANCHORARRAY( $W$5), 0), 0),
        $F$5:$U$20
    ),
    TRANSPOSE(
        INDEX($X$5:$AM$77, MATCH($A166,_xlfn.ANCHORARRAY( $W$5), 0), 0)
    )
)
/
(
    INDEX($AN$5:$AN$77, MATCH(AZ$100,_xlfn.ANCHORARRAY( $W$5), 0))
    *
    INDEX($AN$5:$AN$77, MATCH($A166,_xlfn.ANCHORARRAY( $W$5), 0))
)</f>
        <v>0.85504190774623756</v>
      </c>
      <c r="BA166" s="17" cm="1">
        <f t="array" ref="BA166">MMULT(
    MMULT(
        INDEX($X$5:$AM$77, MATCH(BA$100,_xlfn.ANCHORARRAY( $W$5), 0), 0),
        $F$5:$U$20
    ),
    TRANSPOSE(
        INDEX($X$5:$AM$77, MATCH($A166,_xlfn.ANCHORARRAY( $W$5), 0), 0)
    )
)
/
(
    INDEX($AN$5:$AN$77, MATCH(BA$100,_xlfn.ANCHORARRAY( $W$5), 0))
    *
    INDEX($AN$5:$AN$77, MATCH($A166,_xlfn.ANCHORARRAY( $W$5), 0))
)</f>
        <v>0.84773775643777405</v>
      </c>
      <c r="BB166" s="17" cm="1">
        <f t="array" ref="BB166">MMULT(
    MMULT(
        INDEX($X$5:$AM$77, MATCH(BB$100,_xlfn.ANCHORARRAY( $W$5), 0), 0),
        $F$5:$U$20
    ),
    TRANSPOSE(
        INDEX($X$5:$AM$77, MATCH($A166,_xlfn.ANCHORARRAY( $W$5), 0), 0)
    )
)
/
(
    INDEX($AN$5:$AN$77, MATCH(BB$100,_xlfn.ANCHORARRAY( $W$5), 0))
    *
    INDEX($AN$5:$AN$77, MATCH($A166,_xlfn.ANCHORARRAY( $W$5), 0))
)</f>
        <v>0.72202463085069335</v>
      </c>
      <c r="BC166" s="17" cm="1">
        <f t="array" ref="BC166">MMULT(
    MMULT(
        INDEX($X$5:$AM$77, MATCH(BC$100,_xlfn.ANCHORARRAY( $W$5), 0), 0),
        $F$5:$U$20
    ),
    TRANSPOSE(
        INDEX($X$5:$AM$77, MATCH($A166,_xlfn.ANCHORARRAY( $W$5), 0), 0)
    )
)
/
(
    INDEX($AN$5:$AN$77, MATCH(BC$100,_xlfn.ANCHORARRAY( $W$5), 0))
    *
    INDEX($AN$5:$AN$77, MATCH($A166,_xlfn.ANCHORARRAY( $W$5), 0))
)</f>
        <v>0.9440324583049915</v>
      </c>
      <c r="BD166" s="17" cm="1">
        <f t="array" ref="BD166">MMULT(
    MMULT(
        INDEX($X$5:$AM$77, MATCH(BD$100,_xlfn.ANCHORARRAY( $W$5), 0), 0),
        $F$5:$U$20
    ),
    TRANSPOSE(
        INDEX($X$5:$AM$77, MATCH($A166,_xlfn.ANCHORARRAY( $W$5), 0), 0)
    )
)
/
(
    INDEX($AN$5:$AN$77, MATCH(BD$100,_xlfn.ANCHORARRAY( $W$5), 0))
    *
    INDEX($AN$5:$AN$77, MATCH($A166,_xlfn.ANCHORARRAY( $W$5), 0))
)</f>
        <v>0.55114472027592365</v>
      </c>
      <c r="BE166" s="17" cm="1">
        <f t="array" ref="BE166">MMULT(
    MMULT(
        INDEX($X$5:$AM$77, MATCH(BE$100,_xlfn.ANCHORARRAY( $W$5), 0), 0),
        $F$5:$U$20
    ),
    TRANSPOSE(
        INDEX($X$5:$AM$77, MATCH($A166,_xlfn.ANCHORARRAY( $W$5), 0), 0)
    )
)
/
(
    INDEX($AN$5:$AN$77, MATCH(BE$100,_xlfn.ANCHORARRAY( $W$5), 0))
    *
    INDEX($AN$5:$AN$77, MATCH($A166,_xlfn.ANCHORARRAY( $W$5), 0))
)</f>
        <v>0.79219979063390034</v>
      </c>
      <c r="BF166" s="17" cm="1">
        <f t="array" ref="BF166">MMULT(
    MMULT(
        INDEX($X$5:$AM$77, MATCH(BF$100,_xlfn.ANCHORARRAY( $W$5), 0), 0),
        $F$5:$U$20
    ),
    TRANSPOSE(
        INDEX($X$5:$AM$77, MATCH($A166,_xlfn.ANCHORARRAY( $W$5), 0), 0)
    )
)
/
(
    INDEX($AN$5:$AN$77, MATCH(BF$100,_xlfn.ANCHORARRAY( $W$5), 0))
    *
    INDEX($AN$5:$AN$77, MATCH($A166,_xlfn.ANCHORARRAY( $W$5), 0))
)</f>
        <v>0.79085166637139526</v>
      </c>
      <c r="BG166" s="17" cm="1">
        <f t="array" ref="BG166">MMULT(
    MMULT(
        INDEX($X$5:$AM$77, MATCH(BG$100,_xlfn.ANCHORARRAY( $W$5), 0), 0),
        $F$5:$U$20
    ),
    TRANSPOSE(
        INDEX($X$5:$AM$77, MATCH($A166,_xlfn.ANCHORARRAY( $W$5), 0), 0)
    )
)
/
(
    INDEX($AN$5:$AN$77, MATCH(BG$100,_xlfn.ANCHORARRAY( $W$5), 0))
    *
    INDEX($AN$5:$AN$77, MATCH($A166,_xlfn.ANCHORARRAY( $W$5), 0))
)</f>
        <v>0.84859431079434677</v>
      </c>
      <c r="BH166" s="17" cm="1">
        <f t="array" ref="BH166">MMULT(
    MMULT(
        INDEX($X$5:$AM$77, MATCH(BH$100,_xlfn.ANCHORARRAY( $W$5), 0), 0),
        $F$5:$U$20
    ),
    TRANSPOSE(
        INDEX($X$5:$AM$77, MATCH($A166,_xlfn.ANCHORARRAY( $W$5), 0), 0)
    )
)
/
(
    INDEX($AN$5:$AN$77, MATCH(BH$100,_xlfn.ANCHORARRAY( $W$5), 0))
    *
    INDEX($AN$5:$AN$77, MATCH($A166,_xlfn.ANCHORARRAY( $W$5), 0))
)</f>
        <v>0.79991898482166857</v>
      </c>
      <c r="BI166" s="17" cm="1">
        <f t="array" ref="BI166">MMULT(
    MMULT(
        INDEX($X$5:$AM$77, MATCH(BI$100,_xlfn.ANCHORARRAY( $W$5), 0), 0),
        $F$5:$U$20
    ),
    TRANSPOSE(
        INDEX($X$5:$AM$77, MATCH($A166,_xlfn.ANCHORARRAY( $W$5), 0), 0)
    )
)
/
(
    INDEX($AN$5:$AN$77, MATCH(BI$100,_xlfn.ANCHORARRAY( $W$5), 0))
    *
    INDEX($AN$5:$AN$77, MATCH($A166,_xlfn.ANCHORARRAY( $W$5), 0))
)</f>
        <v>0.7659247956951396</v>
      </c>
      <c r="BJ166" s="17" cm="1">
        <f t="array" ref="BJ166">MMULT(
    MMULT(
        INDEX($X$5:$AM$77, MATCH(BJ$100,_xlfn.ANCHORARRAY( $W$5), 0), 0),
        $F$5:$U$20
    ),
    TRANSPOSE(
        INDEX($X$5:$AM$77, MATCH($A166,_xlfn.ANCHORARRAY( $W$5), 0), 0)
    )
)
/
(
    INDEX($AN$5:$AN$77, MATCH(BJ$100,_xlfn.ANCHORARRAY( $W$5), 0))
    *
    INDEX($AN$5:$AN$77, MATCH($A166,_xlfn.ANCHORARRAY( $W$5), 0))
)</f>
        <v>0.84033059478184025</v>
      </c>
      <c r="BK166" s="17" cm="1">
        <f t="array" ref="BK166">MMULT(
    MMULT(
        INDEX($X$5:$AM$77, MATCH(BK$100,_xlfn.ANCHORARRAY( $W$5), 0), 0),
        $F$5:$U$20
    ),
    TRANSPOSE(
        INDEX($X$5:$AM$77, MATCH($A166,_xlfn.ANCHORARRAY( $W$5), 0), 0)
    )
)
/
(
    INDEX($AN$5:$AN$77, MATCH(BK$100,_xlfn.ANCHORARRAY( $W$5), 0))
    *
    INDEX($AN$5:$AN$77, MATCH($A166,_xlfn.ANCHORARRAY( $W$5), 0))
)</f>
        <v>0.58463245004308428</v>
      </c>
      <c r="BL166" s="17" cm="1">
        <f t="array" ref="BL166">MMULT(
    MMULT(
        INDEX($X$5:$AM$77, MATCH(BL$100,_xlfn.ANCHORARRAY( $W$5), 0), 0),
        $F$5:$U$20
    ),
    TRANSPOSE(
        INDEX($X$5:$AM$77, MATCH($A166,_xlfn.ANCHORARRAY( $W$5), 0), 0)
    )
)
/
(
    INDEX($AN$5:$AN$77, MATCH(BL$100,_xlfn.ANCHORARRAY( $W$5), 0))
    *
    INDEX($AN$5:$AN$77, MATCH($A166,_xlfn.ANCHORARRAY( $W$5), 0))
)</f>
        <v>0.51208915284101275</v>
      </c>
      <c r="BM166" s="17" cm="1">
        <f t="array" ref="BM166">MMULT(
    MMULT(
        INDEX($X$5:$AM$77, MATCH(BM$100,_xlfn.ANCHORARRAY( $W$5), 0), 0),
        $F$5:$U$20
    ),
    TRANSPOSE(
        INDEX($X$5:$AM$77, MATCH($A166,_xlfn.ANCHORARRAY( $W$5), 0), 0)
    )
)
/
(
    INDEX($AN$5:$AN$77, MATCH(BM$100,_xlfn.ANCHORARRAY( $W$5), 0))
    *
    INDEX($AN$5:$AN$77, MATCH($A166,_xlfn.ANCHORARRAY( $W$5), 0))
)</f>
        <v>0.67677469058157302</v>
      </c>
      <c r="BN166" s="17" cm="1">
        <f t="array" ref="BN166">MMULT(
    MMULT(
        INDEX($X$5:$AM$77, MATCH(BN$100,_xlfn.ANCHORARRAY( $W$5), 0), 0),
        $F$5:$U$20
    ),
    TRANSPOSE(
        INDEX($X$5:$AM$77, MATCH($A166,_xlfn.ANCHORARRAY( $W$5), 0), 0)
    )
)
/
(
    INDEX($AN$5:$AN$77, MATCH(BN$100,_xlfn.ANCHORARRAY( $W$5), 0))
    *
    INDEX($AN$5:$AN$77, MATCH($A166,_xlfn.ANCHORARRAY( $W$5), 0))
)</f>
        <v>0.78514050368077626</v>
      </c>
      <c r="BO166" s="17" cm="1">
        <f t="array" ref="BO166">MMULT(
    MMULT(
        INDEX($X$5:$AM$77, MATCH(BO$100,_xlfn.ANCHORARRAY( $W$5), 0), 0),
        $F$5:$U$20
    ),
    TRANSPOSE(
        INDEX($X$5:$AM$77, MATCH($A166,_xlfn.ANCHORARRAY( $W$5), 0), 0)
    )
)
/
(
    INDEX($AN$5:$AN$77, MATCH(BO$100,_xlfn.ANCHORARRAY( $W$5), 0))
    *
    INDEX($AN$5:$AN$77, MATCH($A166,_xlfn.ANCHORARRAY( $W$5), 0))
)</f>
        <v>1</v>
      </c>
      <c r="BP166" s="17" cm="1">
        <f t="array" ref="BP166">MMULT(
    MMULT(
        INDEX($X$5:$AM$77, MATCH(BP$100,_xlfn.ANCHORARRAY( $W$5), 0), 0),
        $F$5:$U$20
    ),
    TRANSPOSE(
        INDEX($X$5:$AM$77, MATCH($A166,_xlfn.ANCHORARRAY( $W$5), 0), 0)
    )
)
/
(
    INDEX($AN$5:$AN$77, MATCH(BP$100,_xlfn.ANCHORARRAY( $W$5), 0))
    *
    INDEX($AN$5:$AN$77, MATCH($A166,_xlfn.ANCHORARRAY( $W$5), 0))
)</f>
        <v>0.83181281866613899</v>
      </c>
      <c r="BQ166" s="17" cm="1">
        <f t="array" ref="BQ166">MMULT(
    MMULT(
        INDEX($X$5:$AM$77, MATCH(BQ$100,_xlfn.ANCHORARRAY( $W$5), 0), 0),
        $F$5:$U$20
    ),
    TRANSPOSE(
        INDEX($X$5:$AM$77, MATCH($A166,_xlfn.ANCHORARRAY( $W$5), 0), 0)
    )
)
/
(
    INDEX($AN$5:$AN$77, MATCH(BQ$100,_xlfn.ANCHORARRAY( $W$5), 0))
    *
    INDEX($AN$5:$AN$77, MATCH($A166,_xlfn.ANCHORARRAY( $W$5), 0))
)</f>
        <v>0.62727266091094269</v>
      </c>
      <c r="BR166" s="17" cm="1">
        <f t="array" ref="BR166">MMULT(
    MMULT(
        INDEX($X$5:$AM$77, MATCH(BR$100,_xlfn.ANCHORARRAY( $W$5), 0), 0),
        $F$5:$U$20
    ),
    TRANSPOSE(
        INDEX($X$5:$AM$77, MATCH($A166,_xlfn.ANCHORARRAY( $W$5), 0), 0)
    )
)
/
(
    INDEX($AN$5:$AN$77, MATCH(BR$100,_xlfn.ANCHORARRAY( $W$5), 0))
    *
    INDEX($AN$5:$AN$77, MATCH($A166,_xlfn.ANCHORARRAY( $W$5), 0))
)</f>
        <v>0.94136790521248659</v>
      </c>
      <c r="BS166" s="17" cm="1">
        <f t="array" ref="BS166">MMULT(
    MMULT(
        INDEX($X$5:$AM$77, MATCH(BS$100,_xlfn.ANCHORARRAY( $W$5), 0), 0),
        $F$5:$U$20
    ),
    TRANSPOSE(
        INDEX($X$5:$AM$77, MATCH($A166,_xlfn.ANCHORARRAY( $W$5), 0), 0)
    )
)
/
(
    INDEX($AN$5:$AN$77, MATCH(BS$100,_xlfn.ANCHORARRAY( $W$5), 0))
    *
    INDEX($AN$5:$AN$77, MATCH($A166,_xlfn.ANCHORARRAY( $W$5), 0))
)</f>
        <v>0.87609426893387365</v>
      </c>
      <c r="BT166" s="17" cm="1">
        <f t="array" ref="BT166">MMULT(
    MMULT(
        INDEX($X$5:$AM$77, MATCH(BT$100,_xlfn.ANCHORARRAY( $W$5), 0), 0),
        $F$5:$U$20
    ),
    TRANSPOSE(
        INDEX($X$5:$AM$77, MATCH($A166,_xlfn.ANCHORARRAY( $W$5), 0), 0)
    )
)
/
(
    INDEX($AN$5:$AN$77, MATCH(BT$100,_xlfn.ANCHORARRAY( $W$5), 0))
    *
    INDEX($AN$5:$AN$77, MATCH($A166,_xlfn.ANCHORARRAY( $W$5), 0))
)</f>
        <v>0.8625367079898959</v>
      </c>
      <c r="BU166" s="17" cm="1">
        <f t="array" ref="BU166">MMULT(
    MMULT(
        INDEX($X$5:$AM$77, MATCH(BU$100,_xlfn.ANCHORARRAY( $W$5), 0), 0),
        $F$5:$U$20
    ),
    TRANSPOSE(
        INDEX($X$5:$AM$77, MATCH($A166,_xlfn.ANCHORARRAY( $W$5), 0), 0)
    )
)
/
(
    INDEX($AN$5:$AN$77, MATCH(BU$100,_xlfn.ANCHORARRAY( $W$5), 0))
    *
    INDEX($AN$5:$AN$77, MATCH($A166,_xlfn.ANCHORARRAY( $W$5), 0))
)</f>
        <v>0.797805161894657</v>
      </c>
      <c r="BV166" s="17" cm="1">
        <f t="array" ref="BV166">MMULT(
    MMULT(
        INDEX($X$5:$AM$77, MATCH(BV$100,_xlfn.ANCHORARRAY( $W$5), 0), 0),
        $F$5:$U$20
    ),
    TRANSPOSE(
        INDEX($X$5:$AM$77, MATCH($A166,_xlfn.ANCHORARRAY( $W$5), 0), 0)
    )
)
/
(
    INDEX($AN$5:$AN$77, MATCH(BV$100,_xlfn.ANCHORARRAY( $W$5), 0))
    *
    INDEX($AN$5:$AN$77, MATCH($A166,_xlfn.ANCHORARRAY( $W$5), 0))
)</f>
        <v>0.96195947731919851</v>
      </c>
    </row>
    <row r="167" spans="1:74" x14ac:dyDescent="0.3">
      <c r="A167" s="7" t="str">
        <v>Fuentes, Didier</v>
      </c>
      <c r="B167" s="17" cm="1">
        <f t="array" ref="B167">MMULT(
    MMULT(
        INDEX($X$5:$AM$77, MATCH(B$100,_xlfn.ANCHORARRAY( $W$5), 0), 0),
        $F$5:$U$20
    ),
    TRANSPOSE(
        INDEX($X$5:$AM$77, MATCH($A167,_xlfn.ANCHORARRAY( $W$5), 0), 0)
    )
)
/
(
    INDEX($AN$5:$AN$77, MATCH(B$100,_xlfn.ANCHORARRAY( $W$5), 0))
    *
    INDEX($AN$5:$AN$77, MATCH($A167,_xlfn.ANCHORARRAY( $W$5), 0))
)</f>
        <v>0.91532589065134695</v>
      </c>
      <c r="C167" s="17" cm="1">
        <f t="array" ref="C167">MMULT(
    MMULT(
        INDEX($X$5:$AM$77, MATCH(C$100,_xlfn.ANCHORARRAY( $W$5), 0), 0),
        $F$5:$U$20
    ),
    TRANSPOSE(
        INDEX($X$5:$AM$77, MATCH($A167,_xlfn.ANCHORARRAY( $W$5), 0), 0)
    )
)
/
(
    INDEX($AN$5:$AN$77, MATCH(C$100,_xlfn.ANCHORARRAY( $W$5), 0))
    *
    INDEX($AN$5:$AN$77, MATCH($A167,_xlfn.ANCHORARRAY( $W$5), 0))
)</f>
        <v>0.77293432596537215</v>
      </c>
      <c r="D167" s="17" cm="1">
        <f t="array" ref="D167">MMULT(
    MMULT(
        INDEX($X$5:$AM$77, MATCH(D$100,_xlfn.ANCHORARRAY( $W$5), 0), 0),
        $F$5:$U$20
    ),
    TRANSPOSE(
        INDEX($X$5:$AM$77, MATCH($A167,_xlfn.ANCHORARRAY( $W$5), 0), 0)
    )
)
/
(
    INDEX($AN$5:$AN$77, MATCH(D$100,_xlfn.ANCHORARRAY( $W$5), 0))
    *
    INDEX($AN$5:$AN$77, MATCH($A167,_xlfn.ANCHORARRAY( $W$5), 0))
)</f>
        <v>0.9255213514725027</v>
      </c>
      <c r="E167" s="17" cm="1">
        <f t="array" ref="E167">MMULT(
    MMULT(
        INDEX($X$5:$AM$77, MATCH(E$100,_xlfn.ANCHORARRAY( $W$5), 0), 0),
        $F$5:$U$20
    ),
    TRANSPOSE(
        INDEX($X$5:$AM$77, MATCH($A167,_xlfn.ANCHORARRAY( $W$5), 0), 0)
    )
)
/
(
    INDEX($AN$5:$AN$77, MATCH(E$100,_xlfn.ANCHORARRAY( $W$5), 0))
    *
    INDEX($AN$5:$AN$77, MATCH($A167,_xlfn.ANCHORARRAY( $W$5), 0))
)</f>
        <v>0.76013685152935595</v>
      </c>
      <c r="F167" s="17" cm="1">
        <f t="array" ref="F167">MMULT(
    MMULT(
        INDEX($X$5:$AM$77, MATCH(F$100,_xlfn.ANCHORARRAY( $W$5), 0), 0),
        $F$5:$U$20
    ),
    TRANSPOSE(
        INDEX($X$5:$AM$77, MATCH($A167,_xlfn.ANCHORARRAY( $W$5), 0), 0)
    )
)
/
(
    INDEX($AN$5:$AN$77, MATCH(F$100,_xlfn.ANCHORARRAY( $W$5), 0))
    *
    INDEX($AN$5:$AN$77, MATCH($A167,_xlfn.ANCHORARRAY( $W$5), 0))
)</f>
        <v>0.82754485063820904</v>
      </c>
      <c r="G167" s="17" cm="1">
        <f t="array" ref="G167">MMULT(
    MMULT(
        INDEX($X$5:$AM$77, MATCH(G$100,_xlfn.ANCHORARRAY( $W$5), 0), 0),
        $F$5:$U$20
    ),
    TRANSPOSE(
        INDEX($X$5:$AM$77, MATCH($A167,_xlfn.ANCHORARRAY( $W$5), 0), 0)
    )
)
/
(
    INDEX($AN$5:$AN$77, MATCH(G$100,_xlfn.ANCHORARRAY( $W$5), 0))
    *
    INDEX($AN$5:$AN$77, MATCH($A167,_xlfn.ANCHORARRAY( $W$5), 0))
)</f>
        <v>0.77802143107626276</v>
      </c>
      <c r="H167" s="17" cm="1">
        <f t="array" ref="H167">MMULT(
    MMULT(
        INDEX($X$5:$AM$77, MATCH(H$100,_xlfn.ANCHORARRAY( $W$5), 0), 0),
        $F$5:$U$20
    ),
    TRANSPOSE(
        INDEX($X$5:$AM$77, MATCH($A167,_xlfn.ANCHORARRAY( $W$5), 0), 0)
    )
)
/
(
    INDEX($AN$5:$AN$77, MATCH(H$100,_xlfn.ANCHORARRAY( $W$5), 0))
    *
    INDEX($AN$5:$AN$77, MATCH($A167,_xlfn.ANCHORARRAY( $W$5), 0))
)</f>
        <v>0.81835195725801624</v>
      </c>
      <c r="I167" s="17" cm="1">
        <f t="array" ref="I167">MMULT(
    MMULT(
        INDEX($X$5:$AM$77, MATCH(I$100,_xlfn.ANCHORARRAY( $W$5), 0), 0),
        $F$5:$U$20
    ),
    TRANSPOSE(
        INDEX($X$5:$AM$77, MATCH($A167,_xlfn.ANCHORARRAY( $W$5), 0), 0)
    )
)
/
(
    INDEX($AN$5:$AN$77, MATCH(I$100,_xlfn.ANCHORARRAY( $W$5), 0))
    *
    INDEX($AN$5:$AN$77, MATCH($A167,_xlfn.ANCHORARRAY( $W$5), 0))
)</f>
        <v>0.75616897374343528</v>
      </c>
      <c r="J167" s="17" cm="1">
        <f t="array" ref="J167">MMULT(
    MMULT(
        INDEX($X$5:$AM$77, MATCH(J$100,_xlfn.ANCHORARRAY( $W$5), 0), 0),
        $F$5:$U$20
    ),
    TRANSPOSE(
        INDEX($X$5:$AM$77, MATCH($A167,_xlfn.ANCHORARRAY( $W$5), 0), 0)
    )
)
/
(
    INDEX($AN$5:$AN$77, MATCH(J$100,_xlfn.ANCHORARRAY( $W$5), 0))
    *
    INDEX($AN$5:$AN$77, MATCH($A167,_xlfn.ANCHORARRAY( $W$5), 0))
)</f>
        <v>0.90406364031405129</v>
      </c>
      <c r="K167" s="17" cm="1">
        <f t="array" ref="K167">MMULT(
    MMULT(
        INDEX($X$5:$AM$77, MATCH(K$100,_xlfn.ANCHORARRAY( $W$5), 0), 0),
        $F$5:$U$20
    ),
    TRANSPOSE(
        INDEX($X$5:$AM$77, MATCH($A167,_xlfn.ANCHORARRAY( $W$5), 0), 0)
    )
)
/
(
    INDEX($AN$5:$AN$77, MATCH(K$100,_xlfn.ANCHORARRAY( $W$5), 0))
    *
    INDEX($AN$5:$AN$77, MATCH($A167,_xlfn.ANCHORARRAY( $W$5), 0))
)</f>
        <v>0.81101453190098116</v>
      </c>
      <c r="L167" s="17" cm="1">
        <f t="array" ref="L167">MMULT(
    MMULT(
        INDEX($X$5:$AM$77, MATCH(L$100,_xlfn.ANCHORARRAY( $W$5), 0), 0),
        $F$5:$U$20
    ),
    TRANSPOSE(
        INDEX($X$5:$AM$77, MATCH($A167,_xlfn.ANCHORARRAY( $W$5), 0), 0)
    )
)
/
(
    INDEX($AN$5:$AN$77, MATCH(L$100,_xlfn.ANCHORARRAY( $W$5), 0))
    *
    INDEX($AN$5:$AN$77, MATCH($A167,_xlfn.ANCHORARRAY( $W$5), 0))
)</f>
        <v>0.68416407909712429</v>
      </c>
      <c r="M167" s="17" cm="1">
        <f t="array" ref="M167">MMULT(
    MMULT(
        INDEX($X$5:$AM$77, MATCH(M$100,_xlfn.ANCHORARRAY( $W$5), 0), 0),
        $F$5:$U$20
    ),
    TRANSPOSE(
        INDEX($X$5:$AM$77, MATCH($A167,_xlfn.ANCHORARRAY( $W$5), 0), 0)
    )
)
/
(
    INDEX($AN$5:$AN$77, MATCH(M$100,_xlfn.ANCHORARRAY( $W$5), 0))
    *
    INDEX($AN$5:$AN$77, MATCH($A167,_xlfn.ANCHORARRAY( $W$5), 0))
)</f>
        <v>0.79454931033539344</v>
      </c>
      <c r="N167" s="17" cm="1">
        <f t="array" ref="N167">MMULT(
    MMULT(
        INDEX($X$5:$AM$77, MATCH(N$100,_xlfn.ANCHORARRAY( $W$5), 0), 0),
        $F$5:$U$20
    ),
    TRANSPOSE(
        INDEX($X$5:$AM$77, MATCH($A167,_xlfn.ANCHORARRAY( $W$5), 0), 0)
    )
)
/
(
    INDEX($AN$5:$AN$77, MATCH(N$100,_xlfn.ANCHORARRAY( $W$5), 0))
    *
    INDEX($AN$5:$AN$77, MATCH($A167,_xlfn.ANCHORARRAY( $W$5), 0))
)</f>
        <v>0.77777294231241301</v>
      </c>
      <c r="O167" s="17" cm="1">
        <f t="array" ref="O167">MMULT(
    MMULT(
        INDEX($X$5:$AM$77, MATCH(O$100,_xlfn.ANCHORARRAY( $W$5), 0), 0),
        $F$5:$U$20
    ),
    TRANSPOSE(
        INDEX($X$5:$AM$77, MATCH($A167,_xlfn.ANCHORARRAY( $W$5), 0), 0)
    )
)
/
(
    INDEX($AN$5:$AN$77, MATCH(O$100,_xlfn.ANCHORARRAY( $W$5), 0))
    *
    INDEX($AN$5:$AN$77, MATCH($A167,_xlfn.ANCHORARRAY( $W$5), 0))
)</f>
        <v>0.74250314777664317</v>
      </c>
      <c r="P167" s="17" cm="1">
        <f t="array" ref="P167">MMULT(
    MMULT(
        INDEX($X$5:$AM$77, MATCH(P$100,_xlfn.ANCHORARRAY( $W$5), 0), 0),
        $F$5:$U$20
    ),
    TRANSPOSE(
        INDEX($X$5:$AM$77, MATCH($A167,_xlfn.ANCHORARRAY( $W$5), 0), 0)
    )
)
/
(
    INDEX($AN$5:$AN$77, MATCH(P$100,_xlfn.ANCHORARRAY( $W$5), 0))
    *
    INDEX($AN$5:$AN$77, MATCH($A167,_xlfn.ANCHORARRAY( $W$5), 0))
)</f>
        <v>0.88131082823343854</v>
      </c>
      <c r="Q167" s="17" cm="1">
        <f t="array" ref="Q167">MMULT(
    MMULT(
        INDEX($X$5:$AM$77, MATCH(Q$100,_xlfn.ANCHORARRAY( $W$5), 0), 0),
        $F$5:$U$20
    ),
    TRANSPOSE(
        INDEX($X$5:$AM$77, MATCH($A167,_xlfn.ANCHORARRAY( $W$5), 0), 0)
    )
)
/
(
    INDEX($AN$5:$AN$77, MATCH(Q$100,_xlfn.ANCHORARRAY( $W$5), 0))
    *
    INDEX($AN$5:$AN$77, MATCH($A167,_xlfn.ANCHORARRAY( $W$5), 0))
)</f>
        <v>0.78146475734577292</v>
      </c>
      <c r="R167" s="17" cm="1">
        <f t="array" ref="R167">MMULT(
    MMULT(
        INDEX($X$5:$AM$77, MATCH(R$100,_xlfn.ANCHORARRAY( $W$5), 0), 0),
        $F$5:$U$20
    ),
    TRANSPOSE(
        INDEX($X$5:$AM$77, MATCH($A167,_xlfn.ANCHORARRAY( $W$5), 0), 0)
    )
)
/
(
    INDEX($AN$5:$AN$77, MATCH(R$100,_xlfn.ANCHORARRAY( $W$5), 0))
    *
    INDEX($AN$5:$AN$77, MATCH($A167,_xlfn.ANCHORARRAY( $W$5), 0))
)</f>
        <v>0.94011197597463003</v>
      </c>
      <c r="S167" s="17" cm="1">
        <f t="array" ref="S167">MMULT(
    MMULT(
        INDEX($X$5:$AM$77, MATCH(S$100,_xlfn.ANCHORARRAY( $W$5), 0), 0),
        $F$5:$U$20
    ),
    TRANSPOSE(
        INDEX($X$5:$AM$77, MATCH($A167,_xlfn.ANCHORARRAY( $W$5), 0), 0)
    )
)
/
(
    INDEX($AN$5:$AN$77, MATCH(S$100,_xlfn.ANCHORARRAY( $W$5), 0))
    *
    INDEX($AN$5:$AN$77, MATCH($A167,_xlfn.ANCHORARRAY( $W$5), 0))
)</f>
        <v>0.92064159180423777</v>
      </c>
      <c r="T167" s="17" cm="1">
        <f t="array" ref="T167">MMULT(
    MMULT(
        INDEX($X$5:$AM$77, MATCH(T$100,_xlfn.ANCHORARRAY( $W$5), 0), 0),
        $F$5:$U$20
    ),
    TRANSPOSE(
        INDEX($X$5:$AM$77, MATCH($A167,_xlfn.ANCHORARRAY( $W$5), 0), 0)
    )
)
/
(
    INDEX($AN$5:$AN$77, MATCH(T$100,_xlfn.ANCHORARRAY( $W$5), 0))
    *
    INDEX($AN$5:$AN$77, MATCH($A167,_xlfn.ANCHORARRAY( $W$5), 0))
)</f>
        <v>0.48123650370382542</v>
      </c>
      <c r="U167" s="17" cm="1">
        <f t="array" ref="U167">MMULT(
    MMULT(
        INDEX($X$5:$AM$77, MATCH(U$100,_xlfn.ANCHORARRAY( $W$5), 0), 0),
        $F$5:$U$20
    ),
    TRANSPOSE(
        INDEX($X$5:$AM$77, MATCH($A167,_xlfn.ANCHORARRAY( $W$5), 0), 0)
    )
)
/
(
    INDEX($AN$5:$AN$77, MATCH(U$100,_xlfn.ANCHORARRAY( $W$5), 0))
    *
    INDEX($AN$5:$AN$77, MATCH($A167,_xlfn.ANCHORARRAY( $W$5), 0))
)</f>
        <v>0.93935899890723462</v>
      </c>
      <c r="V167" s="17" cm="1">
        <f t="array" ref="V167">MMULT(
    MMULT(
        INDEX($X$5:$AM$77, MATCH(V$100,_xlfn.ANCHORARRAY( $W$5), 0), 0),
        $F$5:$U$20
    ),
    TRANSPOSE(
        INDEX($X$5:$AM$77, MATCH($A167,_xlfn.ANCHORARRAY( $W$5), 0), 0)
    )
)
/
(
    INDEX($AN$5:$AN$77, MATCH(V$100,_xlfn.ANCHORARRAY( $W$5), 0))
    *
    INDEX($AN$5:$AN$77, MATCH($A167,_xlfn.ANCHORARRAY( $W$5), 0))
)</f>
        <v>0.59784116070505566</v>
      </c>
      <c r="W167" s="17" cm="1">
        <f t="array" ref="W167">MMULT(
    MMULT(
        INDEX($X$5:$AM$77, MATCH(W$100,_xlfn.ANCHORARRAY( $W$5), 0), 0),
        $F$5:$U$20
    ),
    TRANSPOSE(
        INDEX($X$5:$AM$77, MATCH($A167,_xlfn.ANCHORARRAY( $W$5), 0), 0)
    )
)
/
(
    INDEX($AN$5:$AN$77, MATCH(W$100,_xlfn.ANCHORARRAY( $W$5), 0))
    *
    INDEX($AN$5:$AN$77, MATCH($A167,_xlfn.ANCHORARRAY( $W$5), 0))
)</f>
        <v>0.75822514460595569</v>
      </c>
      <c r="X167" s="17" cm="1">
        <f t="array" ref="X167">MMULT(
    MMULT(
        INDEX($X$5:$AM$77, MATCH(X$100,_xlfn.ANCHORARRAY( $W$5), 0), 0),
        $F$5:$U$20
    ),
    TRANSPOSE(
        INDEX($X$5:$AM$77, MATCH($A167,_xlfn.ANCHORARRAY( $W$5), 0), 0)
    )
)
/
(
    INDEX($AN$5:$AN$77, MATCH(X$100,_xlfn.ANCHORARRAY( $W$5), 0))
    *
    INDEX($AN$5:$AN$77, MATCH($A167,_xlfn.ANCHORARRAY( $W$5), 0))
)</f>
        <v>0.82854441544754642</v>
      </c>
      <c r="Y167" s="17" cm="1">
        <f t="array" ref="Y167">MMULT(
    MMULT(
        INDEX($X$5:$AM$77, MATCH(Y$100,_xlfn.ANCHORARRAY( $W$5), 0), 0),
        $F$5:$U$20
    ),
    TRANSPOSE(
        INDEX($X$5:$AM$77, MATCH($A167,_xlfn.ANCHORARRAY( $W$5), 0), 0)
    )
)
/
(
    INDEX($AN$5:$AN$77, MATCH(Y$100,_xlfn.ANCHORARRAY( $W$5), 0))
    *
    INDEX($AN$5:$AN$77, MATCH($A167,_xlfn.ANCHORARRAY( $W$5), 0))
)</f>
        <v>0.73454310994992655</v>
      </c>
      <c r="Z167" s="17" cm="1">
        <f t="array" ref="Z167">MMULT(
    MMULT(
        INDEX($X$5:$AM$77, MATCH(Z$100,_xlfn.ANCHORARRAY( $W$5), 0), 0),
        $F$5:$U$20
    ),
    TRANSPOSE(
        INDEX($X$5:$AM$77, MATCH($A167,_xlfn.ANCHORARRAY( $W$5), 0), 0)
    )
)
/
(
    INDEX($AN$5:$AN$77, MATCH(Z$100,_xlfn.ANCHORARRAY( $W$5), 0))
    *
    INDEX($AN$5:$AN$77, MATCH($A167,_xlfn.ANCHORARRAY( $W$5), 0))
)</f>
        <v>0.88377978275783975</v>
      </c>
      <c r="AA167" s="17" cm="1">
        <f t="array" ref="AA167">MMULT(
    MMULT(
        INDEX($X$5:$AM$77, MATCH(AA$100,_xlfn.ANCHORARRAY( $W$5), 0), 0),
        $F$5:$U$20
    ),
    TRANSPOSE(
        INDEX($X$5:$AM$77, MATCH($A167,_xlfn.ANCHORARRAY( $W$5), 0), 0)
    )
)
/
(
    INDEX($AN$5:$AN$77, MATCH(AA$100,_xlfn.ANCHORARRAY( $W$5), 0))
    *
    INDEX($AN$5:$AN$77, MATCH($A167,_xlfn.ANCHORARRAY( $W$5), 0))
)</f>
        <v>0.86076492008801697</v>
      </c>
      <c r="AB167" s="17" cm="1">
        <f t="array" ref="AB167">MMULT(
    MMULT(
        INDEX($X$5:$AM$77, MATCH(AB$100,_xlfn.ANCHORARRAY( $W$5), 0), 0),
        $F$5:$U$20
    ),
    TRANSPOSE(
        INDEX($X$5:$AM$77, MATCH($A167,_xlfn.ANCHORARRAY( $W$5), 0), 0)
    )
)
/
(
    INDEX($AN$5:$AN$77, MATCH(AB$100,_xlfn.ANCHORARRAY( $W$5), 0))
    *
    INDEX($AN$5:$AN$77, MATCH($A167,_xlfn.ANCHORARRAY( $W$5), 0))
)</f>
        <v>0.86659024059132317</v>
      </c>
      <c r="AC167" s="17" cm="1">
        <f t="array" ref="AC167">MMULT(
    MMULT(
        INDEX($X$5:$AM$77, MATCH(AC$100,_xlfn.ANCHORARRAY( $W$5), 0), 0),
        $F$5:$U$20
    ),
    TRANSPOSE(
        INDEX($X$5:$AM$77, MATCH($A167,_xlfn.ANCHORARRAY( $W$5), 0), 0)
    )
)
/
(
    INDEX($AN$5:$AN$77, MATCH(AC$100,_xlfn.ANCHORARRAY( $W$5), 0))
    *
    INDEX($AN$5:$AN$77, MATCH($A167,_xlfn.ANCHORARRAY( $W$5), 0))
)</f>
        <v>0.85454178606820763</v>
      </c>
      <c r="AD167" s="17" cm="1">
        <f t="array" ref="AD167">MMULT(
    MMULT(
        INDEX($X$5:$AM$77, MATCH(AD$100,_xlfn.ANCHORARRAY( $W$5), 0), 0),
        $F$5:$U$20
    ),
    TRANSPOSE(
        INDEX($X$5:$AM$77, MATCH($A167,_xlfn.ANCHORARRAY( $W$5), 0), 0)
    )
)
/
(
    INDEX($AN$5:$AN$77, MATCH(AD$100,_xlfn.ANCHORARRAY( $W$5), 0))
    *
    INDEX($AN$5:$AN$77, MATCH($A167,_xlfn.ANCHORARRAY( $W$5), 0))
)</f>
        <v>0.91262148440491619</v>
      </c>
      <c r="AE167" s="17" cm="1">
        <f t="array" ref="AE167">MMULT(
    MMULT(
        INDEX($X$5:$AM$77, MATCH(AE$100,_xlfn.ANCHORARRAY( $W$5), 0), 0),
        $F$5:$U$20
    ),
    TRANSPOSE(
        INDEX($X$5:$AM$77, MATCH($A167,_xlfn.ANCHORARRAY( $W$5), 0), 0)
    )
)
/
(
    INDEX($AN$5:$AN$77, MATCH(AE$100,_xlfn.ANCHORARRAY( $W$5), 0))
    *
    INDEX($AN$5:$AN$77, MATCH($A167,_xlfn.ANCHORARRAY( $W$5), 0))
)</f>
        <v>0.87947889195717999</v>
      </c>
      <c r="AF167" s="17" cm="1">
        <f t="array" ref="AF167">MMULT(
    MMULT(
        INDEX($X$5:$AM$77, MATCH(AF$100,_xlfn.ANCHORARRAY( $W$5), 0), 0),
        $F$5:$U$20
    ),
    TRANSPOSE(
        INDEX($X$5:$AM$77, MATCH($A167,_xlfn.ANCHORARRAY( $W$5), 0), 0)
    )
)
/
(
    INDEX($AN$5:$AN$77, MATCH(AF$100,_xlfn.ANCHORARRAY( $W$5), 0))
    *
    INDEX($AN$5:$AN$77, MATCH($A167,_xlfn.ANCHORARRAY( $W$5), 0))
)</f>
        <v>0.85213021234554132</v>
      </c>
      <c r="AG167" s="17" cm="1">
        <f t="array" ref="AG167">MMULT(
    MMULT(
        INDEX($X$5:$AM$77, MATCH(AG$100,_xlfn.ANCHORARRAY( $W$5), 0), 0),
        $F$5:$U$20
    ),
    TRANSPOSE(
        INDEX($X$5:$AM$77, MATCH($A167,_xlfn.ANCHORARRAY( $W$5), 0), 0)
    )
)
/
(
    INDEX($AN$5:$AN$77, MATCH(AG$100,_xlfn.ANCHORARRAY( $W$5), 0))
    *
    INDEX($AN$5:$AN$77, MATCH($A167,_xlfn.ANCHORARRAY( $W$5), 0))
)</f>
        <v>0.91492491716568214</v>
      </c>
      <c r="AH167" s="17" cm="1">
        <f t="array" ref="AH167">MMULT(
    MMULT(
        INDEX($X$5:$AM$77, MATCH(AH$100,_xlfn.ANCHORARRAY( $W$5), 0), 0),
        $F$5:$U$20
    ),
    TRANSPOSE(
        INDEX($X$5:$AM$77, MATCH($A167,_xlfn.ANCHORARRAY( $W$5), 0), 0)
    )
)
/
(
    INDEX($AN$5:$AN$77, MATCH(AH$100,_xlfn.ANCHORARRAY( $W$5), 0))
    *
    INDEX($AN$5:$AN$77, MATCH($A167,_xlfn.ANCHORARRAY( $W$5), 0))
)</f>
        <v>0.7168480136475075</v>
      </c>
      <c r="AI167" s="17" cm="1">
        <f t="array" ref="AI167">MMULT(
    MMULT(
        INDEX($X$5:$AM$77, MATCH(AI$100,_xlfn.ANCHORARRAY( $W$5), 0), 0),
        $F$5:$U$20
    ),
    TRANSPOSE(
        INDEX($X$5:$AM$77, MATCH($A167,_xlfn.ANCHORARRAY( $W$5), 0), 0)
    )
)
/
(
    INDEX($AN$5:$AN$77, MATCH(AI$100,_xlfn.ANCHORARRAY( $W$5), 0))
    *
    INDEX($AN$5:$AN$77, MATCH($A167,_xlfn.ANCHORARRAY( $W$5), 0))
)</f>
        <v>0.90227701476743138</v>
      </c>
      <c r="AJ167" s="17" cm="1">
        <f t="array" ref="AJ167">MMULT(
    MMULT(
        INDEX($X$5:$AM$77, MATCH(AJ$100,_xlfn.ANCHORARRAY( $W$5), 0), 0),
        $F$5:$U$20
    ),
    TRANSPOSE(
        INDEX($X$5:$AM$77, MATCH($A167,_xlfn.ANCHORARRAY( $W$5), 0), 0)
    )
)
/
(
    INDEX($AN$5:$AN$77, MATCH(AJ$100,_xlfn.ANCHORARRAY( $W$5), 0))
    *
    INDEX($AN$5:$AN$77, MATCH($A167,_xlfn.ANCHORARRAY( $W$5), 0))
)</f>
        <v>0.88055937856661803</v>
      </c>
      <c r="AK167" s="17" cm="1">
        <f t="array" ref="AK167">MMULT(
    MMULT(
        INDEX($X$5:$AM$77, MATCH(AK$100,_xlfn.ANCHORARRAY( $W$5), 0), 0),
        $F$5:$U$20
    ),
    TRANSPOSE(
        INDEX($X$5:$AM$77, MATCH($A167,_xlfn.ANCHORARRAY( $W$5), 0), 0)
    )
)
/
(
    INDEX($AN$5:$AN$77, MATCH(AK$100,_xlfn.ANCHORARRAY( $W$5), 0))
    *
    INDEX($AN$5:$AN$77, MATCH($A167,_xlfn.ANCHORARRAY( $W$5), 0))
)</f>
        <v>0.8457152670303002</v>
      </c>
      <c r="AL167" s="17" cm="1">
        <f t="array" ref="AL167">MMULT(
    MMULT(
        INDEX($X$5:$AM$77, MATCH(AL$100,_xlfn.ANCHORARRAY( $W$5), 0), 0),
        $F$5:$U$20
    ),
    TRANSPOSE(
        INDEX($X$5:$AM$77, MATCH($A167,_xlfn.ANCHORARRAY( $W$5), 0), 0)
    )
)
/
(
    INDEX($AN$5:$AN$77, MATCH(AL$100,_xlfn.ANCHORARRAY( $W$5), 0))
    *
    INDEX($AN$5:$AN$77, MATCH($A167,_xlfn.ANCHORARRAY( $W$5), 0))
)</f>
        <v>0.78644730376602623</v>
      </c>
      <c r="AM167" s="17" cm="1">
        <f t="array" ref="AM167">MMULT(
    MMULT(
        INDEX($X$5:$AM$77, MATCH(AM$100,_xlfn.ANCHORARRAY( $W$5), 0), 0),
        $F$5:$U$20
    ),
    TRANSPOSE(
        INDEX($X$5:$AM$77, MATCH($A167,_xlfn.ANCHORARRAY( $W$5), 0), 0)
    )
)
/
(
    INDEX($AN$5:$AN$77, MATCH(AM$100,_xlfn.ANCHORARRAY( $W$5), 0))
    *
    INDEX($AN$5:$AN$77, MATCH($A167,_xlfn.ANCHORARRAY( $W$5), 0))
)</f>
        <v>0.78169580916246295</v>
      </c>
      <c r="AN167" s="17" cm="1">
        <f t="array" ref="AN167">MMULT(
    MMULT(
        INDEX($X$5:$AM$77, MATCH(AN$100,_xlfn.ANCHORARRAY( $W$5), 0), 0),
        $F$5:$U$20
    ),
    TRANSPOSE(
        INDEX($X$5:$AM$77, MATCH($A167,_xlfn.ANCHORARRAY( $W$5), 0), 0)
    )
)
/
(
    INDEX($AN$5:$AN$77, MATCH(AN$100,_xlfn.ANCHORARRAY( $W$5), 0))
    *
    INDEX($AN$5:$AN$77, MATCH($A167,_xlfn.ANCHORARRAY( $W$5), 0))
)</f>
        <v>0.78724281600103774</v>
      </c>
      <c r="AO167" s="17" cm="1">
        <f t="array" ref="AO167">MMULT(
    MMULT(
        INDEX($X$5:$AM$77, MATCH(AO$100,_xlfn.ANCHORARRAY( $W$5), 0), 0),
        $F$5:$U$20
    ),
    TRANSPOSE(
        INDEX($X$5:$AM$77, MATCH($A167,_xlfn.ANCHORARRAY( $W$5), 0), 0)
    )
)
/
(
    INDEX($AN$5:$AN$77, MATCH(AO$100,_xlfn.ANCHORARRAY( $W$5), 0))
    *
    INDEX($AN$5:$AN$77, MATCH($A167,_xlfn.ANCHORARRAY( $W$5), 0))
)</f>
        <v>0.69782447305224926</v>
      </c>
      <c r="AP167" s="17" cm="1">
        <f t="array" ref="AP167">MMULT(
    MMULT(
        INDEX($X$5:$AM$77, MATCH(AP$100,_xlfn.ANCHORARRAY( $W$5), 0), 0),
        $F$5:$U$20
    ),
    TRANSPOSE(
        INDEX($X$5:$AM$77, MATCH($A167,_xlfn.ANCHORARRAY( $W$5), 0), 0)
    )
)
/
(
    INDEX($AN$5:$AN$77, MATCH(AP$100,_xlfn.ANCHORARRAY( $W$5), 0))
    *
    INDEX($AN$5:$AN$77, MATCH($A167,_xlfn.ANCHORARRAY( $W$5), 0))
)</f>
        <v>0.67411987385395244</v>
      </c>
      <c r="AQ167" s="17" cm="1">
        <f t="array" ref="AQ167">MMULT(
    MMULT(
        INDEX($X$5:$AM$77, MATCH(AQ$100,_xlfn.ANCHORARRAY( $W$5), 0), 0),
        $F$5:$U$20
    ),
    TRANSPOSE(
        INDEX($X$5:$AM$77, MATCH($A167,_xlfn.ANCHORARRAY( $W$5), 0), 0)
    )
)
/
(
    INDEX($AN$5:$AN$77, MATCH(AQ$100,_xlfn.ANCHORARRAY( $W$5), 0))
    *
    INDEX($AN$5:$AN$77, MATCH($A167,_xlfn.ANCHORARRAY( $W$5), 0))
)</f>
        <v>0.87182133279231055</v>
      </c>
      <c r="AR167" s="17" cm="1">
        <f t="array" ref="AR167">MMULT(
    MMULT(
        INDEX($X$5:$AM$77, MATCH(AR$100,_xlfn.ANCHORARRAY( $W$5), 0), 0),
        $F$5:$U$20
    ),
    TRANSPOSE(
        INDEX($X$5:$AM$77, MATCH($A167,_xlfn.ANCHORARRAY( $W$5), 0), 0)
    )
)
/
(
    INDEX($AN$5:$AN$77, MATCH(AR$100,_xlfn.ANCHORARRAY( $W$5), 0))
    *
    INDEX($AN$5:$AN$77, MATCH($A167,_xlfn.ANCHORARRAY( $W$5), 0))
)</f>
        <v>0.89559628640645894</v>
      </c>
      <c r="AS167" s="17" cm="1">
        <f t="array" ref="AS167">MMULT(
    MMULT(
        INDEX($X$5:$AM$77, MATCH(AS$100,_xlfn.ANCHORARRAY( $W$5), 0), 0),
        $F$5:$U$20
    ),
    TRANSPOSE(
        INDEX($X$5:$AM$77, MATCH($A167,_xlfn.ANCHORARRAY( $W$5), 0), 0)
    )
)
/
(
    INDEX($AN$5:$AN$77, MATCH(AS$100,_xlfn.ANCHORARRAY( $W$5), 0))
    *
    INDEX($AN$5:$AN$77, MATCH($A167,_xlfn.ANCHORARRAY( $W$5), 0))
)</f>
        <v>0.83084006513044473</v>
      </c>
      <c r="AT167" s="17" cm="1">
        <f t="array" ref="AT167">MMULT(
    MMULT(
        INDEX($X$5:$AM$77, MATCH(AT$100,_xlfn.ANCHORARRAY( $W$5), 0), 0),
        $F$5:$U$20
    ),
    TRANSPOSE(
        INDEX($X$5:$AM$77, MATCH($A167,_xlfn.ANCHORARRAY( $W$5), 0), 0)
    )
)
/
(
    INDEX($AN$5:$AN$77, MATCH(AT$100,_xlfn.ANCHORARRAY( $W$5), 0))
    *
    INDEX($AN$5:$AN$77, MATCH($A167,_xlfn.ANCHORARRAY( $W$5), 0))
)</f>
        <v>0.81680520198521878</v>
      </c>
      <c r="AU167" s="17" cm="1">
        <f t="array" ref="AU167">MMULT(
    MMULT(
        INDEX($X$5:$AM$77, MATCH(AU$100,_xlfn.ANCHORARRAY( $W$5), 0), 0),
        $F$5:$U$20
    ),
    TRANSPOSE(
        INDEX($X$5:$AM$77, MATCH($A167,_xlfn.ANCHORARRAY( $W$5), 0), 0)
    )
)
/
(
    INDEX($AN$5:$AN$77, MATCH(AU$100,_xlfn.ANCHORARRAY( $W$5), 0))
    *
    INDEX($AN$5:$AN$77, MATCH($A167,_xlfn.ANCHORARRAY( $W$5), 0))
)</f>
        <v>0.84217275441008543</v>
      </c>
      <c r="AV167" s="17" cm="1">
        <f t="array" ref="AV167">MMULT(
    MMULT(
        INDEX($X$5:$AM$77, MATCH(AV$100,_xlfn.ANCHORARRAY( $W$5), 0), 0),
        $F$5:$U$20
    ),
    TRANSPOSE(
        INDEX($X$5:$AM$77, MATCH($A167,_xlfn.ANCHORARRAY( $W$5), 0), 0)
    )
)
/
(
    INDEX($AN$5:$AN$77, MATCH(AV$100,_xlfn.ANCHORARRAY( $W$5), 0))
    *
    INDEX($AN$5:$AN$77, MATCH($A167,_xlfn.ANCHORARRAY( $W$5), 0))
)</f>
        <v>0.85496069351663384</v>
      </c>
      <c r="AW167" s="17" cm="1">
        <f t="array" ref="AW167">MMULT(
    MMULT(
        INDEX($X$5:$AM$77, MATCH(AW$100,_xlfn.ANCHORARRAY( $W$5), 0), 0),
        $F$5:$U$20
    ),
    TRANSPOSE(
        INDEX($X$5:$AM$77, MATCH($A167,_xlfn.ANCHORARRAY( $W$5), 0), 0)
    )
)
/
(
    INDEX($AN$5:$AN$77, MATCH(AW$100,_xlfn.ANCHORARRAY( $W$5), 0))
    *
    INDEX($AN$5:$AN$77, MATCH($A167,_xlfn.ANCHORARRAY( $W$5), 0))
)</f>
        <v>0.7858195962494301</v>
      </c>
      <c r="AX167" s="17" cm="1">
        <f t="array" ref="AX167">MMULT(
    MMULT(
        INDEX($X$5:$AM$77, MATCH(AX$100,_xlfn.ANCHORARRAY( $W$5), 0), 0),
        $F$5:$U$20
    ),
    TRANSPOSE(
        INDEX($X$5:$AM$77, MATCH($A167,_xlfn.ANCHORARRAY( $W$5), 0), 0)
    )
)
/
(
    INDEX($AN$5:$AN$77, MATCH(AX$100,_xlfn.ANCHORARRAY( $W$5), 0))
    *
    INDEX($AN$5:$AN$77, MATCH($A167,_xlfn.ANCHORARRAY( $W$5), 0))
)</f>
        <v>0.61043867741283397</v>
      </c>
      <c r="AY167" s="17" cm="1">
        <f t="array" ref="AY167">MMULT(
    MMULT(
        INDEX($X$5:$AM$77, MATCH(AY$100,_xlfn.ANCHORARRAY( $W$5), 0), 0),
        $F$5:$U$20
    ),
    TRANSPOSE(
        INDEX($X$5:$AM$77, MATCH($A167,_xlfn.ANCHORARRAY( $W$5), 0), 0)
    )
)
/
(
    INDEX($AN$5:$AN$77, MATCH(AY$100,_xlfn.ANCHORARRAY( $W$5), 0))
    *
    INDEX($AN$5:$AN$77, MATCH($A167,_xlfn.ANCHORARRAY( $W$5), 0))
)</f>
        <v>0.64628328515332434</v>
      </c>
      <c r="AZ167" s="17" cm="1">
        <f t="array" ref="AZ167">MMULT(
    MMULT(
        INDEX($X$5:$AM$77, MATCH(AZ$100,_xlfn.ANCHORARRAY( $W$5), 0), 0),
        $F$5:$U$20
    ),
    TRANSPOSE(
        INDEX($X$5:$AM$77, MATCH($A167,_xlfn.ANCHORARRAY( $W$5), 0), 0)
    )
)
/
(
    INDEX($AN$5:$AN$77, MATCH(AZ$100,_xlfn.ANCHORARRAY( $W$5), 0))
    *
    INDEX($AN$5:$AN$77, MATCH($A167,_xlfn.ANCHORARRAY( $W$5), 0))
)</f>
        <v>0.88601934738717247</v>
      </c>
      <c r="BA167" s="17" cm="1">
        <f t="array" ref="BA167">MMULT(
    MMULT(
        INDEX($X$5:$AM$77, MATCH(BA$100,_xlfn.ANCHORARRAY( $W$5), 0), 0),
        $F$5:$U$20
    ),
    TRANSPOSE(
        INDEX($X$5:$AM$77, MATCH($A167,_xlfn.ANCHORARRAY( $W$5), 0), 0)
    )
)
/
(
    INDEX($AN$5:$AN$77, MATCH(BA$100,_xlfn.ANCHORARRAY( $W$5), 0))
    *
    INDEX($AN$5:$AN$77, MATCH($A167,_xlfn.ANCHORARRAY( $W$5), 0))
)</f>
        <v>0.90620937444871352</v>
      </c>
      <c r="BB167" s="17" cm="1">
        <f t="array" ref="BB167">MMULT(
    MMULT(
        INDEX($X$5:$AM$77, MATCH(BB$100,_xlfn.ANCHORARRAY( $W$5), 0), 0),
        $F$5:$U$20
    ),
    TRANSPOSE(
        INDEX($X$5:$AM$77, MATCH($A167,_xlfn.ANCHORARRAY( $W$5), 0), 0)
    )
)
/
(
    INDEX($AN$5:$AN$77, MATCH(BB$100,_xlfn.ANCHORARRAY( $W$5), 0))
    *
    INDEX($AN$5:$AN$77, MATCH($A167,_xlfn.ANCHORARRAY( $W$5), 0))
)</f>
        <v>0.69522144661020024</v>
      </c>
      <c r="BC167" s="17" cm="1">
        <f t="array" ref="BC167">MMULT(
    MMULT(
        INDEX($X$5:$AM$77, MATCH(BC$100,_xlfn.ANCHORARRAY( $W$5), 0), 0),
        $F$5:$U$20
    ),
    TRANSPOSE(
        INDEX($X$5:$AM$77, MATCH($A167,_xlfn.ANCHORARRAY( $W$5), 0), 0)
    )
)
/
(
    INDEX($AN$5:$AN$77, MATCH(BC$100,_xlfn.ANCHORARRAY( $W$5), 0))
    *
    INDEX($AN$5:$AN$77, MATCH($A167,_xlfn.ANCHORARRAY( $W$5), 0))
)</f>
        <v>0.81309483773199109</v>
      </c>
      <c r="BD167" s="17" cm="1">
        <f t="array" ref="BD167">MMULT(
    MMULT(
        INDEX($X$5:$AM$77, MATCH(BD$100,_xlfn.ANCHORARRAY( $W$5), 0), 0),
        $F$5:$U$20
    ),
    TRANSPOSE(
        INDEX($X$5:$AM$77, MATCH($A167,_xlfn.ANCHORARRAY( $W$5), 0), 0)
    )
)
/
(
    INDEX($AN$5:$AN$77, MATCH(BD$100,_xlfn.ANCHORARRAY( $W$5), 0))
    *
    INDEX($AN$5:$AN$77, MATCH($A167,_xlfn.ANCHORARRAY( $W$5), 0))
)</f>
        <v>0.74197957446038831</v>
      </c>
      <c r="BE167" s="17" cm="1">
        <f t="array" ref="BE167">MMULT(
    MMULT(
        INDEX($X$5:$AM$77, MATCH(BE$100,_xlfn.ANCHORARRAY( $W$5), 0), 0),
        $F$5:$U$20
    ),
    TRANSPOSE(
        INDEX($X$5:$AM$77, MATCH($A167,_xlfn.ANCHORARRAY( $W$5), 0), 0)
    )
)
/
(
    INDEX($AN$5:$AN$77, MATCH(BE$100,_xlfn.ANCHORARRAY( $W$5), 0))
    *
    INDEX($AN$5:$AN$77, MATCH($A167,_xlfn.ANCHORARRAY( $W$5), 0))
)</f>
        <v>0.77146687425764315</v>
      </c>
      <c r="BF167" s="17" cm="1">
        <f t="array" ref="BF167">MMULT(
    MMULT(
        INDEX($X$5:$AM$77, MATCH(BF$100,_xlfn.ANCHORARRAY( $W$5), 0), 0),
        $F$5:$U$20
    ),
    TRANSPOSE(
        INDEX($X$5:$AM$77, MATCH($A167,_xlfn.ANCHORARRAY( $W$5), 0), 0)
    )
)
/
(
    INDEX($AN$5:$AN$77, MATCH(BF$100,_xlfn.ANCHORARRAY( $W$5), 0))
    *
    INDEX($AN$5:$AN$77, MATCH($A167,_xlfn.ANCHORARRAY( $W$5), 0))
)</f>
        <v>0.92124271139317793</v>
      </c>
      <c r="BG167" s="17" cm="1">
        <f t="array" ref="BG167">MMULT(
    MMULT(
        INDEX($X$5:$AM$77, MATCH(BG$100,_xlfn.ANCHORARRAY( $W$5), 0), 0),
        $F$5:$U$20
    ),
    TRANSPOSE(
        INDEX($X$5:$AM$77, MATCH($A167,_xlfn.ANCHORARRAY( $W$5), 0), 0)
    )
)
/
(
    INDEX($AN$5:$AN$77, MATCH(BG$100,_xlfn.ANCHORARRAY( $W$5), 0))
    *
    INDEX($AN$5:$AN$77, MATCH($A167,_xlfn.ANCHORARRAY( $W$5), 0))
)</f>
        <v>0.87108218352365518</v>
      </c>
      <c r="BH167" s="17" cm="1">
        <f t="array" ref="BH167">MMULT(
    MMULT(
        INDEX($X$5:$AM$77, MATCH(BH$100,_xlfn.ANCHORARRAY( $W$5), 0), 0),
        $F$5:$U$20
    ),
    TRANSPOSE(
        INDEX($X$5:$AM$77, MATCH($A167,_xlfn.ANCHORARRAY( $W$5), 0), 0)
    )
)
/
(
    INDEX($AN$5:$AN$77, MATCH(BH$100,_xlfn.ANCHORARRAY( $W$5), 0))
    *
    INDEX($AN$5:$AN$77, MATCH($A167,_xlfn.ANCHORARRAY( $W$5), 0))
)</f>
        <v>0.85070205294564671</v>
      </c>
      <c r="BI167" s="17" cm="1">
        <f t="array" ref="BI167">MMULT(
    MMULT(
        INDEX($X$5:$AM$77, MATCH(BI$100,_xlfn.ANCHORARRAY( $W$5), 0), 0),
        $F$5:$U$20
    ),
    TRANSPOSE(
        INDEX($X$5:$AM$77, MATCH($A167,_xlfn.ANCHORARRAY( $W$5), 0), 0)
    )
)
/
(
    INDEX($AN$5:$AN$77, MATCH(BI$100,_xlfn.ANCHORARRAY( $W$5), 0))
    *
    INDEX($AN$5:$AN$77, MATCH($A167,_xlfn.ANCHORARRAY( $W$5), 0))
)</f>
        <v>0.58434341562969505</v>
      </c>
      <c r="BJ167" s="17" cm="1">
        <f t="array" ref="BJ167">MMULT(
    MMULT(
        INDEX($X$5:$AM$77, MATCH(BJ$100,_xlfn.ANCHORARRAY( $W$5), 0), 0),
        $F$5:$U$20
    ),
    TRANSPOSE(
        INDEX($X$5:$AM$77, MATCH($A167,_xlfn.ANCHORARRAY( $W$5), 0), 0)
    )
)
/
(
    INDEX($AN$5:$AN$77, MATCH(BJ$100,_xlfn.ANCHORARRAY( $W$5), 0))
    *
    INDEX($AN$5:$AN$77, MATCH($A167,_xlfn.ANCHORARRAY( $W$5), 0))
)</f>
        <v>0.9252114171419854</v>
      </c>
      <c r="BK167" s="17" cm="1">
        <f t="array" ref="BK167">MMULT(
    MMULT(
        INDEX($X$5:$AM$77, MATCH(BK$100,_xlfn.ANCHORARRAY( $W$5), 0), 0),
        $F$5:$U$20
    ),
    TRANSPOSE(
        INDEX($X$5:$AM$77, MATCH($A167,_xlfn.ANCHORARRAY( $W$5), 0), 0)
    )
)
/
(
    INDEX($AN$5:$AN$77, MATCH(BK$100,_xlfn.ANCHORARRAY( $W$5), 0))
    *
    INDEX($AN$5:$AN$77, MATCH($A167,_xlfn.ANCHORARRAY( $W$5), 0))
)</f>
        <v>0.76031494178908898</v>
      </c>
      <c r="BL167" s="17" cm="1">
        <f t="array" ref="BL167">MMULT(
    MMULT(
        INDEX($X$5:$AM$77, MATCH(BL$100,_xlfn.ANCHORARRAY( $W$5), 0), 0),
        $F$5:$U$20
    ),
    TRANSPOSE(
        INDEX($X$5:$AM$77, MATCH($A167,_xlfn.ANCHORARRAY( $W$5), 0), 0)
    )
)
/
(
    INDEX($AN$5:$AN$77, MATCH(BL$100,_xlfn.ANCHORARRAY( $W$5), 0))
    *
    INDEX($AN$5:$AN$77, MATCH($A167,_xlfn.ANCHORARRAY( $W$5), 0))
)</f>
        <v>0.47991431055738193</v>
      </c>
      <c r="BM167" s="17" cm="1">
        <f t="array" ref="BM167">MMULT(
    MMULT(
        INDEX($X$5:$AM$77, MATCH(BM$100,_xlfn.ANCHORARRAY( $W$5), 0), 0),
        $F$5:$U$20
    ),
    TRANSPOSE(
        INDEX($X$5:$AM$77, MATCH($A167,_xlfn.ANCHORARRAY( $W$5), 0), 0)
    )
)
/
(
    INDEX($AN$5:$AN$77, MATCH(BM$100,_xlfn.ANCHORARRAY( $W$5), 0))
    *
    INDEX($AN$5:$AN$77, MATCH($A167,_xlfn.ANCHORARRAY( $W$5), 0))
)</f>
        <v>0.83994161807042511</v>
      </c>
      <c r="BN167" s="17" cm="1">
        <f t="array" ref="BN167">MMULT(
    MMULT(
        INDEX($X$5:$AM$77, MATCH(BN$100,_xlfn.ANCHORARRAY( $W$5), 0), 0),
        $F$5:$U$20
    ),
    TRANSPOSE(
        INDEX($X$5:$AM$77, MATCH($A167,_xlfn.ANCHORARRAY( $W$5), 0), 0)
    )
)
/
(
    INDEX($AN$5:$AN$77, MATCH(BN$100,_xlfn.ANCHORARRAY( $W$5), 0))
    *
    INDEX($AN$5:$AN$77, MATCH($A167,_xlfn.ANCHORARRAY( $W$5), 0))
)</f>
        <v>0.76539398547591575</v>
      </c>
      <c r="BO167" s="17" cm="1">
        <f t="array" ref="BO167">MMULT(
    MMULT(
        INDEX($X$5:$AM$77, MATCH(BO$100,_xlfn.ANCHORARRAY( $W$5), 0), 0),
        $F$5:$U$20
    ),
    TRANSPOSE(
        INDEX($X$5:$AM$77, MATCH($A167,_xlfn.ANCHORARRAY( $W$5), 0), 0)
    )
)
/
(
    INDEX($AN$5:$AN$77, MATCH(BO$100,_xlfn.ANCHORARRAY( $W$5), 0))
    *
    INDEX($AN$5:$AN$77, MATCH($A167,_xlfn.ANCHORARRAY( $W$5), 0))
)</f>
        <v>0.83181281866613865</v>
      </c>
      <c r="BP167" s="17" cm="1">
        <f t="array" ref="BP167">MMULT(
    MMULT(
        INDEX($X$5:$AM$77, MATCH(BP$100,_xlfn.ANCHORARRAY( $W$5), 0), 0),
        $F$5:$U$20
    ),
    TRANSPOSE(
        INDEX($X$5:$AM$77, MATCH($A167,_xlfn.ANCHORARRAY( $W$5), 0), 0)
    )
)
/
(
    INDEX($AN$5:$AN$77, MATCH(BP$100,_xlfn.ANCHORARRAY( $W$5), 0))
    *
    INDEX($AN$5:$AN$77, MATCH($A167,_xlfn.ANCHORARRAY( $W$5), 0))
)</f>
        <v>1</v>
      </c>
      <c r="BQ167" s="17" cm="1">
        <f t="array" ref="BQ167">MMULT(
    MMULT(
        INDEX($X$5:$AM$77, MATCH(BQ$100,_xlfn.ANCHORARRAY( $W$5), 0), 0),
        $F$5:$U$20
    ),
    TRANSPOSE(
        INDEX($X$5:$AM$77, MATCH($A167,_xlfn.ANCHORARRAY( $W$5), 0), 0)
    )
)
/
(
    INDEX($AN$5:$AN$77, MATCH(BQ$100,_xlfn.ANCHORARRAY( $W$5), 0))
    *
    INDEX($AN$5:$AN$77, MATCH($A167,_xlfn.ANCHORARRAY( $W$5), 0))
)</f>
        <v>0.78110343045507402</v>
      </c>
      <c r="BR167" s="17" cm="1">
        <f t="array" ref="BR167">MMULT(
    MMULT(
        INDEX($X$5:$AM$77, MATCH(BR$100,_xlfn.ANCHORARRAY( $W$5), 0), 0),
        $F$5:$U$20
    ),
    TRANSPOSE(
        INDEX($X$5:$AM$77, MATCH($A167,_xlfn.ANCHORARRAY( $W$5), 0), 0)
    )
)
/
(
    INDEX($AN$5:$AN$77, MATCH(BR$100,_xlfn.ANCHORARRAY( $W$5), 0))
    *
    INDEX($AN$5:$AN$77, MATCH($A167,_xlfn.ANCHORARRAY( $W$5), 0))
)</f>
        <v>0.77278490960895507</v>
      </c>
      <c r="BS167" s="17" cm="1">
        <f t="array" ref="BS167">MMULT(
    MMULT(
        INDEX($X$5:$AM$77, MATCH(BS$100,_xlfn.ANCHORARRAY( $W$5), 0), 0),
        $F$5:$U$20
    ),
    TRANSPOSE(
        INDEX($X$5:$AM$77, MATCH($A167,_xlfn.ANCHORARRAY( $W$5), 0), 0)
    )
)
/
(
    INDEX($AN$5:$AN$77, MATCH(BS$100,_xlfn.ANCHORARRAY( $W$5), 0))
    *
    INDEX($AN$5:$AN$77, MATCH($A167,_xlfn.ANCHORARRAY( $W$5), 0))
)</f>
        <v>0.79666642458684356</v>
      </c>
      <c r="BT167" s="17" cm="1">
        <f t="array" ref="BT167">MMULT(
    MMULT(
        INDEX($X$5:$AM$77, MATCH(BT$100,_xlfn.ANCHORARRAY( $W$5), 0), 0),
        $F$5:$U$20
    ),
    TRANSPOSE(
        INDEX($X$5:$AM$77, MATCH($A167,_xlfn.ANCHORARRAY( $W$5), 0), 0)
    )
)
/
(
    INDEX($AN$5:$AN$77, MATCH(BT$100,_xlfn.ANCHORARRAY( $W$5), 0))
    *
    INDEX($AN$5:$AN$77, MATCH($A167,_xlfn.ANCHORARRAY( $W$5), 0))
)</f>
        <v>0.90949942832309849</v>
      </c>
      <c r="BU167" s="17" cm="1">
        <f t="array" ref="BU167">MMULT(
    MMULT(
        INDEX($X$5:$AM$77, MATCH(BU$100,_xlfn.ANCHORARRAY( $W$5), 0), 0),
        $F$5:$U$20
    ),
    TRANSPOSE(
        INDEX($X$5:$AM$77, MATCH($A167,_xlfn.ANCHORARRAY( $W$5), 0), 0)
    )
)
/
(
    INDEX($AN$5:$AN$77, MATCH(BU$100,_xlfn.ANCHORARRAY( $W$5), 0))
    *
    INDEX($AN$5:$AN$77, MATCH($A167,_xlfn.ANCHORARRAY( $W$5), 0))
)</f>
        <v>0.8642748379564672</v>
      </c>
      <c r="BV167" s="17" cm="1">
        <f t="array" ref="BV167">MMULT(
    MMULT(
        INDEX($X$5:$AM$77, MATCH(BV$100,_xlfn.ANCHORARRAY( $W$5), 0), 0),
        $F$5:$U$20
    ),
    TRANSPOSE(
        INDEX($X$5:$AM$77, MATCH($A167,_xlfn.ANCHORARRAY( $W$5), 0), 0)
    )
)
/
(
    INDEX($AN$5:$AN$77, MATCH(BV$100,_xlfn.ANCHORARRAY( $W$5), 0))
    *
    INDEX($AN$5:$AN$77, MATCH($A167,_xlfn.ANCHORARRAY( $W$5), 0))
)</f>
        <v>0.74040593267019272</v>
      </c>
    </row>
    <row r="168" spans="1:74" x14ac:dyDescent="0.3">
      <c r="A168" s="7" t="str">
        <v>Luetge, Lucas</v>
      </c>
      <c r="B168" s="17" cm="1">
        <f t="array" ref="B168">MMULT(
    MMULT(
        INDEX($X$5:$AM$77, MATCH(B$100,_xlfn.ANCHORARRAY( $W$5), 0), 0),
        $F$5:$U$20
    ),
    TRANSPOSE(
        INDEX($X$5:$AM$77, MATCH($A168,_xlfn.ANCHORARRAY( $W$5), 0), 0)
    )
)
/
(
    INDEX($AN$5:$AN$77, MATCH(B$100,_xlfn.ANCHORARRAY( $W$5), 0))
    *
    INDEX($AN$5:$AN$77, MATCH($A168,_xlfn.ANCHORARRAY( $W$5), 0))
)</f>
        <v>0.73499763411264518</v>
      </c>
      <c r="C168" s="17" cm="1">
        <f t="array" ref="C168">MMULT(
    MMULT(
        INDEX($X$5:$AM$77, MATCH(C$100,_xlfn.ANCHORARRAY( $W$5), 0), 0),
        $F$5:$U$20
    ),
    TRANSPOSE(
        INDEX($X$5:$AM$77, MATCH($A168,_xlfn.ANCHORARRAY( $W$5), 0), 0)
    )
)
/
(
    INDEX($AN$5:$AN$77, MATCH(C$100,_xlfn.ANCHORARRAY( $W$5), 0))
    *
    INDEX($AN$5:$AN$77, MATCH($A168,_xlfn.ANCHORARRAY( $W$5), 0))
)</f>
        <v>0.63721161426753103</v>
      </c>
      <c r="D168" s="17" cm="1">
        <f t="array" ref="D168">MMULT(
    MMULT(
        INDEX($X$5:$AM$77, MATCH(D$100,_xlfn.ANCHORARRAY( $W$5), 0), 0),
        $F$5:$U$20
    ),
    TRANSPOSE(
        INDEX($X$5:$AM$77, MATCH($A168,_xlfn.ANCHORARRAY( $W$5), 0), 0)
    )
)
/
(
    INDEX($AN$5:$AN$77, MATCH(D$100,_xlfn.ANCHORARRAY( $W$5), 0))
    *
    INDEX($AN$5:$AN$77, MATCH($A168,_xlfn.ANCHORARRAY( $W$5), 0))
)</f>
        <v>0.69510567232527887</v>
      </c>
      <c r="E168" s="17" cm="1">
        <f t="array" ref="E168">MMULT(
    MMULT(
        INDEX($X$5:$AM$77, MATCH(E$100,_xlfn.ANCHORARRAY( $W$5), 0), 0),
        $F$5:$U$20
    ),
    TRANSPOSE(
        INDEX($X$5:$AM$77, MATCH($A168,_xlfn.ANCHORARRAY( $W$5), 0), 0)
    )
)
/
(
    INDEX($AN$5:$AN$77, MATCH(E$100,_xlfn.ANCHORARRAY( $W$5), 0))
    *
    INDEX($AN$5:$AN$77, MATCH($A168,_xlfn.ANCHORARRAY( $W$5), 0))
)</f>
        <v>0.71384695325443137</v>
      </c>
      <c r="F168" s="17" cm="1">
        <f t="array" ref="F168">MMULT(
    MMULT(
        INDEX($X$5:$AM$77, MATCH(F$100,_xlfn.ANCHORARRAY( $W$5), 0), 0),
        $F$5:$U$20
    ),
    TRANSPOSE(
        INDEX($X$5:$AM$77, MATCH($A168,_xlfn.ANCHORARRAY( $W$5), 0), 0)
    )
)
/
(
    INDEX($AN$5:$AN$77, MATCH(F$100,_xlfn.ANCHORARRAY( $W$5), 0))
    *
    INDEX($AN$5:$AN$77, MATCH($A168,_xlfn.ANCHORARRAY( $W$5), 0))
)</f>
        <v>0.68534248957029797</v>
      </c>
      <c r="G168" s="17" cm="1">
        <f t="array" ref="G168">MMULT(
    MMULT(
        INDEX($X$5:$AM$77, MATCH(G$100,_xlfn.ANCHORARRAY( $W$5), 0), 0),
        $F$5:$U$20
    ),
    TRANSPOSE(
        INDEX($X$5:$AM$77, MATCH($A168,_xlfn.ANCHORARRAY( $W$5), 0), 0)
    )
)
/
(
    INDEX($AN$5:$AN$77, MATCH(G$100,_xlfn.ANCHORARRAY( $W$5), 0))
    *
    INDEX($AN$5:$AN$77, MATCH($A168,_xlfn.ANCHORARRAY( $W$5), 0))
)</f>
        <v>0.52345288687770786</v>
      </c>
      <c r="H168" s="17" cm="1">
        <f t="array" ref="H168">MMULT(
    MMULT(
        INDEX($X$5:$AM$77, MATCH(H$100,_xlfn.ANCHORARRAY( $W$5), 0), 0),
        $F$5:$U$20
    ),
    TRANSPOSE(
        INDEX($X$5:$AM$77, MATCH($A168,_xlfn.ANCHORARRAY( $W$5), 0), 0)
    )
)
/
(
    INDEX($AN$5:$AN$77, MATCH(H$100,_xlfn.ANCHORARRAY( $W$5), 0))
    *
    INDEX($AN$5:$AN$77, MATCH($A168,_xlfn.ANCHORARRAY( $W$5), 0))
)</f>
        <v>0.71948885292554188</v>
      </c>
      <c r="I168" s="17" cm="1">
        <f t="array" ref="I168">MMULT(
    MMULT(
        INDEX($X$5:$AM$77, MATCH(I$100,_xlfn.ANCHORARRAY( $W$5), 0), 0),
        $F$5:$U$20
    ),
    TRANSPOSE(
        INDEX($X$5:$AM$77, MATCH($A168,_xlfn.ANCHORARRAY( $W$5), 0), 0)
    )
)
/
(
    INDEX($AN$5:$AN$77, MATCH(I$100,_xlfn.ANCHORARRAY( $W$5), 0))
    *
    INDEX($AN$5:$AN$77, MATCH($A168,_xlfn.ANCHORARRAY( $W$5), 0))
)</f>
        <v>0.64162390670093994</v>
      </c>
      <c r="J168" s="17" cm="1">
        <f t="array" ref="J168">MMULT(
    MMULT(
        INDEX($X$5:$AM$77, MATCH(J$100,_xlfn.ANCHORARRAY( $W$5), 0), 0),
        $F$5:$U$20
    ),
    TRANSPOSE(
        INDEX($X$5:$AM$77, MATCH($A168,_xlfn.ANCHORARRAY( $W$5), 0), 0)
    )
)
/
(
    INDEX($AN$5:$AN$77, MATCH(J$100,_xlfn.ANCHORARRAY( $W$5), 0))
    *
    INDEX($AN$5:$AN$77, MATCH($A168,_xlfn.ANCHORARRAY( $W$5), 0))
)</f>
        <v>0.79403963077049078</v>
      </c>
      <c r="K168" s="17" cm="1">
        <f t="array" ref="K168">MMULT(
    MMULT(
        INDEX($X$5:$AM$77, MATCH(K$100,_xlfn.ANCHORARRAY( $W$5), 0), 0),
        $F$5:$U$20
    ),
    TRANSPOSE(
        INDEX($X$5:$AM$77, MATCH($A168,_xlfn.ANCHORARRAY( $W$5), 0), 0)
    )
)
/
(
    INDEX($AN$5:$AN$77, MATCH(K$100,_xlfn.ANCHORARRAY( $W$5), 0))
    *
    INDEX($AN$5:$AN$77, MATCH($A168,_xlfn.ANCHORARRAY( $W$5), 0))
)</f>
        <v>0.71101969894184647</v>
      </c>
      <c r="L168" s="17" cm="1">
        <f t="array" ref="L168">MMULT(
    MMULT(
        INDEX($X$5:$AM$77, MATCH(L$100,_xlfn.ANCHORARRAY( $W$5), 0), 0),
        $F$5:$U$20
    ),
    TRANSPOSE(
        INDEX($X$5:$AM$77, MATCH($A168,_xlfn.ANCHORARRAY( $W$5), 0), 0)
    )
)
/
(
    INDEX($AN$5:$AN$77, MATCH(L$100,_xlfn.ANCHORARRAY( $W$5), 0))
    *
    INDEX($AN$5:$AN$77, MATCH($A168,_xlfn.ANCHORARRAY( $W$5), 0))
)</f>
        <v>0.78602431159229147</v>
      </c>
      <c r="M168" s="17" cm="1">
        <f t="array" ref="M168">MMULT(
    MMULT(
        INDEX($X$5:$AM$77, MATCH(M$100,_xlfn.ANCHORARRAY( $W$5), 0), 0),
        $F$5:$U$20
    ),
    TRANSPOSE(
        INDEX($X$5:$AM$77, MATCH($A168,_xlfn.ANCHORARRAY( $W$5), 0), 0)
    )
)
/
(
    INDEX($AN$5:$AN$77, MATCH(M$100,_xlfn.ANCHORARRAY( $W$5), 0))
    *
    INDEX($AN$5:$AN$77, MATCH($A168,_xlfn.ANCHORARRAY( $W$5), 0))
)</f>
        <v>0.6078433521716794</v>
      </c>
      <c r="N168" s="17" cm="1">
        <f t="array" ref="N168">MMULT(
    MMULT(
        INDEX($X$5:$AM$77, MATCH(N$100,_xlfn.ANCHORARRAY( $W$5), 0), 0),
        $F$5:$U$20
    ),
    TRANSPOSE(
        INDEX($X$5:$AM$77, MATCH($A168,_xlfn.ANCHORARRAY( $W$5), 0), 0)
    )
)
/
(
    INDEX($AN$5:$AN$77, MATCH(N$100,_xlfn.ANCHORARRAY( $W$5), 0))
    *
    INDEX($AN$5:$AN$77, MATCH($A168,_xlfn.ANCHORARRAY( $W$5), 0))
)</f>
        <v>0.68264125887102056</v>
      </c>
      <c r="O168" s="17" cm="1">
        <f t="array" ref="O168">MMULT(
    MMULT(
        INDEX($X$5:$AM$77, MATCH(O$100,_xlfn.ANCHORARRAY( $W$5), 0), 0),
        $F$5:$U$20
    ),
    TRANSPOSE(
        INDEX($X$5:$AM$77, MATCH($A168,_xlfn.ANCHORARRAY( $W$5), 0), 0)
    )
)
/
(
    INDEX($AN$5:$AN$77, MATCH(O$100,_xlfn.ANCHORARRAY( $W$5), 0))
    *
    INDEX($AN$5:$AN$77, MATCH($A168,_xlfn.ANCHORARRAY( $W$5), 0))
)</f>
        <v>0.63806479503554081</v>
      </c>
      <c r="P168" s="17" cm="1">
        <f t="array" ref="P168">MMULT(
    MMULT(
        INDEX($X$5:$AM$77, MATCH(P$100,_xlfn.ANCHORARRAY( $W$5), 0), 0),
        $F$5:$U$20
    ),
    TRANSPOSE(
        INDEX($X$5:$AM$77, MATCH($A168,_xlfn.ANCHORARRAY( $W$5), 0), 0)
    )
)
/
(
    INDEX($AN$5:$AN$77, MATCH(P$100,_xlfn.ANCHORARRAY( $W$5), 0))
    *
    INDEX($AN$5:$AN$77, MATCH($A168,_xlfn.ANCHORARRAY( $W$5), 0))
)</f>
        <v>0.80084132562190968</v>
      </c>
      <c r="Q168" s="17" cm="1">
        <f t="array" ref="Q168">MMULT(
    MMULT(
        INDEX($X$5:$AM$77, MATCH(Q$100,_xlfn.ANCHORARRAY( $W$5), 0), 0),
        $F$5:$U$20
    ),
    TRANSPOSE(
        INDEX($X$5:$AM$77, MATCH($A168,_xlfn.ANCHORARRAY( $W$5), 0), 0)
    )
)
/
(
    INDEX($AN$5:$AN$77, MATCH(Q$100,_xlfn.ANCHORARRAY( $W$5), 0))
    *
    INDEX($AN$5:$AN$77, MATCH($A168,_xlfn.ANCHORARRAY( $W$5), 0))
)</f>
        <v>0.80221197746765116</v>
      </c>
      <c r="R168" s="17" cm="1">
        <f t="array" ref="R168">MMULT(
    MMULT(
        INDEX($X$5:$AM$77, MATCH(R$100,_xlfn.ANCHORARRAY( $W$5), 0), 0),
        $F$5:$U$20
    ),
    TRANSPOSE(
        INDEX($X$5:$AM$77, MATCH($A168,_xlfn.ANCHORARRAY( $W$5), 0), 0)
    )
)
/
(
    INDEX($AN$5:$AN$77, MATCH(R$100,_xlfn.ANCHORARRAY( $W$5), 0))
    *
    INDEX($AN$5:$AN$77, MATCH($A168,_xlfn.ANCHORARRAY( $W$5), 0))
)</f>
        <v>0.68602058107073938</v>
      </c>
      <c r="S168" s="17" cm="1">
        <f t="array" ref="S168">MMULT(
    MMULT(
        INDEX($X$5:$AM$77, MATCH(S$100,_xlfn.ANCHORARRAY( $W$5), 0), 0),
        $F$5:$U$20
    ),
    TRANSPOSE(
        INDEX($X$5:$AM$77, MATCH($A168,_xlfn.ANCHORARRAY( $W$5), 0), 0)
    )
)
/
(
    INDEX($AN$5:$AN$77, MATCH(S$100,_xlfn.ANCHORARRAY( $W$5), 0))
    *
    INDEX($AN$5:$AN$77, MATCH($A168,_xlfn.ANCHORARRAY( $W$5), 0))
)</f>
        <v>0.67966754450665667</v>
      </c>
      <c r="T168" s="17" cm="1">
        <f t="array" ref="T168">MMULT(
    MMULT(
        INDEX($X$5:$AM$77, MATCH(T$100,_xlfn.ANCHORARRAY( $W$5), 0), 0),
        $F$5:$U$20
    ),
    TRANSPOSE(
        INDEX($X$5:$AM$77, MATCH($A168,_xlfn.ANCHORARRAY( $W$5), 0), 0)
    )
)
/
(
    INDEX($AN$5:$AN$77, MATCH(T$100,_xlfn.ANCHORARRAY( $W$5), 0))
    *
    INDEX($AN$5:$AN$77, MATCH($A168,_xlfn.ANCHORARRAY( $W$5), 0))
)</f>
        <v>0.41807613103433422</v>
      </c>
      <c r="U168" s="17" cm="1">
        <f t="array" ref="U168">MMULT(
    MMULT(
        INDEX($X$5:$AM$77, MATCH(U$100,_xlfn.ANCHORARRAY( $W$5), 0), 0),
        $F$5:$U$20
    ),
    TRANSPOSE(
        INDEX($X$5:$AM$77, MATCH($A168,_xlfn.ANCHORARRAY( $W$5), 0), 0)
    )
)
/
(
    INDEX($AN$5:$AN$77, MATCH(U$100,_xlfn.ANCHORARRAY( $W$5), 0))
    *
    INDEX($AN$5:$AN$77, MATCH($A168,_xlfn.ANCHORARRAY( $W$5), 0))
)</f>
        <v>0.71456896755858557</v>
      </c>
      <c r="V168" s="17" cm="1">
        <f t="array" ref="V168">MMULT(
    MMULT(
        INDEX($X$5:$AM$77, MATCH(V$100,_xlfn.ANCHORARRAY( $W$5), 0), 0),
        $F$5:$U$20
    ),
    TRANSPOSE(
        INDEX($X$5:$AM$77, MATCH($A168,_xlfn.ANCHORARRAY( $W$5), 0), 0)
    )
)
/
(
    INDEX($AN$5:$AN$77, MATCH(V$100,_xlfn.ANCHORARRAY( $W$5), 0))
    *
    INDEX($AN$5:$AN$77, MATCH($A168,_xlfn.ANCHORARRAY( $W$5), 0))
)</f>
        <v>0.61250163471428209</v>
      </c>
      <c r="W168" s="17" cm="1">
        <f t="array" ref="W168">MMULT(
    MMULT(
        INDEX($X$5:$AM$77, MATCH(W$100,_xlfn.ANCHORARRAY( $W$5), 0), 0),
        $F$5:$U$20
    ),
    TRANSPOSE(
        INDEX($X$5:$AM$77, MATCH($A168,_xlfn.ANCHORARRAY( $W$5), 0), 0)
    )
)
/
(
    INDEX($AN$5:$AN$77, MATCH(W$100,_xlfn.ANCHORARRAY( $W$5), 0))
    *
    INDEX($AN$5:$AN$77, MATCH($A168,_xlfn.ANCHORARRAY( $W$5), 0))
)</f>
        <v>0.96969212927705017</v>
      </c>
      <c r="X168" s="17" cm="1">
        <f t="array" ref="X168">MMULT(
    MMULT(
        INDEX($X$5:$AM$77, MATCH(X$100,_xlfn.ANCHORARRAY( $W$5), 0), 0),
        $F$5:$U$20
    ),
    TRANSPOSE(
        INDEX($X$5:$AM$77, MATCH($A168,_xlfn.ANCHORARRAY( $W$5), 0), 0)
    )
)
/
(
    INDEX($AN$5:$AN$77, MATCH(X$100,_xlfn.ANCHORARRAY( $W$5), 0))
    *
    INDEX($AN$5:$AN$77, MATCH($A168,_xlfn.ANCHORARRAY( $W$5), 0))
)</f>
        <v>0.68000185748045039</v>
      </c>
      <c r="Y168" s="17" cm="1">
        <f t="array" ref="Y168">MMULT(
    MMULT(
        INDEX($X$5:$AM$77, MATCH(Y$100,_xlfn.ANCHORARRAY( $W$5), 0), 0),
        $F$5:$U$20
    ),
    TRANSPOSE(
        INDEX($X$5:$AM$77, MATCH($A168,_xlfn.ANCHORARRAY( $W$5), 0), 0)
    )
)
/
(
    INDEX($AN$5:$AN$77, MATCH(Y$100,_xlfn.ANCHORARRAY( $W$5), 0))
    *
    INDEX($AN$5:$AN$77, MATCH($A168,_xlfn.ANCHORARRAY( $W$5), 0))
)</f>
        <v>0.60732622531832237</v>
      </c>
      <c r="Z168" s="17" cm="1">
        <f t="array" ref="Z168">MMULT(
    MMULT(
        INDEX($X$5:$AM$77, MATCH(Z$100,_xlfn.ANCHORARRAY( $W$5), 0), 0),
        $F$5:$U$20
    ),
    TRANSPOSE(
        INDEX($X$5:$AM$77, MATCH($A168,_xlfn.ANCHORARRAY( $W$5), 0), 0)
    )
)
/
(
    INDEX($AN$5:$AN$77, MATCH(Z$100,_xlfn.ANCHORARRAY( $W$5), 0))
    *
    INDEX($AN$5:$AN$77, MATCH($A168,_xlfn.ANCHORARRAY( $W$5), 0))
)</f>
        <v>0.68981264909864637</v>
      </c>
      <c r="AA168" s="17" cm="1">
        <f t="array" ref="AA168">MMULT(
    MMULT(
        INDEX($X$5:$AM$77, MATCH(AA$100,_xlfn.ANCHORARRAY( $W$5), 0), 0),
        $F$5:$U$20
    ),
    TRANSPOSE(
        INDEX($X$5:$AM$77, MATCH($A168,_xlfn.ANCHORARRAY( $W$5), 0), 0)
    )
)
/
(
    INDEX($AN$5:$AN$77, MATCH(AA$100,_xlfn.ANCHORARRAY( $W$5), 0))
    *
    INDEX($AN$5:$AN$77, MATCH($A168,_xlfn.ANCHORARRAY( $W$5), 0))
)</f>
        <v>0.70901930042090244</v>
      </c>
      <c r="AB168" s="17" cm="1">
        <f t="array" ref="AB168">MMULT(
    MMULT(
        INDEX($X$5:$AM$77, MATCH(AB$100,_xlfn.ANCHORARRAY( $W$5), 0), 0),
        $F$5:$U$20
    ),
    TRANSPOSE(
        INDEX($X$5:$AM$77, MATCH($A168,_xlfn.ANCHORARRAY( $W$5), 0), 0)
    )
)
/
(
    INDEX($AN$5:$AN$77, MATCH(AB$100,_xlfn.ANCHORARRAY( $W$5), 0))
    *
    INDEX($AN$5:$AN$77, MATCH($A168,_xlfn.ANCHORARRAY( $W$5), 0))
)</f>
        <v>0.75281343091409691</v>
      </c>
      <c r="AC168" s="17" cm="1">
        <f t="array" ref="AC168">MMULT(
    MMULT(
        INDEX($X$5:$AM$77, MATCH(AC$100,_xlfn.ANCHORARRAY( $W$5), 0), 0),
        $F$5:$U$20
    ),
    TRANSPOSE(
        INDEX($X$5:$AM$77, MATCH($A168,_xlfn.ANCHORARRAY( $W$5), 0), 0)
    )
)
/
(
    INDEX($AN$5:$AN$77, MATCH(AC$100,_xlfn.ANCHORARRAY( $W$5), 0))
    *
    INDEX($AN$5:$AN$77, MATCH($A168,_xlfn.ANCHORARRAY( $W$5), 0))
)</f>
        <v>0.85650475217723276</v>
      </c>
      <c r="AD168" s="17" cm="1">
        <f t="array" ref="AD168">MMULT(
    MMULT(
        INDEX($X$5:$AM$77, MATCH(AD$100,_xlfn.ANCHORARRAY( $W$5), 0), 0),
        $F$5:$U$20
    ),
    TRANSPOSE(
        INDEX($X$5:$AM$77, MATCH($A168,_xlfn.ANCHORARRAY( $W$5), 0), 0)
    )
)
/
(
    INDEX($AN$5:$AN$77, MATCH(AD$100,_xlfn.ANCHORARRAY( $W$5), 0))
    *
    INDEX($AN$5:$AN$77, MATCH($A168,_xlfn.ANCHORARRAY( $W$5), 0))
)</f>
        <v>0.69852264533720654</v>
      </c>
      <c r="AE168" s="17" cm="1">
        <f t="array" ref="AE168">MMULT(
    MMULT(
        INDEX($X$5:$AM$77, MATCH(AE$100,_xlfn.ANCHORARRAY( $W$5), 0), 0),
        $F$5:$U$20
    ),
    TRANSPOSE(
        INDEX($X$5:$AM$77, MATCH($A168,_xlfn.ANCHORARRAY( $W$5), 0), 0)
    )
)
/
(
    INDEX($AN$5:$AN$77, MATCH(AE$100,_xlfn.ANCHORARRAY( $W$5), 0))
    *
    INDEX($AN$5:$AN$77, MATCH($A168,_xlfn.ANCHORARRAY( $W$5), 0))
)</f>
        <v>0.61464823328367546</v>
      </c>
      <c r="AF168" s="17" cm="1">
        <f t="array" ref="AF168">MMULT(
    MMULT(
        INDEX($X$5:$AM$77, MATCH(AF$100,_xlfn.ANCHORARRAY( $W$5), 0), 0),
        $F$5:$U$20
    ),
    TRANSPOSE(
        INDEX($X$5:$AM$77, MATCH($A168,_xlfn.ANCHORARRAY( $W$5), 0), 0)
    )
)
/
(
    INDEX($AN$5:$AN$77, MATCH(AF$100,_xlfn.ANCHORARRAY( $W$5), 0))
    *
    INDEX($AN$5:$AN$77, MATCH($A168,_xlfn.ANCHORARRAY( $W$5), 0))
)</f>
        <v>0.69635859770261643</v>
      </c>
      <c r="AG168" s="17" cm="1">
        <f t="array" ref="AG168">MMULT(
    MMULT(
        INDEX($X$5:$AM$77, MATCH(AG$100,_xlfn.ANCHORARRAY( $W$5), 0), 0),
        $F$5:$U$20
    ),
    TRANSPOSE(
        INDEX($X$5:$AM$77, MATCH($A168,_xlfn.ANCHORARRAY( $W$5), 0), 0)
    )
)
/
(
    INDEX($AN$5:$AN$77, MATCH(AG$100,_xlfn.ANCHORARRAY( $W$5), 0))
    *
    INDEX($AN$5:$AN$77, MATCH($A168,_xlfn.ANCHORARRAY( $W$5), 0))
)</f>
        <v>0.76510631408380625</v>
      </c>
      <c r="AH168" s="17" cm="1">
        <f t="array" ref="AH168">MMULT(
    MMULT(
        INDEX($X$5:$AM$77, MATCH(AH$100,_xlfn.ANCHORARRAY( $W$5), 0), 0),
        $F$5:$U$20
    ),
    TRANSPOSE(
        INDEX($X$5:$AM$77, MATCH($A168,_xlfn.ANCHORARRAY( $W$5), 0), 0)
    )
)
/
(
    INDEX($AN$5:$AN$77, MATCH(AH$100,_xlfn.ANCHORARRAY( $W$5), 0))
    *
    INDEX($AN$5:$AN$77, MATCH($A168,_xlfn.ANCHORARRAY( $W$5), 0))
)</f>
        <v>0.44777927315434796</v>
      </c>
      <c r="AI168" s="17" cm="1">
        <f t="array" ref="AI168">MMULT(
    MMULT(
        INDEX($X$5:$AM$77, MATCH(AI$100,_xlfn.ANCHORARRAY( $W$5), 0), 0),
        $F$5:$U$20
    ),
    TRANSPOSE(
        INDEX($X$5:$AM$77, MATCH($A168,_xlfn.ANCHORARRAY( $W$5), 0), 0)
    )
)
/
(
    INDEX($AN$5:$AN$77, MATCH(AI$100,_xlfn.ANCHORARRAY( $W$5), 0))
    *
    INDEX($AN$5:$AN$77, MATCH($A168,_xlfn.ANCHORARRAY( $W$5), 0))
)</f>
        <v>0.66026031838302102</v>
      </c>
      <c r="AJ168" s="17" cm="1">
        <f t="array" ref="AJ168">MMULT(
    MMULT(
        INDEX($X$5:$AM$77, MATCH(AJ$100,_xlfn.ANCHORARRAY( $W$5), 0), 0),
        $F$5:$U$20
    ),
    TRANSPOSE(
        INDEX($X$5:$AM$77, MATCH($A168,_xlfn.ANCHORARRAY( $W$5), 0), 0)
    )
)
/
(
    INDEX($AN$5:$AN$77, MATCH(AJ$100,_xlfn.ANCHORARRAY( $W$5), 0))
    *
    INDEX($AN$5:$AN$77, MATCH($A168,_xlfn.ANCHORARRAY( $W$5), 0))
)</f>
        <v>0.71817943762798298</v>
      </c>
      <c r="AK168" s="17" cm="1">
        <f t="array" ref="AK168">MMULT(
    MMULT(
        INDEX($X$5:$AM$77, MATCH(AK$100,_xlfn.ANCHORARRAY( $W$5), 0), 0),
        $F$5:$U$20
    ),
    TRANSPOSE(
        INDEX($X$5:$AM$77, MATCH($A168,_xlfn.ANCHORARRAY( $W$5), 0), 0)
    )
)
/
(
    INDEX($AN$5:$AN$77, MATCH(AK$100,_xlfn.ANCHORARRAY( $W$5), 0))
    *
    INDEX($AN$5:$AN$77, MATCH($A168,_xlfn.ANCHORARRAY( $W$5), 0))
)</f>
        <v>0.81356321059358394</v>
      </c>
      <c r="AL168" s="17" cm="1">
        <f t="array" ref="AL168">MMULT(
    MMULT(
        INDEX($X$5:$AM$77, MATCH(AL$100,_xlfn.ANCHORARRAY( $W$5), 0), 0),
        $F$5:$U$20
    ),
    TRANSPOSE(
        INDEX($X$5:$AM$77, MATCH($A168,_xlfn.ANCHORARRAY( $W$5), 0), 0)
    )
)
/
(
    INDEX($AN$5:$AN$77, MATCH(AL$100,_xlfn.ANCHORARRAY( $W$5), 0))
    *
    INDEX($AN$5:$AN$77, MATCH($A168,_xlfn.ANCHORARRAY( $W$5), 0))
)</f>
        <v>0.66532272869163056</v>
      </c>
      <c r="AM168" s="17" cm="1">
        <f t="array" ref="AM168">MMULT(
    MMULT(
        INDEX($X$5:$AM$77, MATCH(AM$100,_xlfn.ANCHORARRAY( $W$5), 0), 0),
        $F$5:$U$20
    ),
    TRANSPOSE(
        INDEX($X$5:$AM$77, MATCH($A168,_xlfn.ANCHORARRAY( $W$5), 0), 0)
    )
)
/
(
    INDEX($AN$5:$AN$77, MATCH(AM$100,_xlfn.ANCHORARRAY( $W$5), 0))
    *
    INDEX($AN$5:$AN$77, MATCH($A168,_xlfn.ANCHORARRAY( $W$5), 0))
)</f>
        <v>0.87397207978895852</v>
      </c>
      <c r="AN168" s="17" cm="1">
        <f t="array" ref="AN168">MMULT(
    MMULT(
        INDEX($X$5:$AM$77, MATCH(AN$100,_xlfn.ANCHORARRAY( $W$5), 0), 0),
        $F$5:$U$20
    ),
    TRANSPOSE(
        INDEX($X$5:$AM$77, MATCH($A168,_xlfn.ANCHORARRAY( $W$5), 0), 0)
    )
)
/
(
    INDEX($AN$5:$AN$77, MATCH(AN$100,_xlfn.ANCHORARRAY( $W$5), 0))
    *
    INDEX($AN$5:$AN$77, MATCH($A168,_xlfn.ANCHORARRAY( $W$5), 0))
)</f>
        <v>0.50275484585218166</v>
      </c>
      <c r="AO168" s="17" cm="1">
        <f t="array" ref="AO168">MMULT(
    MMULT(
        INDEX($X$5:$AM$77, MATCH(AO$100,_xlfn.ANCHORARRAY( $W$5), 0), 0),
        $F$5:$U$20
    ),
    TRANSPOSE(
        INDEX($X$5:$AM$77, MATCH($A168,_xlfn.ANCHORARRAY( $W$5), 0), 0)
    )
)
/
(
    INDEX($AN$5:$AN$77, MATCH(AO$100,_xlfn.ANCHORARRAY( $W$5), 0))
    *
    INDEX($AN$5:$AN$77, MATCH($A168,_xlfn.ANCHORARRAY( $W$5), 0))
)</f>
        <v>0.84397568451673755</v>
      </c>
      <c r="AP168" s="17" cm="1">
        <f t="array" ref="AP168">MMULT(
    MMULT(
        INDEX($X$5:$AM$77, MATCH(AP$100,_xlfn.ANCHORARRAY( $W$5), 0), 0),
        $F$5:$U$20
    ),
    TRANSPOSE(
        INDEX($X$5:$AM$77, MATCH($A168,_xlfn.ANCHORARRAY( $W$5), 0), 0)
    )
)
/
(
    INDEX($AN$5:$AN$77, MATCH(AP$100,_xlfn.ANCHORARRAY( $W$5), 0))
    *
    INDEX($AN$5:$AN$77, MATCH($A168,_xlfn.ANCHORARRAY( $W$5), 0))
)</f>
        <v>0.68337236785282318</v>
      </c>
      <c r="AQ168" s="17" cm="1">
        <f t="array" ref="AQ168">MMULT(
    MMULT(
        INDEX($X$5:$AM$77, MATCH(AQ$100,_xlfn.ANCHORARRAY( $W$5), 0), 0),
        $F$5:$U$20
    ),
    TRANSPOSE(
        INDEX($X$5:$AM$77, MATCH($A168,_xlfn.ANCHORARRAY( $W$5), 0), 0)
    )
)
/
(
    INDEX($AN$5:$AN$77, MATCH(AQ$100,_xlfn.ANCHORARRAY( $W$5), 0))
    *
    INDEX($AN$5:$AN$77, MATCH($A168,_xlfn.ANCHORARRAY( $W$5), 0))
)</f>
        <v>0.60846747797396028</v>
      </c>
      <c r="AR168" s="17" cm="1">
        <f t="array" ref="AR168">MMULT(
    MMULT(
        INDEX($X$5:$AM$77, MATCH(AR$100,_xlfn.ANCHORARRAY( $W$5), 0), 0),
        $F$5:$U$20
    ),
    TRANSPOSE(
        INDEX($X$5:$AM$77, MATCH($A168,_xlfn.ANCHORARRAY( $W$5), 0), 0)
    )
)
/
(
    INDEX($AN$5:$AN$77, MATCH(AR$100,_xlfn.ANCHORARRAY( $W$5), 0))
    *
    INDEX($AN$5:$AN$77, MATCH($A168,_xlfn.ANCHORARRAY( $W$5), 0))
)</f>
        <v>0.72287199821414228</v>
      </c>
      <c r="AS168" s="17" cm="1">
        <f t="array" ref="AS168">MMULT(
    MMULT(
        INDEX($X$5:$AM$77, MATCH(AS$100,_xlfn.ANCHORARRAY( $W$5), 0), 0),
        $F$5:$U$20
    ),
    TRANSPOSE(
        INDEX($X$5:$AM$77, MATCH($A168,_xlfn.ANCHORARRAY( $W$5), 0), 0)
    )
)
/
(
    INDEX($AN$5:$AN$77, MATCH(AS$100,_xlfn.ANCHORARRAY( $W$5), 0))
    *
    INDEX($AN$5:$AN$77, MATCH($A168,_xlfn.ANCHORARRAY( $W$5), 0))
)</f>
        <v>0.63931146739174649</v>
      </c>
      <c r="AT168" s="17" cm="1">
        <f t="array" ref="AT168">MMULT(
    MMULT(
        INDEX($X$5:$AM$77, MATCH(AT$100,_xlfn.ANCHORARRAY( $W$5), 0), 0),
        $F$5:$U$20
    ),
    TRANSPOSE(
        INDEX($X$5:$AM$77, MATCH($A168,_xlfn.ANCHORARRAY( $W$5), 0), 0)
    )
)
/
(
    INDEX($AN$5:$AN$77, MATCH(AT$100,_xlfn.ANCHORARRAY( $W$5), 0))
    *
    INDEX($AN$5:$AN$77, MATCH($A168,_xlfn.ANCHORARRAY( $W$5), 0))
)</f>
        <v>0.71804313676840048</v>
      </c>
      <c r="AU168" s="17" cm="1">
        <f t="array" ref="AU168">MMULT(
    MMULT(
        INDEX($X$5:$AM$77, MATCH(AU$100,_xlfn.ANCHORARRAY( $W$5), 0), 0),
        $F$5:$U$20
    ),
    TRANSPOSE(
        INDEX($X$5:$AM$77, MATCH($A168,_xlfn.ANCHORARRAY( $W$5), 0), 0)
    )
)
/
(
    INDEX($AN$5:$AN$77, MATCH(AU$100,_xlfn.ANCHORARRAY( $W$5), 0))
    *
    INDEX($AN$5:$AN$77, MATCH($A168,_xlfn.ANCHORARRAY( $W$5), 0))
)</f>
        <v>0.6680500023146404</v>
      </c>
      <c r="AV168" s="17" cm="1">
        <f t="array" ref="AV168">MMULT(
    MMULT(
        INDEX($X$5:$AM$77, MATCH(AV$100,_xlfn.ANCHORARRAY( $W$5), 0), 0),
        $F$5:$U$20
    ),
    TRANSPOSE(
        INDEX($X$5:$AM$77, MATCH($A168,_xlfn.ANCHORARRAY( $W$5), 0), 0)
    )
)
/
(
    INDEX($AN$5:$AN$77, MATCH(AV$100,_xlfn.ANCHORARRAY( $W$5), 0))
    *
    INDEX($AN$5:$AN$77, MATCH($A168,_xlfn.ANCHORARRAY( $W$5), 0))
)</f>
        <v>0.70871964645806318</v>
      </c>
      <c r="AW168" s="17" cm="1">
        <f t="array" ref="AW168">MMULT(
    MMULT(
        INDEX($X$5:$AM$77, MATCH(AW$100,_xlfn.ANCHORARRAY( $W$5), 0), 0),
        $F$5:$U$20
    ),
    TRANSPOSE(
        INDEX($X$5:$AM$77, MATCH($A168,_xlfn.ANCHORARRAY( $W$5), 0), 0)
    )
)
/
(
    INDEX($AN$5:$AN$77, MATCH(AW$100,_xlfn.ANCHORARRAY( $W$5), 0))
    *
    INDEX($AN$5:$AN$77, MATCH($A168,_xlfn.ANCHORARRAY( $W$5), 0))
)</f>
        <v>0.69285117526007933</v>
      </c>
      <c r="AX168" s="17" cm="1">
        <f t="array" ref="AX168">MMULT(
    MMULT(
        INDEX($X$5:$AM$77, MATCH(AX$100,_xlfn.ANCHORARRAY( $W$5), 0), 0),
        $F$5:$U$20
    ),
    TRANSPOSE(
        INDEX($X$5:$AM$77, MATCH($A168,_xlfn.ANCHORARRAY( $W$5), 0), 0)
    )
)
/
(
    INDEX($AN$5:$AN$77, MATCH(AX$100,_xlfn.ANCHORARRAY( $W$5), 0))
    *
    INDEX($AN$5:$AN$77, MATCH($A168,_xlfn.ANCHORARRAY( $W$5), 0))
)</f>
        <v>0.75173218910343131</v>
      </c>
      <c r="AY168" s="17" cm="1">
        <f t="array" ref="AY168">MMULT(
    MMULT(
        INDEX($X$5:$AM$77, MATCH(AY$100,_xlfn.ANCHORARRAY( $W$5), 0), 0),
        $F$5:$U$20
    ),
    TRANSPOSE(
        INDEX($X$5:$AM$77, MATCH($A168,_xlfn.ANCHORARRAY( $W$5), 0), 0)
    )
)
/
(
    INDEX($AN$5:$AN$77, MATCH(AY$100,_xlfn.ANCHORARRAY( $W$5), 0))
    *
    INDEX($AN$5:$AN$77, MATCH($A168,_xlfn.ANCHORARRAY( $W$5), 0))
)</f>
        <v>0.42258437391750309</v>
      </c>
      <c r="AZ168" s="17" cm="1">
        <f t="array" ref="AZ168">MMULT(
    MMULT(
        INDEX($X$5:$AM$77, MATCH(AZ$100,_xlfn.ANCHORARRAY( $W$5), 0), 0),
        $F$5:$U$20
    ),
    TRANSPOSE(
        INDEX($X$5:$AM$77, MATCH($A168,_xlfn.ANCHORARRAY( $W$5), 0), 0)
    )
)
/
(
    INDEX($AN$5:$AN$77, MATCH(AZ$100,_xlfn.ANCHORARRAY( $W$5), 0))
    *
    INDEX($AN$5:$AN$77, MATCH($A168,_xlfn.ANCHORARRAY( $W$5), 0))
)</f>
        <v>0.6976158921482406</v>
      </c>
      <c r="BA168" s="17" cm="1">
        <f t="array" ref="BA168">MMULT(
    MMULT(
        INDEX($X$5:$AM$77, MATCH(BA$100,_xlfn.ANCHORARRAY( $W$5), 0), 0),
        $F$5:$U$20
    ),
    TRANSPOSE(
        INDEX($X$5:$AM$77, MATCH($A168,_xlfn.ANCHORARRAY( $W$5), 0), 0)
    )
)
/
(
    INDEX($AN$5:$AN$77, MATCH(BA$100,_xlfn.ANCHORARRAY( $W$5), 0))
    *
    INDEX($AN$5:$AN$77, MATCH($A168,_xlfn.ANCHORARRAY( $W$5), 0))
)</f>
        <v>0.7187836272999456</v>
      </c>
      <c r="BB168" s="17" cm="1">
        <f t="array" ref="BB168">MMULT(
    MMULT(
        INDEX($X$5:$AM$77, MATCH(BB$100,_xlfn.ANCHORARRAY( $W$5), 0), 0),
        $F$5:$U$20
    ),
    TRANSPOSE(
        INDEX($X$5:$AM$77, MATCH($A168,_xlfn.ANCHORARRAY( $W$5), 0), 0)
    )
)
/
(
    INDEX($AN$5:$AN$77, MATCH(BB$100,_xlfn.ANCHORARRAY( $W$5), 0))
    *
    INDEX($AN$5:$AN$77, MATCH($A168,_xlfn.ANCHORARRAY( $W$5), 0))
)</f>
        <v>0.70139059231088419</v>
      </c>
      <c r="BC168" s="17" cm="1">
        <f t="array" ref="BC168">MMULT(
    MMULT(
        INDEX($X$5:$AM$77, MATCH(BC$100,_xlfn.ANCHORARRAY( $W$5), 0), 0),
        $F$5:$U$20
    ),
    TRANSPOSE(
        INDEX($X$5:$AM$77, MATCH($A168,_xlfn.ANCHORARRAY( $W$5), 0), 0)
    )
)
/
(
    INDEX($AN$5:$AN$77, MATCH(BC$100,_xlfn.ANCHORARRAY( $W$5), 0))
    *
    INDEX($AN$5:$AN$77, MATCH($A168,_xlfn.ANCHORARRAY( $W$5), 0))
)</f>
        <v>0.7072507035212765</v>
      </c>
      <c r="BD168" s="17" cm="1">
        <f t="array" ref="BD168">MMULT(
    MMULT(
        INDEX($X$5:$AM$77, MATCH(BD$100,_xlfn.ANCHORARRAY( $W$5), 0), 0),
        $F$5:$U$20
    ),
    TRANSPOSE(
        INDEX($X$5:$AM$77, MATCH($A168,_xlfn.ANCHORARRAY( $W$5), 0), 0)
    )
)
/
(
    INDEX($AN$5:$AN$77, MATCH(BD$100,_xlfn.ANCHORARRAY( $W$5), 0))
    *
    INDEX($AN$5:$AN$77, MATCH($A168,_xlfn.ANCHORARRAY( $W$5), 0))
)</f>
        <v>0.56606486320393923</v>
      </c>
      <c r="BE168" s="17" cm="1">
        <f t="array" ref="BE168">MMULT(
    MMULT(
        INDEX($X$5:$AM$77, MATCH(BE$100,_xlfn.ANCHORARRAY( $W$5), 0), 0),
        $F$5:$U$20
    ),
    TRANSPOSE(
        INDEX($X$5:$AM$77, MATCH($A168,_xlfn.ANCHORARRAY( $W$5), 0), 0)
    )
)
/
(
    INDEX($AN$5:$AN$77, MATCH(BE$100,_xlfn.ANCHORARRAY( $W$5), 0))
    *
    INDEX($AN$5:$AN$77, MATCH($A168,_xlfn.ANCHORARRAY( $W$5), 0))
)</f>
        <v>0.88638835606824062</v>
      </c>
      <c r="BF168" s="17" cm="1">
        <f t="array" ref="BF168">MMULT(
    MMULT(
        INDEX($X$5:$AM$77, MATCH(BF$100,_xlfn.ANCHORARRAY( $W$5), 0), 0),
        $F$5:$U$20
    ),
    TRANSPOSE(
        INDEX($X$5:$AM$77, MATCH($A168,_xlfn.ANCHORARRAY( $W$5), 0), 0)
    )
)
/
(
    INDEX($AN$5:$AN$77, MATCH(BF$100,_xlfn.ANCHORARRAY( $W$5), 0))
    *
    INDEX($AN$5:$AN$77, MATCH($A168,_xlfn.ANCHORARRAY( $W$5), 0))
)</f>
        <v>0.70986881181149608</v>
      </c>
      <c r="BG168" s="17" cm="1">
        <f t="array" ref="BG168">MMULT(
    MMULT(
        INDEX($X$5:$AM$77, MATCH(BG$100,_xlfn.ANCHORARRAY( $W$5), 0), 0),
        $F$5:$U$20
    ),
    TRANSPOSE(
        INDEX($X$5:$AM$77, MATCH($A168,_xlfn.ANCHORARRAY( $W$5), 0), 0)
    )
)
/
(
    INDEX($AN$5:$AN$77, MATCH(BG$100,_xlfn.ANCHORARRAY( $W$5), 0))
    *
    INDEX($AN$5:$AN$77, MATCH($A168,_xlfn.ANCHORARRAY( $W$5), 0))
)</f>
        <v>0.73376519748364077</v>
      </c>
      <c r="BH168" s="17" cm="1">
        <f t="array" ref="BH168">MMULT(
    MMULT(
        INDEX($X$5:$AM$77, MATCH(BH$100,_xlfn.ANCHORARRAY( $W$5), 0), 0),
        $F$5:$U$20
    ),
    TRANSPOSE(
        INDEX($X$5:$AM$77, MATCH($A168,_xlfn.ANCHORARRAY( $W$5), 0), 0)
    )
)
/
(
    INDEX($AN$5:$AN$77, MATCH(BH$100,_xlfn.ANCHORARRAY( $W$5), 0))
    *
    INDEX($AN$5:$AN$77, MATCH($A168,_xlfn.ANCHORARRAY( $W$5), 0))
)</f>
        <v>0.58539303816402621</v>
      </c>
      <c r="BI168" s="17" cm="1">
        <f t="array" ref="BI168">MMULT(
    MMULT(
        INDEX($X$5:$AM$77, MATCH(BI$100,_xlfn.ANCHORARRAY( $W$5), 0), 0),
        $F$5:$U$20
    ),
    TRANSPOSE(
        INDEX($X$5:$AM$77, MATCH($A168,_xlfn.ANCHORARRAY( $W$5), 0), 0)
    )
)
/
(
    INDEX($AN$5:$AN$77, MATCH(BI$100,_xlfn.ANCHORARRAY( $W$5), 0))
    *
    INDEX($AN$5:$AN$77, MATCH($A168,_xlfn.ANCHORARRAY( $W$5), 0))
)</f>
        <v>0.53140822500717322</v>
      </c>
      <c r="BJ168" s="17" cm="1">
        <f t="array" ref="BJ168">MMULT(
    MMULT(
        INDEX($X$5:$AM$77, MATCH(BJ$100,_xlfn.ANCHORARRAY( $W$5), 0), 0),
        $F$5:$U$20
    ),
    TRANSPOSE(
        INDEX($X$5:$AM$77, MATCH($A168,_xlfn.ANCHORARRAY( $W$5), 0), 0)
    )
)
/
(
    INDEX($AN$5:$AN$77, MATCH(BJ$100,_xlfn.ANCHORARRAY( $W$5), 0))
    *
    INDEX($AN$5:$AN$77, MATCH($A168,_xlfn.ANCHORARRAY( $W$5), 0))
)</f>
        <v>0.63149256318089275</v>
      </c>
      <c r="BK168" s="17" cm="1">
        <f t="array" ref="BK168">MMULT(
    MMULT(
        INDEX($X$5:$AM$77, MATCH(BK$100,_xlfn.ANCHORARRAY( $W$5), 0), 0),
        $F$5:$U$20
    ),
    TRANSPOSE(
        INDEX($X$5:$AM$77, MATCH($A168,_xlfn.ANCHORARRAY( $W$5), 0), 0)
    )
)
/
(
    INDEX($AN$5:$AN$77, MATCH(BK$100,_xlfn.ANCHORARRAY( $W$5), 0))
    *
    INDEX($AN$5:$AN$77, MATCH($A168,_xlfn.ANCHORARRAY( $W$5), 0))
)</f>
        <v>0.57593132710482586</v>
      </c>
      <c r="BL168" s="17" cm="1">
        <f t="array" ref="BL168">MMULT(
    MMULT(
        INDEX($X$5:$AM$77, MATCH(BL$100,_xlfn.ANCHORARRAY( $W$5), 0), 0),
        $F$5:$U$20
    ),
    TRANSPOSE(
        INDEX($X$5:$AM$77, MATCH($A168,_xlfn.ANCHORARRAY( $W$5), 0), 0)
    )
)
/
(
    INDEX($AN$5:$AN$77, MATCH(BL$100,_xlfn.ANCHORARRAY( $W$5), 0))
    *
    INDEX($AN$5:$AN$77, MATCH($A168,_xlfn.ANCHORARRAY( $W$5), 0))
)</f>
        <v>0.51997382284261462</v>
      </c>
      <c r="BM168" s="17" cm="1">
        <f t="array" ref="BM168">MMULT(
    MMULT(
        INDEX($X$5:$AM$77, MATCH(BM$100,_xlfn.ANCHORARRAY( $W$5), 0), 0),
        $F$5:$U$20
    ),
    TRANSPOSE(
        INDEX($X$5:$AM$77, MATCH($A168,_xlfn.ANCHORARRAY( $W$5), 0), 0)
    )
)
/
(
    INDEX($AN$5:$AN$77, MATCH(BM$100,_xlfn.ANCHORARRAY( $W$5), 0))
    *
    INDEX($AN$5:$AN$77, MATCH($A168,_xlfn.ANCHORARRAY( $W$5), 0))
)</f>
        <v>0.80888940527126285</v>
      </c>
      <c r="BN168" s="17" cm="1">
        <f t="array" ref="BN168">MMULT(
    MMULT(
        INDEX($X$5:$AM$77, MATCH(BN$100,_xlfn.ANCHORARRAY( $W$5), 0), 0),
        $F$5:$U$20
    ),
    TRANSPOSE(
        INDEX($X$5:$AM$77, MATCH($A168,_xlfn.ANCHORARRAY( $W$5), 0), 0)
    )
)
/
(
    INDEX($AN$5:$AN$77, MATCH(BN$100,_xlfn.ANCHORARRAY( $W$5), 0))
    *
    INDEX($AN$5:$AN$77, MATCH($A168,_xlfn.ANCHORARRAY( $W$5), 0))
)</f>
        <v>0.81270062574227131</v>
      </c>
      <c r="BO168" s="17" cm="1">
        <f t="array" ref="BO168">MMULT(
    MMULT(
        INDEX($X$5:$AM$77, MATCH(BO$100,_xlfn.ANCHORARRAY( $W$5), 0), 0),
        $F$5:$U$20
    ),
    TRANSPOSE(
        INDEX($X$5:$AM$77, MATCH($A168,_xlfn.ANCHORARRAY( $W$5), 0), 0)
    )
)
/
(
    INDEX($AN$5:$AN$77, MATCH(BO$100,_xlfn.ANCHORARRAY( $W$5), 0))
    *
    INDEX($AN$5:$AN$77, MATCH($A168,_xlfn.ANCHORARRAY( $W$5), 0))
)</f>
        <v>0.62727266091094258</v>
      </c>
      <c r="BP168" s="17" cm="1">
        <f t="array" ref="BP168">MMULT(
    MMULT(
        INDEX($X$5:$AM$77, MATCH(BP$100,_xlfn.ANCHORARRAY( $W$5), 0), 0),
        $F$5:$U$20
    ),
    TRANSPOSE(
        INDEX($X$5:$AM$77, MATCH($A168,_xlfn.ANCHORARRAY( $W$5), 0), 0)
    )
)
/
(
    INDEX($AN$5:$AN$77, MATCH(BP$100,_xlfn.ANCHORARRAY( $W$5), 0))
    *
    INDEX($AN$5:$AN$77, MATCH($A168,_xlfn.ANCHORARRAY( $W$5), 0))
)</f>
        <v>0.78110343045507402</v>
      </c>
      <c r="BQ168" s="17" cm="1">
        <f t="array" ref="BQ168">MMULT(
    MMULT(
        INDEX($X$5:$AM$77, MATCH(BQ$100,_xlfn.ANCHORARRAY( $W$5), 0), 0),
        $F$5:$U$20
    ),
    TRANSPOSE(
        INDEX($X$5:$AM$77, MATCH($A168,_xlfn.ANCHORARRAY( $W$5), 0), 0)
    )
)
/
(
    INDEX($AN$5:$AN$77, MATCH(BQ$100,_xlfn.ANCHORARRAY( $W$5), 0))
    *
    INDEX($AN$5:$AN$77, MATCH($A168,_xlfn.ANCHORARRAY( $W$5), 0))
)</f>
        <v>1.0000000000000002</v>
      </c>
      <c r="BR168" s="17" cm="1">
        <f t="array" ref="BR168">MMULT(
    MMULT(
        INDEX($X$5:$AM$77, MATCH(BR$100,_xlfn.ANCHORARRAY( $W$5), 0), 0),
        $F$5:$U$20
    ),
    TRANSPOSE(
        INDEX($X$5:$AM$77, MATCH($A168,_xlfn.ANCHORARRAY( $W$5), 0), 0)
    )
)
/
(
    INDEX($AN$5:$AN$77, MATCH(BR$100,_xlfn.ANCHORARRAY( $W$5), 0))
    *
    INDEX($AN$5:$AN$77, MATCH($A168,_xlfn.ANCHORARRAY( $W$5), 0))
)</f>
        <v>0.6616559677502768</v>
      </c>
      <c r="BS168" s="17" cm="1">
        <f t="array" ref="BS168">MMULT(
    MMULT(
        INDEX($X$5:$AM$77, MATCH(BS$100,_xlfn.ANCHORARRAY( $W$5), 0), 0),
        $F$5:$U$20
    ),
    TRANSPOSE(
        INDEX($X$5:$AM$77, MATCH($A168,_xlfn.ANCHORARRAY( $W$5), 0), 0)
    )
)
/
(
    INDEX($AN$5:$AN$77, MATCH(BS$100,_xlfn.ANCHORARRAY( $W$5), 0))
    *
    INDEX($AN$5:$AN$77, MATCH($A168,_xlfn.ANCHORARRAY( $W$5), 0))
)</f>
        <v>0.64479534239066205</v>
      </c>
      <c r="BT168" s="17" cm="1">
        <f t="array" ref="BT168">MMULT(
    MMULT(
        INDEX($X$5:$AM$77, MATCH(BT$100,_xlfn.ANCHORARRAY( $W$5), 0), 0),
        $F$5:$U$20
    ),
    TRANSPOSE(
        INDEX($X$5:$AM$77, MATCH($A168,_xlfn.ANCHORARRAY( $W$5), 0), 0)
    )
)
/
(
    INDEX($AN$5:$AN$77, MATCH(BT$100,_xlfn.ANCHORARRAY( $W$5), 0))
    *
    INDEX($AN$5:$AN$77, MATCH($A168,_xlfn.ANCHORARRAY( $W$5), 0))
)</f>
        <v>0.78540669183427236</v>
      </c>
      <c r="BU168" s="17" cm="1">
        <f t="array" ref="BU168">MMULT(
    MMULT(
        INDEX($X$5:$AM$77, MATCH(BU$100,_xlfn.ANCHORARRAY( $W$5), 0), 0),
        $F$5:$U$20
    ),
    TRANSPOSE(
        INDEX($X$5:$AM$77, MATCH($A168,_xlfn.ANCHORARRAY( $W$5), 0), 0)
    )
)
/
(
    INDEX($AN$5:$AN$77, MATCH(BU$100,_xlfn.ANCHORARRAY( $W$5), 0))
    *
    INDEX($AN$5:$AN$77, MATCH($A168,_xlfn.ANCHORARRAY( $W$5), 0))
)</f>
        <v>0.60010584201270478</v>
      </c>
      <c r="BV168" s="17" cm="1">
        <f t="array" ref="BV168">MMULT(
    MMULT(
        INDEX($X$5:$AM$77, MATCH(BV$100,_xlfn.ANCHORARRAY( $W$5), 0), 0),
        $F$5:$U$20
    ),
    TRANSPOSE(
        INDEX($X$5:$AM$77, MATCH($A168,_xlfn.ANCHORARRAY( $W$5), 0), 0)
    )
)
/
(
    INDEX($AN$5:$AN$77, MATCH(BV$100,_xlfn.ANCHORARRAY( $W$5), 0))
    *
    INDEX($AN$5:$AN$77, MATCH($A168,_xlfn.ANCHORARRAY( $W$5), 0))
)</f>
        <v>0.5046041595308004</v>
      </c>
    </row>
    <row r="169" spans="1:74" x14ac:dyDescent="0.3">
      <c r="A169" s="7" t="str">
        <v>Carrasco, Carlos</v>
      </c>
      <c r="B169" s="17" cm="1">
        <f t="array" ref="B169">MMULT(
    MMULT(
        INDEX($X$5:$AM$77, MATCH(B$100,_xlfn.ANCHORARRAY( $W$5), 0), 0),
        $F$5:$U$20
    ),
    TRANSPOSE(
        INDEX($X$5:$AM$77, MATCH($A169,_xlfn.ANCHORARRAY( $W$5), 0), 0)
    )
)
/
(
    INDEX($AN$5:$AN$77, MATCH(B$100,_xlfn.ANCHORARRAY( $W$5), 0))
    *
    INDEX($AN$5:$AN$77, MATCH($A169,_xlfn.ANCHORARRAY( $W$5), 0))
)</f>
        <v>0.89929381202054026</v>
      </c>
      <c r="C169" s="17" cm="1">
        <f t="array" ref="C169">MMULT(
    MMULT(
        INDEX($X$5:$AM$77, MATCH(C$100,_xlfn.ANCHORARRAY( $W$5), 0), 0),
        $F$5:$U$20
    ),
    TRANSPOSE(
        INDEX($X$5:$AM$77, MATCH($A169,_xlfn.ANCHORARRAY( $W$5), 0), 0)
    )
)
/
(
    INDEX($AN$5:$AN$77, MATCH(C$100,_xlfn.ANCHORARRAY( $W$5), 0))
    *
    INDEX($AN$5:$AN$77, MATCH($A169,_xlfn.ANCHORARRAY( $W$5), 0))
)</f>
        <v>0.76958978620533547</v>
      </c>
      <c r="D169" s="17" cm="1">
        <f t="array" ref="D169">MMULT(
    MMULT(
        INDEX($X$5:$AM$77, MATCH(D$100,_xlfn.ANCHORARRAY( $W$5), 0), 0),
        $F$5:$U$20
    ),
    TRANSPOSE(
        INDEX($X$5:$AM$77, MATCH($A169,_xlfn.ANCHORARRAY( $W$5), 0), 0)
    )
)
/
(
    INDEX($AN$5:$AN$77, MATCH(D$100,_xlfn.ANCHORARRAY( $W$5), 0))
    *
    INDEX($AN$5:$AN$77, MATCH($A169,_xlfn.ANCHORARRAY( $W$5), 0))
)</f>
        <v>0.8229660641512947</v>
      </c>
      <c r="E169" s="17" cm="1">
        <f t="array" ref="E169">MMULT(
    MMULT(
        INDEX($X$5:$AM$77, MATCH(E$100,_xlfn.ANCHORARRAY( $W$5), 0), 0),
        $F$5:$U$20
    ),
    TRANSPOSE(
        INDEX($X$5:$AM$77, MATCH($A169,_xlfn.ANCHORARRAY( $W$5), 0), 0)
    )
)
/
(
    INDEX($AN$5:$AN$77, MATCH(E$100,_xlfn.ANCHORARRAY( $W$5), 0))
    *
    INDEX($AN$5:$AN$77, MATCH($A169,_xlfn.ANCHORARRAY( $W$5), 0))
)</f>
        <v>0.89571624657244286</v>
      </c>
      <c r="F169" s="17" cm="1">
        <f t="array" ref="F169">MMULT(
    MMULT(
        INDEX($X$5:$AM$77, MATCH(F$100,_xlfn.ANCHORARRAY( $W$5), 0), 0),
        $F$5:$U$20
    ),
    TRANSPOSE(
        INDEX($X$5:$AM$77, MATCH($A169,_xlfn.ANCHORARRAY( $W$5), 0), 0)
    )
)
/
(
    INDEX($AN$5:$AN$77, MATCH(F$100,_xlfn.ANCHORARRAY( $W$5), 0))
    *
    INDEX($AN$5:$AN$77, MATCH($A169,_xlfn.ANCHORARRAY( $W$5), 0))
)</f>
        <v>0.84273614069659841</v>
      </c>
      <c r="G169" s="17" cm="1">
        <f t="array" ref="G169">MMULT(
    MMULT(
        INDEX($X$5:$AM$77, MATCH(G$100,_xlfn.ANCHORARRAY( $W$5), 0), 0),
        $F$5:$U$20
    ),
    TRANSPOSE(
        INDEX($X$5:$AM$77, MATCH($A169,_xlfn.ANCHORARRAY( $W$5), 0), 0)
    )
)
/
(
    INDEX($AN$5:$AN$77, MATCH(G$100,_xlfn.ANCHORARRAY( $W$5), 0))
    *
    INDEX($AN$5:$AN$77, MATCH($A169,_xlfn.ANCHORARRAY( $W$5), 0))
)</f>
        <v>0.87957792165140203</v>
      </c>
      <c r="H169" s="17" cm="1">
        <f t="array" ref="H169">MMULT(
    MMULT(
        INDEX($X$5:$AM$77, MATCH(H$100,_xlfn.ANCHORARRAY( $W$5), 0), 0),
        $F$5:$U$20
    ),
    TRANSPOSE(
        INDEX($X$5:$AM$77, MATCH($A169,_xlfn.ANCHORARRAY( $W$5), 0), 0)
    )
)
/
(
    INDEX($AN$5:$AN$77, MATCH(H$100,_xlfn.ANCHORARRAY( $W$5), 0))
    *
    INDEX($AN$5:$AN$77, MATCH($A169,_xlfn.ANCHORARRAY( $W$5), 0))
)</f>
        <v>0.76198491543816715</v>
      </c>
      <c r="I169" s="17" cm="1">
        <f t="array" ref="I169">MMULT(
    MMULT(
        INDEX($X$5:$AM$77, MATCH(I$100,_xlfn.ANCHORARRAY( $W$5), 0), 0),
        $F$5:$U$20
    ),
    TRANSPOSE(
        INDEX($X$5:$AM$77, MATCH($A169,_xlfn.ANCHORARRAY( $W$5), 0), 0)
    )
)
/
(
    INDEX($AN$5:$AN$77, MATCH(I$100,_xlfn.ANCHORARRAY( $W$5), 0))
    *
    INDEX($AN$5:$AN$77, MATCH($A169,_xlfn.ANCHORARRAY( $W$5), 0))
)</f>
        <v>0.86093214718083211</v>
      </c>
      <c r="J169" s="17" cm="1">
        <f t="array" ref="J169">MMULT(
    MMULT(
        INDEX($X$5:$AM$77, MATCH(J$100,_xlfn.ANCHORARRAY( $W$5), 0), 0),
        $F$5:$U$20
    ),
    TRANSPOSE(
        INDEX($X$5:$AM$77, MATCH($A169,_xlfn.ANCHORARRAY( $W$5), 0), 0)
    )
)
/
(
    INDEX($AN$5:$AN$77, MATCH(J$100,_xlfn.ANCHORARRAY( $W$5), 0))
    *
    INDEX($AN$5:$AN$77, MATCH($A169,_xlfn.ANCHORARRAY( $W$5), 0))
)</f>
        <v>0.89354661779077815</v>
      </c>
      <c r="K169" s="17" cm="1">
        <f t="array" ref="K169">MMULT(
    MMULT(
        INDEX($X$5:$AM$77, MATCH(K$100,_xlfn.ANCHORARRAY( $W$5), 0), 0),
        $F$5:$U$20
    ),
    TRANSPOSE(
        INDEX($X$5:$AM$77, MATCH($A169,_xlfn.ANCHORARRAY( $W$5), 0), 0)
    )
)
/
(
    INDEX($AN$5:$AN$77, MATCH(K$100,_xlfn.ANCHORARRAY( $W$5), 0))
    *
    INDEX($AN$5:$AN$77, MATCH($A169,_xlfn.ANCHORARRAY( $W$5), 0))
)</f>
        <v>0.90935660260846318</v>
      </c>
      <c r="L169" s="17" cm="1">
        <f t="array" ref="L169">MMULT(
    MMULT(
        INDEX($X$5:$AM$77, MATCH(L$100,_xlfn.ANCHORARRAY( $W$5), 0), 0),
        $F$5:$U$20
    ),
    TRANSPOSE(
        INDEX($X$5:$AM$77, MATCH($A169,_xlfn.ANCHORARRAY( $W$5), 0), 0)
    )
)
/
(
    INDEX($AN$5:$AN$77, MATCH(L$100,_xlfn.ANCHORARRAY( $W$5), 0))
    *
    INDEX($AN$5:$AN$77, MATCH($A169,_xlfn.ANCHORARRAY( $W$5), 0))
)</f>
        <v>0.75259187087244772</v>
      </c>
      <c r="M169" s="17" cm="1">
        <f t="array" ref="M169">MMULT(
    MMULT(
        INDEX($X$5:$AM$77, MATCH(M$100,_xlfn.ANCHORARRAY( $W$5), 0), 0),
        $F$5:$U$20
    ),
    TRANSPOSE(
        INDEX($X$5:$AM$77, MATCH($A169,_xlfn.ANCHORARRAY( $W$5), 0), 0)
    )
)
/
(
    INDEX($AN$5:$AN$77, MATCH(M$100,_xlfn.ANCHORARRAY( $W$5), 0))
    *
    INDEX($AN$5:$AN$77, MATCH($A169,_xlfn.ANCHORARRAY( $W$5), 0))
)</f>
        <v>0.95210000085537849</v>
      </c>
      <c r="N169" s="17" cm="1">
        <f t="array" ref="N169">MMULT(
    MMULT(
        INDEX($X$5:$AM$77, MATCH(N$100,_xlfn.ANCHORARRAY( $W$5), 0), 0),
        $F$5:$U$20
    ),
    TRANSPOSE(
        INDEX($X$5:$AM$77, MATCH($A169,_xlfn.ANCHORARRAY( $W$5), 0), 0)
    )
)
/
(
    INDEX($AN$5:$AN$77, MATCH(N$100,_xlfn.ANCHORARRAY( $W$5), 0))
    *
    INDEX($AN$5:$AN$77, MATCH($A169,_xlfn.ANCHORARRAY( $W$5), 0))
)</f>
        <v>0.73704666433824095</v>
      </c>
      <c r="O169" s="17" cm="1">
        <f t="array" ref="O169">MMULT(
    MMULT(
        INDEX($X$5:$AM$77, MATCH(O$100,_xlfn.ANCHORARRAY( $W$5), 0), 0),
        $F$5:$U$20
    ),
    TRANSPOSE(
        INDEX($X$5:$AM$77, MATCH($A169,_xlfn.ANCHORARRAY( $W$5), 0), 0)
    )
)
/
(
    INDEX($AN$5:$AN$77, MATCH(O$100,_xlfn.ANCHORARRAY( $W$5), 0))
    *
    INDEX($AN$5:$AN$77, MATCH($A169,_xlfn.ANCHORARRAY( $W$5), 0))
)</f>
        <v>0.77398773273966204</v>
      </c>
      <c r="P169" s="17" cm="1">
        <f t="array" ref="P169">MMULT(
    MMULT(
        INDEX($X$5:$AM$77, MATCH(P$100,_xlfn.ANCHORARRAY( $W$5), 0), 0),
        $F$5:$U$20
    ),
    TRANSPOSE(
        INDEX($X$5:$AM$77, MATCH($A169,_xlfn.ANCHORARRAY( $W$5), 0), 0)
    )
)
/
(
    INDEX($AN$5:$AN$77, MATCH(P$100,_xlfn.ANCHORARRAY( $W$5), 0))
    *
    INDEX($AN$5:$AN$77, MATCH($A169,_xlfn.ANCHORARRAY( $W$5), 0))
)</f>
        <v>0.82199668263281855</v>
      </c>
      <c r="Q169" s="17" cm="1">
        <f t="array" ref="Q169">MMULT(
    MMULT(
        INDEX($X$5:$AM$77, MATCH(Q$100,_xlfn.ANCHORARRAY( $W$5), 0), 0),
        $F$5:$U$20
    ),
    TRANSPOSE(
        INDEX($X$5:$AM$77, MATCH($A169,_xlfn.ANCHORARRAY( $W$5), 0), 0)
    )
)
/
(
    INDEX($AN$5:$AN$77, MATCH(Q$100,_xlfn.ANCHORARRAY( $W$5), 0))
    *
    INDEX($AN$5:$AN$77, MATCH($A169,_xlfn.ANCHORARRAY( $W$5), 0))
)</f>
        <v>0.73076301592328885</v>
      </c>
      <c r="R169" s="17" cm="1">
        <f t="array" ref="R169">MMULT(
    MMULT(
        INDEX($X$5:$AM$77, MATCH(R$100,_xlfn.ANCHORARRAY( $W$5), 0), 0),
        $F$5:$U$20
    ),
    TRANSPOSE(
        INDEX($X$5:$AM$77, MATCH($A169,_xlfn.ANCHORARRAY( $W$5), 0), 0)
    )
)
/
(
    INDEX($AN$5:$AN$77, MATCH(R$100,_xlfn.ANCHORARRAY( $W$5), 0))
    *
    INDEX($AN$5:$AN$77, MATCH($A169,_xlfn.ANCHORARRAY( $W$5), 0))
)</f>
        <v>0.77285031316795827</v>
      </c>
      <c r="S169" s="17" cm="1">
        <f t="array" ref="S169">MMULT(
    MMULT(
        INDEX($X$5:$AM$77, MATCH(S$100,_xlfn.ANCHORARRAY( $W$5), 0), 0),
        $F$5:$U$20
    ),
    TRANSPOSE(
        INDEX($X$5:$AM$77, MATCH($A169,_xlfn.ANCHORARRAY( $W$5), 0), 0)
    )
)
/
(
    INDEX($AN$5:$AN$77, MATCH(S$100,_xlfn.ANCHORARRAY( $W$5), 0))
    *
    INDEX($AN$5:$AN$77, MATCH($A169,_xlfn.ANCHORARRAY( $W$5), 0))
)</f>
        <v>0.79609595994884308</v>
      </c>
      <c r="T169" s="17" cm="1">
        <f t="array" ref="T169">MMULT(
    MMULT(
        INDEX($X$5:$AM$77, MATCH(T$100,_xlfn.ANCHORARRAY( $W$5), 0), 0),
        $F$5:$U$20
    ),
    TRANSPOSE(
        INDEX($X$5:$AM$77, MATCH($A169,_xlfn.ANCHORARRAY( $W$5), 0), 0)
    )
)
/
(
    INDEX($AN$5:$AN$77, MATCH(T$100,_xlfn.ANCHORARRAY( $W$5), 0))
    *
    INDEX($AN$5:$AN$77, MATCH($A169,_xlfn.ANCHORARRAY( $W$5), 0))
)</f>
        <v>0.47263751841894475</v>
      </c>
      <c r="U169" s="17" cm="1">
        <f t="array" ref="U169">MMULT(
    MMULT(
        INDEX($X$5:$AM$77, MATCH(U$100,_xlfn.ANCHORARRAY( $W$5), 0), 0),
        $F$5:$U$20
    ),
    TRANSPOSE(
        INDEX($X$5:$AM$77, MATCH($A169,_xlfn.ANCHORARRAY( $W$5), 0), 0)
    )
)
/
(
    INDEX($AN$5:$AN$77, MATCH(U$100,_xlfn.ANCHORARRAY( $W$5), 0))
    *
    INDEX($AN$5:$AN$77, MATCH($A169,_xlfn.ANCHORARRAY( $W$5), 0))
)</f>
        <v>0.83487081129084051</v>
      </c>
      <c r="V169" s="17" cm="1">
        <f t="array" ref="V169">MMULT(
    MMULT(
        INDEX($X$5:$AM$77, MATCH(V$100,_xlfn.ANCHORARRAY( $W$5), 0), 0),
        $F$5:$U$20
    ),
    TRANSPOSE(
        INDEX($X$5:$AM$77, MATCH($A169,_xlfn.ANCHORARRAY( $W$5), 0), 0)
    )
)
/
(
    INDEX($AN$5:$AN$77, MATCH(V$100,_xlfn.ANCHORARRAY( $W$5), 0))
    *
    INDEX($AN$5:$AN$77, MATCH($A169,_xlfn.ANCHORARRAY( $W$5), 0))
)</f>
        <v>0.65693367301830508</v>
      </c>
      <c r="W169" s="17" cm="1">
        <f t="array" ref="W169">MMULT(
    MMULT(
        INDEX($X$5:$AM$77, MATCH(W$100,_xlfn.ANCHORARRAY( $W$5), 0), 0),
        $F$5:$U$20
    ),
    TRANSPOSE(
        INDEX($X$5:$AM$77, MATCH($A169,_xlfn.ANCHORARRAY( $W$5), 0), 0)
    )
)
/
(
    INDEX($AN$5:$AN$77, MATCH(W$100,_xlfn.ANCHORARRAY( $W$5), 0))
    *
    INDEX($AN$5:$AN$77, MATCH($A169,_xlfn.ANCHORARRAY( $W$5), 0))
)</f>
        <v>0.60326323781877356</v>
      </c>
      <c r="X169" s="17" cm="1">
        <f t="array" ref="X169">MMULT(
    MMULT(
        INDEX($X$5:$AM$77, MATCH(X$100,_xlfn.ANCHORARRAY( $W$5), 0), 0),
        $F$5:$U$20
    ),
    TRANSPOSE(
        INDEX($X$5:$AM$77, MATCH($A169,_xlfn.ANCHORARRAY( $W$5), 0), 0)
    )
)
/
(
    INDEX($AN$5:$AN$77, MATCH(X$100,_xlfn.ANCHORARRAY( $W$5), 0))
    *
    INDEX($AN$5:$AN$77, MATCH($A169,_xlfn.ANCHORARRAY( $W$5), 0))
)</f>
        <v>0.79924689793394044</v>
      </c>
      <c r="Y169" s="17" cm="1">
        <f t="array" ref="Y169">MMULT(
    MMULT(
        INDEX($X$5:$AM$77, MATCH(Y$100,_xlfn.ANCHORARRAY( $W$5), 0), 0),
        $F$5:$U$20
    ),
    TRANSPOSE(
        INDEX($X$5:$AM$77, MATCH($A169,_xlfn.ANCHORARRAY( $W$5), 0), 0)
    )
)
/
(
    INDEX($AN$5:$AN$77, MATCH(Y$100,_xlfn.ANCHORARRAY( $W$5), 0))
    *
    INDEX($AN$5:$AN$77, MATCH($A169,_xlfn.ANCHORARRAY( $W$5), 0))
)</f>
        <v>0.8467726419875552</v>
      </c>
      <c r="Z169" s="17" cm="1">
        <f t="array" ref="Z169">MMULT(
    MMULT(
        INDEX($X$5:$AM$77, MATCH(Z$100,_xlfn.ANCHORARRAY( $W$5), 0), 0),
        $F$5:$U$20
    ),
    TRANSPOSE(
        INDEX($X$5:$AM$77, MATCH($A169,_xlfn.ANCHORARRAY( $W$5), 0), 0)
    )
)
/
(
    INDEX($AN$5:$AN$77, MATCH(Z$100,_xlfn.ANCHORARRAY( $W$5), 0))
    *
    INDEX($AN$5:$AN$77, MATCH($A169,_xlfn.ANCHORARRAY( $W$5), 0))
)</f>
        <v>0.80503940180778499</v>
      </c>
      <c r="AA169" s="17" cm="1">
        <f t="array" ref="AA169">MMULT(
    MMULT(
        INDEX($X$5:$AM$77, MATCH(AA$100,_xlfn.ANCHORARRAY( $W$5), 0), 0),
        $F$5:$U$20
    ),
    TRANSPOSE(
        INDEX($X$5:$AM$77, MATCH($A169,_xlfn.ANCHORARRAY( $W$5), 0), 0)
    )
)
/
(
    INDEX($AN$5:$AN$77, MATCH(AA$100,_xlfn.ANCHORARRAY( $W$5), 0))
    *
    INDEX($AN$5:$AN$77, MATCH($A169,_xlfn.ANCHORARRAY( $W$5), 0))
)</f>
        <v>0.77949199188037177</v>
      </c>
      <c r="AB169" s="17" cm="1">
        <f t="array" ref="AB169">MMULT(
    MMULT(
        INDEX($X$5:$AM$77, MATCH(AB$100,_xlfn.ANCHORARRAY( $W$5), 0), 0),
        $F$5:$U$20
    ),
    TRANSPOSE(
        INDEX($X$5:$AM$77, MATCH($A169,_xlfn.ANCHORARRAY( $W$5), 0), 0)
    )
)
/
(
    INDEX($AN$5:$AN$77, MATCH(AB$100,_xlfn.ANCHORARRAY( $W$5), 0))
    *
    INDEX($AN$5:$AN$77, MATCH($A169,_xlfn.ANCHORARRAY( $W$5), 0))
)</f>
        <v>0.92977853718771242</v>
      </c>
      <c r="AC169" s="17" cm="1">
        <f t="array" ref="AC169">MMULT(
    MMULT(
        INDEX($X$5:$AM$77, MATCH(AC$100,_xlfn.ANCHORARRAY( $W$5), 0), 0),
        $F$5:$U$20
    ),
    TRANSPOSE(
        INDEX($X$5:$AM$77, MATCH($A169,_xlfn.ANCHORARRAY( $W$5), 0), 0)
    )
)
/
(
    INDEX($AN$5:$AN$77, MATCH(AC$100,_xlfn.ANCHORARRAY( $W$5), 0))
    *
    INDEX($AN$5:$AN$77, MATCH($A169,_xlfn.ANCHORARRAY( $W$5), 0))
)</f>
        <v>0.79740295010315831</v>
      </c>
      <c r="AD169" s="17" cm="1">
        <f t="array" ref="AD169">MMULT(
    MMULT(
        INDEX($X$5:$AM$77, MATCH(AD$100,_xlfn.ANCHORARRAY( $W$5), 0), 0),
        $F$5:$U$20
    ),
    TRANSPOSE(
        INDEX($X$5:$AM$77, MATCH($A169,_xlfn.ANCHORARRAY( $W$5), 0), 0)
    )
)
/
(
    INDEX($AN$5:$AN$77, MATCH(AD$100,_xlfn.ANCHORARRAY( $W$5), 0))
    *
    INDEX($AN$5:$AN$77, MATCH($A169,_xlfn.ANCHORARRAY( $W$5), 0))
)</f>
        <v>0.77319093503214442</v>
      </c>
      <c r="AE169" s="17" cm="1">
        <f t="array" ref="AE169">MMULT(
    MMULT(
        INDEX($X$5:$AM$77, MATCH(AE$100,_xlfn.ANCHORARRAY( $W$5), 0), 0),
        $F$5:$U$20
    ),
    TRANSPOSE(
        INDEX($X$5:$AM$77, MATCH($A169,_xlfn.ANCHORARRAY( $W$5), 0), 0)
    )
)
/
(
    INDEX($AN$5:$AN$77, MATCH(AE$100,_xlfn.ANCHORARRAY( $W$5), 0))
    *
    INDEX($AN$5:$AN$77, MATCH($A169,_xlfn.ANCHORARRAY( $W$5), 0))
)</f>
        <v>0.86720926558498979</v>
      </c>
      <c r="AF169" s="17" cm="1">
        <f t="array" ref="AF169">MMULT(
    MMULT(
        INDEX($X$5:$AM$77, MATCH(AF$100,_xlfn.ANCHORARRAY( $W$5), 0), 0),
        $F$5:$U$20
    ),
    TRANSPOSE(
        INDEX($X$5:$AM$77, MATCH($A169,_xlfn.ANCHORARRAY( $W$5), 0), 0)
    )
)
/
(
    INDEX($AN$5:$AN$77, MATCH(AF$100,_xlfn.ANCHORARRAY( $W$5), 0))
    *
    INDEX($AN$5:$AN$77, MATCH($A169,_xlfn.ANCHORARRAY( $W$5), 0))
)</f>
        <v>0.86715613259252144</v>
      </c>
      <c r="AG169" s="17" cm="1">
        <f t="array" ref="AG169">MMULT(
    MMULT(
        INDEX($X$5:$AM$77, MATCH(AG$100,_xlfn.ANCHORARRAY( $W$5), 0), 0),
        $F$5:$U$20
    ),
    TRANSPOSE(
        INDEX($X$5:$AM$77, MATCH($A169,_xlfn.ANCHORARRAY( $W$5), 0), 0)
    )
)
/
(
    INDEX($AN$5:$AN$77, MATCH(AG$100,_xlfn.ANCHORARRAY( $W$5), 0))
    *
    INDEX($AN$5:$AN$77, MATCH($A169,_xlfn.ANCHORARRAY( $W$5), 0))
)</f>
        <v>0.8128326715623363</v>
      </c>
      <c r="AH169" s="17" cm="1">
        <f t="array" ref="AH169">MMULT(
    MMULT(
        INDEX($X$5:$AM$77, MATCH(AH$100,_xlfn.ANCHORARRAY( $W$5), 0), 0),
        $F$5:$U$20
    ),
    TRANSPOSE(
        INDEX($X$5:$AM$77, MATCH($A169,_xlfn.ANCHORARRAY( $W$5), 0), 0)
    )
)
/
(
    INDEX($AN$5:$AN$77, MATCH(AH$100,_xlfn.ANCHORARRAY( $W$5), 0))
    *
    INDEX($AN$5:$AN$77, MATCH($A169,_xlfn.ANCHORARRAY( $W$5), 0))
)</f>
        <v>0.74857254326100808</v>
      </c>
      <c r="AI169" s="17" cm="1">
        <f t="array" ref="AI169">MMULT(
    MMULT(
        INDEX($X$5:$AM$77, MATCH(AI$100,_xlfn.ANCHORARRAY( $W$5), 0), 0),
        $F$5:$U$20
    ),
    TRANSPOSE(
        INDEX($X$5:$AM$77, MATCH($A169,_xlfn.ANCHORARRAY( $W$5), 0), 0)
    )
)
/
(
    INDEX($AN$5:$AN$77, MATCH(AI$100,_xlfn.ANCHORARRAY( $W$5), 0))
    *
    INDEX($AN$5:$AN$77, MATCH($A169,_xlfn.ANCHORARRAY( $W$5), 0))
)</f>
        <v>0.88927261769446542</v>
      </c>
      <c r="AJ169" s="17" cm="1">
        <f t="array" ref="AJ169">MMULT(
    MMULT(
        INDEX($X$5:$AM$77, MATCH(AJ$100,_xlfn.ANCHORARRAY( $W$5), 0), 0),
        $F$5:$U$20
    ),
    TRANSPOSE(
        INDEX($X$5:$AM$77, MATCH($A169,_xlfn.ANCHORARRAY( $W$5), 0), 0)
    )
)
/
(
    INDEX($AN$5:$AN$77, MATCH(AJ$100,_xlfn.ANCHORARRAY( $W$5), 0))
    *
    INDEX($AN$5:$AN$77, MATCH($A169,_xlfn.ANCHORARRAY( $W$5), 0))
)</f>
        <v>0.83769856178265323</v>
      </c>
      <c r="AK169" s="17" cm="1">
        <f t="array" ref="AK169">MMULT(
    MMULT(
        INDEX($X$5:$AM$77, MATCH(AK$100,_xlfn.ANCHORARRAY( $W$5), 0), 0),
        $F$5:$U$20
    ),
    TRANSPOSE(
        INDEX($X$5:$AM$77, MATCH($A169,_xlfn.ANCHORARRAY( $W$5), 0), 0)
    )
)
/
(
    INDEX($AN$5:$AN$77, MATCH(AK$100,_xlfn.ANCHORARRAY( $W$5), 0))
    *
    INDEX($AN$5:$AN$77, MATCH($A169,_xlfn.ANCHORARRAY( $W$5), 0))
)</f>
        <v>0.85117524196858352</v>
      </c>
      <c r="AL169" s="17" cm="1">
        <f t="array" ref="AL169">MMULT(
    MMULT(
        INDEX($X$5:$AM$77, MATCH(AL$100,_xlfn.ANCHORARRAY( $W$5), 0), 0),
        $F$5:$U$20
    ),
    TRANSPOSE(
        INDEX($X$5:$AM$77, MATCH($A169,_xlfn.ANCHORARRAY( $W$5), 0), 0)
    )
)
/
(
    INDEX($AN$5:$AN$77, MATCH(AL$100,_xlfn.ANCHORARRAY( $W$5), 0))
    *
    INDEX($AN$5:$AN$77, MATCH($A169,_xlfn.ANCHORARRAY( $W$5), 0))
)</f>
        <v>0.72031641862181561</v>
      </c>
      <c r="AM169" s="17" cm="1">
        <f t="array" ref="AM169">MMULT(
    MMULT(
        INDEX($X$5:$AM$77, MATCH(AM$100,_xlfn.ANCHORARRAY( $W$5), 0), 0),
        $F$5:$U$20
    ),
    TRANSPOSE(
        INDEX($X$5:$AM$77, MATCH($A169,_xlfn.ANCHORARRAY( $W$5), 0), 0)
    )
)
/
(
    INDEX($AN$5:$AN$77, MATCH(AM$100,_xlfn.ANCHORARRAY( $W$5), 0))
    *
    INDEX($AN$5:$AN$77, MATCH($A169,_xlfn.ANCHORARRAY( $W$5), 0))
)</f>
        <v>0.77830586688257841</v>
      </c>
      <c r="AN169" s="17" cm="1">
        <f t="array" ref="AN169">MMULT(
    MMULT(
        INDEX($X$5:$AM$77, MATCH(AN$100,_xlfn.ANCHORARRAY( $W$5), 0), 0),
        $F$5:$U$20
    ),
    TRANSPOSE(
        INDEX($X$5:$AM$77, MATCH($A169,_xlfn.ANCHORARRAY( $W$5), 0), 0)
    )
)
/
(
    INDEX($AN$5:$AN$77, MATCH(AN$100,_xlfn.ANCHORARRAY( $W$5), 0))
    *
    INDEX($AN$5:$AN$77, MATCH($A169,_xlfn.ANCHORARRAY( $W$5), 0))
)</f>
        <v>0.85338679473128376</v>
      </c>
      <c r="AO169" s="17" cm="1">
        <f t="array" ref="AO169">MMULT(
    MMULT(
        INDEX($X$5:$AM$77, MATCH(AO$100,_xlfn.ANCHORARRAY( $W$5), 0), 0),
        $F$5:$U$20
    ),
    TRANSPOSE(
        INDEX($X$5:$AM$77, MATCH($A169,_xlfn.ANCHORARRAY( $W$5), 0), 0)
    )
)
/
(
    INDEX($AN$5:$AN$77, MATCH(AO$100,_xlfn.ANCHORARRAY( $W$5), 0))
    *
    INDEX($AN$5:$AN$77, MATCH($A169,_xlfn.ANCHORARRAY( $W$5), 0))
)</f>
        <v>0.67976718144889325</v>
      </c>
      <c r="AP169" s="17" cm="1">
        <f t="array" ref="AP169">MMULT(
    MMULT(
        INDEX($X$5:$AM$77, MATCH(AP$100,_xlfn.ANCHORARRAY( $W$5), 0), 0),
        $F$5:$U$20
    ),
    TRANSPOSE(
        INDEX($X$5:$AM$77, MATCH($A169,_xlfn.ANCHORARRAY( $W$5), 0), 0)
    )
)
/
(
    INDEX($AN$5:$AN$77, MATCH(AP$100,_xlfn.ANCHORARRAY( $W$5), 0))
    *
    INDEX($AN$5:$AN$77, MATCH($A169,_xlfn.ANCHORARRAY( $W$5), 0))
)</f>
        <v>0.86304348191309133</v>
      </c>
      <c r="AQ169" s="17" cm="1">
        <f t="array" ref="AQ169">MMULT(
    MMULT(
        INDEX($X$5:$AM$77, MATCH(AQ$100,_xlfn.ANCHORARRAY( $W$5), 0), 0),
        $F$5:$U$20
    ),
    TRANSPOSE(
        INDEX($X$5:$AM$77, MATCH($A169,_xlfn.ANCHORARRAY( $W$5), 0), 0)
    )
)
/
(
    INDEX($AN$5:$AN$77, MATCH(AQ$100,_xlfn.ANCHORARRAY( $W$5), 0))
    *
    INDEX($AN$5:$AN$77, MATCH($A169,_xlfn.ANCHORARRAY( $W$5), 0))
)</f>
        <v>0.71972487412412711</v>
      </c>
      <c r="AR169" s="17" cm="1">
        <f t="array" ref="AR169">MMULT(
    MMULT(
        INDEX($X$5:$AM$77, MATCH(AR$100,_xlfn.ANCHORARRAY( $W$5), 0), 0),
        $F$5:$U$20
    ),
    TRANSPOSE(
        INDEX($X$5:$AM$77, MATCH($A169,_xlfn.ANCHORARRAY( $W$5), 0), 0)
    )
)
/
(
    INDEX($AN$5:$AN$77, MATCH(AR$100,_xlfn.ANCHORARRAY( $W$5), 0))
    *
    INDEX($AN$5:$AN$77, MATCH($A169,_xlfn.ANCHORARRAY( $W$5), 0))
)</f>
        <v>0.84096073265297278</v>
      </c>
      <c r="AS169" s="17" cm="1">
        <f t="array" ref="AS169">MMULT(
    MMULT(
        INDEX($X$5:$AM$77, MATCH(AS$100,_xlfn.ANCHORARRAY( $W$5), 0), 0),
        $F$5:$U$20
    ),
    TRANSPOSE(
        INDEX($X$5:$AM$77, MATCH($A169,_xlfn.ANCHORARRAY( $W$5), 0), 0)
    )
)
/
(
    INDEX($AN$5:$AN$77, MATCH(AS$100,_xlfn.ANCHORARRAY( $W$5), 0))
    *
    INDEX($AN$5:$AN$77, MATCH($A169,_xlfn.ANCHORARRAY( $W$5), 0))
)</f>
        <v>0.90272514534344583</v>
      </c>
      <c r="AT169" s="17" cm="1">
        <f t="array" ref="AT169">MMULT(
    MMULT(
        INDEX($X$5:$AM$77, MATCH(AT$100,_xlfn.ANCHORARRAY( $W$5), 0), 0),
        $F$5:$U$20
    ),
    TRANSPOSE(
        INDEX($X$5:$AM$77, MATCH($A169,_xlfn.ANCHORARRAY( $W$5), 0), 0)
    )
)
/
(
    INDEX($AN$5:$AN$77, MATCH(AT$100,_xlfn.ANCHORARRAY( $W$5), 0))
    *
    INDEX($AN$5:$AN$77, MATCH($A169,_xlfn.ANCHORARRAY( $W$5), 0))
)</f>
        <v>0.82073452902424227</v>
      </c>
      <c r="AU169" s="17" cm="1">
        <f t="array" ref="AU169">MMULT(
    MMULT(
        INDEX($X$5:$AM$77, MATCH(AU$100,_xlfn.ANCHORARRAY( $W$5), 0), 0),
        $F$5:$U$20
    ),
    TRANSPOSE(
        INDEX($X$5:$AM$77, MATCH($A169,_xlfn.ANCHORARRAY( $W$5), 0), 0)
    )
)
/
(
    INDEX($AN$5:$AN$77, MATCH(AU$100,_xlfn.ANCHORARRAY( $W$5), 0))
    *
    INDEX($AN$5:$AN$77, MATCH($A169,_xlfn.ANCHORARRAY( $W$5), 0))
)</f>
        <v>0.8534134701061975</v>
      </c>
      <c r="AV169" s="17" cm="1">
        <f t="array" ref="AV169">MMULT(
    MMULT(
        INDEX($X$5:$AM$77, MATCH(AV$100,_xlfn.ANCHORARRAY( $W$5), 0), 0),
        $F$5:$U$20
    ),
    TRANSPOSE(
        INDEX($X$5:$AM$77, MATCH($A169,_xlfn.ANCHORARRAY( $W$5), 0), 0)
    )
)
/
(
    INDEX($AN$5:$AN$77, MATCH(AV$100,_xlfn.ANCHORARRAY( $W$5), 0))
    *
    INDEX($AN$5:$AN$77, MATCH($A169,_xlfn.ANCHORARRAY( $W$5), 0))
)</f>
        <v>0.78111927011802729</v>
      </c>
      <c r="AW169" s="17" cm="1">
        <f t="array" ref="AW169">MMULT(
    MMULT(
        INDEX($X$5:$AM$77, MATCH(AW$100,_xlfn.ANCHORARRAY( $W$5), 0), 0),
        $F$5:$U$20
    ),
    TRANSPOSE(
        INDEX($X$5:$AM$77, MATCH($A169,_xlfn.ANCHORARRAY( $W$5), 0), 0)
    )
)
/
(
    INDEX($AN$5:$AN$77, MATCH(AW$100,_xlfn.ANCHORARRAY( $W$5), 0))
    *
    INDEX($AN$5:$AN$77, MATCH($A169,_xlfn.ANCHORARRAY( $W$5), 0))
)</f>
        <v>0.9213754252039007</v>
      </c>
      <c r="AX169" s="17" cm="1">
        <f t="array" ref="AX169">MMULT(
    MMULT(
        INDEX($X$5:$AM$77, MATCH(AX$100,_xlfn.ANCHORARRAY( $W$5), 0), 0),
        $F$5:$U$20
    ),
    TRANSPOSE(
        INDEX($X$5:$AM$77, MATCH($A169,_xlfn.ANCHORARRAY( $W$5), 0), 0)
    )
)
/
(
    INDEX($AN$5:$AN$77, MATCH(AX$100,_xlfn.ANCHORARRAY( $W$5), 0))
    *
    INDEX($AN$5:$AN$77, MATCH($A169,_xlfn.ANCHORARRAY( $W$5), 0))
)</f>
        <v>0.58624052081013478</v>
      </c>
      <c r="AY169" s="17" cm="1">
        <f t="array" ref="AY169">MMULT(
    MMULT(
        INDEX($X$5:$AM$77, MATCH(AY$100,_xlfn.ANCHORARRAY( $W$5), 0), 0),
        $F$5:$U$20
    ),
    TRANSPOSE(
        INDEX($X$5:$AM$77, MATCH($A169,_xlfn.ANCHORARRAY( $W$5), 0), 0)
    )
)
/
(
    INDEX($AN$5:$AN$77, MATCH(AY$100,_xlfn.ANCHORARRAY( $W$5), 0))
    *
    INDEX($AN$5:$AN$77, MATCH($A169,_xlfn.ANCHORARRAY( $W$5), 0))
)</f>
        <v>0.75333727167322873</v>
      </c>
      <c r="AZ169" s="17" cm="1">
        <f t="array" ref="AZ169">MMULT(
    MMULT(
        INDEX($X$5:$AM$77, MATCH(AZ$100,_xlfn.ANCHORARRAY( $W$5), 0), 0),
        $F$5:$U$20
    ),
    TRANSPOSE(
        INDEX($X$5:$AM$77, MATCH($A169,_xlfn.ANCHORARRAY( $W$5), 0), 0)
    )
)
/
(
    INDEX($AN$5:$AN$77, MATCH(AZ$100,_xlfn.ANCHORARRAY( $W$5), 0))
    *
    INDEX($AN$5:$AN$77, MATCH($A169,_xlfn.ANCHORARRAY( $W$5), 0))
)</f>
        <v>0.76838084489281233</v>
      </c>
      <c r="BA169" s="17" cm="1">
        <f t="array" ref="BA169">MMULT(
    MMULT(
        INDEX($X$5:$AM$77, MATCH(BA$100,_xlfn.ANCHORARRAY( $W$5), 0), 0),
        $F$5:$U$20
    ),
    TRANSPOSE(
        INDEX($X$5:$AM$77, MATCH($A169,_xlfn.ANCHORARRAY( $W$5), 0), 0)
    )
)
/
(
    INDEX($AN$5:$AN$77, MATCH(BA$100,_xlfn.ANCHORARRAY( $W$5), 0))
    *
    INDEX($AN$5:$AN$77, MATCH($A169,_xlfn.ANCHORARRAY( $W$5), 0))
)</f>
        <v>0.80427699112604611</v>
      </c>
      <c r="BB169" s="17" cm="1">
        <f t="array" ref="BB169">MMULT(
    MMULT(
        INDEX($X$5:$AM$77, MATCH(BB$100,_xlfn.ANCHORARRAY( $W$5), 0), 0),
        $F$5:$U$20
    ),
    TRANSPOSE(
        INDEX($X$5:$AM$77, MATCH($A169,_xlfn.ANCHORARRAY( $W$5), 0), 0)
    )
)
/
(
    INDEX($AN$5:$AN$77, MATCH(BB$100,_xlfn.ANCHORARRAY( $W$5), 0))
    *
    INDEX($AN$5:$AN$77, MATCH($A169,_xlfn.ANCHORARRAY( $W$5), 0))
)</f>
        <v>0.78571387858008102</v>
      </c>
      <c r="BC169" s="17" cm="1">
        <f t="array" ref="BC169">MMULT(
    MMULT(
        INDEX($X$5:$AM$77, MATCH(BC$100,_xlfn.ANCHORARRAY( $W$5), 0), 0),
        $F$5:$U$20
    ),
    TRANSPOSE(
        INDEX($X$5:$AM$77, MATCH($A169,_xlfn.ANCHORARRAY( $W$5), 0), 0)
    )
)
/
(
    INDEX($AN$5:$AN$77, MATCH(BC$100,_xlfn.ANCHORARRAY( $W$5), 0))
    *
    INDEX($AN$5:$AN$77, MATCH($A169,_xlfn.ANCHORARRAY( $W$5), 0))
)</f>
        <v>0.89419780700782403</v>
      </c>
      <c r="BD169" s="17" cm="1">
        <f t="array" ref="BD169">MMULT(
    MMULT(
        INDEX($X$5:$AM$77, MATCH(BD$100,_xlfn.ANCHORARRAY( $W$5), 0), 0),
        $F$5:$U$20
    ),
    TRANSPOSE(
        INDEX($X$5:$AM$77, MATCH($A169,_xlfn.ANCHORARRAY( $W$5), 0), 0)
    )
)
/
(
    INDEX($AN$5:$AN$77, MATCH(BD$100,_xlfn.ANCHORARRAY( $W$5), 0))
    *
    INDEX($AN$5:$AN$77, MATCH($A169,_xlfn.ANCHORARRAY( $W$5), 0))
)</f>
        <v>0.66745847552120885</v>
      </c>
      <c r="BE169" s="17" cm="1">
        <f t="array" ref="BE169">MMULT(
    MMULT(
        INDEX($X$5:$AM$77, MATCH(BE$100,_xlfn.ANCHORARRAY( $W$5), 0), 0),
        $F$5:$U$20
    ),
    TRANSPOSE(
        INDEX($X$5:$AM$77, MATCH($A169,_xlfn.ANCHORARRAY( $W$5), 0), 0)
    )
)
/
(
    INDEX($AN$5:$AN$77, MATCH(BE$100,_xlfn.ANCHORARRAY( $W$5), 0))
    *
    INDEX($AN$5:$AN$77, MATCH($A169,_xlfn.ANCHORARRAY( $W$5), 0))
)</f>
        <v>0.82053188819823197</v>
      </c>
      <c r="BF169" s="17" cm="1">
        <f t="array" ref="BF169">MMULT(
    MMULT(
        INDEX($X$5:$AM$77, MATCH(BF$100,_xlfn.ANCHORARRAY( $W$5), 0), 0),
        $F$5:$U$20
    ),
    TRANSPOSE(
        INDEX($X$5:$AM$77, MATCH($A169,_xlfn.ANCHORARRAY( $W$5), 0), 0)
    )
)
/
(
    INDEX($AN$5:$AN$77, MATCH(BF$100,_xlfn.ANCHORARRAY( $W$5), 0))
    *
    INDEX($AN$5:$AN$77, MATCH($A169,_xlfn.ANCHORARRAY( $W$5), 0))
)</f>
        <v>0.80968070334190201</v>
      </c>
      <c r="BG169" s="17" cm="1">
        <f t="array" ref="BG169">MMULT(
    MMULT(
        INDEX($X$5:$AM$77, MATCH(BG$100,_xlfn.ANCHORARRAY( $W$5), 0), 0),
        $F$5:$U$20
    ),
    TRANSPOSE(
        INDEX($X$5:$AM$77, MATCH($A169,_xlfn.ANCHORARRAY( $W$5), 0), 0)
    )
)
/
(
    INDEX($AN$5:$AN$77, MATCH(BG$100,_xlfn.ANCHORARRAY( $W$5), 0))
    *
    INDEX($AN$5:$AN$77, MATCH($A169,_xlfn.ANCHORARRAY( $W$5), 0))
)</f>
        <v>0.85745422802861837</v>
      </c>
      <c r="BH169" s="17" cm="1">
        <f t="array" ref="BH169">MMULT(
    MMULT(
        INDEX($X$5:$AM$77, MATCH(BH$100,_xlfn.ANCHORARRAY( $W$5), 0), 0),
        $F$5:$U$20
    ),
    TRANSPOSE(
        INDEX($X$5:$AM$77, MATCH($A169,_xlfn.ANCHORARRAY( $W$5), 0), 0)
    )
)
/
(
    INDEX($AN$5:$AN$77, MATCH(BH$100,_xlfn.ANCHORARRAY( $W$5), 0))
    *
    INDEX($AN$5:$AN$77, MATCH($A169,_xlfn.ANCHORARRAY( $W$5), 0))
)</f>
        <v>0.81948955005968827</v>
      </c>
      <c r="BI169" s="17" cm="1">
        <f t="array" ref="BI169">MMULT(
    MMULT(
        INDEX($X$5:$AM$77, MATCH(BI$100,_xlfn.ANCHORARRAY( $W$5), 0), 0),
        $F$5:$U$20
    ),
    TRANSPOSE(
        INDEX($X$5:$AM$77, MATCH($A169,_xlfn.ANCHORARRAY( $W$5), 0), 0)
    )
)
/
(
    INDEX($AN$5:$AN$77, MATCH(BI$100,_xlfn.ANCHORARRAY( $W$5), 0))
    *
    INDEX($AN$5:$AN$77, MATCH($A169,_xlfn.ANCHORARRAY( $W$5), 0))
)</f>
        <v>0.82397713604808942</v>
      </c>
      <c r="BJ169" s="17" cm="1">
        <f t="array" ref="BJ169">MMULT(
    MMULT(
        INDEX($X$5:$AM$77, MATCH(BJ$100,_xlfn.ANCHORARRAY( $W$5), 0), 0),
        $F$5:$U$20
    ),
    TRANSPOSE(
        INDEX($X$5:$AM$77, MATCH($A169,_xlfn.ANCHORARRAY( $W$5), 0), 0)
    )
)
/
(
    INDEX($AN$5:$AN$77, MATCH(BJ$100,_xlfn.ANCHORARRAY( $W$5), 0))
    *
    INDEX($AN$5:$AN$77, MATCH($A169,_xlfn.ANCHORARRAY( $W$5), 0))
)</f>
        <v>0.73139264347487831</v>
      </c>
      <c r="BK169" s="17" cm="1">
        <f t="array" ref="BK169">MMULT(
    MMULT(
        INDEX($X$5:$AM$77, MATCH(BK$100,_xlfn.ANCHORARRAY( $W$5), 0), 0),
        $F$5:$U$20
    ),
    TRANSPOSE(
        INDEX($X$5:$AM$77, MATCH($A169,_xlfn.ANCHORARRAY( $W$5), 0), 0)
    )
)
/
(
    INDEX($AN$5:$AN$77, MATCH(BK$100,_xlfn.ANCHORARRAY( $W$5), 0))
    *
    INDEX($AN$5:$AN$77, MATCH($A169,_xlfn.ANCHORARRAY( $W$5), 0))
)</f>
        <v>0.68017918968550906</v>
      </c>
      <c r="BL169" s="17" cm="1">
        <f t="array" ref="BL169">MMULT(
    MMULT(
        INDEX($X$5:$AM$77, MATCH(BL$100,_xlfn.ANCHORARRAY( $W$5), 0), 0),
        $F$5:$U$20
    ),
    TRANSPOSE(
        INDEX($X$5:$AM$77, MATCH($A169,_xlfn.ANCHORARRAY( $W$5), 0), 0)
    )
)
/
(
    INDEX($AN$5:$AN$77, MATCH(BL$100,_xlfn.ANCHORARRAY( $W$5), 0))
    *
    INDEX($AN$5:$AN$77, MATCH($A169,_xlfn.ANCHORARRAY( $W$5), 0))
)</f>
        <v>0.53212559752496791</v>
      </c>
      <c r="BM169" s="17" cm="1">
        <f t="array" ref="BM169">MMULT(
    MMULT(
        INDEX($X$5:$AM$77, MATCH(BM$100,_xlfn.ANCHORARRAY( $W$5), 0), 0),
        $F$5:$U$20
    ),
    TRANSPOSE(
        INDEX($X$5:$AM$77, MATCH($A169,_xlfn.ANCHORARRAY( $W$5), 0), 0)
    )
)
/
(
    INDEX($AN$5:$AN$77, MATCH(BM$100,_xlfn.ANCHORARRAY( $W$5), 0))
    *
    INDEX($AN$5:$AN$77, MATCH($A169,_xlfn.ANCHORARRAY( $W$5), 0))
)</f>
        <v>0.62969088745298663</v>
      </c>
      <c r="BN169" s="17" cm="1">
        <f t="array" ref="BN169">MMULT(
    MMULT(
        INDEX($X$5:$AM$77, MATCH(BN$100,_xlfn.ANCHORARRAY( $W$5), 0), 0),
        $F$5:$U$20
    ),
    TRANSPOSE(
        INDEX($X$5:$AM$77, MATCH($A169,_xlfn.ANCHORARRAY( $W$5), 0), 0)
    )
)
/
(
    INDEX($AN$5:$AN$77, MATCH(BN$100,_xlfn.ANCHORARRAY( $W$5), 0))
    *
    INDEX($AN$5:$AN$77, MATCH($A169,_xlfn.ANCHORARRAY( $W$5), 0))
)</f>
        <v>0.8125480476335909</v>
      </c>
      <c r="BO169" s="17" cm="1">
        <f t="array" ref="BO169">MMULT(
    MMULT(
        INDEX($X$5:$AM$77, MATCH(BO$100,_xlfn.ANCHORARRAY( $W$5), 0), 0),
        $F$5:$U$20
    ),
    TRANSPOSE(
        INDEX($X$5:$AM$77, MATCH($A169,_xlfn.ANCHORARRAY( $W$5), 0), 0)
    )
)
/
(
    INDEX($AN$5:$AN$77, MATCH(BO$100,_xlfn.ANCHORARRAY( $W$5), 0))
    *
    INDEX($AN$5:$AN$77, MATCH($A169,_xlfn.ANCHORARRAY( $W$5), 0))
)</f>
        <v>0.94136790521248659</v>
      </c>
      <c r="BP169" s="17" cm="1">
        <f t="array" ref="BP169">MMULT(
    MMULT(
        INDEX($X$5:$AM$77, MATCH(BP$100,_xlfn.ANCHORARRAY( $W$5), 0), 0),
        $F$5:$U$20
    ),
    TRANSPOSE(
        INDEX($X$5:$AM$77, MATCH($A169,_xlfn.ANCHORARRAY( $W$5), 0), 0)
    )
)
/
(
    INDEX($AN$5:$AN$77, MATCH(BP$100,_xlfn.ANCHORARRAY( $W$5), 0))
    *
    INDEX($AN$5:$AN$77, MATCH($A169,_xlfn.ANCHORARRAY( $W$5), 0))
)</f>
        <v>0.77278490960895507</v>
      </c>
      <c r="BQ169" s="17" cm="1">
        <f t="array" ref="BQ169">MMULT(
    MMULT(
        INDEX($X$5:$AM$77, MATCH(BQ$100,_xlfn.ANCHORARRAY( $W$5), 0), 0),
        $F$5:$U$20
    ),
    TRANSPOSE(
        INDEX($X$5:$AM$77, MATCH($A169,_xlfn.ANCHORARRAY( $W$5), 0), 0)
    )
)
/
(
    INDEX($AN$5:$AN$77, MATCH(BQ$100,_xlfn.ANCHORARRAY( $W$5), 0))
    *
    INDEX($AN$5:$AN$77, MATCH($A169,_xlfn.ANCHORARRAY( $W$5), 0))
)</f>
        <v>0.6616559677502768</v>
      </c>
      <c r="BR169" s="17" cm="1">
        <f t="array" ref="BR169">MMULT(
    MMULT(
        INDEX($X$5:$AM$77, MATCH(BR$100,_xlfn.ANCHORARRAY( $W$5), 0), 0),
        $F$5:$U$20
    ),
    TRANSPOSE(
        INDEX($X$5:$AM$77, MATCH($A169,_xlfn.ANCHORARRAY( $W$5), 0), 0)
    )
)
/
(
    INDEX($AN$5:$AN$77, MATCH(BR$100,_xlfn.ANCHORARRAY( $W$5), 0))
    *
    INDEX($AN$5:$AN$77, MATCH($A169,_xlfn.ANCHORARRAY( $W$5), 0))
)</f>
        <v>1.0000000000000002</v>
      </c>
      <c r="BS169" s="17" cm="1">
        <f t="array" ref="BS169">MMULT(
    MMULT(
        INDEX($X$5:$AM$77, MATCH(BS$100,_xlfn.ANCHORARRAY( $W$5), 0), 0),
        $F$5:$U$20
    ),
    TRANSPOSE(
        INDEX($X$5:$AM$77, MATCH($A169,_xlfn.ANCHORARRAY( $W$5), 0), 0)
    )
)
/
(
    INDEX($AN$5:$AN$77, MATCH(BS$100,_xlfn.ANCHORARRAY( $W$5), 0))
    *
    INDEX($AN$5:$AN$77, MATCH($A169,_xlfn.ANCHORARRAY( $W$5), 0))
)</f>
        <v>0.80940460491406652</v>
      </c>
      <c r="BT169" s="17" cm="1">
        <f t="array" ref="BT169">MMULT(
    MMULT(
        INDEX($X$5:$AM$77, MATCH(BT$100,_xlfn.ANCHORARRAY( $W$5), 0), 0),
        $F$5:$U$20
    ),
    TRANSPOSE(
        INDEX($X$5:$AM$77, MATCH($A169,_xlfn.ANCHORARRAY( $W$5), 0), 0)
    )
)
/
(
    INDEX($AN$5:$AN$77, MATCH(BT$100,_xlfn.ANCHORARRAY( $W$5), 0))
    *
    INDEX($AN$5:$AN$77, MATCH($A169,_xlfn.ANCHORARRAY( $W$5), 0))
)</f>
        <v>0.78719587814877234</v>
      </c>
      <c r="BU169" s="17" cm="1">
        <f t="array" ref="BU169">MMULT(
    MMULT(
        INDEX($X$5:$AM$77, MATCH(BU$100,_xlfn.ANCHORARRAY( $W$5), 0), 0),
        $F$5:$U$20
    ),
    TRANSPOSE(
        INDEX($X$5:$AM$77, MATCH($A169,_xlfn.ANCHORARRAY( $W$5), 0), 0)
    )
)
/
(
    INDEX($AN$5:$AN$77, MATCH(BU$100,_xlfn.ANCHORARRAY( $W$5), 0))
    *
    INDEX($AN$5:$AN$77, MATCH($A169,_xlfn.ANCHORARRAY( $W$5), 0))
)</f>
        <v>0.81678348256426025</v>
      </c>
      <c r="BV169" s="17" cm="1">
        <f t="array" ref="BV169">MMULT(
    MMULT(
        INDEX($X$5:$AM$77, MATCH(BV$100,_xlfn.ANCHORARRAY( $W$5), 0), 0),
        $F$5:$U$20
    ),
    TRANSPOSE(
        INDEX($X$5:$AM$77, MATCH($A169,_xlfn.ANCHORARRAY( $W$5), 0), 0)
    )
)
/
(
    INDEX($AN$5:$AN$77, MATCH(BV$100,_xlfn.ANCHORARRAY( $W$5), 0))
    *
    INDEX($AN$5:$AN$77, MATCH($A169,_xlfn.ANCHORARRAY( $W$5), 0))
)</f>
        <v>0.90478169485162663</v>
      </c>
    </row>
    <row r="170" spans="1:74" x14ac:dyDescent="0.3">
      <c r="A170" s="7" t="str">
        <v>Blewett, Scott</v>
      </c>
      <c r="B170" s="17" cm="1">
        <f t="array" ref="B170">MMULT(
    MMULT(
        INDEX($X$5:$AM$77, MATCH(B$100,_xlfn.ANCHORARRAY( $W$5), 0), 0),
        $F$5:$U$20
    ),
    TRANSPOSE(
        INDEX($X$5:$AM$77, MATCH($A170,_xlfn.ANCHORARRAY( $W$5), 0), 0)
    )
)
/
(
    INDEX($AN$5:$AN$77, MATCH(B$100,_xlfn.ANCHORARRAY( $W$5), 0))
    *
    INDEX($AN$5:$AN$77, MATCH($A170,_xlfn.ANCHORARRAY( $W$5), 0))
)</f>
        <v>0.77772358351814985</v>
      </c>
      <c r="C170" s="17" cm="1">
        <f t="array" ref="C170">MMULT(
    MMULT(
        INDEX($X$5:$AM$77, MATCH(C$100,_xlfn.ANCHORARRAY( $W$5), 0), 0),
        $F$5:$U$20
    ),
    TRANSPOSE(
        INDEX($X$5:$AM$77, MATCH($A170,_xlfn.ANCHORARRAY( $W$5), 0), 0)
    )
)
/
(
    INDEX($AN$5:$AN$77, MATCH(C$100,_xlfn.ANCHORARRAY( $W$5), 0))
    *
    INDEX($AN$5:$AN$77, MATCH($A170,_xlfn.ANCHORARRAY( $W$5), 0))
)</f>
        <v>0.50667059394499747</v>
      </c>
      <c r="D170" s="17" cm="1">
        <f t="array" ref="D170">MMULT(
    MMULT(
        INDEX($X$5:$AM$77, MATCH(D$100,_xlfn.ANCHORARRAY( $W$5), 0), 0),
        $F$5:$U$20
    ),
    TRANSPOSE(
        INDEX($X$5:$AM$77, MATCH($A170,_xlfn.ANCHORARRAY( $W$5), 0), 0)
    )
)
/
(
    INDEX($AN$5:$AN$77, MATCH(D$100,_xlfn.ANCHORARRAY( $W$5), 0))
    *
    INDEX($AN$5:$AN$77, MATCH($A170,_xlfn.ANCHORARRAY( $W$5), 0))
)</f>
        <v>0.919561752801202</v>
      </c>
      <c r="E170" s="17" cm="1">
        <f t="array" ref="E170">MMULT(
    MMULT(
        INDEX($X$5:$AM$77, MATCH(E$100,_xlfn.ANCHORARRAY( $W$5), 0), 0),
        $F$5:$U$20
    ),
    TRANSPOSE(
        INDEX($X$5:$AM$77, MATCH($A170,_xlfn.ANCHORARRAY( $W$5), 0), 0)
    )
)
/
(
    INDEX($AN$5:$AN$77, MATCH(E$100,_xlfn.ANCHORARRAY( $W$5), 0))
    *
    INDEX($AN$5:$AN$77, MATCH($A170,_xlfn.ANCHORARRAY( $W$5), 0))
)</f>
        <v>0.85582286557009934</v>
      </c>
      <c r="F170" s="17" cm="1">
        <f t="array" ref="F170">MMULT(
    MMULT(
        INDEX($X$5:$AM$77, MATCH(F$100,_xlfn.ANCHORARRAY( $W$5), 0), 0),
        $F$5:$U$20
    ),
    TRANSPOSE(
        INDEX($X$5:$AM$77, MATCH($A170,_xlfn.ANCHORARRAY( $W$5), 0), 0)
    )
)
/
(
    INDEX($AN$5:$AN$77, MATCH(F$100,_xlfn.ANCHORARRAY( $W$5), 0))
    *
    INDEX($AN$5:$AN$77, MATCH($A170,_xlfn.ANCHORARRAY( $W$5), 0))
)</f>
        <v>0.97300098634179499</v>
      </c>
      <c r="G170" s="17" cm="1">
        <f t="array" ref="G170">MMULT(
    MMULT(
        INDEX($X$5:$AM$77, MATCH(G$100,_xlfn.ANCHORARRAY( $W$5), 0), 0),
        $F$5:$U$20
    ),
    TRANSPOSE(
        INDEX($X$5:$AM$77, MATCH($A170,_xlfn.ANCHORARRAY( $W$5), 0), 0)
    )
)
/
(
    INDEX($AN$5:$AN$77, MATCH(G$100,_xlfn.ANCHORARRAY( $W$5), 0))
    *
    INDEX($AN$5:$AN$77, MATCH($A170,_xlfn.ANCHORARRAY( $W$5), 0))
)</f>
        <v>0.62930143525164561</v>
      </c>
      <c r="H170" s="17" cm="1">
        <f t="array" ref="H170">MMULT(
    MMULT(
        INDEX($X$5:$AM$77, MATCH(H$100,_xlfn.ANCHORARRAY( $W$5), 0), 0),
        $F$5:$U$20
    ),
    TRANSPOSE(
        INDEX($X$5:$AM$77, MATCH($A170,_xlfn.ANCHORARRAY( $W$5), 0), 0)
    )
)
/
(
    INDEX($AN$5:$AN$77, MATCH(H$100,_xlfn.ANCHORARRAY( $W$5), 0))
    *
    INDEX($AN$5:$AN$77, MATCH($A170,_xlfn.ANCHORARRAY( $W$5), 0))
)</f>
        <v>0.63821901917508983</v>
      </c>
      <c r="I170" s="17" cm="1">
        <f t="array" ref="I170">MMULT(
    MMULT(
        INDEX($X$5:$AM$77, MATCH(I$100,_xlfn.ANCHORARRAY( $W$5), 0), 0),
        $F$5:$U$20
    ),
    TRANSPOSE(
        INDEX($X$5:$AM$77, MATCH($A170,_xlfn.ANCHORARRAY( $W$5), 0), 0)
    )
)
/
(
    INDEX($AN$5:$AN$77, MATCH(I$100,_xlfn.ANCHORARRAY( $W$5), 0))
    *
    INDEX($AN$5:$AN$77, MATCH($A170,_xlfn.ANCHORARRAY( $W$5), 0))
)</f>
        <v>0.64487375374325806</v>
      </c>
      <c r="J170" s="17" cm="1">
        <f t="array" ref="J170">MMULT(
    MMULT(
        INDEX($X$5:$AM$77, MATCH(J$100,_xlfn.ANCHORARRAY( $W$5), 0), 0),
        $F$5:$U$20
    ),
    TRANSPOSE(
        INDEX($X$5:$AM$77, MATCH($A170,_xlfn.ANCHORARRAY( $W$5), 0), 0)
    )
)
/
(
    INDEX($AN$5:$AN$77, MATCH(J$100,_xlfn.ANCHORARRAY( $W$5), 0))
    *
    INDEX($AN$5:$AN$77, MATCH($A170,_xlfn.ANCHORARRAY( $W$5), 0))
)</f>
        <v>0.85755834327967395</v>
      </c>
      <c r="K170" s="17" cm="1">
        <f t="array" ref="K170">MMULT(
    MMULT(
        INDEX($X$5:$AM$77, MATCH(K$100,_xlfn.ANCHORARRAY( $W$5), 0), 0),
        $F$5:$U$20
    ),
    TRANSPOSE(
        INDEX($X$5:$AM$77, MATCH($A170,_xlfn.ANCHORARRAY( $W$5), 0), 0)
    )
)
/
(
    INDEX($AN$5:$AN$77, MATCH(K$100,_xlfn.ANCHORARRAY( $W$5), 0))
    *
    INDEX($AN$5:$AN$77, MATCH($A170,_xlfn.ANCHORARRAY( $W$5), 0))
)</f>
        <v>0.82022256224038703</v>
      </c>
      <c r="L170" s="17" cm="1">
        <f t="array" ref="L170">MMULT(
    MMULT(
        INDEX($X$5:$AM$77, MATCH(L$100,_xlfn.ANCHORARRAY( $W$5), 0), 0),
        $F$5:$U$20
    ),
    TRANSPOSE(
        INDEX($X$5:$AM$77, MATCH($A170,_xlfn.ANCHORARRAY( $W$5), 0), 0)
    )
)
/
(
    INDEX($AN$5:$AN$77, MATCH(L$100,_xlfn.ANCHORARRAY( $W$5), 0))
    *
    INDEX($AN$5:$AN$77, MATCH($A170,_xlfn.ANCHORARRAY( $W$5), 0))
)</f>
        <v>0.54041136374402199</v>
      </c>
      <c r="M170" s="17" cm="1">
        <f t="array" ref="M170">MMULT(
    MMULT(
        INDEX($X$5:$AM$77, MATCH(M$100,_xlfn.ANCHORARRAY( $W$5), 0), 0),
        $F$5:$U$20
    ),
    TRANSPOSE(
        INDEX($X$5:$AM$77, MATCH($A170,_xlfn.ANCHORARRAY( $W$5), 0), 0)
    )
)
/
(
    INDEX($AN$5:$AN$77, MATCH(M$100,_xlfn.ANCHORARRAY( $W$5), 0))
    *
    INDEX($AN$5:$AN$77, MATCH($A170,_xlfn.ANCHORARRAY( $W$5), 0))
)</f>
        <v>0.80191680709468349</v>
      </c>
      <c r="N170" s="17" cm="1">
        <f t="array" ref="N170">MMULT(
    MMULT(
        INDEX($X$5:$AM$77, MATCH(N$100,_xlfn.ANCHORARRAY( $W$5), 0), 0),
        $F$5:$U$20
    ),
    TRANSPOSE(
        INDEX($X$5:$AM$77, MATCH($A170,_xlfn.ANCHORARRAY( $W$5), 0), 0)
    )
)
/
(
    INDEX($AN$5:$AN$77, MATCH(N$100,_xlfn.ANCHORARRAY( $W$5), 0))
    *
    INDEX($AN$5:$AN$77, MATCH($A170,_xlfn.ANCHORARRAY( $W$5), 0))
)</f>
        <v>0.92547841999464098</v>
      </c>
      <c r="O170" s="17" cm="1">
        <f t="array" ref="O170">MMULT(
    MMULT(
        INDEX($X$5:$AM$77, MATCH(O$100,_xlfn.ANCHORARRAY( $W$5), 0), 0),
        $F$5:$U$20
    ),
    TRANSPOSE(
        INDEX($X$5:$AM$77, MATCH($A170,_xlfn.ANCHORARRAY( $W$5), 0), 0)
    )
)
/
(
    INDEX($AN$5:$AN$77, MATCH(O$100,_xlfn.ANCHORARRAY( $W$5), 0))
    *
    INDEX($AN$5:$AN$77, MATCH($A170,_xlfn.ANCHORARRAY( $W$5), 0))
)</f>
        <v>0.96579287435266348</v>
      </c>
      <c r="P170" s="17" cm="1">
        <f t="array" ref="P170">MMULT(
    MMULT(
        INDEX($X$5:$AM$77, MATCH(P$100,_xlfn.ANCHORARRAY( $W$5), 0), 0),
        $F$5:$U$20
    ),
    TRANSPOSE(
        INDEX($X$5:$AM$77, MATCH($A170,_xlfn.ANCHORARRAY( $W$5), 0), 0)
    )
)
/
(
    INDEX($AN$5:$AN$77, MATCH(P$100,_xlfn.ANCHORARRAY( $W$5), 0))
    *
    INDEX($AN$5:$AN$77, MATCH($A170,_xlfn.ANCHORARRAY( $W$5), 0))
)</f>
        <v>0.89372198628751531</v>
      </c>
      <c r="Q170" s="17" cm="1">
        <f t="array" ref="Q170">MMULT(
    MMULT(
        INDEX($X$5:$AM$77, MATCH(Q$100,_xlfn.ANCHORARRAY( $W$5), 0), 0),
        $F$5:$U$20
    ),
    TRANSPOSE(
        INDEX($X$5:$AM$77, MATCH($A170,_xlfn.ANCHORARRAY( $W$5), 0), 0)
    )
)
/
(
    INDEX($AN$5:$AN$77, MATCH(Q$100,_xlfn.ANCHORARRAY( $W$5), 0))
    *
    INDEX($AN$5:$AN$77, MATCH($A170,_xlfn.ANCHORARRAY( $W$5), 0))
)</f>
        <v>0.54312093320133159</v>
      </c>
      <c r="R170" s="17" cm="1">
        <f t="array" ref="R170">MMULT(
    MMULT(
        INDEX($X$5:$AM$77, MATCH(R$100,_xlfn.ANCHORARRAY( $W$5), 0), 0),
        $F$5:$U$20
    ),
    TRANSPOSE(
        INDEX($X$5:$AM$77, MATCH($A170,_xlfn.ANCHORARRAY( $W$5), 0), 0)
    )
)
/
(
    INDEX($AN$5:$AN$77, MATCH(R$100,_xlfn.ANCHORARRAY( $W$5), 0))
    *
    INDEX($AN$5:$AN$77, MATCH($A170,_xlfn.ANCHORARRAY( $W$5), 0))
)</f>
        <v>0.84380179026467017</v>
      </c>
      <c r="S170" s="17" cm="1">
        <f t="array" ref="S170">MMULT(
    MMULT(
        INDEX($X$5:$AM$77, MATCH(S$100,_xlfn.ANCHORARRAY( $W$5), 0), 0),
        $F$5:$U$20
    ),
    TRANSPOSE(
        INDEX($X$5:$AM$77, MATCH($A170,_xlfn.ANCHORARRAY( $W$5), 0), 0)
    )
)
/
(
    INDEX($AN$5:$AN$77, MATCH(S$100,_xlfn.ANCHORARRAY( $W$5), 0))
    *
    INDEX($AN$5:$AN$77, MATCH($A170,_xlfn.ANCHORARRAY( $W$5), 0))
)</f>
        <v>0.6960558725764241</v>
      </c>
      <c r="T170" s="17" cm="1">
        <f t="array" ref="T170">MMULT(
    MMULT(
        INDEX($X$5:$AM$77, MATCH(T$100,_xlfn.ANCHORARRAY( $W$5), 0), 0),
        $F$5:$U$20
    ),
    TRANSPOSE(
        INDEX($X$5:$AM$77, MATCH($A170,_xlfn.ANCHORARRAY( $W$5), 0), 0)
    )
)
/
(
    INDEX($AN$5:$AN$77, MATCH(T$100,_xlfn.ANCHORARRAY( $W$5), 0))
    *
    INDEX($AN$5:$AN$77, MATCH($A170,_xlfn.ANCHORARRAY( $W$5), 0))
)</f>
        <v>0.23052526123157877</v>
      </c>
      <c r="U170" s="17" cm="1">
        <f t="array" ref="U170">MMULT(
    MMULT(
        INDEX($X$5:$AM$77, MATCH(U$100,_xlfn.ANCHORARRAY( $W$5), 0), 0),
        $F$5:$U$20
    ),
    TRANSPOSE(
        INDEX($X$5:$AM$77, MATCH($A170,_xlfn.ANCHORARRAY( $W$5), 0), 0)
    )
)
/
(
    INDEX($AN$5:$AN$77, MATCH(U$100,_xlfn.ANCHORARRAY( $W$5), 0))
    *
    INDEX($AN$5:$AN$77, MATCH($A170,_xlfn.ANCHORARRAY( $W$5), 0))
)</f>
        <v>0.89861619929118453</v>
      </c>
      <c r="V170" s="17" cm="1">
        <f t="array" ref="V170">MMULT(
    MMULT(
        INDEX($X$5:$AM$77, MATCH(V$100,_xlfn.ANCHORARRAY( $W$5), 0), 0),
        $F$5:$U$20
    ),
    TRANSPOSE(
        INDEX($X$5:$AM$77, MATCH($A170,_xlfn.ANCHORARRAY( $W$5), 0), 0)
    )
)
/
(
    INDEX($AN$5:$AN$77, MATCH(V$100,_xlfn.ANCHORARRAY( $W$5), 0))
    *
    INDEX($AN$5:$AN$77, MATCH($A170,_xlfn.ANCHORARRAY( $W$5), 0))
)</f>
        <v>0.38143471488759684</v>
      </c>
      <c r="W170" s="17" cm="1">
        <f t="array" ref="W170">MMULT(
    MMULT(
        INDEX($X$5:$AM$77, MATCH(W$100,_xlfn.ANCHORARRAY( $W$5), 0), 0),
        $F$5:$U$20
    ),
    TRANSPOSE(
        INDEX($X$5:$AM$77, MATCH($A170,_xlfn.ANCHORARRAY( $W$5), 0), 0)
    )
)
/
(
    INDEX($AN$5:$AN$77, MATCH(W$100,_xlfn.ANCHORARRAY( $W$5), 0))
    *
    INDEX($AN$5:$AN$77, MATCH($A170,_xlfn.ANCHORARRAY( $W$5), 0))
)</f>
        <v>0.677936598293301</v>
      </c>
      <c r="X170" s="17" cm="1">
        <f t="array" ref="X170">MMULT(
    MMULT(
        INDEX($X$5:$AM$77, MATCH(X$100,_xlfn.ANCHORARRAY( $W$5), 0), 0),
        $F$5:$U$20
    ),
    TRANSPOSE(
        INDEX($X$5:$AM$77, MATCH($A170,_xlfn.ANCHORARRAY( $W$5), 0), 0)
    )
)
/
(
    INDEX($AN$5:$AN$77, MATCH(X$100,_xlfn.ANCHORARRAY( $W$5), 0))
    *
    INDEX($AN$5:$AN$77, MATCH($A170,_xlfn.ANCHORARRAY( $W$5), 0))
)</f>
        <v>0.97034782475307169</v>
      </c>
      <c r="Y170" s="17" cm="1">
        <f t="array" ref="Y170">MMULT(
    MMULT(
        INDEX($X$5:$AM$77, MATCH(Y$100,_xlfn.ANCHORARRAY( $W$5), 0), 0),
        $F$5:$U$20
    ),
    TRANSPOSE(
        INDEX($X$5:$AM$77, MATCH($A170,_xlfn.ANCHORARRAY( $W$5), 0), 0)
    )
)
/
(
    INDEX($AN$5:$AN$77, MATCH(Y$100,_xlfn.ANCHORARRAY( $W$5), 0))
    *
    INDEX($AN$5:$AN$77, MATCH($A170,_xlfn.ANCHORARRAY( $W$5), 0))
)</f>
        <v>0.59515656314996712</v>
      </c>
      <c r="Z170" s="17" cm="1">
        <f t="array" ref="Z170">MMULT(
    MMULT(
        INDEX($X$5:$AM$77, MATCH(Z$100,_xlfn.ANCHORARRAY( $W$5), 0), 0),
        $F$5:$U$20
    ),
    TRANSPOSE(
        INDEX($X$5:$AM$77, MATCH($A170,_xlfn.ANCHORARRAY( $W$5), 0), 0)
    )
)
/
(
    INDEX($AN$5:$AN$77, MATCH(Z$100,_xlfn.ANCHORARRAY( $W$5), 0))
    *
    INDEX($AN$5:$AN$77, MATCH($A170,_xlfn.ANCHORARRAY( $W$5), 0))
)</f>
        <v>0.95386096412664301</v>
      </c>
      <c r="AA170" s="17" cm="1">
        <f t="array" ref="AA170">MMULT(
    MMULT(
        INDEX($X$5:$AM$77, MATCH(AA$100,_xlfn.ANCHORARRAY( $W$5), 0), 0),
        $F$5:$U$20
    ),
    TRANSPOSE(
        INDEX($X$5:$AM$77, MATCH($A170,_xlfn.ANCHORARRAY( $W$5), 0), 0)
    )
)
/
(
    INDEX($AN$5:$AN$77, MATCH(AA$100,_xlfn.ANCHORARRAY( $W$5), 0))
    *
    INDEX($AN$5:$AN$77, MATCH($A170,_xlfn.ANCHORARRAY( $W$5), 0))
)</f>
        <v>0.93788018426176645</v>
      </c>
      <c r="AB170" s="17" cm="1">
        <f t="array" ref="AB170">MMULT(
    MMULT(
        INDEX($X$5:$AM$77, MATCH(AB$100,_xlfn.ANCHORARRAY( $W$5), 0), 0),
        $F$5:$U$20
    ),
    TRANSPOSE(
        INDEX($X$5:$AM$77, MATCH($A170,_xlfn.ANCHORARRAY( $W$5), 0), 0)
    )
)
/
(
    INDEX($AN$5:$AN$77, MATCH(AB$100,_xlfn.ANCHORARRAY( $W$5), 0))
    *
    INDEX($AN$5:$AN$77, MATCH($A170,_xlfn.ANCHORARRAY( $W$5), 0))
)</f>
        <v>0.88311416925815889</v>
      </c>
      <c r="AC170" s="17" cm="1">
        <f t="array" ref="AC170">MMULT(
    MMULT(
        INDEX($X$5:$AM$77, MATCH(AC$100,_xlfn.ANCHORARRAY( $W$5), 0), 0),
        $F$5:$U$20
    ),
    TRANSPOSE(
        INDEX($X$5:$AM$77, MATCH($A170,_xlfn.ANCHORARRAY( $W$5), 0), 0)
    )
)
/
(
    INDEX($AN$5:$AN$77, MATCH(AC$100,_xlfn.ANCHORARRAY( $W$5), 0))
    *
    INDEX($AN$5:$AN$77, MATCH($A170,_xlfn.ANCHORARRAY( $W$5), 0))
)</f>
        <v>0.67746554547108662</v>
      </c>
      <c r="AD170" s="17" cm="1">
        <f t="array" ref="AD170">MMULT(
    MMULT(
        INDEX($X$5:$AM$77, MATCH(AD$100,_xlfn.ANCHORARRAY( $W$5), 0), 0),
        $F$5:$U$20
    ),
    TRANSPOSE(
        INDEX($X$5:$AM$77, MATCH($A170,_xlfn.ANCHORARRAY( $W$5), 0), 0)
    )
)
/
(
    INDEX($AN$5:$AN$77, MATCH(AD$100,_xlfn.ANCHORARRAY( $W$5), 0))
    *
    INDEX($AN$5:$AN$77, MATCH($A170,_xlfn.ANCHORARRAY( $W$5), 0))
)</f>
        <v>0.92111606314109995</v>
      </c>
      <c r="AE170" s="17" cm="1">
        <f t="array" ref="AE170">MMULT(
    MMULT(
        INDEX($X$5:$AM$77, MATCH(AE$100,_xlfn.ANCHORARRAY( $W$5), 0), 0),
        $F$5:$U$20
    ),
    TRANSPOSE(
        INDEX($X$5:$AM$77, MATCH($A170,_xlfn.ANCHORARRAY( $W$5), 0), 0)
    )
)
/
(
    INDEX($AN$5:$AN$77, MATCH(AE$100,_xlfn.ANCHORARRAY( $W$5), 0))
    *
    INDEX($AN$5:$AN$77, MATCH($A170,_xlfn.ANCHORARRAY( $W$5), 0))
)</f>
        <v>0.81182260020847219</v>
      </c>
      <c r="AF170" s="17" cm="1">
        <f t="array" ref="AF170">MMULT(
    MMULT(
        INDEX($X$5:$AM$77, MATCH(AF$100,_xlfn.ANCHORARRAY( $W$5), 0), 0),
        $F$5:$U$20
    ),
    TRANSPOSE(
        INDEX($X$5:$AM$77, MATCH($A170,_xlfn.ANCHORARRAY( $W$5), 0), 0)
    )
)
/
(
    INDEX($AN$5:$AN$77, MATCH(AF$100,_xlfn.ANCHORARRAY( $W$5), 0))
    *
    INDEX($AN$5:$AN$77, MATCH($A170,_xlfn.ANCHORARRAY( $W$5), 0))
)</f>
        <v>0.64008420061824678</v>
      </c>
      <c r="AG170" s="17" cm="1">
        <f t="array" ref="AG170">MMULT(
    MMULT(
        INDEX($X$5:$AM$77, MATCH(AG$100,_xlfn.ANCHORARRAY( $W$5), 0), 0),
        $F$5:$U$20
    ),
    TRANSPOSE(
        INDEX($X$5:$AM$77, MATCH($A170,_xlfn.ANCHORARRAY( $W$5), 0), 0)
    )
)
/
(
    INDEX($AN$5:$AN$77, MATCH(AG$100,_xlfn.ANCHORARRAY( $W$5), 0))
    *
    INDEX($AN$5:$AN$77, MATCH($A170,_xlfn.ANCHORARRAY( $W$5), 0))
)</f>
        <v>0.74409563018841129</v>
      </c>
      <c r="AH170" s="17" cm="1">
        <f t="array" ref="AH170">MMULT(
    MMULT(
        INDEX($X$5:$AM$77, MATCH(AH$100,_xlfn.ANCHORARRAY( $W$5), 0), 0),
        $F$5:$U$20
    ),
    TRANSPOSE(
        INDEX($X$5:$AM$77, MATCH($A170,_xlfn.ANCHORARRAY( $W$5), 0), 0)
    )
)
/
(
    INDEX($AN$5:$AN$77, MATCH(AH$100,_xlfn.ANCHORARRAY( $W$5), 0))
    *
    INDEX($AN$5:$AN$77, MATCH($A170,_xlfn.ANCHORARRAY( $W$5), 0))
)</f>
        <v>0.70345400795817226</v>
      </c>
      <c r="AI170" s="17" cm="1">
        <f t="array" ref="AI170">MMULT(
    MMULT(
        INDEX($X$5:$AM$77, MATCH(AI$100,_xlfn.ANCHORARRAY( $W$5), 0), 0),
        $F$5:$U$20
    ),
    TRANSPOSE(
        INDEX($X$5:$AM$77, MATCH($A170,_xlfn.ANCHORARRAY( $W$5), 0), 0)
    )
)
/
(
    INDEX($AN$5:$AN$77, MATCH(AI$100,_xlfn.ANCHORARRAY( $W$5), 0))
    *
    INDEX($AN$5:$AN$77, MATCH($A170,_xlfn.ANCHORARRAY( $W$5), 0))
)</f>
        <v>0.76074714873437499</v>
      </c>
      <c r="AJ170" s="17" cm="1">
        <f t="array" ref="AJ170">MMULT(
    MMULT(
        INDEX($X$5:$AM$77, MATCH(AJ$100,_xlfn.ANCHORARRAY( $W$5), 0), 0),
        $F$5:$U$20
    ),
    TRANSPOSE(
        INDEX($X$5:$AM$77, MATCH($A170,_xlfn.ANCHORARRAY( $W$5), 0), 0)
    )
)
/
(
    INDEX($AN$5:$AN$77, MATCH(AJ$100,_xlfn.ANCHORARRAY( $W$5), 0))
    *
    INDEX($AN$5:$AN$77, MATCH($A170,_xlfn.ANCHORARRAY( $W$5), 0))
)</f>
        <v>0.91107731044570417</v>
      </c>
      <c r="AK170" s="17" cm="1">
        <f t="array" ref="AK170">MMULT(
    MMULT(
        INDEX($X$5:$AM$77, MATCH(AK$100,_xlfn.ANCHORARRAY( $W$5), 0), 0),
        $F$5:$U$20
    ),
    TRANSPOSE(
        INDEX($X$5:$AM$77, MATCH($A170,_xlfn.ANCHORARRAY( $W$5), 0), 0)
    )
)
/
(
    INDEX($AN$5:$AN$77, MATCH(AK$100,_xlfn.ANCHORARRAY( $W$5), 0))
    *
    INDEX($AN$5:$AN$77, MATCH($A170,_xlfn.ANCHORARRAY( $W$5), 0))
)</f>
        <v>0.78524061717237637</v>
      </c>
      <c r="AL170" s="17" cm="1">
        <f t="array" ref="AL170">MMULT(
    MMULT(
        INDEX($X$5:$AM$77, MATCH(AL$100,_xlfn.ANCHORARRAY( $W$5), 0), 0),
        $F$5:$U$20
    ),
    TRANSPOSE(
        INDEX($X$5:$AM$77, MATCH($A170,_xlfn.ANCHORARRAY( $W$5), 0), 0)
    )
)
/
(
    INDEX($AN$5:$AN$77, MATCH(AL$100,_xlfn.ANCHORARRAY( $W$5), 0))
    *
    INDEX($AN$5:$AN$77, MATCH($A170,_xlfn.ANCHORARRAY( $W$5), 0))
)</f>
        <v>0.95051290657933052</v>
      </c>
      <c r="AM170" s="17" cm="1">
        <f t="array" ref="AM170">MMULT(
    MMULT(
        INDEX($X$5:$AM$77, MATCH(AM$100,_xlfn.ANCHORARRAY( $W$5), 0), 0),
        $F$5:$U$20
    ),
    TRANSPOSE(
        INDEX($X$5:$AM$77, MATCH($A170,_xlfn.ANCHORARRAY( $W$5), 0), 0)
    )
)
/
(
    INDEX($AN$5:$AN$77, MATCH(AM$100,_xlfn.ANCHORARRAY( $W$5), 0))
    *
    INDEX($AN$5:$AN$77, MATCH($A170,_xlfn.ANCHORARRAY( $W$5), 0))
)</f>
        <v>0.65154290009633697</v>
      </c>
      <c r="AN170" s="17" cm="1">
        <f t="array" ref="AN170">MMULT(
    MMULT(
        INDEX($X$5:$AM$77, MATCH(AN$100,_xlfn.ANCHORARRAY( $W$5), 0), 0),
        $F$5:$U$20
    ),
    TRANSPOSE(
        INDEX($X$5:$AM$77, MATCH($A170,_xlfn.ANCHORARRAY( $W$5), 0), 0)
    )
)
/
(
    INDEX($AN$5:$AN$77, MATCH(AN$100,_xlfn.ANCHORARRAY( $W$5), 0))
    *
    INDEX($AN$5:$AN$77, MATCH($A170,_xlfn.ANCHORARRAY( $W$5), 0))
)</f>
        <v>0.66488992897679333</v>
      </c>
      <c r="AO170" s="17" cm="1">
        <f t="array" ref="AO170">MMULT(
    MMULT(
        INDEX($X$5:$AM$77, MATCH(AO$100,_xlfn.ANCHORARRAY( $W$5), 0), 0),
        $F$5:$U$20
    ),
    TRANSPOSE(
        INDEX($X$5:$AM$77, MATCH($A170,_xlfn.ANCHORARRAY( $W$5), 0), 0)
    )
)
/
(
    INDEX($AN$5:$AN$77, MATCH(AO$100,_xlfn.ANCHORARRAY( $W$5), 0))
    *
    INDEX($AN$5:$AN$77, MATCH($A170,_xlfn.ANCHORARRAY( $W$5), 0))
)</f>
        <v>0.5879344020065711</v>
      </c>
      <c r="AP170" s="17" cm="1">
        <f t="array" ref="AP170">MMULT(
    MMULT(
        INDEX($X$5:$AM$77, MATCH(AP$100,_xlfn.ANCHORARRAY( $W$5), 0), 0),
        $F$5:$U$20
    ),
    TRANSPOSE(
        INDEX($X$5:$AM$77, MATCH($A170,_xlfn.ANCHORARRAY( $W$5), 0), 0)
    )
)
/
(
    INDEX($AN$5:$AN$77, MATCH(AP$100,_xlfn.ANCHORARRAY( $W$5), 0))
    *
    INDEX($AN$5:$AN$77, MATCH($A170,_xlfn.ANCHORARRAY( $W$5), 0))
)</f>
        <v>0.74618267923845727</v>
      </c>
      <c r="AQ170" s="17" cm="1">
        <f t="array" ref="AQ170">MMULT(
    MMULT(
        INDEX($X$5:$AM$77, MATCH(AQ$100,_xlfn.ANCHORARRAY( $W$5), 0), 0),
        $F$5:$U$20
    ),
    TRANSPOSE(
        INDEX($X$5:$AM$77, MATCH($A170,_xlfn.ANCHORARRAY( $W$5), 0), 0)
    )
)
/
(
    INDEX($AN$5:$AN$77, MATCH(AQ$100,_xlfn.ANCHORARRAY( $W$5), 0))
    *
    INDEX($AN$5:$AN$77, MATCH($A170,_xlfn.ANCHORARRAY( $W$5), 0))
)</f>
        <v>0.5777372414866917</v>
      </c>
      <c r="AR170" s="17" cm="1">
        <f t="array" ref="AR170">MMULT(
    MMULT(
        INDEX($X$5:$AM$77, MATCH(AR$100,_xlfn.ANCHORARRAY( $W$5), 0), 0),
        $F$5:$U$20
    ),
    TRANSPOSE(
        INDEX($X$5:$AM$77, MATCH($A170,_xlfn.ANCHORARRAY( $W$5), 0), 0)
    )
)
/
(
    INDEX($AN$5:$AN$77, MATCH(AR$100,_xlfn.ANCHORARRAY( $W$5), 0))
    *
    INDEX($AN$5:$AN$77, MATCH($A170,_xlfn.ANCHORARRAY( $W$5), 0))
)</f>
        <v>0.88893329637866658</v>
      </c>
      <c r="AS170" s="17" cm="1">
        <f t="array" ref="AS170">MMULT(
    MMULT(
        INDEX($X$5:$AM$77, MATCH(AS$100,_xlfn.ANCHORARRAY( $W$5), 0), 0),
        $F$5:$U$20
    ),
    TRANSPOSE(
        INDEX($X$5:$AM$77, MATCH($A170,_xlfn.ANCHORARRAY( $W$5), 0), 0)
    )
)
/
(
    INDEX($AN$5:$AN$77, MATCH(AS$100,_xlfn.ANCHORARRAY( $W$5), 0))
    *
    INDEX($AN$5:$AN$77, MATCH($A170,_xlfn.ANCHORARRAY( $W$5), 0))
)</f>
        <v>0.94706926148872705</v>
      </c>
      <c r="AT170" s="17" cm="1">
        <f t="array" ref="AT170">MMULT(
    MMULT(
        INDEX($X$5:$AM$77, MATCH(AT$100,_xlfn.ANCHORARRAY( $W$5), 0), 0),
        $F$5:$U$20
    ),
    TRANSPOSE(
        INDEX($X$5:$AM$77, MATCH($A170,_xlfn.ANCHORARRAY( $W$5), 0), 0)
    )
)
/
(
    INDEX($AN$5:$AN$77, MATCH(AT$100,_xlfn.ANCHORARRAY( $W$5), 0))
    *
    INDEX($AN$5:$AN$77, MATCH($A170,_xlfn.ANCHORARRAY( $W$5), 0))
)</f>
        <v>0.7100974125436349</v>
      </c>
      <c r="AU170" s="17" cm="1">
        <f t="array" ref="AU170">MMULT(
    MMULT(
        INDEX($X$5:$AM$77, MATCH(AU$100,_xlfn.ANCHORARRAY( $W$5), 0), 0),
        $F$5:$U$20
    ),
    TRANSPOSE(
        INDEX($X$5:$AM$77, MATCH($A170,_xlfn.ANCHORARRAY( $W$5), 0), 0)
    )
)
/
(
    INDEX($AN$5:$AN$77, MATCH(AU$100,_xlfn.ANCHORARRAY( $W$5), 0))
    *
    INDEX($AN$5:$AN$77, MATCH($A170,_xlfn.ANCHORARRAY( $W$5), 0))
)</f>
        <v>0.97217881067264222</v>
      </c>
      <c r="AV170" s="17" cm="1">
        <f t="array" ref="AV170">MMULT(
    MMULT(
        INDEX($X$5:$AM$77, MATCH(AV$100,_xlfn.ANCHORARRAY( $W$5), 0), 0),
        $F$5:$U$20
    ),
    TRANSPOSE(
        INDEX($X$5:$AM$77, MATCH($A170,_xlfn.ANCHORARRAY( $W$5), 0), 0)
    )
)
/
(
    INDEX($AN$5:$AN$77, MATCH(AV$100,_xlfn.ANCHORARRAY( $W$5), 0))
    *
    INDEX($AN$5:$AN$77, MATCH($A170,_xlfn.ANCHORARRAY( $W$5), 0))
)</f>
        <v>0.94456518772996878</v>
      </c>
      <c r="AW170" s="17" cm="1">
        <f t="array" ref="AW170">MMULT(
    MMULT(
        INDEX($X$5:$AM$77, MATCH(AW$100,_xlfn.ANCHORARRAY( $W$5), 0), 0),
        $F$5:$U$20
    ),
    TRANSPOSE(
        INDEX($X$5:$AM$77, MATCH($A170,_xlfn.ANCHORARRAY( $W$5), 0), 0)
    )
)
/
(
    INDEX($AN$5:$AN$77, MATCH(AW$100,_xlfn.ANCHORARRAY( $W$5), 0))
    *
    INDEX($AN$5:$AN$77, MATCH($A170,_xlfn.ANCHORARRAY( $W$5), 0))
)</f>
        <v>0.7505456970048533</v>
      </c>
      <c r="AX170" s="17" cm="1">
        <f t="array" ref="AX170">MMULT(
    MMULT(
        INDEX($X$5:$AM$77, MATCH(AX$100,_xlfn.ANCHORARRAY( $W$5), 0), 0),
        $F$5:$U$20
    ),
    TRANSPOSE(
        INDEX($X$5:$AM$77, MATCH($A170,_xlfn.ANCHORARRAY( $W$5), 0), 0)
    )
)
/
(
    INDEX($AN$5:$AN$77, MATCH(AX$100,_xlfn.ANCHORARRAY( $W$5), 0))
    *
    INDEX($AN$5:$AN$77, MATCH($A170,_xlfn.ANCHORARRAY( $W$5), 0))
)</f>
        <v>0.40505730435515014</v>
      </c>
      <c r="AY170" s="17" cm="1">
        <f t="array" ref="AY170">MMULT(
    MMULT(
        INDEX($X$5:$AM$77, MATCH(AY$100,_xlfn.ANCHORARRAY( $W$5), 0), 0),
        $F$5:$U$20
    ),
    TRANSPOSE(
        INDEX($X$5:$AM$77, MATCH($A170,_xlfn.ANCHORARRAY( $W$5), 0), 0)
    )
)
/
(
    INDEX($AN$5:$AN$77, MATCH(AY$100,_xlfn.ANCHORARRAY( $W$5), 0))
    *
    INDEX($AN$5:$AN$77, MATCH($A170,_xlfn.ANCHORARRAY( $W$5), 0))
)</f>
        <v>0.72719699927420633</v>
      </c>
      <c r="AZ170" s="17" cm="1">
        <f t="array" ref="AZ170">MMULT(
    MMULT(
        INDEX($X$5:$AM$77, MATCH(AZ$100,_xlfn.ANCHORARRAY( $W$5), 0), 0),
        $F$5:$U$20
    ),
    TRANSPOSE(
        INDEX($X$5:$AM$77, MATCH($A170,_xlfn.ANCHORARRAY( $W$5), 0), 0)
    )
)
/
(
    INDEX($AN$5:$AN$77, MATCH(AZ$100,_xlfn.ANCHORARRAY( $W$5), 0))
    *
    INDEX($AN$5:$AN$77, MATCH($A170,_xlfn.ANCHORARRAY( $W$5), 0))
)</f>
        <v>0.93853178331983722</v>
      </c>
      <c r="BA170" s="17" cm="1">
        <f t="array" ref="BA170">MMULT(
    MMULT(
        INDEX($X$5:$AM$77, MATCH(BA$100,_xlfn.ANCHORARRAY( $W$5), 0), 0),
        $F$5:$U$20
    ),
    TRANSPOSE(
        INDEX($X$5:$AM$77, MATCH($A170,_xlfn.ANCHORARRAY( $W$5), 0), 0)
    )
)
/
(
    INDEX($AN$5:$AN$77, MATCH(BA$100,_xlfn.ANCHORARRAY( $W$5), 0))
    *
    INDEX($AN$5:$AN$77, MATCH($A170,_xlfn.ANCHORARRAY( $W$5), 0))
)</f>
        <v>0.92503364109290631</v>
      </c>
      <c r="BB170" s="17" cm="1">
        <f t="array" ref="BB170">MMULT(
    MMULT(
        INDEX($X$5:$AM$77, MATCH(BB$100,_xlfn.ANCHORARRAY( $W$5), 0), 0),
        $F$5:$U$20
    ),
    TRANSPOSE(
        INDEX($X$5:$AM$77, MATCH($A170,_xlfn.ANCHORARRAY( $W$5), 0), 0)
    )
)
/
(
    INDEX($AN$5:$AN$77, MATCH(BB$100,_xlfn.ANCHORARRAY( $W$5), 0))
    *
    INDEX($AN$5:$AN$77, MATCH($A170,_xlfn.ANCHORARRAY( $W$5), 0))
)</f>
        <v>0.73952830513734824</v>
      </c>
      <c r="BC170" s="17" cm="1">
        <f t="array" ref="BC170">MMULT(
    MMULT(
        INDEX($X$5:$AM$77, MATCH(BC$100,_xlfn.ANCHORARRAY( $W$5), 0), 0),
        $F$5:$U$20
    ),
    TRANSPOSE(
        INDEX($X$5:$AM$77, MATCH($A170,_xlfn.ANCHORARRAY( $W$5), 0), 0)
    )
)
/
(
    INDEX($AN$5:$AN$77, MATCH(BC$100,_xlfn.ANCHORARRAY( $W$5), 0))
    *
    INDEX($AN$5:$AN$77, MATCH($A170,_xlfn.ANCHORARRAY( $W$5), 0))
)</f>
        <v>0.7560266670170811</v>
      </c>
      <c r="BD170" s="17" cm="1">
        <f t="array" ref="BD170">MMULT(
    MMULT(
        INDEX($X$5:$AM$77, MATCH(BD$100,_xlfn.ANCHORARRAY( $W$5), 0), 0),
        $F$5:$U$20
    ),
    TRANSPOSE(
        INDEX($X$5:$AM$77, MATCH($A170,_xlfn.ANCHORARRAY( $W$5), 0), 0)
    )
)
/
(
    INDEX($AN$5:$AN$77, MATCH(BD$100,_xlfn.ANCHORARRAY( $W$5), 0))
    *
    INDEX($AN$5:$AN$77, MATCH($A170,_xlfn.ANCHORARRAY( $W$5), 0))
)</f>
        <v>0.4469104186140806</v>
      </c>
      <c r="BE170" s="17" cm="1">
        <f t="array" ref="BE170">MMULT(
    MMULT(
        INDEX($X$5:$AM$77, MATCH(BE$100,_xlfn.ANCHORARRAY( $W$5), 0), 0),
        $F$5:$U$20
    ),
    TRANSPOSE(
        INDEX($X$5:$AM$77, MATCH($A170,_xlfn.ANCHORARRAY( $W$5), 0), 0)
    )
)
/
(
    INDEX($AN$5:$AN$77, MATCH(BE$100,_xlfn.ANCHORARRAY( $W$5), 0))
    *
    INDEX($AN$5:$AN$77, MATCH($A170,_xlfn.ANCHORARRAY( $W$5), 0))
)</f>
        <v>0.67851775774732359</v>
      </c>
      <c r="BF170" s="17" cm="1">
        <f t="array" ref="BF170">MMULT(
    MMULT(
        INDEX($X$5:$AM$77, MATCH(BF$100,_xlfn.ANCHORARRAY( $W$5), 0), 0),
        $F$5:$U$20
    ),
    TRANSPOSE(
        INDEX($X$5:$AM$77, MATCH($A170,_xlfn.ANCHORARRAY( $W$5), 0), 0)
    )
)
/
(
    INDEX($AN$5:$AN$77, MATCH(BF$100,_xlfn.ANCHORARRAY( $W$5), 0))
    *
    INDEX($AN$5:$AN$77, MATCH($A170,_xlfn.ANCHORARRAY( $W$5), 0))
)</f>
        <v>0.77886625423600764</v>
      </c>
      <c r="BG170" s="17" cm="1">
        <f t="array" ref="BG170">MMULT(
    MMULT(
        INDEX($X$5:$AM$77, MATCH(BG$100,_xlfn.ANCHORARRAY( $W$5), 0), 0),
        $F$5:$U$20
    ),
    TRANSPOSE(
        INDEX($X$5:$AM$77, MATCH($A170,_xlfn.ANCHORARRAY( $W$5), 0), 0)
    )
)
/
(
    INDEX($AN$5:$AN$77, MATCH(BG$100,_xlfn.ANCHORARRAY( $W$5), 0))
    *
    INDEX($AN$5:$AN$77, MATCH($A170,_xlfn.ANCHORARRAY( $W$5), 0))
)</f>
        <v>0.93392300027972563</v>
      </c>
      <c r="BH170" s="17" cm="1">
        <f t="array" ref="BH170">MMULT(
    MMULT(
        INDEX($X$5:$AM$77, MATCH(BH$100,_xlfn.ANCHORARRAY( $W$5), 0), 0),
        $F$5:$U$20
    ),
    TRANSPOSE(
        INDEX($X$5:$AM$77, MATCH($A170,_xlfn.ANCHORARRAY( $W$5), 0), 0)
    )
)
/
(
    INDEX($AN$5:$AN$77, MATCH(BH$100,_xlfn.ANCHORARRAY( $W$5), 0))
    *
    INDEX($AN$5:$AN$77, MATCH($A170,_xlfn.ANCHORARRAY( $W$5), 0))
)</f>
        <v>0.61155705142608463</v>
      </c>
      <c r="BI170" s="17" cm="1">
        <f t="array" ref="BI170">MMULT(
    MMULT(
        INDEX($X$5:$AM$77, MATCH(BI$100,_xlfn.ANCHORARRAY( $W$5), 0), 0),
        $F$5:$U$20
    ),
    TRANSPOSE(
        INDEX($X$5:$AM$77, MATCH($A170,_xlfn.ANCHORARRAY( $W$5), 0), 0)
    )
)
/
(
    INDEX($AN$5:$AN$77, MATCH(BI$100,_xlfn.ANCHORARRAY( $W$5), 0))
    *
    INDEX($AN$5:$AN$77, MATCH($A170,_xlfn.ANCHORARRAY( $W$5), 0))
)</f>
        <v>0.69232439846860727</v>
      </c>
      <c r="BJ170" s="17" cm="1">
        <f t="array" ref="BJ170">MMULT(
    MMULT(
        INDEX($X$5:$AM$77, MATCH(BJ$100,_xlfn.ANCHORARRAY( $W$5), 0), 0),
        $F$5:$U$20
    ),
    TRANSPOSE(
        INDEX($X$5:$AM$77, MATCH($A170,_xlfn.ANCHORARRAY( $W$5), 0), 0)
    )
)
/
(
    INDEX($AN$5:$AN$77, MATCH(BJ$100,_xlfn.ANCHORARRAY( $W$5), 0))
    *
    INDEX($AN$5:$AN$77, MATCH($A170,_xlfn.ANCHORARRAY( $W$5), 0))
)</f>
        <v>0.76281042889847572</v>
      </c>
      <c r="BK170" s="17" cm="1">
        <f t="array" ref="BK170">MMULT(
    MMULT(
        INDEX($X$5:$AM$77, MATCH(BK$100,_xlfn.ANCHORARRAY( $W$5), 0), 0),
        $F$5:$U$20
    ),
    TRANSPOSE(
        INDEX($X$5:$AM$77, MATCH($A170,_xlfn.ANCHORARRAY( $W$5), 0), 0)
    )
)
/
(
    INDEX($AN$5:$AN$77, MATCH(BK$100,_xlfn.ANCHORARRAY( $W$5), 0))
    *
    INDEX($AN$5:$AN$77, MATCH($A170,_xlfn.ANCHORARRAY( $W$5), 0))
)</f>
        <v>0.48085875229999536</v>
      </c>
      <c r="BL170" s="17" cm="1">
        <f t="array" ref="BL170">MMULT(
    MMULT(
        INDEX($X$5:$AM$77, MATCH(BL$100,_xlfn.ANCHORARRAY( $W$5), 0), 0),
        $F$5:$U$20
    ),
    TRANSPOSE(
        INDEX($X$5:$AM$77, MATCH($A170,_xlfn.ANCHORARRAY( $W$5), 0), 0)
    )
)
/
(
    INDEX($AN$5:$AN$77, MATCH(BL$100,_xlfn.ANCHORARRAY( $W$5), 0))
    *
    INDEX($AN$5:$AN$77, MATCH($A170,_xlfn.ANCHORARRAY( $W$5), 0))
)</f>
        <v>0.7960400653779629</v>
      </c>
      <c r="BM170" s="17" cm="1">
        <f t="array" ref="BM170">MMULT(
    MMULT(
        INDEX($X$5:$AM$77, MATCH(BM$100,_xlfn.ANCHORARRAY( $W$5), 0), 0),
        $F$5:$U$20
    ),
    TRANSPOSE(
        INDEX($X$5:$AM$77, MATCH($A170,_xlfn.ANCHORARRAY( $W$5), 0), 0)
    )
)
/
(
    INDEX($AN$5:$AN$77, MATCH(BM$100,_xlfn.ANCHORARRAY( $W$5), 0))
    *
    INDEX($AN$5:$AN$77, MATCH($A170,_xlfn.ANCHORARRAY( $W$5), 0))
)</f>
        <v>0.76322519749594653</v>
      </c>
      <c r="BN170" s="17" cm="1">
        <f t="array" ref="BN170">MMULT(
    MMULT(
        INDEX($X$5:$AM$77, MATCH(BN$100,_xlfn.ANCHORARRAY( $W$5), 0), 0),
        $F$5:$U$20
    ),
    TRANSPOSE(
        INDEX($X$5:$AM$77, MATCH($A170,_xlfn.ANCHORARRAY( $W$5), 0), 0)
    )
)
/
(
    INDEX($AN$5:$AN$77, MATCH(BN$100,_xlfn.ANCHORARRAY( $W$5), 0))
    *
    INDEX($AN$5:$AN$77, MATCH($A170,_xlfn.ANCHORARRAY( $W$5), 0))
)</f>
        <v>0.62949714285051828</v>
      </c>
      <c r="BO170" s="17" cm="1">
        <f t="array" ref="BO170">MMULT(
    MMULT(
        INDEX($X$5:$AM$77, MATCH(BO$100,_xlfn.ANCHORARRAY( $W$5), 0), 0),
        $F$5:$U$20
    ),
    TRANSPOSE(
        INDEX($X$5:$AM$77, MATCH($A170,_xlfn.ANCHORARRAY( $W$5), 0), 0)
    )
)
/
(
    INDEX($AN$5:$AN$77, MATCH(BO$100,_xlfn.ANCHORARRAY( $W$5), 0))
    *
    INDEX($AN$5:$AN$77, MATCH($A170,_xlfn.ANCHORARRAY( $W$5), 0))
)</f>
        <v>0.87609426893387365</v>
      </c>
      <c r="BP170" s="17" cm="1">
        <f t="array" ref="BP170">MMULT(
    MMULT(
        INDEX($X$5:$AM$77, MATCH(BP$100,_xlfn.ANCHORARRAY( $W$5), 0), 0),
        $F$5:$U$20
    ),
    TRANSPOSE(
        INDEX($X$5:$AM$77, MATCH($A170,_xlfn.ANCHORARRAY( $W$5), 0), 0)
    )
)
/
(
    INDEX($AN$5:$AN$77, MATCH(BP$100,_xlfn.ANCHORARRAY( $W$5), 0))
    *
    INDEX($AN$5:$AN$77, MATCH($A170,_xlfn.ANCHORARRAY( $W$5), 0))
)</f>
        <v>0.79666642458684356</v>
      </c>
      <c r="BQ170" s="17" cm="1">
        <f t="array" ref="BQ170">MMULT(
    MMULT(
        INDEX($X$5:$AM$77, MATCH(BQ$100,_xlfn.ANCHORARRAY( $W$5), 0), 0),
        $F$5:$U$20
    ),
    TRANSPOSE(
        INDEX($X$5:$AM$77, MATCH($A170,_xlfn.ANCHORARRAY( $W$5), 0), 0)
    )
)
/
(
    INDEX($AN$5:$AN$77, MATCH(BQ$100,_xlfn.ANCHORARRAY( $W$5), 0))
    *
    INDEX($AN$5:$AN$77, MATCH($A170,_xlfn.ANCHORARRAY( $W$5), 0))
)</f>
        <v>0.64479534239066216</v>
      </c>
      <c r="BR170" s="17" cm="1">
        <f t="array" ref="BR170">MMULT(
    MMULT(
        INDEX($X$5:$AM$77, MATCH(BR$100,_xlfn.ANCHORARRAY( $W$5), 0), 0),
        $F$5:$U$20
    ),
    TRANSPOSE(
        INDEX($X$5:$AM$77, MATCH($A170,_xlfn.ANCHORARRAY( $W$5), 0), 0)
    )
)
/
(
    INDEX($AN$5:$AN$77, MATCH(BR$100,_xlfn.ANCHORARRAY( $W$5), 0))
    *
    INDEX($AN$5:$AN$77, MATCH($A170,_xlfn.ANCHORARRAY( $W$5), 0))
)</f>
        <v>0.80940460491406652</v>
      </c>
      <c r="BS170" s="17" cm="1">
        <f t="array" ref="BS170">MMULT(
    MMULT(
        INDEX($X$5:$AM$77, MATCH(BS$100,_xlfn.ANCHORARRAY( $W$5), 0), 0),
        $F$5:$U$20
    ),
    TRANSPOSE(
        INDEX($X$5:$AM$77, MATCH($A170,_xlfn.ANCHORARRAY( $W$5), 0), 0)
    )
)
/
(
    INDEX($AN$5:$AN$77, MATCH(BS$100,_xlfn.ANCHORARRAY( $W$5), 0))
    *
    INDEX($AN$5:$AN$77, MATCH($A170,_xlfn.ANCHORARRAY( $W$5), 0))
)</f>
        <v>1</v>
      </c>
      <c r="BT170" s="17" cm="1">
        <f t="array" ref="BT170">MMULT(
    MMULT(
        INDEX($X$5:$AM$77, MATCH(BT$100,_xlfn.ANCHORARRAY( $W$5), 0), 0),
        $F$5:$U$20
    ),
    TRANSPOSE(
        INDEX($X$5:$AM$77, MATCH($A170,_xlfn.ANCHORARRAY( $W$5), 0), 0)
    )
)
/
(
    INDEX($AN$5:$AN$77, MATCH(BT$100,_xlfn.ANCHORARRAY( $W$5), 0))
    *
    INDEX($AN$5:$AN$77, MATCH($A170,_xlfn.ANCHORARRAY( $W$5), 0))
)</f>
        <v>0.84168435420104326</v>
      </c>
      <c r="BU170" s="17" cm="1">
        <f t="array" ref="BU170">MMULT(
    MMULT(
        INDEX($X$5:$AM$77, MATCH(BU$100,_xlfn.ANCHORARRAY( $W$5), 0), 0),
        $F$5:$U$20
    ),
    TRANSPOSE(
        INDEX($X$5:$AM$77, MATCH($A170,_xlfn.ANCHORARRAY( $W$5), 0), 0)
    )
)
/
(
    INDEX($AN$5:$AN$77, MATCH(BU$100,_xlfn.ANCHORARRAY( $W$5), 0))
    *
    INDEX($AN$5:$AN$77, MATCH($A170,_xlfn.ANCHORARRAY( $W$5), 0))
)</f>
        <v>0.62805288507467061</v>
      </c>
      <c r="BV170" s="17" cm="1">
        <f t="array" ref="BV170">MMULT(
    MMULT(
        INDEX($X$5:$AM$77, MATCH(BV$100,_xlfn.ANCHORARRAY( $W$5), 0), 0),
        $F$5:$U$20
    ),
    TRANSPOSE(
        INDEX($X$5:$AM$77, MATCH($A170,_xlfn.ANCHORARRAY( $W$5), 0), 0)
    )
)
/
(
    INDEX($AN$5:$AN$77, MATCH(BV$100,_xlfn.ANCHORARRAY( $W$5), 0))
    *
    INDEX($AN$5:$AN$77, MATCH($A170,_xlfn.ANCHORARRAY( $W$5), 0))
)</f>
        <v>0.74277851272650475</v>
      </c>
    </row>
    <row r="171" spans="1:74" x14ac:dyDescent="0.3">
      <c r="A171" s="7" t="str">
        <v>Stratton, Hunter</v>
      </c>
      <c r="B171" s="17" cm="1">
        <f t="array" ref="B171">MMULT(
    MMULT(
        INDEX($X$5:$AM$77, MATCH(B$100,_xlfn.ANCHORARRAY( $W$5), 0), 0),
        $F$5:$U$20
    ),
    TRANSPOSE(
        INDEX($X$5:$AM$77, MATCH($A171,_xlfn.ANCHORARRAY( $W$5), 0), 0)
    )
)
/
(
    INDEX($AN$5:$AN$77, MATCH(B$100,_xlfn.ANCHORARRAY( $W$5), 0))
    *
    INDEX($AN$5:$AN$77, MATCH($A171,_xlfn.ANCHORARRAY( $W$5), 0))
)</f>
        <v>0.88451546531710223</v>
      </c>
      <c r="C171" s="17" cm="1">
        <f t="array" ref="C171">MMULT(
    MMULT(
        INDEX($X$5:$AM$77, MATCH(C$100,_xlfn.ANCHORARRAY( $W$5), 0), 0),
        $F$5:$U$20
    ),
    TRANSPOSE(
        INDEX($X$5:$AM$77, MATCH($A171,_xlfn.ANCHORARRAY( $W$5), 0), 0)
    )
)
/
(
    INDEX($AN$5:$AN$77, MATCH(C$100,_xlfn.ANCHORARRAY( $W$5), 0))
    *
    INDEX($AN$5:$AN$77, MATCH($A171,_xlfn.ANCHORARRAY( $W$5), 0))
)</f>
        <v>0.70219836759229426</v>
      </c>
      <c r="D171" s="17" cm="1">
        <f t="array" ref="D171">MMULT(
    MMULT(
        INDEX($X$5:$AM$77, MATCH(D$100,_xlfn.ANCHORARRAY( $W$5), 0), 0),
        $F$5:$U$20
    ),
    TRANSPOSE(
        INDEX($X$5:$AM$77, MATCH($A171,_xlfn.ANCHORARRAY( $W$5), 0), 0)
    )
)
/
(
    INDEX($AN$5:$AN$77, MATCH(D$100,_xlfn.ANCHORARRAY( $W$5), 0))
    *
    INDEX($AN$5:$AN$77, MATCH($A171,_xlfn.ANCHORARRAY( $W$5), 0))
)</f>
        <v>0.96141546585838611</v>
      </c>
      <c r="E171" s="17" cm="1">
        <f t="array" ref="E171">MMULT(
    MMULT(
        INDEX($X$5:$AM$77, MATCH(E$100,_xlfn.ANCHORARRAY( $W$5), 0), 0),
        $F$5:$U$20
    ),
    TRANSPOSE(
        INDEX($X$5:$AM$77, MATCH($A171,_xlfn.ANCHORARRAY( $W$5), 0), 0)
    )
)
/
(
    INDEX($AN$5:$AN$77, MATCH(E$100,_xlfn.ANCHORARRAY( $W$5), 0))
    *
    INDEX($AN$5:$AN$77, MATCH($A171,_xlfn.ANCHORARRAY( $W$5), 0))
)</f>
        <v>0.8540387803205598</v>
      </c>
      <c r="F171" s="17" cm="1">
        <f t="array" ref="F171">MMULT(
    MMULT(
        INDEX($X$5:$AM$77, MATCH(F$100,_xlfn.ANCHORARRAY( $W$5), 0), 0),
        $F$5:$U$20
    ),
    TRANSPOSE(
        INDEX($X$5:$AM$77, MATCH($A171,_xlfn.ANCHORARRAY( $W$5), 0), 0)
    )
)
/
(
    INDEX($AN$5:$AN$77, MATCH(F$100,_xlfn.ANCHORARRAY( $W$5), 0))
    *
    INDEX($AN$5:$AN$77, MATCH($A171,_xlfn.ANCHORARRAY( $W$5), 0))
)</f>
        <v>0.88496332639904074</v>
      </c>
      <c r="G171" s="17" cm="1">
        <f t="array" ref="G171">MMULT(
    MMULT(
        INDEX($X$5:$AM$77, MATCH(G$100,_xlfn.ANCHORARRAY( $W$5), 0), 0),
        $F$5:$U$20
    ),
    TRANSPOSE(
        INDEX($X$5:$AM$77, MATCH($A171,_xlfn.ANCHORARRAY( $W$5), 0), 0)
    )
)
/
(
    INDEX($AN$5:$AN$77, MATCH(G$100,_xlfn.ANCHORARRAY( $W$5), 0))
    *
    INDEX($AN$5:$AN$77, MATCH($A171,_xlfn.ANCHORARRAY( $W$5), 0))
)</f>
        <v>0.72403032229528197</v>
      </c>
      <c r="H171" s="17" cm="1">
        <f t="array" ref="H171">MMULT(
    MMULT(
        INDEX($X$5:$AM$77, MATCH(H$100,_xlfn.ANCHORARRAY( $W$5), 0), 0),
        $F$5:$U$20
    ),
    TRANSPOSE(
        INDEX($X$5:$AM$77, MATCH($A171,_xlfn.ANCHORARRAY( $W$5), 0), 0)
    )
)
/
(
    INDEX($AN$5:$AN$77, MATCH(H$100,_xlfn.ANCHORARRAY( $W$5), 0))
    *
    INDEX($AN$5:$AN$77, MATCH($A171,_xlfn.ANCHORARRAY( $W$5), 0))
)</f>
        <v>0.91323070268315909</v>
      </c>
      <c r="I171" s="17" cm="1">
        <f t="array" ref="I171">MMULT(
    MMULT(
        INDEX($X$5:$AM$77, MATCH(I$100,_xlfn.ANCHORARRAY( $W$5), 0), 0),
        $F$5:$U$20
    ),
    TRANSPOSE(
        INDEX($X$5:$AM$77, MATCH($A171,_xlfn.ANCHORARRAY( $W$5), 0), 0)
    )
)
/
(
    INDEX($AN$5:$AN$77, MATCH(I$100,_xlfn.ANCHORARRAY( $W$5), 0))
    *
    INDEX($AN$5:$AN$77, MATCH($A171,_xlfn.ANCHORARRAY( $W$5), 0))
)</f>
        <v>0.74263591837138898</v>
      </c>
      <c r="J171" s="17" cm="1">
        <f t="array" ref="J171">MMULT(
    MMULT(
        INDEX($X$5:$AM$77, MATCH(J$100,_xlfn.ANCHORARRAY( $W$5), 0), 0),
        $F$5:$U$20
    ),
    TRANSPOSE(
        INDEX($X$5:$AM$77, MATCH($A171,_xlfn.ANCHORARRAY( $W$5), 0), 0)
    )
)
/
(
    INDEX($AN$5:$AN$77, MATCH(J$100,_xlfn.ANCHORARRAY( $W$5), 0))
    *
    INDEX($AN$5:$AN$77, MATCH($A171,_xlfn.ANCHORARRAY( $W$5), 0))
)</f>
        <v>0.94504008997152844</v>
      </c>
      <c r="K171" s="17" cm="1">
        <f t="array" ref="K171">MMULT(
    MMULT(
        INDEX($X$5:$AM$77, MATCH(K$100,_xlfn.ANCHORARRAY( $W$5), 0), 0),
        $F$5:$U$20
    ),
    TRANSPOSE(
        INDEX($X$5:$AM$77, MATCH($A171,_xlfn.ANCHORARRAY( $W$5), 0), 0)
    )
)
/
(
    INDEX($AN$5:$AN$77, MATCH(K$100,_xlfn.ANCHORARRAY( $W$5), 0))
    *
    INDEX($AN$5:$AN$77, MATCH($A171,_xlfn.ANCHORARRAY( $W$5), 0))
)</f>
        <v>0.89580054874735671</v>
      </c>
      <c r="L171" s="17" cm="1">
        <f t="array" ref="L171">MMULT(
    MMULT(
        INDEX($X$5:$AM$77, MATCH(L$100,_xlfn.ANCHORARRAY( $W$5), 0), 0),
        $F$5:$U$20
    ),
    TRANSPOSE(
        INDEX($X$5:$AM$77, MATCH($A171,_xlfn.ANCHORARRAY( $W$5), 0), 0)
    )
)
/
(
    INDEX($AN$5:$AN$77, MATCH(L$100,_xlfn.ANCHORARRAY( $W$5), 0))
    *
    INDEX($AN$5:$AN$77, MATCH($A171,_xlfn.ANCHORARRAY( $W$5), 0))
)</f>
        <v>0.82869088717610806</v>
      </c>
      <c r="M171" s="17" cm="1">
        <f t="array" ref="M171">MMULT(
    MMULT(
        INDEX($X$5:$AM$77, MATCH(M$100,_xlfn.ANCHORARRAY( $W$5), 0), 0),
        $F$5:$U$20
    ),
    TRANSPOSE(
        INDEX($X$5:$AM$77, MATCH($A171,_xlfn.ANCHORARRAY( $W$5), 0), 0)
    )
)
/
(
    INDEX($AN$5:$AN$77, MATCH(M$100,_xlfn.ANCHORARRAY( $W$5), 0))
    *
    INDEX($AN$5:$AN$77, MATCH($A171,_xlfn.ANCHORARRAY( $W$5), 0))
)</f>
        <v>0.8405392478106013</v>
      </c>
      <c r="N171" s="17" cm="1">
        <f t="array" ref="N171">MMULT(
    MMULT(
        INDEX($X$5:$AM$77, MATCH(N$100,_xlfn.ANCHORARRAY( $W$5), 0), 0),
        $F$5:$U$20
    ),
    TRANSPOSE(
        INDEX($X$5:$AM$77, MATCH($A171,_xlfn.ANCHORARRAY( $W$5), 0), 0)
    )
)
/
(
    INDEX($AN$5:$AN$77, MATCH(N$100,_xlfn.ANCHORARRAY( $W$5), 0))
    *
    INDEX($AN$5:$AN$77, MATCH($A171,_xlfn.ANCHORARRAY( $W$5), 0))
)</f>
        <v>0.79818405304483209</v>
      </c>
      <c r="O171" s="17" cm="1">
        <f t="array" ref="O171">MMULT(
    MMULT(
        INDEX($X$5:$AM$77, MATCH(O$100,_xlfn.ANCHORARRAY( $W$5), 0), 0),
        $F$5:$U$20
    ),
    TRANSPOSE(
        INDEX($X$5:$AM$77, MATCH($A171,_xlfn.ANCHORARRAY( $W$5), 0), 0)
    )
)
/
(
    INDEX($AN$5:$AN$77, MATCH(O$100,_xlfn.ANCHORARRAY( $W$5), 0))
    *
    INDEX($AN$5:$AN$77, MATCH($A171,_xlfn.ANCHORARRAY( $W$5), 0))
)</f>
        <v>0.79671875816302518</v>
      </c>
      <c r="P171" s="17" cm="1">
        <f t="array" ref="P171">MMULT(
    MMULT(
        INDEX($X$5:$AM$77, MATCH(P$100,_xlfn.ANCHORARRAY( $W$5), 0), 0),
        $F$5:$U$20
    ),
    TRANSPOSE(
        INDEX($X$5:$AM$77, MATCH($A171,_xlfn.ANCHORARRAY( $W$5), 0), 0)
    )
)
/
(
    INDEX($AN$5:$AN$77, MATCH(P$100,_xlfn.ANCHORARRAY( $W$5), 0))
    *
    INDEX($AN$5:$AN$77, MATCH($A171,_xlfn.ANCHORARRAY( $W$5), 0))
)</f>
        <v>0.91101422556524869</v>
      </c>
      <c r="Q171" s="17" cm="1">
        <f t="array" ref="Q171">MMULT(
    MMULT(
        INDEX($X$5:$AM$77, MATCH(Q$100,_xlfn.ANCHORARRAY( $W$5), 0), 0),
        $F$5:$U$20
    ),
    TRANSPOSE(
        INDEX($X$5:$AM$77, MATCH($A171,_xlfn.ANCHORARRAY( $W$5), 0), 0)
    )
)
/
(
    INDEX($AN$5:$AN$77, MATCH(Q$100,_xlfn.ANCHORARRAY( $W$5), 0))
    *
    INDEX($AN$5:$AN$77, MATCH($A171,_xlfn.ANCHORARRAY( $W$5), 0))
)</f>
        <v>0.84676396407921639</v>
      </c>
      <c r="R171" s="17" cm="1">
        <f t="array" ref="R171">MMULT(
    MMULT(
        INDEX($X$5:$AM$77, MATCH(R$100,_xlfn.ANCHORARRAY( $W$5), 0), 0),
        $F$5:$U$20
    ),
    TRANSPOSE(
        INDEX($X$5:$AM$77, MATCH($A171,_xlfn.ANCHORARRAY( $W$5), 0), 0)
    )
)
/
(
    INDEX($AN$5:$AN$77, MATCH(R$100,_xlfn.ANCHORARRAY( $W$5), 0))
    *
    INDEX($AN$5:$AN$77, MATCH($A171,_xlfn.ANCHORARRAY( $W$5), 0))
)</f>
        <v>0.97603679356157291</v>
      </c>
      <c r="S171" s="17" cm="1">
        <f t="array" ref="S171">MMULT(
    MMULT(
        INDEX($X$5:$AM$77, MATCH(S$100,_xlfn.ANCHORARRAY( $W$5), 0), 0),
        $F$5:$U$20
    ),
    TRANSPOSE(
        INDEX($X$5:$AM$77, MATCH($A171,_xlfn.ANCHORARRAY( $W$5), 0), 0)
    )
)
/
(
    INDEX($AN$5:$AN$77, MATCH(S$100,_xlfn.ANCHORARRAY( $W$5), 0))
    *
    INDEX($AN$5:$AN$77, MATCH($A171,_xlfn.ANCHORARRAY( $W$5), 0))
)</f>
        <v>0.91578286177896984</v>
      </c>
      <c r="T171" s="17" cm="1">
        <f t="array" ref="T171">MMULT(
    MMULT(
        INDEX($X$5:$AM$77, MATCH(T$100,_xlfn.ANCHORARRAY( $W$5), 0), 0),
        $F$5:$U$20
    ),
    TRANSPOSE(
        INDEX($X$5:$AM$77, MATCH($A171,_xlfn.ANCHORARRAY( $W$5), 0), 0)
    )
)
/
(
    INDEX($AN$5:$AN$77, MATCH(T$100,_xlfn.ANCHORARRAY( $W$5), 0))
    *
    INDEX($AN$5:$AN$77, MATCH($A171,_xlfn.ANCHORARRAY( $W$5), 0))
)</f>
        <v>0.32440571929037243</v>
      </c>
      <c r="U171" s="17" cm="1">
        <f t="array" ref="U171">MMULT(
    MMULT(
        INDEX($X$5:$AM$77, MATCH(U$100,_xlfn.ANCHORARRAY( $W$5), 0), 0),
        $F$5:$U$20
    ),
    TRANSPOSE(
        INDEX($X$5:$AM$77, MATCH($A171,_xlfn.ANCHORARRAY( $W$5), 0), 0)
    )
)
/
(
    INDEX($AN$5:$AN$77, MATCH(U$100,_xlfn.ANCHORARRAY( $W$5), 0))
    *
    INDEX($AN$5:$AN$77, MATCH($A171,_xlfn.ANCHORARRAY( $W$5), 0))
)</f>
        <v>0.94847525878664973</v>
      </c>
      <c r="V171" s="17" cm="1">
        <f t="array" ref="V171">MMULT(
    MMULT(
        INDEX($X$5:$AM$77, MATCH(V$100,_xlfn.ANCHORARRAY( $W$5), 0), 0),
        $F$5:$U$20
    ),
    TRANSPOSE(
        INDEX($X$5:$AM$77, MATCH($A171,_xlfn.ANCHORARRAY( $W$5), 0), 0)
    )
)
/
(
    INDEX($AN$5:$AN$77, MATCH(V$100,_xlfn.ANCHORARRAY( $W$5), 0))
    *
    INDEX($AN$5:$AN$77, MATCH($A171,_xlfn.ANCHORARRAY( $W$5), 0))
)</f>
        <v>0.61339868149363097</v>
      </c>
      <c r="W171" s="17" cm="1">
        <f t="array" ref="W171">MMULT(
    MMULT(
        INDEX($X$5:$AM$77, MATCH(W$100,_xlfn.ANCHORARRAY( $W$5), 0), 0),
        $F$5:$U$20
    ),
    TRANSPOSE(
        INDEX($X$5:$AM$77, MATCH($A171,_xlfn.ANCHORARRAY( $W$5), 0), 0)
    )
)
/
(
    INDEX($AN$5:$AN$77, MATCH(W$100,_xlfn.ANCHORARRAY( $W$5), 0))
    *
    INDEX($AN$5:$AN$77, MATCH($A171,_xlfn.ANCHORARRAY( $W$5), 0))
)</f>
        <v>0.75059213596069563</v>
      </c>
      <c r="X171" s="17" cm="1">
        <f t="array" ref="X171">MMULT(
    MMULT(
        INDEX($X$5:$AM$77, MATCH(X$100,_xlfn.ANCHORARRAY( $W$5), 0), 0),
        $F$5:$U$20
    ),
    TRANSPOSE(
        INDEX($X$5:$AM$77, MATCH($A171,_xlfn.ANCHORARRAY( $W$5), 0), 0)
    )
)
/
(
    INDEX($AN$5:$AN$77, MATCH(X$100,_xlfn.ANCHORARRAY( $W$5), 0))
    *
    INDEX($AN$5:$AN$77, MATCH($A171,_xlfn.ANCHORARRAY( $W$5), 0))
)</f>
        <v>0.88310613639829516</v>
      </c>
      <c r="Y171" s="17" cm="1">
        <f t="array" ref="Y171">MMULT(
    MMULT(
        INDEX($X$5:$AM$77, MATCH(Y$100,_xlfn.ANCHORARRAY( $W$5), 0), 0),
        $F$5:$U$20
    ),
    TRANSPOSE(
        INDEX($X$5:$AM$77, MATCH($A171,_xlfn.ANCHORARRAY( $W$5), 0), 0)
    )
)
/
(
    INDEX($AN$5:$AN$77, MATCH(Y$100,_xlfn.ANCHORARRAY( $W$5), 0))
    *
    INDEX($AN$5:$AN$77, MATCH($A171,_xlfn.ANCHORARRAY( $W$5), 0))
)</f>
        <v>0.69320255891554494</v>
      </c>
      <c r="Z171" s="17" cm="1">
        <f t="array" ref="Z171">MMULT(
    MMULT(
        INDEX($X$5:$AM$77, MATCH(Z$100,_xlfn.ANCHORARRAY( $W$5), 0), 0),
        $F$5:$U$20
    ),
    TRANSPOSE(
        INDEX($X$5:$AM$77, MATCH($A171,_xlfn.ANCHORARRAY( $W$5), 0), 0)
    )
)
/
(
    INDEX($AN$5:$AN$77, MATCH(Z$100,_xlfn.ANCHORARRAY( $W$5), 0))
    *
    INDEX($AN$5:$AN$77, MATCH($A171,_xlfn.ANCHORARRAY( $W$5), 0))
)</f>
        <v>0.93260041757454526</v>
      </c>
      <c r="AA171" s="17" cm="1">
        <f t="array" ref="AA171">MMULT(
    MMULT(
        INDEX($X$5:$AM$77, MATCH(AA$100,_xlfn.ANCHORARRAY( $W$5), 0), 0),
        $F$5:$U$20
    ),
    TRANSPOSE(
        INDEX($X$5:$AM$77, MATCH($A171,_xlfn.ANCHORARRAY( $W$5), 0), 0)
    )
)
/
(
    INDEX($AN$5:$AN$77, MATCH(AA$100,_xlfn.ANCHORARRAY( $W$5), 0))
    *
    INDEX($AN$5:$AN$77, MATCH($A171,_xlfn.ANCHORARRAY( $W$5), 0))
)</f>
        <v>0.88258943150898594</v>
      </c>
      <c r="AB171" s="17" cm="1">
        <f t="array" ref="AB171">MMULT(
    MMULT(
        INDEX($X$5:$AM$77, MATCH(AB$100,_xlfn.ANCHORARRAY( $W$5), 0), 0),
        $F$5:$U$20
    ),
    TRANSPOSE(
        INDEX($X$5:$AM$77, MATCH($A171,_xlfn.ANCHORARRAY( $W$5), 0), 0)
    )
)
/
(
    INDEX($AN$5:$AN$77, MATCH(AB$100,_xlfn.ANCHORARRAY( $W$5), 0))
    *
    INDEX($AN$5:$AN$77, MATCH($A171,_xlfn.ANCHORARRAY( $W$5), 0))
)</f>
        <v>0.9112139437484863</v>
      </c>
      <c r="AC171" s="17" cm="1">
        <f t="array" ref="AC171">MMULT(
    MMULT(
        INDEX($X$5:$AM$77, MATCH(AC$100,_xlfn.ANCHORARRAY( $W$5), 0), 0),
        $F$5:$U$20
    ),
    TRANSPOSE(
        INDEX($X$5:$AM$77, MATCH($A171,_xlfn.ANCHORARRAY( $W$5), 0), 0)
    )
)
/
(
    INDEX($AN$5:$AN$77, MATCH(AC$100,_xlfn.ANCHORARRAY( $W$5), 0))
    *
    INDEX($AN$5:$AN$77, MATCH($A171,_xlfn.ANCHORARRAY( $W$5), 0))
)</f>
        <v>0.78124835310737306</v>
      </c>
      <c r="AD171" s="17" cm="1">
        <f t="array" ref="AD171">MMULT(
    MMULT(
        INDEX($X$5:$AM$77, MATCH(AD$100,_xlfn.ANCHORARRAY( $W$5), 0), 0),
        $F$5:$U$20
    ),
    TRANSPOSE(
        INDEX($X$5:$AM$77, MATCH($A171,_xlfn.ANCHORARRAY( $W$5), 0), 0)
    )
)
/
(
    INDEX($AN$5:$AN$77, MATCH(AD$100,_xlfn.ANCHORARRAY( $W$5), 0))
    *
    INDEX($AN$5:$AN$77, MATCH($A171,_xlfn.ANCHORARRAY( $W$5), 0))
)</f>
        <v>0.95518298532786949</v>
      </c>
      <c r="AE171" s="17" cm="1">
        <f t="array" ref="AE171">MMULT(
    MMULT(
        INDEX($X$5:$AM$77, MATCH(AE$100,_xlfn.ANCHORARRAY( $W$5), 0), 0),
        $F$5:$U$20
    ),
    TRANSPOSE(
        INDEX($X$5:$AM$77, MATCH($A171,_xlfn.ANCHORARRAY( $W$5), 0), 0)
    )
)
/
(
    INDEX($AN$5:$AN$77, MATCH(AE$100,_xlfn.ANCHORARRAY( $W$5), 0))
    *
    INDEX($AN$5:$AN$77, MATCH($A171,_xlfn.ANCHORARRAY( $W$5), 0))
)</f>
        <v>0.85112838268608992</v>
      </c>
      <c r="AF171" s="17" cm="1">
        <f t="array" ref="AF171">MMULT(
    MMULT(
        INDEX($X$5:$AM$77, MATCH(AF$100,_xlfn.ANCHORARRAY( $W$5), 0), 0),
        $F$5:$U$20
    ),
    TRANSPOSE(
        INDEX($X$5:$AM$77, MATCH($A171,_xlfn.ANCHORARRAY( $W$5), 0), 0)
    )
)
/
(
    INDEX($AN$5:$AN$77, MATCH(AF$100,_xlfn.ANCHORARRAY( $W$5), 0))
    *
    INDEX($AN$5:$AN$77, MATCH($A171,_xlfn.ANCHORARRAY( $W$5), 0))
)</f>
        <v>0.82946596864303601</v>
      </c>
      <c r="AG171" s="17" cm="1">
        <f t="array" ref="AG171">MMULT(
    MMULT(
        INDEX($X$5:$AM$77, MATCH(AG$100,_xlfn.ANCHORARRAY( $W$5), 0), 0),
        $F$5:$U$20
    ),
    TRANSPOSE(
        INDEX($X$5:$AM$77, MATCH($A171,_xlfn.ANCHORARRAY( $W$5), 0), 0)
    )
)
/
(
    INDEX($AN$5:$AN$77, MATCH(AG$100,_xlfn.ANCHORARRAY( $W$5), 0))
    *
    INDEX($AN$5:$AN$77, MATCH($A171,_xlfn.ANCHORARRAY( $W$5), 0))
)</f>
        <v>0.94339338669741124</v>
      </c>
      <c r="AH171" s="17" cm="1">
        <f t="array" ref="AH171">MMULT(
    MMULT(
        INDEX($X$5:$AM$77, MATCH(AH$100,_xlfn.ANCHORARRAY( $W$5), 0), 0),
        $F$5:$U$20
    ),
    TRANSPOSE(
        INDEX($X$5:$AM$77, MATCH($A171,_xlfn.ANCHORARRAY( $W$5), 0), 0)
    )
)
/
(
    INDEX($AN$5:$AN$77, MATCH(AH$100,_xlfn.ANCHORARRAY( $W$5), 0))
    *
    INDEX($AN$5:$AN$77, MATCH($A171,_xlfn.ANCHORARRAY( $W$5), 0))
)</f>
        <v>0.71305688497780295</v>
      </c>
      <c r="AI171" s="17" cm="1">
        <f t="array" ref="AI171">MMULT(
    MMULT(
        INDEX($X$5:$AM$77, MATCH(AI$100,_xlfn.ANCHORARRAY( $W$5), 0), 0),
        $F$5:$U$20
    ),
    TRANSPOSE(
        INDEX($X$5:$AM$77, MATCH($A171,_xlfn.ANCHORARRAY( $W$5), 0), 0)
    )
)
/
(
    INDEX($AN$5:$AN$77, MATCH(AI$100,_xlfn.ANCHORARRAY( $W$5), 0))
    *
    INDEX($AN$5:$AN$77, MATCH($A171,_xlfn.ANCHORARRAY( $W$5), 0))
)</f>
        <v>0.92328309694065147</v>
      </c>
      <c r="AJ171" s="17" cm="1">
        <f t="array" ref="AJ171">MMULT(
    MMULT(
        INDEX($X$5:$AM$77, MATCH(AJ$100,_xlfn.ANCHORARRAY( $W$5), 0), 0),
        $F$5:$U$20
    ),
    TRANSPOSE(
        INDEX($X$5:$AM$77, MATCH($A171,_xlfn.ANCHORARRAY( $W$5), 0), 0)
    )
)
/
(
    INDEX($AN$5:$AN$77, MATCH(AJ$100,_xlfn.ANCHORARRAY( $W$5), 0))
    *
    INDEX($AN$5:$AN$77, MATCH($A171,_xlfn.ANCHORARRAY( $W$5), 0))
)</f>
        <v>0.86964827706157921</v>
      </c>
      <c r="AK171" s="17" cm="1">
        <f t="array" ref="AK171">MMULT(
    MMULT(
        INDEX($X$5:$AM$77, MATCH(AK$100,_xlfn.ANCHORARRAY( $W$5), 0), 0),
        $F$5:$U$20
    ),
    TRANSPOSE(
        INDEX($X$5:$AM$77, MATCH($A171,_xlfn.ANCHORARRAY( $W$5), 0), 0)
    )
)
/
(
    INDEX($AN$5:$AN$77, MATCH(AK$100,_xlfn.ANCHORARRAY( $W$5), 0))
    *
    INDEX($AN$5:$AN$77, MATCH($A171,_xlfn.ANCHORARRAY( $W$5), 0))
)</f>
        <v>0.96559139847835473</v>
      </c>
      <c r="AL171" s="17" cm="1">
        <f t="array" ref="AL171">MMULT(
    MMULT(
        INDEX($X$5:$AM$77, MATCH(AL$100,_xlfn.ANCHORARRAY( $W$5), 0), 0),
        $F$5:$U$20
    ),
    TRANSPOSE(
        INDEX($X$5:$AM$77, MATCH($A171,_xlfn.ANCHORARRAY( $W$5), 0), 0)
    )
)
/
(
    INDEX($AN$5:$AN$77, MATCH(AL$100,_xlfn.ANCHORARRAY( $W$5), 0))
    *
    INDEX($AN$5:$AN$77, MATCH($A171,_xlfn.ANCHORARRAY( $W$5), 0))
)</f>
        <v>0.84395631508867253</v>
      </c>
      <c r="AM171" s="17" cm="1">
        <f t="array" ref="AM171">MMULT(
    MMULT(
        INDEX($X$5:$AM$77, MATCH(AM$100,_xlfn.ANCHORARRAY( $W$5), 0), 0),
        $F$5:$U$20
    ),
    TRANSPOSE(
        INDEX($X$5:$AM$77, MATCH($A171,_xlfn.ANCHORARRAY( $W$5), 0), 0)
    )
)
/
(
    INDEX($AN$5:$AN$77, MATCH(AM$100,_xlfn.ANCHORARRAY( $W$5), 0))
    *
    INDEX($AN$5:$AN$77, MATCH($A171,_xlfn.ANCHORARRAY( $W$5), 0))
)</f>
        <v>0.85079151272311659</v>
      </c>
      <c r="AN171" s="17" cm="1">
        <f t="array" ref="AN171">MMULT(
    MMULT(
        INDEX($X$5:$AM$77, MATCH(AN$100,_xlfn.ANCHORARRAY( $W$5), 0), 0),
        $F$5:$U$20
    ),
    TRANSPOSE(
        INDEX($X$5:$AM$77, MATCH($A171,_xlfn.ANCHORARRAY( $W$5), 0), 0)
    )
)
/
(
    INDEX($AN$5:$AN$77, MATCH(AN$100,_xlfn.ANCHORARRAY( $W$5), 0))
    *
    INDEX($AN$5:$AN$77, MATCH($A171,_xlfn.ANCHORARRAY( $W$5), 0))
)</f>
        <v>0.78194801943188597</v>
      </c>
      <c r="AO171" s="17" cm="1">
        <f t="array" ref="AO171">MMULT(
    MMULT(
        INDEX($X$5:$AM$77, MATCH(AO$100,_xlfn.ANCHORARRAY( $W$5), 0), 0),
        $F$5:$U$20
    ),
    TRANSPOSE(
        INDEX($X$5:$AM$77, MATCH($A171,_xlfn.ANCHORARRAY( $W$5), 0), 0)
    )
)
/
(
    INDEX($AN$5:$AN$77, MATCH(AO$100,_xlfn.ANCHORARRAY( $W$5), 0))
    *
    INDEX($AN$5:$AN$77, MATCH($A171,_xlfn.ANCHORARRAY( $W$5), 0))
)</f>
        <v>0.87128473015833874</v>
      </c>
      <c r="AP171" s="17" cm="1">
        <f t="array" ref="AP171">MMULT(
    MMULT(
        INDEX($X$5:$AM$77, MATCH(AP$100,_xlfn.ANCHORARRAY( $W$5), 0), 0),
        $F$5:$U$20
    ),
    TRANSPOSE(
        INDEX($X$5:$AM$77, MATCH($A171,_xlfn.ANCHORARRAY( $W$5), 0), 0)
    )
)
/
(
    INDEX($AN$5:$AN$77, MATCH(AP$100,_xlfn.ANCHORARRAY( $W$5), 0))
    *
    INDEX($AN$5:$AN$77, MATCH($A171,_xlfn.ANCHORARRAY( $W$5), 0))
)</f>
        <v>0.72654064978895971</v>
      </c>
      <c r="AQ171" s="17" cm="1">
        <f t="array" ref="AQ171">MMULT(
    MMULT(
        INDEX($X$5:$AM$77, MATCH(AQ$100,_xlfn.ANCHORARRAY( $W$5), 0), 0),
        $F$5:$U$20
    ),
    TRANSPOSE(
        INDEX($X$5:$AM$77, MATCH($A171,_xlfn.ANCHORARRAY( $W$5), 0), 0)
    )
)
/
(
    INDEX($AN$5:$AN$77, MATCH(AQ$100,_xlfn.ANCHORARRAY( $W$5), 0))
    *
    INDEX($AN$5:$AN$77, MATCH($A171,_xlfn.ANCHORARRAY( $W$5), 0))
)</f>
        <v>0.80640639374541723</v>
      </c>
      <c r="AR171" s="17" cm="1">
        <f t="array" ref="AR171">MMULT(
    MMULT(
        INDEX($X$5:$AM$77, MATCH(AR$100,_xlfn.ANCHORARRAY( $W$5), 0), 0),
        $F$5:$U$20
    ),
    TRANSPOSE(
        INDEX($X$5:$AM$77, MATCH($A171,_xlfn.ANCHORARRAY( $W$5), 0), 0)
    )
)
/
(
    INDEX($AN$5:$AN$77, MATCH(AR$100,_xlfn.ANCHORARRAY( $W$5), 0))
    *
    INDEX($AN$5:$AN$77, MATCH($A171,_xlfn.ANCHORARRAY( $W$5), 0))
)</f>
        <v>0.87706561299849417</v>
      </c>
      <c r="AS171" s="17" cm="1">
        <f t="array" ref="AS171">MMULT(
    MMULT(
        INDEX($X$5:$AM$77, MATCH(AS$100,_xlfn.ANCHORARRAY( $W$5), 0), 0),
        $F$5:$U$20
    ),
    TRANSPOSE(
        INDEX($X$5:$AM$77, MATCH($A171,_xlfn.ANCHORARRAY( $W$5), 0), 0)
    )
)
/
(
    INDEX($AN$5:$AN$77, MATCH(AS$100,_xlfn.ANCHORARRAY( $W$5), 0))
    *
    INDEX($AN$5:$AN$77, MATCH($A171,_xlfn.ANCHORARRAY( $W$5), 0))
)</f>
        <v>0.87051481190700619</v>
      </c>
      <c r="AT171" s="17" cm="1">
        <f t="array" ref="AT171">MMULT(
    MMULT(
        INDEX($X$5:$AM$77, MATCH(AT$100,_xlfn.ANCHORARRAY( $W$5), 0), 0),
        $F$5:$U$20
    ),
    TRANSPOSE(
        INDEX($X$5:$AM$77, MATCH($A171,_xlfn.ANCHORARRAY( $W$5), 0), 0)
    )
)
/
(
    INDEX($AN$5:$AN$77, MATCH(AT$100,_xlfn.ANCHORARRAY( $W$5), 0))
    *
    INDEX($AN$5:$AN$77, MATCH($A171,_xlfn.ANCHORARRAY( $W$5), 0))
)</f>
        <v>0.8984725680951009</v>
      </c>
      <c r="AU171" s="17" cm="1">
        <f t="array" ref="AU171">MMULT(
    MMULT(
        INDEX($X$5:$AM$77, MATCH(AU$100,_xlfn.ANCHORARRAY( $W$5), 0), 0),
        $F$5:$U$20
    ),
    TRANSPOSE(
        INDEX($X$5:$AM$77, MATCH($A171,_xlfn.ANCHORARRAY( $W$5), 0), 0)
    )
)
/
(
    INDEX($AN$5:$AN$77, MATCH(AU$100,_xlfn.ANCHORARRAY( $W$5), 0))
    *
    INDEX($AN$5:$AN$77, MATCH($A171,_xlfn.ANCHORARRAY( $W$5), 0))
)</f>
        <v>0.88928279828259915</v>
      </c>
      <c r="AV171" s="17" cm="1">
        <f t="array" ref="AV171">MMULT(
    MMULT(
        INDEX($X$5:$AM$77, MATCH(AV$100,_xlfn.ANCHORARRAY( $W$5), 0), 0),
        $F$5:$U$20
    ),
    TRANSPOSE(
        INDEX($X$5:$AM$77, MATCH($A171,_xlfn.ANCHORARRAY( $W$5), 0), 0)
    )
)
/
(
    INDEX($AN$5:$AN$77, MATCH(AV$100,_xlfn.ANCHORARRAY( $W$5), 0))
    *
    INDEX($AN$5:$AN$77, MATCH($A171,_xlfn.ANCHORARRAY( $W$5), 0))
)</f>
        <v>0.91837553497922275</v>
      </c>
      <c r="AW171" s="17" cm="1">
        <f t="array" ref="AW171">MMULT(
    MMULT(
        INDEX($X$5:$AM$77, MATCH(AW$100,_xlfn.ANCHORARRAY( $W$5), 0), 0),
        $F$5:$U$20
    ),
    TRANSPOSE(
        INDEX($X$5:$AM$77, MATCH($A171,_xlfn.ANCHORARRAY( $W$5), 0), 0)
    )
)
/
(
    INDEX($AN$5:$AN$77, MATCH(AW$100,_xlfn.ANCHORARRAY( $W$5), 0))
    *
    INDEX($AN$5:$AN$77, MATCH($A171,_xlfn.ANCHORARRAY( $W$5), 0))
)</f>
        <v>0.75299368231619201</v>
      </c>
      <c r="AX171" s="17" cm="1">
        <f t="array" ref="AX171">MMULT(
    MMULT(
        INDEX($X$5:$AM$77, MATCH(AX$100,_xlfn.ANCHORARRAY( $W$5), 0), 0),
        $F$5:$U$20
    ),
    TRANSPOSE(
        INDEX($X$5:$AM$77, MATCH($A171,_xlfn.ANCHORARRAY( $W$5), 0), 0)
    )
)
/
(
    INDEX($AN$5:$AN$77, MATCH(AX$100,_xlfn.ANCHORARRAY( $W$5), 0))
    *
    INDEX($AN$5:$AN$77, MATCH($A171,_xlfn.ANCHORARRAY( $W$5), 0))
)</f>
        <v>0.68405106149475348</v>
      </c>
      <c r="AY171" s="17" cm="1">
        <f t="array" ref="AY171">MMULT(
    MMULT(
        INDEX($X$5:$AM$77, MATCH(AY$100,_xlfn.ANCHORARRAY( $W$5), 0), 0),
        $F$5:$U$20
    ),
    TRANSPOSE(
        INDEX($X$5:$AM$77, MATCH($A171,_xlfn.ANCHORARRAY( $W$5), 0), 0)
    )
)
/
(
    INDEX($AN$5:$AN$77, MATCH(AY$100,_xlfn.ANCHORARRAY( $W$5), 0))
    *
    INDEX($AN$5:$AN$77, MATCH($A171,_xlfn.ANCHORARRAY( $W$5), 0))
)</f>
        <v>0.64969124633604802</v>
      </c>
      <c r="AZ171" s="17" cm="1">
        <f t="array" ref="AZ171">MMULT(
    MMULT(
        INDEX($X$5:$AM$77, MATCH(AZ$100,_xlfn.ANCHORARRAY( $W$5), 0), 0),
        $F$5:$U$20
    ),
    TRANSPOSE(
        INDEX($X$5:$AM$77, MATCH($A171,_xlfn.ANCHORARRAY( $W$5), 0), 0)
    )
)
/
(
    INDEX($AN$5:$AN$77, MATCH(AZ$100,_xlfn.ANCHORARRAY( $W$5), 0))
    *
    INDEX($AN$5:$AN$77, MATCH($A171,_xlfn.ANCHORARRAY( $W$5), 0))
)</f>
        <v>0.9383924726559012</v>
      </c>
      <c r="BA171" s="17" cm="1">
        <f t="array" ref="BA171">MMULT(
    MMULT(
        INDEX($X$5:$AM$77, MATCH(BA$100,_xlfn.ANCHORARRAY( $W$5), 0), 0),
        $F$5:$U$20
    ),
    TRANSPOSE(
        INDEX($X$5:$AM$77, MATCH($A171,_xlfn.ANCHORARRAY( $W$5), 0), 0)
    )
)
/
(
    INDEX($AN$5:$AN$77, MATCH(BA$100,_xlfn.ANCHORARRAY( $W$5), 0))
    *
    INDEX($AN$5:$AN$77, MATCH($A171,_xlfn.ANCHORARRAY( $W$5), 0))
)</f>
        <v>0.9227625324525971</v>
      </c>
      <c r="BB171" s="17" cm="1">
        <f t="array" ref="BB171">MMULT(
    MMULT(
        INDEX($X$5:$AM$77, MATCH(BB$100,_xlfn.ANCHORARRAY( $W$5), 0), 0),
        $F$5:$U$20
    ),
    TRANSPOSE(
        INDEX($X$5:$AM$77, MATCH($A171,_xlfn.ANCHORARRAY( $W$5), 0), 0)
    )
)
/
(
    INDEX($AN$5:$AN$77, MATCH(BB$100,_xlfn.ANCHORARRAY( $W$5), 0))
    *
    INDEX($AN$5:$AN$77, MATCH($A171,_xlfn.ANCHORARRAY( $W$5), 0))
)</f>
        <v>0.80520999533452053</v>
      </c>
      <c r="BC171" s="17" cm="1">
        <f t="array" ref="BC171">MMULT(
    MMULT(
        INDEX($X$5:$AM$77, MATCH(BC$100,_xlfn.ANCHORARRAY( $W$5), 0), 0),
        $F$5:$U$20
    ),
    TRANSPOSE(
        INDEX($X$5:$AM$77, MATCH($A171,_xlfn.ANCHORARRAY( $W$5), 0), 0)
    )
)
/
(
    INDEX($AN$5:$AN$77, MATCH(BC$100,_xlfn.ANCHORARRAY( $W$5), 0))
    *
    INDEX($AN$5:$AN$77, MATCH($A171,_xlfn.ANCHORARRAY( $W$5), 0))
)</f>
        <v>0.88746448639074205</v>
      </c>
      <c r="BD171" s="17" cm="1">
        <f t="array" ref="BD171">MMULT(
    MMULT(
        INDEX($X$5:$AM$77, MATCH(BD$100,_xlfn.ANCHORARRAY( $W$5), 0), 0),
        $F$5:$U$20
    ),
    TRANSPOSE(
        INDEX($X$5:$AM$77, MATCH($A171,_xlfn.ANCHORARRAY( $W$5), 0), 0)
    )
)
/
(
    INDEX($AN$5:$AN$77, MATCH(BD$100,_xlfn.ANCHORARRAY( $W$5), 0))
    *
    INDEX($AN$5:$AN$77, MATCH($A171,_xlfn.ANCHORARRAY( $W$5), 0))
)</f>
        <v>0.63259710076509135</v>
      </c>
      <c r="BE171" s="17" cm="1">
        <f t="array" ref="BE171">MMULT(
    MMULT(
        INDEX($X$5:$AM$77, MATCH(BE$100,_xlfn.ANCHORARRAY( $W$5), 0), 0),
        $F$5:$U$20
    ),
    TRANSPOSE(
        INDEX($X$5:$AM$77, MATCH($A171,_xlfn.ANCHORARRAY( $W$5), 0), 0)
    )
)
/
(
    INDEX($AN$5:$AN$77, MATCH(BE$100,_xlfn.ANCHORARRAY( $W$5), 0))
    *
    INDEX($AN$5:$AN$77, MATCH($A171,_xlfn.ANCHORARRAY( $W$5), 0))
)</f>
        <v>0.83247871428768483</v>
      </c>
      <c r="BF171" s="17" cm="1">
        <f t="array" ref="BF171">MMULT(
    MMULT(
        INDEX($X$5:$AM$77, MATCH(BF$100,_xlfn.ANCHORARRAY( $W$5), 0), 0),
        $F$5:$U$20
    ),
    TRANSPOSE(
        INDEX($X$5:$AM$77, MATCH($A171,_xlfn.ANCHORARRAY( $W$5), 0), 0)
    )
)
/
(
    INDEX($AN$5:$AN$77, MATCH(BF$100,_xlfn.ANCHORARRAY( $W$5), 0))
    *
    INDEX($AN$5:$AN$77, MATCH($A171,_xlfn.ANCHORARRAY( $W$5), 0))
)</f>
        <v>0.88240472372148138</v>
      </c>
      <c r="BG171" s="17" cm="1">
        <f t="array" ref="BG171">MMULT(
    MMULT(
        INDEX($X$5:$AM$77, MATCH(BG$100,_xlfn.ANCHORARRAY( $W$5), 0), 0),
        $F$5:$U$20
    ),
    TRANSPOSE(
        INDEX($X$5:$AM$77, MATCH($A171,_xlfn.ANCHORARRAY( $W$5), 0), 0)
    )
)
/
(
    INDEX($AN$5:$AN$77, MATCH(BG$100,_xlfn.ANCHORARRAY( $W$5), 0))
    *
    INDEX($AN$5:$AN$77, MATCH($A171,_xlfn.ANCHORARRAY( $W$5), 0))
)</f>
        <v>0.86641235491345625</v>
      </c>
      <c r="BH171" s="17" cm="1">
        <f t="array" ref="BH171">MMULT(
    MMULT(
        INDEX($X$5:$AM$77, MATCH(BH$100,_xlfn.ANCHORARRAY( $W$5), 0), 0),
        $F$5:$U$20
    ),
    TRANSPOSE(
        INDEX($X$5:$AM$77, MATCH($A171,_xlfn.ANCHORARRAY( $W$5), 0), 0)
    )
)
/
(
    INDEX($AN$5:$AN$77, MATCH(BH$100,_xlfn.ANCHORARRAY( $W$5), 0))
    *
    INDEX($AN$5:$AN$77, MATCH($A171,_xlfn.ANCHORARRAY( $W$5), 0))
)</f>
        <v>0.78137508477401829</v>
      </c>
      <c r="BI171" s="17" cm="1">
        <f t="array" ref="BI171">MMULT(
    MMULT(
        INDEX($X$5:$AM$77, MATCH(BI$100,_xlfn.ANCHORARRAY( $W$5), 0), 0),
        $F$5:$U$20
    ),
    TRANSPOSE(
        INDEX($X$5:$AM$77, MATCH($A171,_xlfn.ANCHORARRAY( $W$5), 0), 0)
    )
)
/
(
    INDEX($AN$5:$AN$77, MATCH(BI$100,_xlfn.ANCHORARRAY( $W$5), 0))
    *
    INDEX($AN$5:$AN$77, MATCH($A171,_xlfn.ANCHORARRAY( $W$5), 0))
)</f>
        <v>0.6507892555106003</v>
      </c>
      <c r="BJ171" s="17" cm="1">
        <f t="array" ref="BJ171">MMULT(
    MMULT(
        INDEX($X$5:$AM$77, MATCH(BJ$100,_xlfn.ANCHORARRAY( $W$5), 0), 0),
        $F$5:$U$20
    ),
    TRANSPOSE(
        INDEX($X$5:$AM$77, MATCH($A171,_xlfn.ANCHORARRAY( $W$5), 0), 0)
    )
)
/
(
    INDEX($AN$5:$AN$77, MATCH(BJ$100,_xlfn.ANCHORARRAY( $W$5), 0))
    *
    INDEX($AN$5:$AN$77, MATCH($A171,_xlfn.ANCHORARRAY( $W$5), 0))
)</f>
        <v>0.95483887200712558</v>
      </c>
      <c r="BK171" s="17" cm="1">
        <f t="array" ref="BK171">MMULT(
    MMULT(
        INDEX($X$5:$AM$77, MATCH(BK$100,_xlfn.ANCHORARRAY( $W$5), 0), 0),
        $F$5:$U$20
    ),
    TRANSPOSE(
        INDEX($X$5:$AM$77, MATCH($A171,_xlfn.ANCHORARRAY( $W$5), 0), 0)
    )
)
/
(
    INDEX($AN$5:$AN$77, MATCH(BK$100,_xlfn.ANCHORARRAY( $W$5), 0))
    *
    INDEX($AN$5:$AN$77, MATCH($A171,_xlfn.ANCHORARRAY( $W$5), 0))
)</f>
        <v>0.65330629791112849</v>
      </c>
      <c r="BL171" s="17" cm="1">
        <f t="array" ref="BL171">MMULT(
    MMULT(
        INDEX($X$5:$AM$77, MATCH(BL$100,_xlfn.ANCHORARRAY( $W$5), 0), 0),
        $F$5:$U$20
    ),
    TRANSPOSE(
        INDEX($X$5:$AM$77, MATCH($A171,_xlfn.ANCHORARRAY( $W$5), 0), 0)
    )
)
/
(
    INDEX($AN$5:$AN$77, MATCH(BL$100,_xlfn.ANCHORARRAY( $W$5), 0))
    *
    INDEX($AN$5:$AN$77, MATCH($A171,_xlfn.ANCHORARRAY( $W$5), 0))
)</f>
        <v>0.50945900791953147</v>
      </c>
      <c r="BM171" s="17" cm="1">
        <f t="array" ref="BM171">MMULT(
    MMULT(
        INDEX($X$5:$AM$77, MATCH(BM$100,_xlfn.ANCHORARRAY( $W$5), 0), 0),
        $F$5:$U$20
    ),
    TRANSPOSE(
        INDEX($X$5:$AM$77, MATCH($A171,_xlfn.ANCHORARRAY( $W$5), 0), 0)
    )
)
/
(
    INDEX($AN$5:$AN$77, MATCH(BM$100,_xlfn.ANCHORARRAY( $W$5), 0))
    *
    INDEX($AN$5:$AN$77, MATCH($A171,_xlfn.ANCHORARRAY( $W$5), 0))
)</f>
        <v>0.72154391823349406</v>
      </c>
      <c r="BN171" s="17" cm="1">
        <f t="array" ref="BN171">MMULT(
    MMULT(
        INDEX($X$5:$AM$77, MATCH(BN$100,_xlfn.ANCHORARRAY( $W$5), 0), 0),
        $F$5:$U$20
    ),
    TRANSPOSE(
        INDEX($X$5:$AM$77, MATCH($A171,_xlfn.ANCHORARRAY( $W$5), 0), 0)
    )
)
/
(
    INDEX($AN$5:$AN$77, MATCH(BN$100,_xlfn.ANCHORARRAY( $W$5), 0))
    *
    INDEX($AN$5:$AN$77, MATCH($A171,_xlfn.ANCHORARRAY( $W$5), 0))
)</f>
        <v>0.85788828359288483</v>
      </c>
      <c r="BO171" s="17" cm="1">
        <f t="array" ref="BO171">MMULT(
    MMULT(
        INDEX($X$5:$AM$77, MATCH(BO$100,_xlfn.ANCHORARRAY( $W$5), 0), 0),
        $F$5:$U$20
    ),
    TRANSPOSE(
        INDEX($X$5:$AM$77, MATCH($A171,_xlfn.ANCHORARRAY( $W$5), 0), 0)
    )
)
/
(
    INDEX($AN$5:$AN$77, MATCH(BO$100,_xlfn.ANCHORARRAY( $W$5), 0))
    *
    INDEX($AN$5:$AN$77, MATCH($A171,_xlfn.ANCHORARRAY( $W$5), 0))
)</f>
        <v>0.86253670798989579</v>
      </c>
      <c r="BP171" s="17" cm="1">
        <f t="array" ref="BP171">MMULT(
    MMULT(
        INDEX($X$5:$AM$77, MATCH(BP$100,_xlfn.ANCHORARRAY( $W$5), 0), 0),
        $F$5:$U$20
    ),
    TRANSPOSE(
        INDEX($X$5:$AM$77, MATCH($A171,_xlfn.ANCHORARRAY( $W$5), 0), 0)
    )
)
/
(
    INDEX($AN$5:$AN$77, MATCH(BP$100,_xlfn.ANCHORARRAY( $W$5), 0))
    *
    INDEX($AN$5:$AN$77, MATCH($A171,_xlfn.ANCHORARRAY( $W$5), 0))
)</f>
        <v>0.90949942832309849</v>
      </c>
      <c r="BQ171" s="17" cm="1">
        <f t="array" ref="BQ171">MMULT(
    MMULT(
        INDEX($X$5:$AM$77, MATCH(BQ$100,_xlfn.ANCHORARRAY( $W$5), 0), 0),
        $F$5:$U$20
    ),
    TRANSPOSE(
        INDEX($X$5:$AM$77, MATCH($A171,_xlfn.ANCHORARRAY( $W$5), 0), 0)
    )
)
/
(
    INDEX($AN$5:$AN$77, MATCH(BQ$100,_xlfn.ANCHORARRAY( $W$5), 0))
    *
    INDEX($AN$5:$AN$77, MATCH($A171,_xlfn.ANCHORARRAY( $W$5), 0))
)</f>
        <v>0.78540669183427259</v>
      </c>
      <c r="BR171" s="17" cm="1">
        <f t="array" ref="BR171">MMULT(
    MMULT(
        INDEX($X$5:$AM$77, MATCH(BR$100,_xlfn.ANCHORARRAY( $W$5), 0), 0),
        $F$5:$U$20
    ),
    TRANSPOSE(
        INDEX($X$5:$AM$77, MATCH($A171,_xlfn.ANCHORARRAY( $W$5), 0), 0)
    )
)
/
(
    INDEX($AN$5:$AN$77, MATCH(BR$100,_xlfn.ANCHORARRAY( $W$5), 0))
    *
    INDEX($AN$5:$AN$77, MATCH($A171,_xlfn.ANCHORARRAY( $W$5), 0))
)</f>
        <v>0.78719587814877223</v>
      </c>
      <c r="BS171" s="17" cm="1">
        <f t="array" ref="BS171">MMULT(
    MMULT(
        INDEX($X$5:$AM$77, MATCH(BS$100,_xlfn.ANCHORARRAY( $W$5), 0), 0),
        $F$5:$U$20
    ),
    TRANSPOSE(
        INDEX($X$5:$AM$77, MATCH($A171,_xlfn.ANCHORARRAY( $W$5), 0), 0)
    )
)
/
(
    INDEX($AN$5:$AN$77, MATCH(BS$100,_xlfn.ANCHORARRAY( $W$5), 0))
    *
    INDEX($AN$5:$AN$77, MATCH($A171,_xlfn.ANCHORARRAY( $W$5), 0))
)</f>
        <v>0.84168435420104326</v>
      </c>
      <c r="BT171" s="17" cm="1">
        <f t="array" ref="BT171">MMULT(
    MMULT(
        INDEX($X$5:$AM$77, MATCH(BT$100,_xlfn.ANCHORARRAY( $W$5), 0), 0),
        $F$5:$U$20
    ),
    TRANSPOSE(
        INDEX($X$5:$AM$77, MATCH($A171,_xlfn.ANCHORARRAY( $W$5), 0), 0)
    )
)
/
(
    INDEX($AN$5:$AN$77, MATCH(BT$100,_xlfn.ANCHORARRAY( $W$5), 0))
    *
    INDEX($AN$5:$AN$77, MATCH($A171,_xlfn.ANCHORARRAY( $W$5), 0))
)</f>
        <v>1</v>
      </c>
      <c r="BU171" s="17" cm="1">
        <f t="array" ref="BU171">MMULT(
    MMULT(
        INDEX($X$5:$AM$77, MATCH(BU$100,_xlfn.ANCHORARRAY( $W$5), 0), 0),
        $F$5:$U$20
    ),
    TRANSPOSE(
        INDEX($X$5:$AM$77, MATCH($A171,_xlfn.ANCHORARRAY( $W$5), 0), 0)
    )
)
/
(
    INDEX($AN$5:$AN$77, MATCH(BU$100,_xlfn.ANCHORARRAY( $W$5), 0))
    *
    INDEX($AN$5:$AN$77, MATCH($A171,_xlfn.ANCHORARRAY( $W$5), 0))
)</f>
        <v>0.79532914925620446</v>
      </c>
      <c r="BV171" s="17" cm="1">
        <f t="array" ref="BV171">MMULT(
    MMULT(
        INDEX($X$5:$AM$77, MATCH(BV$100,_xlfn.ANCHORARRAY( $W$5), 0), 0),
        $F$5:$U$20
    ),
    TRANSPOSE(
        INDEX($X$5:$AM$77, MATCH($A171,_xlfn.ANCHORARRAY( $W$5), 0), 0)
    )
)
/
(
    INDEX($AN$5:$AN$77, MATCH(BV$100,_xlfn.ANCHORARRAY( $W$5), 0))
    *
    INDEX($AN$5:$AN$77, MATCH($A171,_xlfn.ANCHORARRAY( $W$5), 0))
)</f>
        <v>0.74601377081792386</v>
      </c>
    </row>
    <row r="172" spans="1:74" x14ac:dyDescent="0.3">
      <c r="A172" s="7" t="str">
        <v>Thornburg, Tyler</v>
      </c>
      <c r="B172" s="17" cm="1">
        <f t="array" ref="B172">MMULT(
    MMULT(
        INDEX($X$5:$AM$77, MATCH(B$100,_xlfn.ANCHORARRAY( $W$5), 0), 0),
        $F$5:$U$20
    ),
    TRANSPOSE(
        INDEX($X$5:$AM$77, MATCH($A172,_xlfn.ANCHORARRAY( $W$5), 0), 0)
    )
)
/
(
    INDEX($AN$5:$AN$77, MATCH(B$100,_xlfn.ANCHORARRAY( $W$5), 0))
    *
    INDEX($AN$5:$AN$77, MATCH($A172,_xlfn.ANCHORARRAY( $W$5), 0))
)</f>
        <v>0.95119748653940905</v>
      </c>
      <c r="C172" s="17" cm="1">
        <f t="array" ref="C172">MMULT(
    MMULT(
        INDEX($X$5:$AM$77, MATCH(C$100,_xlfn.ANCHORARRAY( $W$5), 0), 0),
        $F$5:$U$20
    ),
    TRANSPOSE(
        INDEX($X$5:$AM$77, MATCH($A172,_xlfn.ANCHORARRAY( $W$5), 0), 0)
    )
)
/
(
    INDEX($AN$5:$AN$77, MATCH(C$100,_xlfn.ANCHORARRAY( $W$5), 0))
    *
    INDEX($AN$5:$AN$77, MATCH($A172,_xlfn.ANCHORARRAY( $W$5), 0))
)</f>
        <v>0.95508684142616496</v>
      </c>
      <c r="D172" s="17" cm="1">
        <f t="array" ref="D172">MMULT(
    MMULT(
        INDEX($X$5:$AM$77, MATCH(D$100,_xlfn.ANCHORARRAY( $W$5), 0), 0),
        $F$5:$U$20
    ),
    TRANSPOSE(
        INDEX($X$5:$AM$77, MATCH($A172,_xlfn.ANCHORARRAY( $W$5), 0), 0)
    )
)
/
(
    INDEX($AN$5:$AN$77, MATCH(D$100,_xlfn.ANCHORARRAY( $W$5), 0))
    *
    INDEX($AN$5:$AN$77, MATCH($A172,_xlfn.ANCHORARRAY( $W$5), 0))
)</f>
        <v>0.80268406065664133</v>
      </c>
      <c r="E172" s="17" cm="1">
        <f t="array" ref="E172">MMULT(
    MMULT(
        INDEX($X$5:$AM$77, MATCH(E$100,_xlfn.ANCHORARRAY( $W$5), 0), 0),
        $F$5:$U$20
    ),
    TRANSPOSE(
        INDEX($X$5:$AM$77, MATCH($A172,_xlfn.ANCHORARRAY( $W$5), 0), 0)
    )
)
/
(
    INDEX($AN$5:$AN$77, MATCH(E$100,_xlfn.ANCHORARRAY( $W$5), 0))
    *
    INDEX($AN$5:$AN$77, MATCH($A172,_xlfn.ANCHORARRAY( $W$5), 0))
)</f>
        <v>0.63659215526825108</v>
      </c>
      <c r="F172" s="17" cm="1">
        <f t="array" ref="F172">MMULT(
    MMULT(
        INDEX($X$5:$AM$77, MATCH(F$100,_xlfn.ANCHORARRAY( $W$5), 0), 0),
        $F$5:$U$20
    ),
    TRANSPOSE(
        INDEX($X$5:$AM$77, MATCH($A172,_xlfn.ANCHORARRAY( $W$5), 0), 0)
    )
)
/
(
    INDEX($AN$5:$AN$77, MATCH(F$100,_xlfn.ANCHORARRAY( $W$5), 0))
    *
    INDEX($AN$5:$AN$77, MATCH($A172,_xlfn.ANCHORARRAY( $W$5), 0))
)</f>
        <v>0.66098040645570322</v>
      </c>
      <c r="G172" s="17" cm="1">
        <f t="array" ref="G172">MMULT(
    MMULT(
        INDEX($X$5:$AM$77, MATCH(G$100,_xlfn.ANCHORARRAY( $W$5), 0), 0),
        $F$5:$U$20
    ),
    TRANSPOSE(
        INDEX($X$5:$AM$77, MATCH($A172,_xlfn.ANCHORARRAY( $W$5), 0), 0)
    )
)
/
(
    INDEX($AN$5:$AN$77, MATCH(G$100,_xlfn.ANCHORARRAY( $W$5), 0))
    *
    INDEX($AN$5:$AN$77, MATCH($A172,_xlfn.ANCHORARRAY( $W$5), 0))
)</f>
        <v>0.93955940331487597</v>
      </c>
      <c r="H172" s="17" cm="1">
        <f t="array" ref="H172">MMULT(
    MMULT(
        INDEX($X$5:$AM$77, MATCH(H$100,_xlfn.ANCHORARRAY( $W$5), 0), 0),
        $F$5:$U$20
    ),
    TRANSPOSE(
        INDEX($X$5:$AM$77, MATCH($A172,_xlfn.ANCHORARRAY( $W$5), 0), 0)
    )
)
/
(
    INDEX($AN$5:$AN$77, MATCH(H$100,_xlfn.ANCHORARRAY( $W$5), 0))
    *
    INDEX($AN$5:$AN$77, MATCH($A172,_xlfn.ANCHORARRAY( $W$5), 0))
)</f>
        <v>0.83247797905514731</v>
      </c>
      <c r="I172" s="17" cm="1">
        <f t="array" ref="I172">MMULT(
    MMULT(
        INDEX($X$5:$AM$77, MATCH(I$100,_xlfn.ANCHORARRAY( $W$5), 0), 0),
        $F$5:$U$20
    ),
    TRANSPOSE(
        INDEX($X$5:$AM$77, MATCH($A172,_xlfn.ANCHORARRAY( $W$5), 0), 0)
    )
)
/
(
    INDEX($AN$5:$AN$77, MATCH(I$100,_xlfn.ANCHORARRAY( $W$5), 0))
    *
    INDEX($AN$5:$AN$77, MATCH($A172,_xlfn.ANCHORARRAY( $W$5), 0))
)</f>
        <v>0.83652609101189424</v>
      </c>
      <c r="J172" s="17" cm="1">
        <f t="array" ref="J172">MMULT(
    MMULT(
        INDEX($X$5:$AM$77, MATCH(J$100,_xlfn.ANCHORARRAY( $W$5), 0), 0),
        $F$5:$U$20
    ),
    TRANSPOSE(
        INDEX($X$5:$AM$77, MATCH($A172,_xlfn.ANCHORARRAY( $W$5), 0), 0)
    )
)
/
(
    INDEX($AN$5:$AN$77, MATCH(J$100,_xlfn.ANCHORARRAY( $W$5), 0))
    *
    INDEX($AN$5:$AN$77, MATCH($A172,_xlfn.ANCHORARRAY( $W$5), 0))
)</f>
        <v>0.88143433351987743</v>
      </c>
      <c r="K172" s="17" cm="1">
        <f t="array" ref="K172">MMULT(
    MMULT(
        INDEX($X$5:$AM$77, MATCH(K$100,_xlfn.ANCHORARRAY( $W$5), 0), 0),
        $F$5:$U$20
    ),
    TRANSPOSE(
        INDEX($X$5:$AM$77, MATCH($A172,_xlfn.ANCHORARRAY( $W$5), 0), 0)
    )
)
/
(
    INDEX($AN$5:$AN$77, MATCH(K$100,_xlfn.ANCHORARRAY( $W$5), 0))
    *
    INDEX($AN$5:$AN$77, MATCH($A172,_xlfn.ANCHORARRAY( $W$5), 0))
)</f>
        <v>0.72682970683284764</v>
      </c>
      <c r="L172" s="17" cm="1">
        <f t="array" ref="L172">MMULT(
    MMULT(
        INDEX($X$5:$AM$77, MATCH(L$100,_xlfn.ANCHORARRAY( $W$5), 0), 0),
        $F$5:$U$20
    ),
    TRANSPOSE(
        INDEX($X$5:$AM$77, MATCH($A172,_xlfn.ANCHORARRAY( $W$5), 0), 0)
    )
)
/
(
    INDEX($AN$5:$AN$77, MATCH(L$100,_xlfn.ANCHORARRAY( $W$5), 0))
    *
    INDEX($AN$5:$AN$77, MATCH($A172,_xlfn.ANCHORARRAY( $W$5), 0))
)</f>
        <v>0.70503313811018853</v>
      </c>
      <c r="M172" s="17" cm="1">
        <f t="array" ref="M172">MMULT(
    MMULT(
        INDEX($X$5:$AM$77, MATCH(M$100,_xlfn.ANCHORARRAY( $W$5), 0), 0),
        $F$5:$U$20
    ),
    TRANSPOSE(
        INDEX($X$5:$AM$77, MATCH($A172,_xlfn.ANCHORARRAY( $W$5), 0), 0)
    )
)
/
(
    INDEX($AN$5:$AN$77, MATCH(M$100,_xlfn.ANCHORARRAY( $W$5), 0))
    *
    INDEX($AN$5:$AN$77, MATCH($A172,_xlfn.ANCHORARRAY( $W$5), 0))
)</f>
        <v>0.80209671881457989</v>
      </c>
      <c r="N172" s="17" cm="1">
        <f t="array" ref="N172">MMULT(
    MMULT(
        INDEX($X$5:$AM$77, MATCH(N$100,_xlfn.ANCHORARRAY( $W$5), 0), 0),
        $F$5:$U$20
    ),
    TRANSPOSE(
        INDEX($X$5:$AM$77, MATCH($A172,_xlfn.ANCHORARRAY( $W$5), 0), 0)
    )
)
/
(
    INDEX($AN$5:$AN$77, MATCH(N$100,_xlfn.ANCHORARRAY( $W$5), 0))
    *
    INDEX($AN$5:$AN$77, MATCH($A172,_xlfn.ANCHORARRAY( $W$5), 0))
)</f>
        <v>0.60752281801790775</v>
      </c>
      <c r="O172" s="17" cm="1">
        <f t="array" ref="O172">MMULT(
    MMULT(
        INDEX($X$5:$AM$77, MATCH(O$100,_xlfn.ANCHORARRAY( $W$5), 0), 0),
        $F$5:$U$20
    ),
    TRANSPOSE(
        INDEX($X$5:$AM$77, MATCH($A172,_xlfn.ANCHORARRAY( $W$5), 0), 0)
    )
)
/
(
    INDEX($AN$5:$AN$77, MATCH(O$100,_xlfn.ANCHORARRAY( $W$5), 0))
    *
    INDEX($AN$5:$AN$77, MATCH($A172,_xlfn.ANCHORARRAY( $W$5), 0))
)</f>
        <v>0.54718014288590411</v>
      </c>
      <c r="P172" s="17" cm="1">
        <f t="array" ref="P172">MMULT(
    MMULT(
        INDEX($X$5:$AM$77, MATCH(P$100,_xlfn.ANCHORARRAY( $W$5), 0), 0),
        $F$5:$U$20
    ),
    TRANSPOSE(
        INDEX($X$5:$AM$77, MATCH($A172,_xlfn.ANCHORARRAY( $W$5), 0), 0)
    )
)
/
(
    INDEX($AN$5:$AN$77, MATCH(P$100,_xlfn.ANCHORARRAY( $W$5), 0))
    *
    INDEX($AN$5:$AN$77, MATCH($A172,_xlfn.ANCHORARRAY( $W$5), 0))
)</f>
        <v>0.78992238897219802</v>
      </c>
      <c r="Q172" s="17" cm="1">
        <f t="array" ref="Q172">MMULT(
    MMULT(
        INDEX($X$5:$AM$77, MATCH(Q$100,_xlfn.ANCHORARRAY( $W$5), 0), 0),
        $F$5:$U$20
    ),
    TRANSPOSE(
        INDEX($X$5:$AM$77, MATCH($A172,_xlfn.ANCHORARRAY( $W$5), 0), 0)
    )
)
/
(
    INDEX($AN$5:$AN$77, MATCH(Q$100,_xlfn.ANCHORARRAY( $W$5), 0))
    *
    INDEX($AN$5:$AN$77, MATCH($A172,_xlfn.ANCHORARRAY( $W$5), 0))
)</f>
        <v>0.86350023176369928</v>
      </c>
      <c r="R172" s="17" cm="1">
        <f t="array" ref="R172">MMULT(
    MMULT(
        INDEX($X$5:$AM$77, MATCH(R$100,_xlfn.ANCHORARRAY( $W$5), 0), 0),
        $F$5:$U$20
    ),
    TRANSPOSE(
        INDEX($X$5:$AM$77, MATCH($A172,_xlfn.ANCHORARRAY( $W$5), 0), 0)
    )
)
/
(
    INDEX($AN$5:$AN$77, MATCH(R$100,_xlfn.ANCHORARRAY( $W$5), 0))
    *
    INDEX($AN$5:$AN$77, MATCH($A172,_xlfn.ANCHORARRAY( $W$5), 0))
)</f>
        <v>0.83713560442444657</v>
      </c>
      <c r="S172" s="17" cm="1">
        <f t="array" ref="S172">MMULT(
    MMULT(
        INDEX($X$5:$AM$77, MATCH(S$100,_xlfn.ANCHORARRAY( $W$5), 0), 0),
        $F$5:$U$20
    ),
    TRANSPOSE(
        INDEX($X$5:$AM$77, MATCH($A172,_xlfn.ANCHORARRAY( $W$5), 0), 0)
    )
)
/
(
    INDEX($AN$5:$AN$77, MATCH(S$100,_xlfn.ANCHORARRAY( $W$5), 0))
    *
    INDEX($AN$5:$AN$77, MATCH($A172,_xlfn.ANCHORARRAY( $W$5), 0))
)</f>
        <v>0.96205774904995889</v>
      </c>
      <c r="T172" s="17" cm="1">
        <f t="array" ref="T172">MMULT(
    MMULT(
        INDEX($X$5:$AM$77, MATCH(T$100,_xlfn.ANCHORARRAY( $W$5), 0), 0),
        $F$5:$U$20
    ),
    TRANSPOSE(
        INDEX($X$5:$AM$77, MATCH($A172,_xlfn.ANCHORARRAY( $W$5), 0), 0)
    )
)
/
(
    INDEX($AN$5:$AN$77, MATCH(T$100,_xlfn.ANCHORARRAY( $W$5), 0))
    *
    INDEX($AN$5:$AN$77, MATCH($A172,_xlfn.ANCHORARRAY( $W$5), 0))
)</f>
        <v>0.72577723947347117</v>
      </c>
      <c r="U172" s="17" cm="1">
        <f t="array" ref="U172">MMULT(
    MMULT(
        INDEX($X$5:$AM$77, MATCH(U$100,_xlfn.ANCHORARRAY( $W$5), 0), 0),
        $F$5:$U$20
    ),
    TRANSPOSE(
        INDEX($X$5:$AM$77, MATCH($A172,_xlfn.ANCHORARRAY( $W$5), 0), 0)
    )
)
/
(
    INDEX($AN$5:$AN$77, MATCH(U$100,_xlfn.ANCHORARRAY( $W$5), 0))
    *
    INDEX($AN$5:$AN$77, MATCH($A172,_xlfn.ANCHORARRAY( $W$5), 0))
)</f>
        <v>0.85505431714178204</v>
      </c>
      <c r="V172" s="17" cm="1">
        <f t="array" ref="V172">MMULT(
    MMULT(
        INDEX($X$5:$AM$77, MATCH(V$100,_xlfn.ANCHORARRAY( $W$5), 0), 0),
        $F$5:$U$20
    ),
    TRANSPOSE(
        INDEX($X$5:$AM$77, MATCH($A172,_xlfn.ANCHORARRAY( $W$5), 0), 0)
    )
)
/
(
    INDEX($AN$5:$AN$77, MATCH(V$100,_xlfn.ANCHORARRAY( $W$5), 0))
    *
    INDEX($AN$5:$AN$77, MATCH($A172,_xlfn.ANCHORARRAY( $W$5), 0))
)</f>
        <v>0.69807530134525742</v>
      </c>
      <c r="W172" s="17" cm="1">
        <f t="array" ref="W172">MMULT(
    MMULT(
        INDEX($X$5:$AM$77, MATCH(W$100,_xlfn.ANCHORARRAY( $W$5), 0), 0),
        $F$5:$U$20
    ),
    TRANSPOSE(
        INDEX($X$5:$AM$77, MATCH($A172,_xlfn.ANCHORARRAY( $W$5), 0), 0)
    )
)
/
(
    INDEX($AN$5:$AN$77, MATCH(W$100,_xlfn.ANCHORARRAY( $W$5), 0))
    *
    INDEX($AN$5:$AN$77, MATCH($A172,_xlfn.ANCHORARRAY( $W$5), 0))
)</f>
        <v>0.47395502434704373</v>
      </c>
      <c r="X172" s="17" cm="1">
        <f t="array" ref="X172">MMULT(
    MMULT(
        INDEX($X$5:$AM$77, MATCH(X$100,_xlfn.ANCHORARRAY( $W$5), 0), 0),
        $F$5:$U$20
    ),
    TRANSPOSE(
        INDEX($X$5:$AM$77, MATCH($A172,_xlfn.ANCHORARRAY( $W$5), 0), 0)
    )
)
/
(
    INDEX($AN$5:$AN$77, MATCH(X$100,_xlfn.ANCHORARRAY( $W$5), 0))
    *
    INDEX($AN$5:$AN$77, MATCH($A172,_xlfn.ANCHORARRAY( $W$5), 0))
)</f>
        <v>0.64325164458115758</v>
      </c>
      <c r="Y172" s="17" cm="1">
        <f t="array" ref="Y172">MMULT(
    MMULT(
        INDEX($X$5:$AM$77, MATCH(Y$100,_xlfn.ANCHORARRAY( $W$5), 0), 0),
        $F$5:$U$20
    ),
    TRANSPOSE(
        INDEX($X$5:$AM$77, MATCH($A172,_xlfn.ANCHORARRAY( $W$5), 0), 0)
    )
)
/
(
    INDEX($AN$5:$AN$77, MATCH(Y$100,_xlfn.ANCHORARRAY( $W$5), 0))
    *
    INDEX($AN$5:$AN$77, MATCH($A172,_xlfn.ANCHORARRAY( $W$5), 0))
)</f>
        <v>0.87980390034658429</v>
      </c>
      <c r="Z172" s="17" cm="1">
        <f t="array" ref="Z172">MMULT(
    MMULT(
        INDEX($X$5:$AM$77, MATCH(Z$100,_xlfn.ANCHORARRAY( $W$5), 0), 0),
        $F$5:$U$20
    ),
    TRANSPOSE(
        INDEX($X$5:$AM$77, MATCH($A172,_xlfn.ANCHORARRAY( $W$5), 0), 0)
    )
)
/
(
    INDEX($AN$5:$AN$77, MATCH(Z$100,_xlfn.ANCHORARRAY( $W$5), 0))
    *
    INDEX($AN$5:$AN$77, MATCH($A172,_xlfn.ANCHORARRAY( $W$5), 0))
)</f>
        <v>0.71864184761337957</v>
      </c>
      <c r="AA172" s="17" cm="1">
        <f t="array" ref="AA172">MMULT(
    MMULT(
        INDEX($X$5:$AM$77, MATCH(AA$100,_xlfn.ANCHORARRAY( $W$5), 0), 0),
        $F$5:$U$20
    ),
    TRANSPOSE(
        INDEX($X$5:$AM$77, MATCH($A172,_xlfn.ANCHORARRAY( $W$5), 0), 0)
    )
)
/
(
    INDEX($AN$5:$AN$77, MATCH(AA$100,_xlfn.ANCHORARRAY( $W$5), 0))
    *
    INDEX($AN$5:$AN$77, MATCH($A172,_xlfn.ANCHORARRAY( $W$5), 0))
)</f>
        <v>0.7074358844631865</v>
      </c>
      <c r="AB172" s="17" cm="1">
        <f t="array" ref="AB172">MMULT(
    MMULT(
        INDEX($X$5:$AM$77, MATCH(AB$100,_xlfn.ANCHORARRAY( $W$5), 0), 0),
        $F$5:$U$20
    ),
    TRANSPOSE(
        INDEX($X$5:$AM$77, MATCH($A172,_xlfn.ANCHORARRAY( $W$5), 0), 0)
    )
)
/
(
    INDEX($AN$5:$AN$77, MATCH(AB$100,_xlfn.ANCHORARRAY( $W$5), 0))
    *
    INDEX($AN$5:$AN$77, MATCH($A172,_xlfn.ANCHORARRAY( $W$5), 0))
)</f>
        <v>0.79409984189187077</v>
      </c>
      <c r="AC172" s="17" cm="1">
        <f t="array" ref="AC172">MMULT(
    MMULT(
        INDEX($X$5:$AM$77, MATCH(AC$100,_xlfn.ANCHORARRAY( $W$5), 0), 0),
        $F$5:$U$20
    ),
    TRANSPOSE(
        INDEX($X$5:$AM$77, MATCH($A172,_xlfn.ANCHORARRAY( $W$5), 0), 0)
    )
)
/
(
    INDEX($AN$5:$AN$77, MATCH(AC$100,_xlfn.ANCHORARRAY( $W$5), 0))
    *
    INDEX($AN$5:$AN$77, MATCH($A172,_xlfn.ANCHORARRAY( $W$5), 0))
)</f>
        <v>0.72168771629416517</v>
      </c>
      <c r="AD172" s="17" cm="1">
        <f t="array" ref="AD172">MMULT(
    MMULT(
        INDEX($X$5:$AM$77, MATCH(AD$100,_xlfn.ANCHORARRAY( $W$5), 0), 0),
        $F$5:$U$20
    ),
    TRANSPOSE(
        INDEX($X$5:$AM$77, MATCH($A172,_xlfn.ANCHORARRAY( $W$5), 0), 0)
    )
)
/
(
    INDEX($AN$5:$AN$77, MATCH(AD$100,_xlfn.ANCHORARRAY( $W$5), 0))
    *
    INDEX($AN$5:$AN$77, MATCH($A172,_xlfn.ANCHORARRAY( $W$5), 0))
)</f>
        <v>0.74543233882568205</v>
      </c>
      <c r="AE172" s="17" cm="1">
        <f t="array" ref="AE172">MMULT(
    MMULT(
        INDEX($X$5:$AM$77, MATCH(AE$100,_xlfn.ANCHORARRAY( $W$5), 0), 0),
        $F$5:$U$20
    ),
    TRANSPOSE(
        INDEX($X$5:$AM$77, MATCH($A172,_xlfn.ANCHORARRAY( $W$5), 0), 0)
    )
)
/
(
    INDEX($AN$5:$AN$77, MATCH(AE$100,_xlfn.ANCHORARRAY( $W$5), 0))
    *
    INDEX($AN$5:$AN$77, MATCH($A172,_xlfn.ANCHORARRAY( $W$5), 0))
)</f>
        <v>0.92518491415660908</v>
      </c>
      <c r="AF172" s="17" cm="1">
        <f t="array" ref="AF172">MMULT(
    MMULT(
        INDEX($X$5:$AM$77, MATCH(AF$100,_xlfn.ANCHORARRAY( $W$5), 0), 0),
        $F$5:$U$20
    ),
    TRANSPOSE(
        INDEX($X$5:$AM$77, MATCH($A172,_xlfn.ANCHORARRAY( $W$5), 0), 0)
    )
)
/
(
    INDEX($AN$5:$AN$77, MATCH(AF$100,_xlfn.ANCHORARRAY( $W$5), 0))
    *
    INDEX($AN$5:$AN$77, MATCH($A172,_xlfn.ANCHORARRAY( $W$5), 0))
)</f>
        <v>0.95477293800197305</v>
      </c>
      <c r="AG172" s="17" cm="1">
        <f t="array" ref="AG172">MMULT(
    MMULT(
        INDEX($X$5:$AM$77, MATCH(AG$100,_xlfn.ANCHORARRAY( $W$5), 0), 0),
        $F$5:$U$20
    ),
    TRANSPOSE(
        INDEX($X$5:$AM$77, MATCH($A172,_xlfn.ANCHORARRAY( $W$5), 0), 0)
    )
)
/
(
    INDEX($AN$5:$AN$77, MATCH(AG$100,_xlfn.ANCHORARRAY( $W$5), 0))
    *
    INDEX($AN$5:$AN$77, MATCH($A172,_xlfn.ANCHORARRAY( $W$5), 0))
)</f>
        <v>0.86636808159167555</v>
      </c>
      <c r="AH172" s="17" cm="1">
        <f t="array" ref="AH172">MMULT(
    MMULT(
        INDEX($X$5:$AM$77, MATCH(AH$100,_xlfn.ANCHORARRAY( $W$5), 0), 0),
        $F$5:$U$20
    ),
    TRANSPOSE(
        INDEX($X$5:$AM$77, MATCH($A172,_xlfn.ANCHORARRAY( $W$5), 0), 0)
    )
)
/
(
    INDEX($AN$5:$AN$77, MATCH(AH$100,_xlfn.ANCHORARRAY( $W$5), 0))
    *
    INDEX($AN$5:$AN$77, MATCH($A172,_xlfn.ANCHORARRAY( $W$5), 0))
)</f>
        <v>0.75848805508983275</v>
      </c>
      <c r="AI172" s="17" cm="1">
        <f t="array" ref="AI172">MMULT(
    MMULT(
        INDEX($X$5:$AM$77, MATCH(AI$100,_xlfn.ANCHORARRAY( $W$5), 0), 0),
        $F$5:$U$20
    ),
    TRANSPOSE(
        INDEX($X$5:$AM$77, MATCH($A172,_xlfn.ANCHORARRAY( $W$5), 0), 0)
    )
)
/
(
    INDEX($AN$5:$AN$77, MATCH(AI$100,_xlfn.ANCHORARRAY( $W$5), 0))
    *
    INDEX($AN$5:$AN$77, MATCH($A172,_xlfn.ANCHORARRAY( $W$5), 0))
)</f>
        <v>0.91743560421386006</v>
      </c>
      <c r="AJ172" s="17" cm="1">
        <f t="array" ref="AJ172">MMULT(
    MMULT(
        INDEX($X$5:$AM$77, MATCH(AJ$100,_xlfn.ANCHORARRAY( $W$5), 0), 0),
        $F$5:$U$20
    ),
    TRANSPOSE(
        INDEX($X$5:$AM$77, MATCH($A172,_xlfn.ANCHORARRAY( $W$5), 0), 0)
    )
)
/
(
    INDEX($AN$5:$AN$77, MATCH(AJ$100,_xlfn.ANCHORARRAY( $W$5), 0))
    *
    INDEX($AN$5:$AN$77, MATCH($A172,_xlfn.ANCHORARRAY( $W$5), 0))
)</f>
        <v>0.80285833027120002</v>
      </c>
      <c r="AK172" s="17" cm="1">
        <f t="array" ref="AK172">MMULT(
    MMULT(
        INDEX($X$5:$AM$77, MATCH(AK$100,_xlfn.ANCHORARRAY( $W$5), 0), 0),
        $F$5:$U$20
    ),
    TRANSPOSE(
        INDEX($X$5:$AM$77, MATCH($A172,_xlfn.ANCHORARRAY( $W$5), 0), 0)
    )
)
/
(
    INDEX($AN$5:$AN$77, MATCH(AK$100,_xlfn.ANCHORARRAY( $W$5), 0))
    *
    INDEX($AN$5:$AN$77, MATCH($A172,_xlfn.ANCHORARRAY( $W$5), 0))
)</f>
        <v>0.77815052084810787</v>
      </c>
      <c r="AL172" s="17" cm="1">
        <f t="array" ref="AL172">MMULT(
    MMULT(
        INDEX($X$5:$AM$77, MATCH(AL$100,_xlfn.ANCHORARRAY( $W$5), 0), 0),
        $F$5:$U$20
    ),
    TRANSPOSE(
        INDEX($X$5:$AM$77, MATCH($A172,_xlfn.ANCHORARRAY( $W$5), 0), 0)
    )
)
/
(
    INDEX($AN$5:$AN$77, MATCH(AL$100,_xlfn.ANCHORARRAY( $W$5), 0))
    *
    INDEX($AN$5:$AN$77, MATCH($A172,_xlfn.ANCHORARRAY( $W$5), 0))
)</f>
        <v>0.56427089162292565</v>
      </c>
      <c r="AM172" s="17" cm="1">
        <f t="array" ref="AM172">MMULT(
    MMULT(
        INDEX($X$5:$AM$77, MATCH(AM$100,_xlfn.ANCHORARRAY( $W$5), 0), 0),
        $F$5:$U$20
    ),
    TRANSPOSE(
        INDEX($X$5:$AM$77, MATCH($A172,_xlfn.ANCHORARRAY( $W$5), 0), 0)
    )
)
/
(
    INDEX($AN$5:$AN$77, MATCH(AM$100,_xlfn.ANCHORARRAY( $W$5), 0))
    *
    INDEX($AN$5:$AN$77, MATCH($A172,_xlfn.ANCHORARRAY( $W$5), 0))
)</f>
        <v>0.64383400611727826</v>
      </c>
      <c r="AN172" s="17" cm="1">
        <f t="array" ref="AN172">MMULT(
    MMULT(
        INDEX($X$5:$AM$77, MATCH(AN$100,_xlfn.ANCHORARRAY( $W$5), 0), 0),
        $F$5:$U$20
    ),
    TRANSPOSE(
        INDEX($X$5:$AM$77, MATCH($A172,_xlfn.ANCHORARRAY( $W$5), 0), 0)
    )
)
/
(
    INDEX($AN$5:$AN$77, MATCH(AN$100,_xlfn.ANCHORARRAY( $W$5), 0))
    *
    INDEX($AN$5:$AN$77, MATCH($A172,_xlfn.ANCHORARRAY( $W$5), 0))
)</f>
        <v>0.881616681732456</v>
      </c>
      <c r="AO172" s="17" cm="1">
        <f t="array" ref="AO172">MMULT(
    MMULT(
        INDEX($X$5:$AM$77, MATCH(AO$100,_xlfn.ANCHORARRAY( $W$5), 0), 0),
        $F$5:$U$20
    ),
    TRANSPOSE(
        INDEX($X$5:$AM$77, MATCH($A172,_xlfn.ANCHORARRAY( $W$5), 0), 0)
    )
)
/
(
    INDEX($AN$5:$AN$77, MATCH(AO$100,_xlfn.ANCHORARRAY( $W$5), 0))
    *
    INDEX($AN$5:$AN$77, MATCH($A172,_xlfn.ANCHORARRAY( $W$5), 0))
)</f>
        <v>0.63682044013044692</v>
      </c>
      <c r="AP172" s="17" cm="1">
        <f t="array" ref="AP172">MMULT(
    MMULT(
        INDEX($X$5:$AM$77, MATCH(AP$100,_xlfn.ANCHORARRAY( $W$5), 0), 0),
        $F$5:$U$20
    ),
    TRANSPOSE(
        INDEX($X$5:$AM$77, MATCH($A172,_xlfn.ANCHORARRAY( $W$5), 0), 0)
    )
)
/
(
    INDEX($AN$5:$AN$77, MATCH(AP$100,_xlfn.ANCHORARRAY( $W$5), 0))
    *
    INDEX($AN$5:$AN$77, MATCH($A172,_xlfn.ANCHORARRAY( $W$5), 0))
)</f>
        <v>0.71991097912733182</v>
      </c>
      <c r="AQ172" s="17" cm="1">
        <f t="array" ref="AQ172">MMULT(
    MMULT(
        INDEX($X$5:$AM$77, MATCH(AQ$100,_xlfn.ANCHORARRAY( $W$5), 0), 0),
        $F$5:$U$20
    ),
    TRANSPOSE(
        INDEX($X$5:$AM$77, MATCH($A172,_xlfn.ANCHORARRAY( $W$5), 0), 0)
    )
)
/
(
    INDEX($AN$5:$AN$77, MATCH(AQ$100,_xlfn.ANCHORARRAY( $W$5), 0))
    *
    INDEX($AN$5:$AN$77, MATCH($A172,_xlfn.ANCHORARRAY( $W$5), 0))
)</f>
        <v>0.97534535206864892</v>
      </c>
      <c r="AR172" s="17" cm="1">
        <f t="array" ref="AR172">MMULT(
    MMULT(
        INDEX($X$5:$AM$77, MATCH(AR$100,_xlfn.ANCHORARRAY( $W$5), 0), 0),
        $F$5:$U$20
    ),
    TRANSPOSE(
        INDEX($X$5:$AM$77, MATCH($A172,_xlfn.ANCHORARRAY( $W$5), 0), 0)
    )
)
/
(
    INDEX($AN$5:$AN$77, MATCH(AR$100,_xlfn.ANCHORARRAY( $W$5), 0))
    *
    INDEX($AN$5:$AN$77, MATCH($A172,_xlfn.ANCHORARRAY( $W$5), 0))
)</f>
        <v>0.83844685503417427</v>
      </c>
      <c r="AS172" s="17" cm="1">
        <f t="array" ref="AS172">MMULT(
    MMULT(
        INDEX($X$5:$AM$77, MATCH(AS$100,_xlfn.ANCHORARRAY( $W$5), 0), 0),
        $F$5:$U$20
    ),
    TRANSPOSE(
        INDEX($X$5:$AM$77, MATCH($A172,_xlfn.ANCHORARRAY( $W$5), 0), 0)
    )
)
/
(
    INDEX($AN$5:$AN$77, MATCH(AS$100,_xlfn.ANCHORARRAY( $W$5), 0))
    *
    INDEX($AN$5:$AN$77, MATCH($A172,_xlfn.ANCHORARRAY( $W$5), 0))
)</f>
        <v>0.73820711161670283</v>
      </c>
      <c r="AT172" s="17" cm="1">
        <f t="array" ref="AT172">MMULT(
    MMULT(
        INDEX($X$5:$AM$77, MATCH(AT$100,_xlfn.ANCHORARRAY( $W$5), 0), 0),
        $F$5:$U$20
    ),
    TRANSPOSE(
        INDEX($X$5:$AM$77, MATCH($A172,_xlfn.ANCHORARRAY( $W$5), 0), 0)
    )
)
/
(
    INDEX($AN$5:$AN$77, MATCH(AT$100,_xlfn.ANCHORARRAY( $W$5), 0))
    *
    INDEX($AN$5:$AN$77, MATCH($A172,_xlfn.ANCHORARRAY( $W$5), 0))
)</f>
        <v>0.82382170614526151</v>
      </c>
      <c r="AU172" s="17" cm="1">
        <f t="array" ref="AU172">MMULT(
    MMULT(
        INDEX($X$5:$AM$77, MATCH(AU$100,_xlfn.ANCHORARRAY( $W$5), 0), 0),
        $F$5:$U$20
    ),
    TRANSPOSE(
        INDEX($X$5:$AM$77, MATCH($A172,_xlfn.ANCHORARRAY( $W$5), 0), 0)
    )
)
/
(
    INDEX($AN$5:$AN$77, MATCH(AU$100,_xlfn.ANCHORARRAY( $W$5), 0))
    *
    INDEX($AN$5:$AN$77, MATCH($A172,_xlfn.ANCHORARRAY( $W$5), 0))
)</f>
        <v>0.69688518122247334</v>
      </c>
      <c r="AV172" s="17" cm="1">
        <f t="array" ref="AV172">MMULT(
    MMULT(
        INDEX($X$5:$AM$77, MATCH(AV$100,_xlfn.ANCHORARRAY( $W$5), 0), 0),
        $F$5:$U$20
    ),
    TRANSPOSE(
        INDEX($X$5:$AM$77, MATCH($A172,_xlfn.ANCHORARRAY( $W$5), 0), 0)
    )
)
/
(
    INDEX($AN$5:$AN$77, MATCH(AV$100,_xlfn.ANCHORARRAY( $W$5), 0))
    *
    INDEX($AN$5:$AN$77, MATCH($A172,_xlfn.ANCHORARRAY( $W$5), 0))
)</f>
        <v>0.66072490666470751</v>
      </c>
      <c r="AW172" s="17" cm="1">
        <f t="array" ref="AW172">MMULT(
    MMULT(
        INDEX($X$5:$AM$77, MATCH(AW$100,_xlfn.ANCHORARRAY( $W$5), 0), 0),
        $F$5:$U$20
    ),
    TRANSPOSE(
        INDEX($X$5:$AM$77, MATCH($A172,_xlfn.ANCHORARRAY( $W$5), 0), 0)
    )
)
/
(
    INDEX($AN$5:$AN$77, MATCH(AW$100,_xlfn.ANCHORARRAY( $W$5), 0))
    *
    INDEX($AN$5:$AN$77, MATCH($A172,_xlfn.ANCHORARRAY( $W$5), 0))
)</f>
        <v>0.70360238323020763</v>
      </c>
      <c r="AX172" s="17" cm="1">
        <f t="array" ref="AX172">MMULT(
    MMULT(
        INDEX($X$5:$AM$77, MATCH(AX$100,_xlfn.ANCHORARRAY( $W$5), 0), 0),
        $F$5:$U$20
    ),
    TRANSPOSE(
        INDEX($X$5:$AM$77, MATCH($A172,_xlfn.ANCHORARRAY( $W$5), 0), 0)
    )
)
/
(
    INDEX($AN$5:$AN$77, MATCH(AX$100,_xlfn.ANCHORARRAY( $W$5), 0))
    *
    INDEX($AN$5:$AN$77, MATCH($A172,_xlfn.ANCHORARRAY( $W$5), 0))
)</f>
        <v>0.70200707466172263</v>
      </c>
      <c r="AY172" s="17" cm="1">
        <f t="array" ref="AY172">MMULT(
    MMULT(
        INDEX($X$5:$AM$77, MATCH(AY$100,_xlfn.ANCHORARRAY( $W$5), 0), 0),
        $F$5:$U$20
    ),
    TRANSPOSE(
        INDEX($X$5:$AM$77, MATCH($A172,_xlfn.ANCHORARRAY( $W$5), 0), 0)
    )
)
/
(
    INDEX($AN$5:$AN$77, MATCH(AY$100,_xlfn.ANCHORARRAY( $W$5), 0))
    *
    INDEX($AN$5:$AN$77, MATCH($A172,_xlfn.ANCHORARRAY( $W$5), 0))
)</f>
        <v>0.68107711184744724</v>
      </c>
      <c r="AZ172" s="17" cm="1">
        <f t="array" ref="AZ172">MMULT(
    MMULT(
        INDEX($X$5:$AM$77, MATCH(AZ$100,_xlfn.ANCHORARRAY( $W$5), 0), 0),
        $F$5:$U$20
    ),
    TRANSPOSE(
        INDEX($X$5:$AM$77, MATCH($A172,_xlfn.ANCHORARRAY( $W$5), 0), 0)
    )
)
/
(
    INDEX($AN$5:$AN$77, MATCH(AZ$100,_xlfn.ANCHORARRAY( $W$5), 0))
    *
    INDEX($AN$5:$AN$77, MATCH($A172,_xlfn.ANCHORARRAY( $W$5), 0))
)</f>
        <v>0.706228013386767</v>
      </c>
      <c r="BA172" s="17" cm="1">
        <f t="array" ref="BA172">MMULT(
    MMULT(
        INDEX($X$5:$AM$77, MATCH(BA$100,_xlfn.ANCHORARRAY( $W$5), 0), 0),
        $F$5:$U$20
    ),
    TRANSPOSE(
        INDEX($X$5:$AM$77, MATCH($A172,_xlfn.ANCHORARRAY( $W$5), 0), 0)
    )
)
/
(
    INDEX($AN$5:$AN$77, MATCH(BA$100,_xlfn.ANCHORARRAY( $W$5), 0))
    *
    INDEX($AN$5:$AN$77, MATCH($A172,_xlfn.ANCHORARRAY( $W$5), 0))
)</f>
        <v>0.78026614950871032</v>
      </c>
      <c r="BB172" s="17" cm="1">
        <f t="array" ref="BB172">MMULT(
    MMULT(
        INDEX($X$5:$AM$77, MATCH(BB$100,_xlfn.ANCHORARRAY( $W$5), 0), 0),
        $F$5:$U$20
    ),
    TRANSPOSE(
        INDEX($X$5:$AM$77, MATCH($A172,_xlfn.ANCHORARRAY( $W$5), 0), 0)
    )
)
/
(
    INDEX($AN$5:$AN$77, MATCH(BB$100,_xlfn.ANCHORARRAY( $W$5), 0))
    *
    INDEX($AN$5:$AN$77, MATCH($A172,_xlfn.ANCHORARRAY( $W$5), 0))
)</f>
        <v>0.55249354375430515</v>
      </c>
      <c r="BC172" s="17" cm="1">
        <f t="array" ref="BC172">MMULT(
    MMULT(
        INDEX($X$5:$AM$77, MATCH(BC$100,_xlfn.ANCHORARRAY( $W$5), 0), 0),
        $F$5:$U$20
    ),
    TRANSPOSE(
        INDEX($X$5:$AM$77, MATCH($A172,_xlfn.ANCHORARRAY( $W$5), 0), 0)
    )
)
/
(
    INDEX($AN$5:$AN$77, MATCH(BC$100,_xlfn.ANCHORARRAY( $W$5), 0))
    *
    INDEX($AN$5:$AN$77, MATCH($A172,_xlfn.ANCHORARRAY( $W$5), 0))
)</f>
        <v>0.8402775163029107</v>
      </c>
      <c r="BD172" s="17" cm="1">
        <f t="array" ref="BD172">MMULT(
    MMULT(
        INDEX($X$5:$AM$77, MATCH(BD$100,_xlfn.ANCHORARRAY( $W$5), 0), 0),
        $F$5:$U$20
    ),
    TRANSPOSE(
        INDEX($X$5:$AM$77, MATCH($A172,_xlfn.ANCHORARRAY( $W$5), 0), 0)
    )
)
/
(
    INDEX($AN$5:$AN$77, MATCH(BD$100,_xlfn.ANCHORARRAY( $W$5), 0))
    *
    INDEX($AN$5:$AN$77, MATCH($A172,_xlfn.ANCHORARRAY( $W$5), 0))
)</f>
        <v>0.92101414505258361</v>
      </c>
      <c r="BE172" s="17" cm="1">
        <f t="array" ref="BE172">MMULT(
    MMULT(
        INDEX($X$5:$AM$77, MATCH(BE$100,_xlfn.ANCHORARRAY( $W$5), 0), 0),
        $F$5:$U$20
    ),
    TRANSPOSE(
        INDEX($X$5:$AM$77, MATCH($A172,_xlfn.ANCHORARRAY( $W$5), 0), 0)
    )
)
/
(
    INDEX($AN$5:$AN$77, MATCH(BE$100,_xlfn.ANCHORARRAY( $W$5), 0))
    *
    INDEX($AN$5:$AN$77, MATCH($A172,_xlfn.ANCHORARRAY( $W$5), 0))
)</f>
        <v>0.64311073866026114</v>
      </c>
      <c r="BF172" s="17" cm="1">
        <f t="array" ref="BF172">MMULT(
    MMULT(
        INDEX($X$5:$AM$77, MATCH(BF$100,_xlfn.ANCHORARRAY( $W$5), 0), 0),
        $F$5:$U$20
    ),
    TRANSPOSE(
        INDEX($X$5:$AM$77, MATCH($A172,_xlfn.ANCHORARRAY( $W$5), 0), 0)
    )
)
/
(
    INDEX($AN$5:$AN$77, MATCH(BF$100,_xlfn.ANCHORARRAY( $W$5), 0))
    *
    INDEX($AN$5:$AN$77, MATCH($A172,_xlfn.ANCHORARRAY( $W$5), 0))
)</f>
        <v>0.9276501381397485</v>
      </c>
      <c r="BG172" s="17" cm="1">
        <f t="array" ref="BG172">MMULT(
    MMULT(
        INDEX($X$5:$AM$77, MATCH(BG$100,_xlfn.ANCHORARRAY( $W$5), 0), 0),
        $F$5:$U$20
    ),
    TRANSPOSE(
        INDEX($X$5:$AM$77, MATCH($A172,_xlfn.ANCHORARRAY( $W$5), 0), 0)
    )
)
/
(
    INDEX($AN$5:$AN$77, MATCH(BG$100,_xlfn.ANCHORARRAY( $W$5), 0))
    *
    INDEX($AN$5:$AN$77, MATCH($A172,_xlfn.ANCHORARRAY( $W$5), 0))
)</f>
        <v>0.80269435246225418</v>
      </c>
      <c r="BH172" s="17" cm="1">
        <f t="array" ref="BH172">MMULT(
    MMULT(
        INDEX($X$5:$AM$77, MATCH(BH$100,_xlfn.ANCHORARRAY( $W$5), 0), 0),
        $F$5:$U$20
    ),
    TRANSPOSE(
        INDEX($X$5:$AM$77, MATCH($A172,_xlfn.ANCHORARRAY( $W$5), 0), 0)
    )
)
/
(
    INDEX($AN$5:$AN$77, MATCH(BH$100,_xlfn.ANCHORARRAY( $W$5), 0))
    *
    INDEX($AN$5:$AN$77, MATCH($A172,_xlfn.ANCHORARRAY( $W$5), 0))
)</f>
        <v>0.9988923036146955</v>
      </c>
      <c r="BI172" s="17" cm="1">
        <f t="array" ref="BI172">MMULT(
    MMULT(
        INDEX($X$5:$AM$77, MATCH(BI$100,_xlfn.ANCHORARRAY( $W$5), 0), 0),
        $F$5:$U$20
    ),
    TRANSPOSE(
        INDEX($X$5:$AM$77, MATCH($A172,_xlfn.ANCHORARRAY( $W$5), 0), 0)
    )
)
/
(
    INDEX($AN$5:$AN$77, MATCH(BI$100,_xlfn.ANCHORARRAY( $W$5), 0))
    *
    INDEX($AN$5:$AN$77, MATCH($A172,_xlfn.ANCHORARRAY( $W$5), 0))
)</f>
        <v>0.58122999883041715</v>
      </c>
      <c r="BJ172" s="17" cm="1">
        <f t="array" ref="BJ172">MMULT(
    MMULT(
        INDEX($X$5:$AM$77, MATCH(BJ$100,_xlfn.ANCHORARRAY( $W$5), 0), 0),
        $F$5:$U$20
    ),
    TRANSPOSE(
        INDEX($X$5:$AM$77, MATCH($A172,_xlfn.ANCHORARRAY( $W$5), 0), 0)
    )
)
/
(
    INDEX($AN$5:$AN$77, MATCH(BJ$100,_xlfn.ANCHORARRAY( $W$5), 0))
    *
    INDEX($AN$5:$AN$77, MATCH($A172,_xlfn.ANCHORARRAY( $W$5), 0))
)</f>
        <v>0.85323004969201399</v>
      </c>
      <c r="BK172" s="17" cm="1">
        <f t="array" ref="BK172">MMULT(
    MMULT(
        INDEX($X$5:$AM$77, MATCH(BK$100,_xlfn.ANCHORARRAY( $W$5), 0), 0),
        $F$5:$U$20
    ),
    TRANSPOSE(
        INDEX($X$5:$AM$77, MATCH($A172,_xlfn.ANCHORARRAY( $W$5), 0), 0)
    )
)
/
(
    INDEX($AN$5:$AN$77, MATCH(BK$100,_xlfn.ANCHORARRAY( $W$5), 0))
    *
    INDEX($AN$5:$AN$77, MATCH($A172,_xlfn.ANCHORARRAY( $W$5), 0))
)</f>
        <v>0.94042328155602861</v>
      </c>
      <c r="BL172" s="17" cm="1">
        <f t="array" ref="BL172">MMULT(
    MMULT(
        INDEX($X$5:$AM$77, MATCH(BL$100,_xlfn.ANCHORARRAY( $W$5), 0), 0),
        $F$5:$U$20
    ),
    TRANSPOSE(
        INDEX($X$5:$AM$77, MATCH($A172,_xlfn.ANCHORARRAY( $W$5), 0), 0)
    )
)
/
(
    INDEX($AN$5:$AN$77, MATCH(BL$100,_xlfn.ANCHORARRAY( $W$5), 0))
    *
    INDEX($AN$5:$AN$77, MATCH($A172,_xlfn.ANCHORARRAY( $W$5), 0))
)</f>
        <v>0.26228734957265482</v>
      </c>
      <c r="BM172" s="17" cm="1">
        <f t="array" ref="BM172">MMULT(
    MMULT(
        INDEX($X$5:$AM$77, MATCH(BM$100,_xlfn.ANCHORARRAY( $W$5), 0), 0),
        $F$5:$U$20
    ),
    TRANSPOSE(
        INDEX($X$5:$AM$77, MATCH($A172,_xlfn.ANCHORARRAY( $W$5), 0), 0)
    )
)
/
(
    INDEX($AN$5:$AN$77, MATCH(BM$100,_xlfn.ANCHORARRAY( $W$5), 0))
    *
    INDEX($AN$5:$AN$77, MATCH($A172,_xlfn.ANCHORARRAY( $W$5), 0))
)</f>
        <v>0.49732361291814547</v>
      </c>
      <c r="BN172" s="17" cm="1">
        <f t="array" ref="BN172">MMULT(
    MMULT(
        INDEX($X$5:$AM$77, MATCH(BN$100,_xlfn.ANCHORARRAY( $W$5), 0), 0),
        $F$5:$U$20
    ),
    TRANSPOSE(
        INDEX($X$5:$AM$77, MATCH($A172,_xlfn.ANCHORARRAY( $W$5), 0), 0)
    )
)
/
(
    INDEX($AN$5:$AN$77, MATCH(BN$100,_xlfn.ANCHORARRAY( $W$5), 0))
    *
    INDEX($AN$5:$AN$77, MATCH($A172,_xlfn.ANCHORARRAY( $W$5), 0))
)</f>
        <v>0.70344307574387421</v>
      </c>
      <c r="BO172" s="17" cm="1">
        <f t="array" ref="BO172">MMULT(
    MMULT(
        INDEX($X$5:$AM$77, MATCH(BO$100,_xlfn.ANCHORARRAY( $W$5), 0), 0),
        $F$5:$U$20
    ),
    TRANSPOSE(
        INDEX($X$5:$AM$77, MATCH($A172,_xlfn.ANCHORARRAY( $W$5), 0), 0)
    )
)
/
(
    INDEX($AN$5:$AN$77, MATCH(BO$100,_xlfn.ANCHORARRAY( $W$5), 0))
    *
    INDEX($AN$5:$AN$77, MATCH($A172,_xlfn.ANCHORARRAY( $W$5), 0))
)</f>
        <v>0.79780516189465689</v>
      </c>
      <c r="BP172" s="17" cm="1">
        <f t="array" ref="BP172">MMULT(
    MMULT(
        INDEX($X$5:$AM$77, MATCH(BP$100,_xlfn.ANCHORARRAY( $W$5), 0), 0),
        $F$5:$U$20
    ),
    TRANSPOSE(
        INDEX($X$5:$AM$77, MATCH($A172,_xlfn.ANCHORARRAY( $W$5), 0), 0)
    )
)
/
(
    INDEX($AN$5:$AN$77, MATCH(BP$100,_xlfn.ANCHORARRAY( $W$5), 0))
    *
    INDEX($AN$5:$AN$77, MATCH($A172,_xlfn.ANCHORARRAY( $W$5), 0))
)</f>
        <v>0.8642748379564672</v>
      </c>
      <c r="BQ172" s="17" cm="1">
        <f t="array" ref="BQ172">MMULT(
    MMULT(
        INDEX($X$5:$AM$77, MATCH(BQ$100,_xlfn.ANCHORARRAY( $W$5), 0), 0),
        $F$5:$U$20
    ),
    TRANSPOSE(
        INDEX($X$5:$AM$77, MATCH($A172,_xlfn.ANCHORARRAY( $W$5), 0), 0)
    )
)
/
(
    INDEX($AN$5:$AN$77, MATCH(BQ$100,_xlfn.ANCHORARRAY( $W$5), 0))
    *
    INDEX($AN$5:$AN$77, MATCH($A172,_xlfn.ANCHORARRAY( $W$5), 0))
)</f>
        <v>0.60010584201270489</v>
      </c>
      <c r="BR172" s="17" cm="1">
        <f t="array" ref="BR172">MMULT(
    MMULT(
        INDEX($X$5:$AM$77, MATCH(BR$100,_xlfn.ANCHORARRAY( $W$5), 0), 0),
        $F$5:$U$20
    ),
    TRANSPOSE(
        INDEX($X$5:$AM$77, MATCH($A172,_xlfn.ANCHORARRAY( $W$5), 0), 0)
    )
)
/
(
    INDEX($AN$5:$AN$77, MATCH(BR$100,_xlfn.ANCHORARRAY( $W$5), 0))
    *
    INDEX($AN$5:$AN$77, MATCH($A172,_xlfn.ANCHORARRAY( $W$5), 0))
)</f>
        <v>0.81678348256426025</v>
      </c>
      <c r="BS172" s="17" cm="1">
        <f t="array" ref="BS172">MMULT(
    MMULT(
        INDEX($X$5:$AM$77, MATCH(BS$100,_xlfn.ANCHORARRAY( $W$5), 0), 0),
        $F$5:$U$20
    ),
    TRANSPOSE(
        INDEX($X$5:$AM$77, MATCH($A172,_xlfn.ANCHORARRAY( $W$5), 0), 0)
    )
)
/
(
    INDEX($AN$5:$AN$77, MATCH(BS$100,_xlfn.ANCHORARRAY( $W$5), 0))
    *
    INDEX($AN$5:$AN$77, MATCH($A172,_xlfn.ANCHORARRAY( $W$5), 0))
)</f>
        <v>0.62805288507467061</v>
      </c>
      <c r="BT172" s="17" cm="1">
        <f t="array" ref="BT172">MMULT(
    MMULT(
        INDEX($X$5:$AM$77, MATCH(BT$100,_xlfn.ANCHORARRAY( $W$5), 0), 0),
        $F$5:$U$20
    ),
    TRANSPOSE(
        INDEX($X$5:$AM$77, MATCH($A172,_xlfn.ANCHORARRAY( $W$5), 0), 0)
    )
)
/
(
    INDEX($AN$5:$AN$77, MATCH(BT$100,_xlfn.ANCHORARRAY( $W$5), 0))
    *
    INDEX($AN$5:$AN$77, MATCH($A172,_xlfn.ANCHORARRAY( $W$5), 0))
)</f>
        <v>0.79532914925620446</v>
      </c>
      <c r="BU172" s="17" cm="1">
        <f t="array" ref="BU172">MMULT(
    MMULT(
        INDEX($X$5:$AM$77, MATCH(BU$100,_xlfn.ANCHORARRAY( $W$5), 0), 0),
        $F$5:$U$20
    ),
    TRANSPOSE(
        INDEX($X$5:$AM$77, MATCH($A172,_xlfn.ANCHORARRAY( $W$5), 0), 0)
    )
)
/
(
    INDEX($AN$5:$AN$77, MATCH(BU$100,_xlfn.ANCHORARRAY( $W$5), 0))
    *
    INDEX($AN$5:$AN$77, MATCH($A172,_xlfn.ANCHORARRAY( $W$5), 0))
)</f>
        <v>1.0000000000000002</v>
      </c>
      <c r="BV172" s="17" cm="1">
        <f t="array" ref="BV172">MMULT(
    MMULT(
        INDEX($X$5:$AM$77, MATCH(BV$100,_xlfn.ANCHORARRAY( $W$5), 0), 0),
        $F$5:$U$20
    ),
    TRANSPOSE(
        INDEX($X$5:$AM$77, MATCH($A172,_xlfn.ANCHORARRAY( $W$5), 0), 0)
    )
)
/
(
    INDEX($AN$5:$AN$77, MATCH(BV$100,_xlfn.ANCHORARRAY( $W$5), 0))
    *
    INDEX($AN$5:$AN$77, MATCH($A172,_xlfn.ANCHORARRAY( $W$5), 0))
)</f>
        <v>0.80800530204234655</v>
      </c>
    </row>
    <row r="173" spans="1:74" x14ac:dyDescent="0.3">
      <c r="A173" s="7" t="str">
        <v>Milone, Tommy</v>
      </c>
      <c r="B173" s="17" cm="1">
        <f t="array" ref="B173">MMULT(
    MMULT(
        INDEX($X$5:$AM$77, MATCH(B$100,_xlfn.ANCHORARRAY( $W$5), 0), 0),
        $F$5:$U$20
    ),
    TRANSPOSE(
        INDEX($X$5:$AM$77, MATCH($A173,_xlfn.ANCHORARRAY( $W$5), 0), 0)
    )
)
/
(
    INDEX($AN$5:$AN$77, MATCH(B$100,_xlfn.ANCHORARRAY( $W$5), 0))
    *
    INDEX($AN$5:$AN$77, MATCH($A173,_xlfn.ANCHORARRAY( $W$5), 0))
)</f>
        <v>0.79284041217221357</v>
      </c>
      <c r="C173" s="17" cm="1">
        <f t="array" ref="C173">MMULT(
    MMULT(
        INDEX($X$5:$AM$77, MATCH(C$100,_xlfn.ANCHORARRAY( $W$5), 0), 0),
        $F$5:$U$20
    ),
    TRANSPOSE(
        INDEX($X$5:$AM$77, MATCH($A173,_xlfn.ANCHORARRAY( $W$5), 0), 0)
    )
)
/
(
    INDEX($AN$5:$AN$77, MATCH(C$100,_xlfn.ANCHORARRAY( $W$5), 0))
    *
    INDEX($AN$5:$AN$77, MATCH($A173,_xlfn.ANCHORARRAY( $W$5), 0))
)</f>
        <v>0.66442797562062994</v>
      </c>
      <c r="D173" s="17" cm="1">
        <f t="array" ref="D173">MMULT(
    MMULT(
        INDEX($X$5:$AM$77, MATCH(D$100,_xlfn.ANCHORARRAY( $W$5), 0), 0),
        $F$5:$U$20
    ),
    TRANSPOSE(
        INDEX($X$5:$AM$77, MATCH($A173,_xlfn.ANCHORARRAY( $W$5), 0), 0)
    )
)
/
(
    INDEX($AN$5:$AN$77, MATCH(D$100,_xlfn.ANCHORARRAY( $W$5), 0))
    *
    INDEX($AN$5:$AN$77, MATCH($A173,_xlfn.ANCHORARRAY( $W$5), 0))
)</f>
        <v>0.7884627320858949</v>
      </c>
      <c r="E173" s="17" cm="1">
        <f t="array" ref="E173">MMULT(
    MMULT(
        INDEX($X$5:$AM$77, MATCH(E$100,_xlfn.ANCHORARRAY( $W$5), 0), 0),
        $F$5:$U$20
    ),
    TRANSPOSE(
        INDEX($X$5:$AM$77, MATCH($A173,_xlfn.ANCHORARRAY( $W$5), 0), 0)
    )
)
/
(
    INDEX($AN$5:$AN$77, MATCH(E$100,_xlfn.ANCHORARRAY( $W$5), 0))
    *
    INDEX($AN$5:$AN$77, MATCH($A173,_xlfn.ANCHORARRAY( $W$5), 0))
)</f>
        <v>0.7239261873392735</v>
      </c>
      <c r="F173" s="17" cm="1">
        <f t="array" ref="F173">MMULT(
    MMULT(
        INDEX($X$5:$AM$77, MATCH(F$100,_xlfn.ANCHORARRAY( $W$5), 0), 0),
        $F$5:$U$20
    ),
    TRANSPOSE(
        INDEX($X$5:$AM$77, MATCH($A173,_xlfn.ANCHORARRAY( $W$5), 0), 0)
    )
)
/
(
    INDEX($AN$5:$AN$77, MATCH(F$100,_xlfn.ANCHORARRAY( $W$5), 0))
    *
    INDEX($AN$5:$AN$77, MATCH($A173,_xlfn.ANCHORARRAY( $W$5), 0))
)</f>
        <v>0.75728094242076538</v>
      </c>
      <c r="G173" s="17" cm="1">
        <f t="array" ref="G173">MMULT(
    MMULT(
        INDEX($X$5:$AM$77, MATCH(G$100,_xlfn.ANCHORARRAY( $W$5), 0), 0),
        $F$5:$U$20
    ),
    TRANSPOSE(
        INDEX($X$5:$AM$77, MATCH($A173,_xlfn.ANCHORARRAY( $W$5), 0), 0)
    )
)
/
(
    INDEX($AN$5:$AN$77, MATCH(G$100,_xlfn.ANCHORARRAY( $W$5), 0))
    *
    INDEX($AN$5:$AN$77, MATCH($A173,_xlfn.ANCHORARRAY( $W$5), 0))
)</f>
        <v>0.94100913256422958</v>
      </c>
      <c r="H173" s="17" cm="1">
        <f t="array" ref="H173">MMULT(
    MMULT(
        INDEX($X$5:$AM$77, MATCH(H$100,_xlfn.ANCHORARRAY( $W$5), 0), 0),
        $F$5:$U$20
    ),
    TRANSPOSE(
        INDEX($X$5:$AM$77, MATCH($A173,_xlfn.ANCHORARRAY( $W$5), 0), 0)
    )
)
/
(
    INDEX($AN$5:$AN$77, MATCH(H$100,_xlfn.ANCHORARRAY( $W$5), 0))
    *
    INDEX($AN$5:$AN$77, MATCH($A173,_xlfn.ANCHORARRAY( $W$5), 0))
)</f>
        <v>0.80994617304996475</v>
      </c>
      <c r="I173" s="17" cm="1">
        <f t="array" ref="I173">MMULT(
    MMULT(
        INDEX($X$5:$AM$77, MATCH(I$100,_xlfn.ANCHORARRAY( $W$5), 0), 0),
        $F$5:$U$20
    ),
    TRANSPOSE(
        INDEX($X$5:$AM$77, MATCH($A173,_xlfn.ANCHORARRAY( $W$5), 0), 0)
    )
)
/
(
    INDEX($AN$5:$AN$77, MATCH(I$100,_xlfn.ANCHORARRAY( $W$5), 0))
    *
    INDEX($AN$5:$AN$77, MATCH($A173,_xlfn.ANCHORARRAY( $W$5), 0))
)</f>
        <v>0.72805685045622259</v>
      </c>
      <c r="J173" s="17" cm="1">
        <f t="array" ref="J173">MMULT(
    MMULT(
        INDEX($X$5:$AM$77, MATCH(J$100,_xlfn.ANCHORARRAY( $W$5), 0), 0),
        $F$5:$U$20
    ),
    TRANSPOSE(
        INDEX($X$5:$AM$77, MATCH($A173,_xlfn.ANCHORARRAY( $W$5), 0), 0)
    )
)
/
(
    INDEX($AN$5:$AN$77, MATCH(J$100,_xlfn.ANCHORARRAY( $W$5), 0))
    *
    INDEX($AN$5:$AN$77, MATCH($A173,_xlfn.ANCHORARRAY( $W$5), 0))
)</f>
        <v>0.80569885259223795</v>
      </c>
      <c r="K173" s="17" cm="1">
        <f t="array" ref="K173">MMULT(
    MMULT(
        INDEX($X$5:$AM$77, MATCH(K$100,_xlfn.ANCHORARRAY( $W$5), 0), 0),
        $F$5:$U$20
    ),
    TRANSPOSE(
        INDEX($X$5:$AM$77, MATCH($A173,_xlfn.ANCHORARRAY( $W$5), 0), 0)
    )
)
/
(
    INDEX($AN$5:$AN$77, MATCH(K$100,_xlfn.ANCHORARRAY( $W$5), 0))
    *
    INDEX($AN$5:$AN$77, MATCH($A173,_xlfn.ANCHORARRAY( $W$5), 0))
)</f>
        <v>0.78207506077082645</v>
      </c>
      <c r="L173" s="17" cm="1">
        <f t="array" ref="L173">MMULT(
    MMULT(
        INDEX($X$5:$AM$77, MATCH(L$100,_xlfn.ANCHORARRAY( $W$5), 0), 0),
        $F$5:$U$20
    ),
    TRANSPOSE(
        INDEX($X$5:$AM$77, MATCH($A173,_xlfn.ANCHORARRAY( $W$5), 0), 0)
    )
)
/
(
    INDEX($AN$5:$AN$77, MATCH(L$100,_xlfn.ANCHORARRAY( $W$5), 0))
    *
    INDEX($AN$5:$AN$77, MATCH($A173,_xlfn.ANCHORARRAY( $W$5), 0))
)</f>
        <v>0.67538975082735286</v>
      </c>
      <c r="M173" s="17" cm="1">
        <f t="array" ref="M173">MMULT(
    MMULT(
        INDEX($X$5:$AM$77, MATCH(M$100,_xlfn.ANCHORARRAY( $W$5), 0), 0),
        $F$5:$U$20
    ),
    TRANSPOSE(
        INDEX($X$5:$AM$77, MATCH($A173,_xlfn.ANCHORARRAY( $W$5), 0), 0)
    )
)
/
(
    INDEX($AN$5:$AN$77, MATCH(M$100,_xlfn.ANCHORARRAY( $W$5), 0))
    *
    INDEX($AN$5:$AN$77, MATCH($A173,_xlfn.ANCHORARRAY( $W$5), 0))
)</f>
        <v>0.96335779878143046</v>
      </c>
      <c r="N173" s="17" cm="1">
        <f t="array" ref="N173">MMULT(
    MMULT(
        INDEX($X$5:$AM$77, MATCH(N$100,_xlfn.ANCHORARRAY( $W$5), 0), 0),
        $F$5:$U$20
    ),
    TRANSPOSE(
        INDEX($X$5:$AM$77, MATCH($A173,_xlfn.ANCHORARRAY( $W$5), 0), 0)
    )
)
/
(
    INDEX($AN$5:$AN$77, MATCH(N$100,_xlfn.ANCHORARRAY( $W$5), 0))
    *
    INDEX($AN$5:$AN$77, MATCH($A173,_xlfn.ANCHORARRAY( $W$5), 0))
)</f>
        <v>0.573539682673185</v>
      </c>
      <c r="O173" s="17" cm="1">
        <f t="array" ref="O173">MMULT(
    MMULT(
        INDEX($X$5:$AM$77, MATCH(O$100,_xlfn.ANCHORARRAY( $W$5), 0), 0),
        $F$5:$U$20
    ),
    TRANSPOSE(
        INDEX($X$5:$AM$77, MATCH($A173,_xlfn.ANCHORARRAY( $W$5), 0), 0)
    )
)
/
(
    INDEX($AN$5:$AN$77, MATCH(O$100,_xlfn.ANCHORARRAY( $W$5), 0))
    *
    INDEX($AN$5:$AN$77, MATCH($A173,_xlfn.ANCHORARRAY( $W$5), 0))
)</f>
        <v>0.67369292516713208</v>
      </c>
      <c r="P173" s="17" cm="1">
        <f t="array" ref="P173">MMULT(
    MMULT(
        INDEX($X$5:$AM$77, MATCH(P$100,_xlfn.ANCHORARRAY( $W$5), 0), 0),
        $F$5:$U$20
    ),
    TRANSPOSE(
        INDEX($X$5:$AM$77, MATCH($A173,_xlfn.ANCHORARRAY( $W$5), 0), 0)
    )
)
/
(
    INDEX($AN$5:$AN$77, MATCH(P$100,_xlfn.ANCHORARRAY( $W$5), 0))
    *
    INDEX($AN$5:$AN$77, MATCH($A173,_xlfn.ANCHORARRAY( $W$5), 0))
)</f>
        <v>0.67735798956134852</v>
      </c>
      <c r="Q173" s="17" cm="1">
        <f t="array" ref="Q173">MMULT(
    MMULT(
        INDEX($X$5:$AM$77, MATCH(Q$100,_xlfn.ANCHORARRAY( $W$5), 0), 0),
        $F$5:$U$20
    ),
    TRANSPOSE(
        INDEX($X$5:$AM$77, MATCH($A173,_xlfn.ANCHORARRAY( $W$5), 0), 0)
    )
)
/
(
    INDEX($AN$5:$AN$77, MATCH(Q$100,_xlfn.ANCHORARRAY( $W$5), 0))
    *
    INDEX($AN$5:$AN$77, MATCH($A173,_xlfn.ANCHORARRAY( $W$5), 0))
)</f>
        <v>0.66555752307178806</v>
      </c>
      <c r="R173" s="17" cm="1">
        <f t="array" ref="R173">MMULT(
    MMULT(
        INDEX($X$5:$AM$77, MATCH(R$100,_xlfn.ANCHORARRAY( $W$5), 0), 0),
        $F$5:$U$20
    ),
    TRANSPOSE(
        INDEX($X$5:$AM$77, MATCH($A173,_xlfn.ANCHORARRAY( $W$5), 0), 0)
    )
)
/
(
    INDEX($AN$5:$AN$77, MATCH(R$100,_xlfn.ANCHORARRAY( $W$5), 0))
    *
    INDEX($AN$5:$AN$77, MATCH($A173,_xlfn.ANCHORARRAY( $W$5), 0))
)</f>
        <v>0.75991706208940668</v>
      </c>
      <c r="S173" s="17" cm="1">
        <f t="array" ref="S173">MMULT(
    MMULT(
        INDEX($X$5:$AM$77, MATCH(S$100,_xlfn.ANCHORARRAY( $W$5), 0), 0),
        $F$5:$U$20
    ),
    TRANSPOSE(
        INDEX($X$5:$AM$77, MATCH($A173,_xlfn.ANCHORARRAY( $W$5), 0), 0)
    )
)
/
(
    INDEX($AN$5:$AN$77, MATCH(S$100,_xlfn.ANCHORARRAY( $W$5), 0))
    *
    INDEX($AN$5:$AN$77, MATCH($A173,_xlfn.ANCHORARRAY( $W$5), 0))
)</f>
        <v>0.7961489010382593</v>
      </c>
      <c r="T173" s="17" cm="1">
        <f t="array" ref="T173">MMULT(
    MMULT(
        INDEX($X$5:$AM$77, MATCH(T$100,_xlfn.ANCHORARRAY( $W$5), 0), 0),
        $F$5:$U$20
    ),
    TRANSPOSE(
        INDEX($X$5:$AM$77, MATCH($A173,_xlfn.ANCHORARRAY( $W$5), 0), 0)
    )
)
/
(
    INDEX($AN$5:$AN$77, MATCH(T$100,_xlfn.ANCHORARRAY( $W$5), 0))
    *
    INDEX($AN$5:$AN$77, MATCH($A173,_xlfn.ANCHORARRAY( $W$5), 0))
)</f>
        <v>0.30105989081056628</v>
      </c>
      <c r="U173" s="17" cm="1">
        <f t="array" ref="U173">MMULT(
    MMULT(
        INDEX($X$5:$AM$77, MATCH(U$100,_xlfn.ANCHORARRAY( $W$5), 0), 0),
        $F$5:$U$20
    ),
    TRANSPOSE(
        INDEX($X$5:$AM$77, MATCH($A173,_xlfn.ANCHORARRAY( $W$5), 0), 0)
    )
)
/
(
    INDEX($AN$5:$AN$77, MATCH(U$100,_xlfn.ANCHORARRAY( $W$5), 0))
    *
    INDEX($AN$5:$AN$77, MATCH($A173,_xlfn.ANCHORARRAY( $W$5), 0))
)</f>
        <v>0.77079030705960649</v>
      </c>
      <c r="V173" s="17" cm="1">
        <f t="array" ref="V173">MMULT(
    MMULT(
        INDEX($X$5:$AM$77, MATCH(V$100,_xlfn.ANCHORARRAY( $W$5), 0), 0),
        $F$5:$U$20
    ),
    TRANSPOSE(
        INDEX($X$5:$AM$77, MATCH($A173,_xlfn.ANCHORARRAY( $W$5), 0), 0)
    )
)
/
(
    INDEX($AN$5:$AN$77, MATCH(V$100,_xlfn.ANCHORARRAY( $W$5), 0))
    *
    INDEX($AN$5:$AN$77, MATCH($A173,_xlfn.ANCHORARRAY( $W$5), 0))
)</f>
        <v>0.45733955711713664</v>
      </c>
      <c r="W173" s="17" cm="1">
        <f t="array" ref="W173">MMULT(
    MMULT(
        INDEX($X$5:$AM$77, MATCH(W$100,_xlfn.ANCHORARRAY( $W$5), 0), 0),
        $F$5:$U$20
    ),
    TRANSPOSE(
        INDEX($X$5:$AM$77, MATCH($A173,_xlfn.ANCHORARRAY( $W$5), 0), 0)
    )
)
/
(
    INDEX($AN$5:$AN$77, MATCH(W$100,_xlfn.ANCHORARRAY( $W$5), 0))
    *
    INDEX($AN$5:$AN$77, MATCH($A173,_xlfn.ANCHORARRAY( $W$5), 0))
)</f>
        <v>0.47244867861984408</v>
      </c>
      <c r="X173" s="17" cm="1">
        <f t="array" ref="X173">MMULT(
    MMULT(
        INDEX($X$5:$AM$77, MATCH(X$100,_xlfn.ANCHORARRAY( $W$5), 0), 0),
        $F$5:$U$20
    ),
    TRANSPOSE(
        INDEX($X$5:$AM$77, MATCH($A173,_xlfn.ANCHORARRAY( $W$5), 0), 0)
    )
)
/
(
    INDEX($AN$5:$AN$77, MATCH(X$100,_xlfn.ANCHORARRAY( $W$5), 0))
    *
    INDEX($AN$5:$AN$77, MATCH($A173,_xlfn.ANCHORARRAY( $W$5), 0))
)</f>
        <v>0.71261968548952082</v>
      </c>
      <c r="Y173" s="17" cm="1">
        <f t="array" ref="Y173">MMULT(
    MMULT(
        INDEX($X$5:$AM$77, MATCH(Y$100,_xlfn.ANCHORARRAY( $W$5), 0), 0),
        $F$5:$U$20
    ),
    TRANSPOSE(
        INDEX($X$5:$AM$77, MATCH($A173,_xlfn.ANCHORARRAY( $W$5), 0), 0)
    )
)
/
(
    INDEX($AN$5:$AN$77, MATCH(Y$100,_xlfn.ANCHORARRAY( $W$5), 0))
    *
    INDEX($AN$5:$AN$77, MATCH($A173,_xlfn.ANCHORARRAY( $W$5), 0))
)</f>
        <v>0.71927724122900616</v>
      </c>
      <c r="Z173" s="17" cm="1">
        <f t="array" ref="Z173">MMULT(
    MMULT(
        INDEX($X$5:$AM$77, MATCH(Z$100,_xlfn.ANCHORARRAY( $W$5), 0), 0),
        $F$5:$U$20
    ),
    TRANSPOSE(
        INDEX($X$5:$AM$77, MATCH($A173,_xlfn.ANCHORARRAY( $W$5), 0), 0)
    )
)
/
(
    INDEX($AN$5:$AN$77, MATCH(Z$100,_xlfn.ANCHORARRAY( $W$5), 0))
    *
    INDEX($AN$5:$AN$77, MATCH($A173,_xlfn.ANCHORARRAY( $W$5), 0))
)</f>
        <v>0.74776771231218675</v>
      </c>
      <c r="AA173" s="17" cm="1">
        <f t="array" ref="AA173">MMULT(
    MMULT(
        INDEX($X$5:$AM$77, MATCH(AA$100,_xlfn.ANCHORARRAY( $W$5), 0), 0),
        $F$5:$U$20
    ),
    TRANSPOSE(
        INDEX($X$5:$AM$77, MATCH($A173,_xlfn.ANCHORARRAY( $W$5), 0), 0)
    )
)
/
(
    INDEX($AN$5:$AN$77, MATCH(AA$100,_xlfn.ANCHORARRAY( $W$5), 0))
    *
    INDEX($AN$5:$AN$77, MATCH($A173,_xlfn.ANCHORARRAY( $W$5), 0))
)</f>
        <v>0.65394474709194805</v>
      </c>
      <c r="AB173" s="17" cm="1">
        <f t="array" ref="AB173">MMULT(
    MMULT(
        INDEX($X$5:$AM$77, MATCH(AB$100,_xlfn.ANCHORARRAY( $W$5), 0), 0),
        $F$5:$U$20
    ),
    TRANSPOSE(
        INDEX($X$5:$AM$77, MATCH($A173,_xlfn.ANCHORARRAY( $W$5), 0), 0)
    )
)
/
(
    INDEX($AN$5:$AN$77, MATCH(AB$100,_xlfn.ANCHORARRAY( $W$5), 0))
    *
    INDEX($AN$5:$AN$77, MATCH($A173,_xlfn.ANCHORARRAY( $W$5), 0))
)</f>
        <v>0.77633867244487786</v>
      </c>
      <c r="AC173" s="17" cm="1">
        <f t="array" ref="AC173">MMULT(
    MMULT(
        INDEX($X$5:$AM$77, MATCH(AC$100,_xlfn.ANCHORARRAY( $W$5), 0), 0),
        $F$5:$U$20
    ),
    TRANSPOSE(
        INDEX($X$5:$AM$77, MATCH($A173,_xlfn.ANCHORARRAY( $W$5), 0), 0)
    )
)
/
(
    INDEX($AN$5:$AN$77, MATCH(AC$100,_xlfn.ANCHORARRAY( $W$5), 0))
    *
    INDEX($AN$5:$AN$77, MATCH($A173,_xlfn.ANCHORARRAY( $W$5), 0))
)</f>
        <v>0.5751073665920442</v>
      </c>
      <c r="AD173" s="17" cm="1">
        <f t="array" ref="AD173">MMULT(
    MMULT(
        INDEX($X$5:$AM$77, MATCH(AD$100,_xlfn.ANCHORARRAY( $W$5), 0), 0),
        $F$5:$U$20
    ),
    TRANSPOSE(
        INDEX($X$5:$AM$77, MATCH($A173,_xlfn.ANCHORARRAY( $W$5), 0), 0)
    )
)
/
(
    INDEX($AN$5:$AN$77, MATCH(AD$100,_xlfn.ANCHORARRAY( $W$5), 0))
    *
    INDEX($AN$5:$AN$77, MATCH($A173,_xlfn.ANCHORARRAY( $W$5), 0))
)</f>
        <v>0.72260915446528073</v>
      </c>
      <c r="AE173" s="17" cm="1">
        <f t="array" ref="AE173">MMULT(
    MMULT(
        INDEX($X$5:$AM$77, MATCH(AE$100,_xlfn.ANCHORARRAY( $W$5), 0), 0),
        $F$5:$U$20
    ),
    TRANSPOSE(
        INDEX($X$5:$AM$77, MATCH($A173,_xlfn.ANCHORARRAY( $W$5), 0), 0)
    )
)
/
(
    INDEX($AN$5:$AN$77, MATCH(AE$100,_xlfn.ANCHORARRAY( $W$5), 0))
    *
    INDEX($AN$5:$AN$77, MATCH($A173,_xlfn.ANCHORARRAY( $W$5), 0))
)</f>
        <v>0.88145660319792496</v>
      </c>
      <c r="AF173" s="17" cm="1">
        <f t="array" ref="AF173">MMULT(
    MMULT(
        INDEX($X$5:$AM$77, MATCH(AF$100,_xlfn.ANCHORARRAY( $W$5), 0), 0),
        $F$5:$U$20
    ),
    TRANSPOSE(
        INDEX($X$5:$AM$77, MATCH($A173,_xlfn.ANCHORARRAY( $W$5), 0), 0)
    )
)
/
(
    INDEX($AN$5:$AN$77, MATCH(AF$100,_xlfn.ANCHORARRAY( $W$5), 0))
    *
    INDEX($AN$5:$AN$77, MATCH($A173,_xlfn.ANCHORARRAY( $W$5), 0))
)</f>
        <v>0.75416812172843128</v>
      </c>
      <c r="AG173" s="17" cm="1">
        <f t="array" ref="AG173">MMULT(
    MMULT(
        INDEX($X$5:$AM$77, MATCH(AG$100,_xlfn.ANCHORARRAY( $W$5), 0), 0),
        $F$5:$U$20
    ),
    TRANSPOSE(
        INDEX($X$5:$AM$77, MATCH($A173,_xlfn.ANCHORARRAY( $W$5), 0), 0)
    )
)
/
(
    INDEX($AN$5:$AN$77, MATCH(AG$100,_xlfn.ANCHORARRAY( $W$5), 0))
    *
    INDEX($AN$5:$AN$77, MATCH($A173,_xlfn.ANCHORARRAY( $W$5), 0))
)</f>
        <v>0.8052374948650759</v>
      </c>
      <c r="AH173" s="17" cm="1">
        <f t="array" ref="AH173">MMULT(
    MMULT(
        INDEX($X$5:$AM$77, MATCH(AH$100,_xlfn.ANCHORARRAY( $W$5), 0), 0),
        $F$5:$U$20
    ),
    TRANSPOSE(
        INDEX($X$5:$AM$77, MATCH($A173,_xlfn.ANCHORARRAY( $W$5), 0), 0)
    )
)
/
(
    INDEX($AN$5:$AN$77, MATCH(AH$100,_xlfn.ANCHORARRAY( $W$5), 0))
    *
    INDEX($AN$5:$AN$77, MATCH($A173,_xlfn.ANCHORARRAY( $W$5), 0))
)</f>
        <v>0.86094167289022494</v>
      </c>
      <c r="AI173" s="17" cm="1">
        <f t="array" ref="AI173">MMULT(
    MMULT(
        INDEX($X$5:$AM$77, MATCH(AI$100,_xlfn.ANCHORARRAY( $W$5), 0), 0),
        $F$5:$U$20
    ),
    TRANSPOSE(
        INDEX($X$5:$AM$77, MATCH($A173,_xlfn.ANCHORARRAY( $W$5), 0), 0)
    )
)
/
(
    INDEX($AN$5:$AN$77, MATCH(AI$100,_xlfn.ANCHORARRAY( $W$5), 0))
    *
    INDEX($AN$5:$AN$77, MATCH($A173,_xlfn.ANCHORARRAY( $W$5), 0))
)</f>
        <v>0.88332168208689987</v>
      </c>
      <c r="AJ173" s="17" cm="1">
        <f t="array" ref="AJ173">MMULT(
    MMULT(
        INDEX($X$5:$AM$77, MATCH(AJ$100,_xlfn.ANCHORARRAY( $W$5), 0), 0),
        $F$5:$U$20
    ),
    TRANSPOSE(
        INDEX($X$5:$AM$77, MATCH($A173,_xlfn.ANCHORARRAY( $W$5), 0), 0)
    )
)
/
(
    INDEX($AN$5:$AN$77, MATCH(AJ$100,_xlfn.ANCHORARRAY( $W$5), 0))
    *
    INDEX($AN$5:$AN$77, MATCH($A173,_xlfn.ANCHORARRAY( $W$5), 0))
)</f>
        <v>0.71045656082940878</v>
      </c>
      <c r="AK173" s="17" cm="1">
        <f t="array" ref="AK173">MMULT(
    MMULT(
        INDEX($X$5:$AM$77, MATCH(AK$100,_xlfn.ANCHORARRAY( $W$5), 0), 0),
        $F$5:$U$20
    ),
    TRANSPOSE(
        INDEX($X$5:$AM$77, MATCH($A173,_xlfn.ANCHORARRAY( $W$5), 0), 0)
    )
)
/
(
    INDEX($AN$5:$AN$77, MATCH(AK$100,_xlfn.ANCHORARRAY( $W$5), 0))
    *
    INDEX($AN$5:$AN$77, MATCH($A173,_xlfn.ANCHORARRAY( $W$5), 0))
)</f>
        <v>0.78582607501462387</v>
      </c>
      <c r="AL173" s="17" cm="1">
        <f t="array" ref="AL173">MMULT(
    MMULT(
        INDEX($X$5:$AM$77, MATCH(AL$100,_xlfn.ANCHORARRAY( $W$5), 0), 0),
        $F$5:$U$20
    ),
    TRANSPOSE(
        INDEX($X$5:$AM$77, MATCH($A173,_xlfn.ANCHORARRAY( $W$5), 0), 0)
    )
)
/
(
    INDEX($AN$5:$AN$77, MATCH(AL$100,_xlfn.ANCHORARRAY( $W$5), 0))
    *
    INDEX($AN$5:$AN$77, MATCH($A173,_xlfn.ANCHORARRAY( $W$5), 0))
)</f>
        <v>0.6038412010133547</v>
      </c>
      <c r="AM173" s="17" cm="1">
        <f t="array" ref="AM173">MMULT(
    MMULT(
        INDEX($X$5:$AM$77, MATCH(AM$100,_xlfn.ANCHORARRAY( $W$5), 0), 0),
        $F$5:$U$20
    ),
    TRANSPOSE(
        INDEX($X$5:$AM$77, MATCH($A173,_xlfn.ANCHORARRAY( $W$5), 0), 0)
    )
)
/
(
    INDEX($AN$5:$AN$77, MATCH(AM$100,_xlfn.ANCHORARRAY( $W$5), 0))
    *
    INDEX($AN$5:$AN$77, MATCH($A173,_xlfn.ANCHORARRAY( $W$5), 0))
)</f>
        <v>0.63509058955930153</v>
      </c>
      <c r="AN173" s="17" cm="1">
        <f t="array" ref="AN173">MMULT(
    MMULT(
        INDEX($X$5:$AM$77, MATCH(AN$100,_xlfn.ANCHORARRAY( $W$5), 0), 0),
        $F$5:$U$20
    ),
    TRANSPOSE(
        INDEX($X$5:$AM$77, MATCH($A173,_xlfn.ANCHORARRAY( $W$5), 0), 0)
    )
)
/
(
    INDEX($AN$5:$AN$77, MATCH(AN$100,_xlfn.ANCHORARRAY( $W$5), 0))
    *
    INDEX($AN$5:$AN$77, MATCH($A173,_xlfn.ANCHORARRAY( $W$5), 0))
)</f>
        <v>0.9697712750792683</v>
      </c>
      <c r="AO173" s="17" cm="1">
        <f t="array" ref="AO173">MMULT(
    MMULT(
        INDEX($X$5:$AM$77, MATCH(AO$100,_xlfn.ANCHORARRAY( $W$5), 0), 0),
        $F$5:$U$20
    ),
    TRANSPOSE(
        INDEX($X$5:$AM$77, MATCH($A173,_xlfn.ANCHORARRAY( $W$5), 0), 0)
    )
)
/
(
    INDEX($AN$5:$AN$77, MATCH(AO$100,_xlfn.ANCHORARRAY( $W$5), 0))
    *
    INDEX($AN$5:$AN$77, MATCH($A173,_xlfn.ANCHORARRAY( $W$5), 0))
)</f>
        <v>0.57498102737238976</v>
      </c>
      <c r="AP173" s="17" cm="1">
        <f t="array" ref="AP173">MMULT(
    MMULT(
        INDEX($X$5:$AM$77, MATCH(AP$100,_xlfn.ANCHORARRAY( $W$5), 0), 0),
        $F$5:$U$20
    ),
    TRANSPOSE(
        INDEX($X$5:$AM$77, MATCH($A173,_xlfn.ANCHORARRAY( $W$5), 0), 0)
    )
)
/
(
    INDEX($AN$5:$AN$77, MATCH(AP$100,_xlfn.ANCHORARRAY( $W$5), 0))
    *
    INDEX($AN$5:$AN$77, MATCH($A173,_xlfn.ANCHORARRAY( $W$5), 0))
)</f>
        <v>0.77628380505822436</v>
      </c>
      <c r="AQ173" s="17" cm="1">
        <f t="array" ref="AQ173">MMULT(
    MMULT(
        INDEX($X$5:$AM$77, MATCH(AQ$100,_xlfn.ANCHORARRAY( $W$5), 0), 0),
        $F$5:$U$20
    ),
    TRANSPOSE(
        INDEX($X$5:$AM$77, MATCH($A173,_xlfn.ANCHORARRAY( $W$5), 0), 0)
    )
)
/
(
    INDEX($AN$5:$AN$77, MATCH(AQ$100,_xlfn.ANCHORARRAY( $W$5), 0))
    *
    INDEX($AN$5:$AN$77, MATCH($A173,_xlfn.ANCHORARRAY( $W$5), 0))
)</f>
        <v>0.68134539761129365</v>
      </c>
      <c r="AR173" s="17" cm="1">
        <f t="array" ref="AR173">MMULT(
    MMULT(
        INDEX($X$5:$AM$77, MATCH(AR$100,_xlfn.ANCHORARRAY( $W$5), 0), 0),
        $F$5:$U$20
    ),
    TRANSPOSE(
        INDEX($X$5:$AM$77, MATCH($A173,_xlfn.ANCHORARRAY( $W$5), 0), 0)
    )
)
/
(
    INDEX($AN$5:$AN$77, MATCH(AR$100,_xlfn.ANCHORARRAY( $W$5), 0))
    *
    INDEX($AN$5:$AN$77, MATCH($A173,_xlfn.ANCHORARRAY( $W$5), 0))
)</f>
        <v>0.71475621938297651</v>
      </c>
      <c r="AS173" s="17" cm="1">
        <f t="array" ref="AS173">MMULT(
    MMULT(
        INDEX($X$5:$AM$77, MATCH(AS$100,_xlfn.ANCHORARRAY( $W$5), 0), 0),
        $F$5:$U$20
    ),
    TRANSPOSE(
        INDEX($X$5:$AM$77, MATCH($A173,_xlfn.ANCHORARRAY( $W$5), 0), 0)
    )
)
/
(
    INDEX($AN$5:$AN$77, MATCH(AS$100,_xlfn.ANCHORARRAY( $W$5), 0))
    *
    INDEX($AN$5:$AN$77, MATCH($A173,_xlfn.ANCHORARRAY( $W$5), 0))
)</f>
        <v>0.89522190701339555</v>
      </c>
      <c r="AT173" s="17" cm="1">
        <f t="array" ref="AT173">MMULT(
    MMULT(
        INDEX($X$5:$AM$77, MATCH(AT$100,_xlfn.ANCHORARRAY( $W$5), 0), 0),
        $F$5:$U$20
    ),
    TRANSPOSE(
        INDEX($X$5:$AM$77, MATCH($A173,_xlfn.ANCHORARRAY( $W$5), 0), 0)
    )
)
/
(
    INDEX($AN$5:$AN$77, MATCH(AT$100,_xlfn.ANCHORARRAY( $W$5), 0))
    *
    INDEX($AN$5:$AN$77, MATCH($A173,_xlfn.ANCHORARRAY( $W$5), 0))
)</f>
        <v>0.80749717021397849</v>
      </c>
      <c r="AU173" s="17" cm="1">
        <f t="array" ref="AU173">MMULT(
    MMULT(
        INDEX($X$5:$AM$77, MATCH(AU$100,_xlfn.ANCHORARRAY( $W$5), 0), 0),
        $F$5:$U$20
    ),
    TRANSPOSE(
        INDEX($X$5:$AM$77, MATCH($A173,_xlfn.ANCHORARRAY( $W$5), 0), 0)
    )
)
/
(
    INDEX($AN$5:$AN$77, MATCH(AU$100,_xlfn.ANCHORARRAY( $W$5), 0))
    *
    INDEX($AN$5:$AN$77, MATCH($A173,_xlfn.ANCHORARRAY( $W$5), 0))
)</f>
        <v>0.80551573156049672</v>
      </c>
      <c r="AV173" s="17" cm="1">
        <f t="array" ref="AV173">MMULT(
    MMULT(
        INDEX($X$5:$AM$77, MATCH(AV$100,_xlfn.ANCHORARRAY( $W$5), 0), 0),
        $F$5:$U$20
    ),
    TRANSPOSE(
        INDEX($X$5:$AM$77, MATCH($A173,_xlfn.ANCHORARRAY( $W$5), 0), 0)
    )
)
/
(
    INDEX($AN$5:$AN$77, MATCH(AV$100,_xlfn.ANCHORARRAY( $W$5), 0))
    *
    INDEX($AN$5:$AN$77, MATCH($A173,_xlfn.ANCHORARRAY( $W$5), 0))
)</f>
        <v>0.66976262570923628</v>
      </c>
      <c r="AW173" s="17" cm="1">
        <f t="array" ref="AW173">MMULT(
    MMULT(
        INDEX($X$5:$AM$77, MATCH(AW$100,_xlfn.ANCHORARRAY( $W$5), 0), 0),
        $F$5:$U$20
    ),
    TRANSPOSE(
        INDEX($X$5:$AM$77, MATCH($A173,_xlfn.ANCHORARRAY( $W$5), 0), 0)
    )
)
/
(
    INDEX($AN$5:$AN$77, MATCH(AW$100,_xlfn.ANCHORARRAY( $W$5), 0))
    *
    INDEX($AN$5:$AN$77, MATCH($A173,_xlfn.ANCHORARRAY( $W$5), 0))
)</f>
        <v>0.89411512789391823</v>
      </c>
      <c r="AX173" s="17" cm="1">
        <f t="array" ref="AX173">MMULT(
    MMULT(
        INDEX($X$5:$AM$77, MATCH(AX$100,_xlfn.ANCHORARRAY( $W$5), 0), 0),
        $F$5:$U$20
    ),
    TRANSPOSE(
        INDEX($X$5:$AM$77, MATCH($A173,_xlfn.ANCHORARRAY( $W$5), 0), 0)
    )
)
/
(
    INDEX($AN$5:$AN$77, MATCH(AX$100,_xlfn.ANCHORARRAY( $W$5), 0))
    *
    INDEX($AN$5:$AN$77, MATCH($A173,_xlfn.ANCHORARRAY( $W$5), 0))
)</f>
        <v>0.48414888865477274</v>
      </c>
      <c r="AY173" s="17" cm="1">
        <f t="array" ref="AY173">MMULT(
    MMULT(
        INDEX($X$5:$AM$77, MATCH(AY$100,_xlfn.ANCHORARRAY( $W$5), 0), 0),
        $F$5:$U$20
    ),
    TRANSPOSE(
        INDEX($X$5:$AM$77, MATCH($A173,_xlfn.ANCHORARRAY( $W$5), 0), 0)
    )
)
/
(
    INDEX($AN$5:$AN$77, MATCH(AY$100,_xlfn.ANCHORARRAY( $W$5), 0))
    *
    INDEX($AN$5:$AN$77, MATCH($A173,_xlfn.ANCHORARRAY( $W$5), 0))
)</f>
        <v>0.84185973589551744</v>
      </c>
      <c r="AZ173" s="17" cm="1">
        <f t="array" ref="AZ173">MMULT(
    MMULT(
        INDEX($X$5:$AM$77, MATCH(AZ$100,_xlfn.ANCHORARRAY( $W$5), 0), 0),
        $F$5:$U$20
    ),
    TRANSPOSE(
        INDEX($X$5:$AM$77, MATCH($A173,_xlfn.ANCHORARRAY( $W$5), 0), 0)
    )
)
/
(
    INDEX($AN$5:$AN$77, MATCH(AZ$100,_xlfn.ANCHORARRAY( $W$5), 0))
    *
    INDEX($AN$5:$AN$77, MATCH($A173,_xlfn.ANCHORARRAY( $W$5), 0))
)</f>
        <v>0.69940204935028127</v>
      </c>
      <c r="BA173" s="17" cm="1">
        <f t="array" ref="BA173">MMULT(
    MMULT(
        INDEX($X$5:$AM$77, MATCH(BA$100,_xlfn.ANCHORARRAY( $W$5), 0), 0),
        $F$5:$U$20
    ),
    TRANSPOSE(
        INDEX($X$5:$AM$77, MATCH($A173,_xlfn.ANCHORARRAY( $W$5), 0), 0)
    )
)
/
(
    INDEX($AN$5:$AN$77, MATCH(BA$100,_xlfn.ANCHORARRAY( $W$5), 0))
    *
    INDEX($AN$5:$AN$77, MATCH($A173,_xlfn.ANCHORARRAY( $W$5), 0))
)</f>
        <v>0.70418327512556245</v>
      </c>
      <c r="BB173" s="17" cm="1">
        <f t="array" ref="BB173">MMULT(
    MMULT(
        INDEX($X$5:$AM$77, MATCH(BB$100,_xlfn.ANCHORARRAY( $W$5), 0), 0),
        $F$5:$U$20
    ),
    TRANSPOSE(
        INDEX($X$5:$AM$77, MATCH($A173,_xlfn.ANCHORARRAY( $W$5), 0), 0)
    )
)
/
(
    INDEX($AN$5:$AN$77, MATCH(BB$100,_xlfn.ANCHORARRAY( $W$5), 0))
    *
    INDEX($AN$5:$AN$77, MATCH($A173,_xlfn.ANCHORARRAY( $W$5), 0))
)</f>
        <v>0.55170903895199341</v>
      </c>
      <c r="BC173" s="17" cm="1">
        <f t="array" ref="BC173">MMULT(
    MMULT(
        INDEX($X$5:$AM$77, MATCH(BC$100,_xlfn.ANCHORARRAY( $W$5), 0), 0),
        $F$5:$U$20
    ),
    TRANSPOSE(
        INDEX($X$5:$AM$77, MATCH($A173,_xlfn.ANCHORARRAY( $W$5), 0), 0)
    )
)
/
(
    INDEX($AN$5:$AN$77, MATCH(BC$100,_xlfn.ANCHORARRAY( $W$5), 0))
    *
    INDEX($AN$5:$AN$77, MATCH($A173,_xlfn.ANCHORARRAY( $W$5), 0))
)</f>
        <v>0.93786366626582174</v>
      </c>
      <c r="BD173" s="17" cm="1">
        <f t="array" ref="BD173">MMULT(
    MMULT(
        INDEX($X$5:$AM$77, MATCH(BD$100,_xlfn.ANCHORARRAY( $W$5), 0), 0),
        $F$5:$U$20
    ),
    TRANSPOSE(
        INDEX($X$5:$AM$77, MATCH($A173,_xlfn.ANCHORARRAY( $W$5), 0), 0)
    )
)
/
(
    INDEX($AN$5:$AN$77, MATCH(BD$100,_xlfn.ANCHORARRAY( $W$5), 0))
    *
    INDEX($AN$5:$AN$77, MATCH($A173,_xlfn.ANCHORARRAY( $W$5), 0))
)</f>
        <v>0.54332066931180434</v>
      </c>
      <c r="BE173" s="17" cm="1">
        <f t="array" ref="BE173">MMULT(
    MMULT(
        INDEX($X$5:$AM$77, MATCH(BE$100,_xlfn.ANCHORARRAY( $W$5), 0), 0),
        $F$5:$U$20
    ),
    TRANSPOSE(
        INDEX($X$5:$AM$77, MATCH($A173,_xlfn.ANCHORARRAY( $W$5), 0), 0)
    )
)
/
(
    INDEX($AN$5:$AN$77, MATCH(BE$100,_xlfn.ANCHORARRAY( $W$5), 0))
    *
    INDEX($AN$5:$AN$77, MATCH($A173,_xlfn.ANCHORARRAY( $W$5), 0))
)</f>
        <v>0.70293641355825298</v>
      </c>
      <c r="BF173" s="17" cm="1">
        <f t="array" ref="BF173">MMULT(
    MMULT(
        INDEX($X$5:$AM$77, MATCH(BF$100,_xlfn.ANCHORARRAY( $W$5), 0), 0),
        $F$5:$U$20
    ),
    TRANSPOSE(
        INDEX($X$5:$AM$77, MATCH($A173,_xlfn.ANCHORARRAY( $W$5), 0), 0)
    )
)
/
(
    INDEX($AN$5:$AN$77, MATCH(BF$100,_xlfn.ANCHORARRAY( $W$5), 0))
    *
    INDEX($AN$5:$AN$77, MATCH($A173,_xlfn.ANCHORARRAY( $W$5), 0))
)</f>
        <v>0.70135490401244105</v>
      </c>
      <c r="BG173" s="17" cm="1">
        <f t="array" ref="BG173">MMULT(
    MMULT(
        INDEX($X$5:$AM$77, MATCH(BG$100,_xlfn.ANCHORARRAY( $W$5), 0), 0),
        $F$5:$U$20
    ),
    TRANSPOSE(
        INDEX($X$5:$AM$77, MATCH($A173,_xlfn.ANCHORARRAY( $W$5), 0), 0)
    )
)
/
(
    INDEX($AN$5:$AN$77, MATCH(BG$100,_xlfn.ANCHORARRAY( $W$5), 0))
    *
    INDEX($AN$5:$AN$77, MATCH($A173,_xlfn.ANCHORARRAY( $W$5), 0))
)</f>
        <v>0.730437235134058</v>
      </c>
      <c r="BH173" s="17" cm="1">
        <f t="array" ref="BH173">MMULT(
    MMULT(
        INDEX($X$5:$AM$77, MATCH(BH$100,_xlfn.ANCHORARRAY( $W$5), 0), 0),
        $F$5:$U$20
    ),
    TRANSPOSE(
        INDEX($X$5:$AM$77, MATCH($A173,_xlfn.ANCHORARRAY( $W$5), 0), 0)
    )
)
/
(
    INDEX($AN$5:$AN$77, MATCH(BH$100,_xlfn.ANCHORARRAY( $W$5), 0))
    *
    INDEX($AN$5:$AN$77, MATCH($A173,_xlfn.ANCHORARRAY( $W$5), 0))
)</f>
        <v>0.82119746310796315</v>
      </c>
      <c r="BI173" s="17" cm="1">
        <f t="array" ref="BI173">MMULT(
    MMULT(
        INDEX($X$5:$AM$77, MATCH(BI$100,_xlfn.ANCHORARRAY( $W$5), 0), 0),
        $F$5:$U$20
    ),
    TRANSPOSE(
        INDEX($X$5:$AM$77, MATCH($A173,_xlfn.ANCHORARRAY( $W$5), 0), 0)
    )
)
/
(
    INDEX($AN$5:$AN$77, MATCH(BI$100,_xlfn.ANCHORARRAY( $W$5), 0))
    *
    INDEX($AN$5:$AN$77, MATCH($A173,_xlfn.ANCHORARRAY( $W$5), 0))
)</f>
        <v>0.73017907375793445</v>
      </c>
      <c r="BJ173" s="17" cm="1">
        <f t="array" ref="BJ173">MMULT(
    MMULT(
        INDEX($X$5:$AM$77, MATCH(BJ$100,_xlfn.ANCHORARRAY( $W$5), 0), 0),
        $F$5:$U$20
    ),
    TRANSPOSE(
        INDEX($X$5:$AM$77, MATCH($A173,_xlfn.ANCHORARRAY( $W$5), 0), 0)
    )
)
/
(
    INDEX($AN$5:$AN$77, MATCH(BJ$100,_xlfn.ANCHORARRAY( $W$5), 0))
    *
    INDEX($AN$5:$AN$77, MATCH($A173,_xlfn.ANCHORARRAY( $W$5), 0))
)</f>
        <v>0.76170643753724365</v>
      </c>
      <c r="BK173" s="17" cm="1">
        <f t="array" ref="BK173">MMULT(
    MMULT(
        INDEX($X$5:$AM$77, MATCH(BK$100,_xlfn.ANCHORARRAY( $W$5), 0), 0),
        $F$5:$U$20
    ),
    TRANSPOSE(
        INDEX($X$5:$AM$77, MATCH($A173,_xlfn.ANCHORARRAY( $W$5), 0), 0)
    )
)
/
(
    INDEX($AN$5:$AN$77, MATCH(BK$100,_xlfn.ANCHORARRAY( $W$5), 0))
    *
    INDEX($AN$5:$AN$77, MATCH($A173,_xlfn.ANCHORARRAY( $W$5), 0))
)</f>
        <v>0.58775734596299745</v>
      </c>
      <c r="BL173" s="17" cm="1">
        <f t="array" ref="BL173">MMULT(
    MMULT(
        INDEX($X$5:$AM$77, MATCH(BL$100,_xlfn.ANCHORARRAY( $W$5), 0), 0),
        $F$5:$U$20
    ),
    TRANSPOSE(
        INDEX($X$5:$AM$77, MATCH($A173,_xlfn.ANCHORARRAY( $W$5), 0), 0)
    )
)
/
(
    INDEX($AN$5:$AN$77, MATCH(BL$100,_xlfn.ANCHORARRAY( $W$5), 0))
    *
    INDEX($AN$5:$AN$77, MATCH($A173,_xlfn.ANCHORARRAY( $W$5), 0))
)</f>
        <v>0.31687012090988215</v>
      </c>
      <c r="BM173" s="17" cm="1">
        <f t="array" ref="BM173">MMULT(
    MMULT(
        INDEX($X$5:$AM$77, MATCH(BM$100,_xlfn.ANCHORARRAY( $W$5), 0), 0),
        $F$5:$U$20
    ),
    TRANSPOSE(
        INDEX($X$5:$AM$77, MATCH($A173,_xlfn.ANCHORARRAY( $W$5), 0), 0)
    )
)
/
(
    INDEX($AN$5:$AN$77, MATCH(BM$100,_xlfn.ANCHORARRAY( $W$5), 0))
    *
    INDEX($AN$5:$AN$77, MATCH($A173,_xlfn.ANCHORARRAY( $W$5), 0))
)</f>
        <v>0.51611316717673483</v>
      </c>
      <c r="BN173" s="17" cm="1">
        <f t="array" ref="BN173">MMULT(
    MMULT(
        INDEX($X$5:$AM$77, MATCH(BN$100,_xlfn.ANCHORARRAY( $W$5), 0), 0),
        $F$5:$U$20
    ),
    TRANSPOSE(
        INDEX($X$5:$AM$77, MATCH($A173,_xlfn.ANCHORARRAY( $W$5), 0), 0)
    )
)
/
(
    INDEX($AN$5:$AN$77, MATCH(BN$100,_xlfn.ANCHORARRAY( $W$5), 0))
    *
    INDEX($AN$5:$AN$77, MATCH($A173,_xlfn.ANCHORARRAY( $W$5), 0))
)</f>
        <v>0.71138818981057594</v>
      </c>
      <c r="BO173" s="17" cm="1">
        <f t="array" ref="BO173">MMULT(
    MMULT(
        INDEX($X$5:$AM$77, MATCH(BO$100,_xlfn.ANCHORARRAY( $W$5), 0), 0),
        $F$5:$U$20
    ),
    TRANSPOSE(
        INDEX($X$5:$AM$77, MATCH($A173,_xlfn.ANCHORARRAY( $W$5), 0), 0)
    )
)
/
(
    INDEX($AN$5:$AN$77, MATCH(BO$100,_xlfn.ANCHORARRAY( $W$5), 0))
    *
    INDEX($AN$5:$AN$77, MATCH($A173,_xlfn.ANCHORARRAY( $W$5), 0))
)</f>
        <v>0.96195947731919851</v>
      </c>
      <c r="BP173" s="17" cm="1">
        <f t="array" ref="BP173">MMULT(
    MMULT(
        INDEX($X$5:$AM$77, MATCH(BP$100,_xlfn.ANCHORARRAY( $W$5), 0), 0),
        $F$5:$U$20
    ),
    TRANSPOSE(
        INDEX($X$5:$AM$77, MATCH($A173,_xlfn.ANCHORARRAY( $W$5), 0), 0)
    )
)
/
(
    INDEX($AN$5:$AN$77, MATCH(BP$100,_xlfn.ANCHORARRAY( $W$5), 0))
    *
    INDEX($AN$5:$AN$77, MATCH($A173,_xlfn.ANCHORARRAY( $W$5), 0))
)</f>
        <v>0.74040593267019272</v>
      </c>
      <c r="BQ173" s="17" cm="1">
        <f t="array" ref="BQ173">MMULT(
    MMULT(
        INDEX($X$5:$AM$77, MATCH(BQ$100,_xlfn.ANCHORARRAY( $W$5), 0), 0),
        $F$5:$U$20
    ),
    TRANSPOSE(
        INDEX($X$5:$AM$77, MATCH($A173,_xlfn.ANCHORARRAY( $W$5), 0), 0)
    )
)
/
(
    INDEX($AN$5:$AN$77, MATCH(BQ$100,_xlfn.ANCHORARRAY( $W$5), 0))
    *
    INDEX($AN$5:$AN$77, MATCH($A173,_xlfn.ANCHORARRAY( $W$5), 0))
)</f>
        <v>0.50460415953080051</v>
      </c>
      <c r="BR173" s="17" cm="1">
        <f t="array" ref="BR173">MMULT(
    MMULT(
        INDEX($X$5:$AM$77, MATCH(BR$100,_xlfn.ANCHORARRAY( $W$5), 0), 0),
        $F$5:$U$20
    ),
    TRANSPOSE(
        INDEX($X$5:$AM$77, MATCH($A173,_xlfn.ANCHORARRAY( $W$5), 0), 0)
    )
)
/
(
    INDEX($AN$5:$AN$77, MATCH(BR$100,_xlfn.ANCHORARRAY( $W$5), 0))
    *
    INDEX($AN$5:$AN$77, MATCH($A173,_xlfn.ANCHORARRAY( $W$5), 0))
)</f>
        <v>0.90478169485162663</v>
      </c>
      <c r="BS173" s="17" cm="1">
        <f t="array" ref="BS173">MMULT(
    MMULT(
        INDEX($X$5:$AM$77, MATCH(BS$100,_xlfn.ANCHORARRAY( $W$5), 0), 0),
        $F$5:$U$20
    ),
    TRANSPOSE(
        INDEX($X$5:$AM$77, MATCH($A173,_xlfn.ANCHORARRAY( $W$5), 0), 0)
    )
)
/
(
    INDEX($AN$5:$AN$77, MATCH(BS$100,_xlfn.ANCHORARRAY( $W$5), 0))
    *
    INDEX($AN$5:$AN$77, MATCH($A173,_xlfn.ANCHORARRAY( $W$5), 0))
)</f>
        <v>0.74277851272650475</v>
      </c>
      <c r="BT173" s="17" cm="1">
        <f t="array" ref="BT173">MMULT(
    MMULT(
        INDEX($X$5:$AM$77, MATCH(BT$100,_xlfn.ANCHORARRAY( $W$5), 0), 0),
        $F$5:$U$20
    ),
    TRANSPOSE(
        INDEX($X$5:$AM$77, MATCH($A173,_xlfn.ANCHORARRAY( $W$5), 0), 0)
    )
)
/
(
    INDEX($AN$5:$AN$77, MATCH(BT$100,_xlfn.ANCHORARRAY( $W$5), 0))
    *
    INDEX($AN$5:$AN$77, MATCH($A173,_xlfn.ANCHORARRAY( $W$5), 0))
)</f>
        <v>0.74601377081792386</v>
      </c>
      <c r="BU173" s="17" cm="1">
        <f t="array" ref="BU173">MMULT(
    MMULT(
        INDEX($X$5:$AM$77, MATCH(BU$100,_xlfn.ANCHORARRAY( $W$5), 0), 0),
        $F$5:$U$20
    ),
    TRANSPOSE(
        INDEX($X$5:$AM$77, MATCH($A173,_xlfn.ANCHORARRAY( $W$5), 0), 0)
    )
)
/
(
    INDEX($AN$5:$AN$77, MATCH(BU$100,_xlfn.ANCHORARRAY( $W$5), 0))
    *
    INDEX($AN$5:$AN$77, MATCH($A173,_xlfn.ANCHORARRAY( $W$5), 0))
)</f>
        <v>0.80800530204234655</v>
      </c>
      <c r="BV173" s="17" cm="1">
        <f t="array" ref="BV173">MMULT(
    MMULT(
        INDEX($X$5:$AM$77, MATCH(BV$100,_xlfn.ANCHORARRAY( $W$5), 0), 0),
        $F$5:$U$20
    ),
    TRANSPOSE(
        INDEX($X$5:$AM$77, MATCH($A173,_xlfn.ANCHORARRAY( $W$5), 0), 0)
    )
)
/
(
    INDEX($AN$5:$AN$77, MATCH(BV$100,_xlfn.ANCHORARRAY( $W$5), 0))
    *
    INDEX($AN$5:$AN$77, MATCH($A173,_xlfn.ANCHORARRAY( $W$5), 0))
)</f>
        <v>0.99999999999999989</v>
      </c>
    </row>
  </sheetData>
  <mergeCells count="2">
    <mergeCell ref="A3:B3"/>
    <mergeCell ref="E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B987-DC00-4A1A-9F63-E30BB9B1D86D}">
  <dimension ref="A1:CD75"/>
  <sheetViews>
    <sheetView topLeftCell="A57" workbookViewId="0">
      <selection activeCell="A68" sqref="A68"/>
    </sheetView>
  </sheetViews>
  <sheetFormatPr defaultRowHeight="14.4" x14ac:dyDescent="0.3"/>
  <cols>
    <col min="1" max="1" width="22.88671875" bestFit="1" customWidth="1"/>
    <col min="2" max="2" width="6.88671875" bestFit="1" customWidth="1"/>
    <col min="3" max="3" width="6.6640625" bestFit="1" customWidth="1"/>
    <col min="4" max="4" width="9.6640625" bestFit="1" customWidth="1"/>
    <col min="7" max="7" width="12" bestFit="1" customWidth="1"/>
    <col min="8" max="8" width="10.33203125" bestFit="1" customWidth="1"/>
    <col min="9" max="9" width="22.88671875" bestFit="1" customWidth="1"/>
    <col min="10" max="10" width="12" bestFit="1" customWidth="1"/>
    <col min="11" max="11" width="15" bestFit="1" customWidth="1"/>
    <col min="12" max="12" width="15.33203125" bestFit="1" customWidth="1"/>
    <col min="13" max="14" width="12" bestFit="1" customWidth="1"/>
    <col min="15" max="15" width="13.44140625" bestFit="1" customWidth="1"/>
    <col min="16" max="17" width="12" bestFit="1" customWidth="1"/>
    <col min="18" max="18" width="22.88671875" bestFit="1" customWidth="1"/>
    <col min="19" max="19" width="15.109375" bestFit="1" customWidth="1"/>
    <col min="20" max="20" width="13.109375" bestFit="1" customWidth="1"/>
    <col min="21" max="21" width="14" bestFit="1" customWidth="1"/>
    <col min="22" max="22" width="12.88671875" bestFit="1" customWidth="1"/>
    <col min="23" max="23" width="12" bestFit="1" customWidth="1"/>
    <col min="24" max="24" width="13.6640625" bestFit="1" customWidth="1"/>
    <col min="25" max="25" width="12" bestFit="1" customWidth="1"/>
    <col min="26" max="26" width="12.88671875" bestFit="1" customWidth="1"/>
    <col min="27" max="27" width="15.44140625" bestFit="1" customWidth="1"/>
    <col min="28" max="28" width="15" bestFit="1" customWidth="1"/>
    <col min="29" max="29" width="15.5546875" bestFit="1" customWidth="1"/>
    <col min="30" max="30" width="12" bestFit="1" customWidth="1"/>
    <col min="31" max="31" width="14.44140625" bestFit="1" customWidth="1"/>
    <col min="32" max="32" width="13.33203125" bestFit="1" customWidth="1"/>
    <col min="33" max="33" width="15.44140625" bestFit="1" customWidth="1"/>
    <col min="34" max="34" width="12.33203125" bestFit="1" customWidth="1"/>
    <col min="35" max="35" width="12" bestFit="1" customWidth="1"/>
    <col min="36" max="36" width="17.33203125" bestFit="1" customWidth="1"/>
    <col min="37" max="37" width="15" bestFit="1" customWidth="1"/>
    <col min="38" max="38" width="15.109375" bestFit="1" customWidth="1"/>
    <col min="39" max="39" width="17.6640625" bestFit="1" customWidth="1"/>
    <col min="40" max="40" width="17.33203125" bestFit="1" customWidth="1"/>
    <col min="41" max="41" width="12.33203125" bestFit="1" customWidth="1"/>
    <col min="42" max="42" width="12" bestFit="1" customWidth="1"/>
    <col min="43" max="43" width="13.109375" bestFit="1" customWidth="1"/>
    <col min="44" max="45" width="12" bestFit="1" customWidth="1"/>
    <col min="46" max="46" width="18.88671875" bestFit="1" customWidth="1"/>
    <col min="47" max="47" width="14.109375" bestFit="1" customWidth="1"/>
    <col min="48" max="48" width="12.109375" bestFit="1" customWidth="1"/>
    <col min="49" max="49" width="14.33203125" bestFit="1" customWidth="1"/>
    <col min="50" max="50" width="16.6640625" bestFit="1" customWidth="1"/>
    <col min="51" max="51" width="13.33203125" bestFit="1" customWidth="1"/>
    <col min="52" max="52" width="12" bestFit="1" customWidth="1"/>
    <col min="53" max="53" width="13.5546875" bestFit="1" customWidth="1"/>
    <col min="54" max="54" width="13.33203125" bestFit="1" customWidth="1"/>
    <col min="55" max="55" width="19.109375" bestFit="1" customWidth="1"/>
    <col min="56" max="57" width="13.33203125" bestFit="1" customWidth="1"/>
    <col min="58" max="58" width="15.33203125" bestFit="1" customWidth="1"/>
    <col min="59" max="59" width="15.44140625" bestFit="1" customWidth="1"/>
    <col min="60" max="60" width="13.6640625" bestFit="1" customWidth="1"/>
    <col min="61" max="61" width="16.109375" bestFit="1" customWidth="1"/>
    <col min="62" max="62" width="14" bestFit="1" customWidth="1"/>
    <col min="63" max="63" width="12.5546875" bestFit="1" customWidth="1"/>
    <col min="64" max="64" width="14.5546875" bestFit="1" customWidth="1"/>
    <col min="65" max="65" width="12" bestFit="1" customWidth="1"/>
    <col min="66" max="66" width="12.44140625" bestFit="1" customWidth="1"/>
    <col min="67" max="67" width="12" bestFit="1" customWidth="1"/>
    <col min="68" max="68" width="12.33203125" bestFit="1" customWidth="1"/>
    <col min="69" max="69" width="14.88671875" bestFit="1" customWidth="1"/>
    <col min="70" max="70" width="17.5546875" bestFit="1" customWidth="1"/>
    <col min="71" max="75" width="12" bestFit="1" customWidth="1"/>
    <col min="76" max="76" width="14.6640625" bestFit="1" customWidth="1"/>
    <col min="77" max="77" width="12.6640625" bestFit="1" customWidth="1"/>
    <col min="78" max="78" width="15" bestFit="1" customWidth="1"/>
    <col min="79" max="79" width="13.5546875" bestFit="1" customWidth="1"/>
    <col min="80" max="80" width="15.44140625" bestFit="1" customWidth="1"/>
    <col min="81" max="81" width="15.6640625" bestFit="1" customWidth="1"/>
    <col min="82" max="82" width="15" bestFit="1" customWidth="1"/>
  </cols>
  <sheetData>
    <row r="1" spans="1:82" x14ac:dyDescent="0.3">
      <c r="A1" s="2" t="s">
        <v>138</v>
      </c>
    </row>
    <row r="2" spans="1:82" x14ac:dyDescent="0.3">
      <c r="B2" s="20" t="s">
        <v>139</v>
      </c>
      <c r="C2" s="20" t="s">
        <v>140</v>
      </c>
      <c r="D2" s="20" t="s">
        <v>141</v>
      </c>
      <c r="E2" s="20" t="s">
        <v>142</v>
      </c>
      <c r="F2" s="20" t="s">
        <v>143</v>
      </c>
      <c r="G2" s="20" t="s">
        <v>136</v>
      </c>
      <c r="J2" s="20" t="str" cm="1">
        <f t="array" ref="J2:CD2">TRANSPOSE(_xlfn.UNIQUE(braves_19_25__2[player_name]))</f>
        <v>Fried, Max</v>
      </c>
      <c r="K2" s="20" t="str">
        <v>Morton, Charlie</v>
      </c>
      <c r="L2" s="20" t="str">
        <v>Strider, Spencer</v>
      </c>
      <c r="M2" s="20" t="str">
        <v>Elder, Bryce</v>
      </c>
      <c r="N2" s="20" t="str">
        <v>Sale, Chris</v>
      </c>
      <c r="O2" s="20" t="str">
        <v>Anderson, Ian</v>
      </c>
      <c r="P2" s="20" t="str">
        <v>Minter, A.J.</v>
      </c>
      <c r="Q2" s="20" t="str">
        <v>Wright, Kyle</v>
      </c>
      <c r="R2" s="20" t="str">
        <v>Schwellenbach, Spencer</v>
      </c>
      <c r="S2" s="20" t="str">
        <v>Soroka, Michael</v>
      </c>
      <c r="T2" s="20" t="str">
        <v>Chavez, Jesse</v>
      </c>
      <c r="U2" s="20" t="str">
        <v>Iglesias, Raisel</v>
      </c>
      <c r="V2" s="20" t="str">
        <v>Jackson, Luke</v>
      </c>
      <c r="W2" s="20" t="str">
        <v>Lee, Dylan</v>
      </c>
      <c r="X2" s="20" t="str">
        <v>Holmes, Grant</v>
      </c>
      <c r="Y2" s="20" t="str">
        <v>Tomlin, Josh</v>
      </c>
      <c r="Z2" s="20" t="str">
        <v>Matzek, Tyler</v>
      </c>
      <c r="AA2" s="20" t="str">
        <v>Newcomb, Sean</v>
      </c>
      <c r="AB2" s="20" t="str">
        <v>Johnson, Pierce</v>
      </c>
      <c r="AC2" s="20" t="str">
        <v>López, Reynaldo</v>
      </c>
      <c r="AD2" s="20" t="str">
        <v>Smyly, Drew</v>
      </c>
      <c r="AE2" s="20" t="str">
        <v>McHugh, Collin</v>
      </c>
      <c r="AF2" s="20" t="str">
        <v>Ynoa, Huascar</v>
      </c>
      <c r="AG2" s="20" t="str">
        <v>Toussaint, Touki</v>
      </c>
      <c r="AH2" s="20" t="str">
        <v>Jiménez, Joe</v>
      </c>
      <c r="AI2" s="20" t="str">
        <v>Smith, Will</v>
      </c>
      <c r="AJ2" s="20" t="str">
        <v>Foltynewicz, Mike</v>
      </c>
      <c r="AK2" s="20" t="str">
        <v>Bummer, Aaron</v>
      </c>
      <c r="AL2" s="20" t="str">
        <v>Tonkin, Michael</v>
      </c>
      <c r="AM2" s="20" t="str">
        <v>Smith-Shawver, AJ</v>
      </c>
      <c r="AN2" s="20" t="str">
        <v>Stephens, Jackson</v>
      </c>
      <c r="AO2" s="20" t="str">
        <v>Martin, Chris</v>
      </c>
      <c r="AP2" s="20" t="str">
        <v>Yates, Kirby</v>
      </c>
      <c r="AQ2" s="20" t="str">
        <v>Wilson, Bryse</v>
      </c>
      <c r="AR2" s="20" t="str">
        <v>Wentz, Joey</v>
      </c>
      <c r="AS2" s="20" t="str">
        <v>Dodd, Dylan</v>
      </c>
      <c r="AT2" s="20" t="str">
        <v>Hernández, Daysbel</v>
      </c>
      <c r="AU2" s="20" t="str">
        <v>Greene, Shane</v>
      </c>
      <c r="AV2" s="20" t="str">
        <v>Webb, Jacob</v>
      </c>
      <c r="AW2" s="20" t="str">
        <v>Jansen, Kenley</v>
      </c>
      <c r="AX2" s="20" t="str">
        <v>Waldrep, Hurston</v>
      </c>
      <c r="AY2" s="20" t="str">
        <v>Dayton, Grant</v>
      </c>
      <c r="AZ2" s="20" t="str">
        <v>Muller, Kyle</v>
      </c>
      <c r="BA2" s="20" t="str">
        <v>Shuster, Jared</v>
      </c>
      <c r="BB2" s="20" t="str">
        <v>Odorizzi, Jake</v>
      </c>
      <c r="BC2" s="20" t="str">
        <v>De Los Santos, Enyel</v>
      </c>
      <c r="BD2" s="20" t="str">
        <v>O'Day, Darren</v>
      </c>
      <c r="BE2" s="20" t="str">
        <v>Winans, Allan</v>
      </c>
      <c r="BF2" s="20" t="str">
        <v>Melancon, Mark</v>
      </c>
      <c r="BG2" s="20" t="str">
        <v>Montero, Rafael</v>
      </c>
      <c r="BH2" s="20" t="str">
        <v>Sobotka, Chad</v>
      </c>
      <c r="BI2" s="20" t="str">
        <v>Davidson, Tucker</v>
      </c>
      <c r="BJ2" s="20" t="str">
        <v>Santana, Edgar</v>
      </c>
      <c r="BK2" s="20" t="str">
        <v>Vines, Darius</v>
      </c>
      <c r="BL2" s="20" t="str">
        <v>Anderson, Nick</v>
      </c>
      <c r="BM2" s="20" t="str">
        <v>Fedde, Erick</v>
      </c>
      <c r="BN2" s="20" t="str">
        <v>Biddle, Jesse</v>
      </c>
      <c r="BO2" s="20" t="str">
        <v>Cox, Austin</v>
      </c>
      <c r="BP2" s="20" t="str">
        <v>Erlin, Robbie</v>
      </c>
      <c r="BQ2" s="20" t="str">
        <v>Chirinos, Yonny</v>
      </c>
      <c r="BR2" s="20" t="str">
        <v>Rodríguez, Richard</v>
      </c>
      <c r="BS2" s="20" t="str">
        <v>Kerr, Ray</v>
      </c>
      <c r="BT2" s="20" t="str">
        <v>Kinley, Tyler</v>
      </c>
      <c r="BU2" s="20" t="str">
        <v>Hand, Brad</v>
      </c>
      <c r="BV2" s="20" t="str">
        <v>Heller, Ben</v>
      </c>
      <c r="BW2" s="20" t="str">
        <v>Suarez, José</v>
      </c>
      <c r="BX2" s="20" t="str">
        <v>Fuentes, Didier</v>
      </c>
      <c r="BY2" s="20" t="str">
        <v>Luetge, Lucas</v>
      </c>
      <c r="BZ2" s="20" t="str">
        <v>Carrasco, Carlos</v>
      </c>
      <c r="CA2" s="20" t="str">
        <v>Blewett, Scott</v>
      </c>
      <c r="CB2" s="20" t="str">
        <v>Stratton, Hunter</v>
      </c>
      <c r="CC2" s="20" t="str">
        <v>Thornburg, Tyler</v>
      </c>
      <c r="CD2" s="20" t="str">
        <v>Milone, Tommy</v>
      </c>
    </row>
    <row r="3" spans="1:82" x14ac:dyDescent="0.3">
      <c r="A3" s="7" t="str" cm="1">
        <f t="array" ref="A3:A75">_xlfn.UNIQUE(braves_19_25__2[player_name])</f>
        <v>Fried, Max</v>
      </c>
      <c r="B3">
        <f>_xlfn.XLOOKUP($A3,braves_19_25__2[player_name], braves_19_25__2[release_pos_z])</f>
        <v>6.06</v>
      </c>
      <c r="C3">
        <f>_xlfn.XLOOKUP($A3,braves_19_25__2[player_name], braves_19_25__2[release_pos_x])*2.5</f>
        <v>3.1</v>
      </c>
      <c r="D3">
        <f>_xlfn.XLOOKUP($A3,braves_19_25__2[player_name], braves_19_25__2[release_extension])</f>
        <v>6.37</v>
      </c>
      <c r="E3">
        <f>COS(RADIANS(AVERAGE(_xlfn.XLOOKUP($A3,braves_19_25__2[player_name],braves_19_25__2[arm_angle]))))*4</f>
        <v>2.4183964594494998</v>
      </c>
      <c r="F3">
        <f>SIN(RADIANS(AVERAGE(_xlfn.XLOOKUP($A3,braves_19_25__2[player_name],braves_19_25__2[arm_angle]))))*4</f>
        <v>3.186119672096785</v>
      </c>
      <c r="G3">
        <f>SQRT(SUMSQ(B3:F3))</f>
        <v>10.144481258300003</v>
      </c>
      <c r="I3" s="7" t="str" cm="1">
        <f t="array" ref="I3:I75">_xlfn.UNIQUE(braves_19_25__2[player_name])</f>
        <v>Fried, Max</v>
      </c>
      <c r="J3" s="18">
        <f>(
   INDEX($B$3:$B$75, MATCH(J$2,_xlfn.ANCHORARRAY( $A$3), 0)) *
   INDEX($B$3:$B$75, MATCH($I3,_xlfn.ANCHORARRAY( $A$3), 0))
 +
   (
     INDEX($C$3:$C$75, MATCH(J$2,_xlfn.ANCHORARRAY( $A$3), 0)) *
     INDEX($C$3:$C$75, MATCH($I3,_xlfn.ANCHORARRAY( $A$3), 0))
   ) *
   IF(
       SIGN(INDEX($C$3:$C$75, MATCH(J$2,_xlfn.ANCHORARRAY( $A$3), 0)))
       =
       SIGN(INDEX($C$3:$C$75, MATCH($I3,_xlfn.ANCHORARRAY( $A$3), 0))),
       1,
       0.1
   )
 +
   INDEX($D$3:$D$75, MATCH(J$2,_xlfn.ANCHORARRAY( $A$3), 0)) *
   INDEX($D$3:$D$75, MATCH($I3,_xlfn.ANCHORARRAY( $A$3), 0)) + INDEX($E$3:$E$75,MATCH(J$2,_xlfn.ANCHORARRAY($A$3),0)) * INDEX($E$3:$E$75,MATCH($I3,_xlfn.ANCHORARRAY($A$3),0)) + INDEX($F$3:$F$75,MATCH(J$2,_xlfn.ANCHORARRAY($A$3),0)) * INDEX($F$3:$F$75,MATCH($I3,_xlfn.ANCHORARRAY($A$3),0)))
/
(
   SQRT(
       INDEX($B$3:$B$75, MATCH(J$2,_xlfn.ANCHORARRAY( $A$3), 0))^2 +
       INDEX($C$3:$C$75, MATCH(J$2,_xlfn.ANCHORARRAY( $A$3), 0))^2 +
       INDEX($D$3:$D$75, MATCH(J$2,_xlfn.ANCHORARRAY( $A$3), 0))^2 + INDEX($E$3:$E$75,MATCH(J$2,_xlfn.ANCHORARRAY($A$3),0))^2 + INDEX($F$3:$F$75,MATCH(J$2,_xlfn.ANCHORARRAY($A$3),0))^2   )
   *
   SQRT(
       INDEX($B$3:$B$75, MATCH($I3,_xlfn.ANCHORARRAY( $A$3), 0))^2 +
       INDEX($C$3:$C$75, MATCH($I3,_xlfn.ANCHORARRAY( $A$3), 0))^2 +
       INDEX($D$3:$D$75, MATCH($I3,_xlfn.ANCHORARRAY( $A$3), 0))^2 + INDEX($E$3:$E$75,MATCH($I3,_xlfn.ANCHORARRAY($A$3),0))^2 + INDEX($F$3:$F$75,MATCH($I3,_xlfn.ANCHORARRAY($A$3),0))^2
   )
)</f>
        <v>1</v>
      </c>
      <c r="K3" s="18">
        <f>(
   INDEX($B$3:$B$75, MATCH(K$2,_xlfn.ANCHORARRAY( $A$3), 0)) *
   INDEX($B$3:$B$75, MATCH($I3,_xlfn.ANCHORARRAY( $A$3), 0))
 +
   (
     INDEX($C$3:$C$75, MATCH(K$2,_xlfn.ANCHORARRAY( $A$3), 0)) *
     INDEX($C$3:$C$75, MATCH($I3,_xlfn.ANCHORARRAY( $A$3), 0))
   ) *
   IF(
       SIGN(INDEX($C$3:$C$75, MATCH(K$2,_xlfn.ANCHORARRAY( $A$3), 0)))
       =
       SIGN(INDEX($C$3:$C$75, MATCH($I3,_xlfn.ANCHORARRAY( $A$3), 0))),
       1,
       0.1
   )
 +
   INDEX($D$3:$D$75, MATCH(K$2,_xlfn.ANCHORARRAY( $A$3), 0)) *
   INDEX($D$3:$D$75, MATCH($I3,_xlfn.ANCHORARRAY( $A$3), 0)) + INDEX($E$3:$E$75,MATCH(K$2,_xlfn.ANCHORARRAY($A$3),0)) * INDEX($E$3:$E$75,MATCH($I3,_xlfn.ANCHORARRAY($A$3),0)) + INDEX($F$3:$F$75,MATCH(K$2,_xlfn.ANCHORARRAY($A$3),0)) * INDEX($F$3:$F$75,MATCH($I3,_xlfn.ANCHORARRAY($A$3),0)))
/
(
   SQRT(
       INDEX($B$3:$B$75, MATCH(K$2,_xlfn.ANCHORARRAY( $A$3), 0))^2 +
       INDEX($C$3:$C$75, MATCH(K$2,_xlfn.ANCHORARRAY( $A$3), 0))^2 +
       INDEX($D$3:$D$75, MATCH(K$2,_xlfn.ANCHORARRAY( $A$3), 0))^2 + INDEX($E$3:$E$75,MATCH(K$2,_xlfn.ANCHORARRAY($A$3),0))^2 + INDEX($F$3:$F$75,MATCH(K$2,_xlfn.ANCHORARRAY($A$3),0))^2   )
   *
   SQRT(
       INDEX($B$3:$B$75, MATCH($I3,_xlfn.ANCHORARRAY( $A$3), 0))^2 +
       INDEX($C$3:$C$75, MATCH($I3,_xlfn.ANCHORARRAY( $A$3), 0))^2 +
       INDEX($D$3:$D$75, MATCH($I3,_xlfn.ANCHORARRAY( $A$3), 0))^2 + INDEX($E$3:$E$75,MATCH($I3,_xlfn.ANCHORARRAY($A$3),0))^2 + INDEX($F$3:$F$75,MATCH($I3,_xlfn.ANCHORARRAY($A$3),0))^2
   )
)</f>
        <v>0.77357056010109126</v>
      </c>
      <c r="L3" s="18">
        <f>(
   INDEX($B$3:$B$75, MATCH(L$2,_xlfn.ANCHORARRAY( $A$3), 0)) *
   INDEX($B$3:$B$75, MATCH($I3,_xlfn.ANCHORARRAY( $A$3), 0))
 +
   (
     INDEX($C$3:$C$75, MATCH(L$2,_xlfn.ANCHORARRAY( $A$3), 0)) *
     INDEX($C$3:$C$75, MATCH($I3,_xlfn.ANCHORARRAY( $A$3), 0))
   ) *
   IF(
       SIGN(INDEX($C$3:$C$75, MATCH(L$2,_xlfn.ANCHORARRAY( $A$3), 0)))
       =
       SIGN(INDEX($C$3:$C$75, MATCH($I3,_xlfn.ANCHORARRAY( $A$3), 0))),
       1,
       0.1
   )
 +
   INDEX($D$3:$D$75, MATCH(L$2,_xlfn.ANCHORARRAY( $A$3), 0)) *
   INDEX($D$3:$D$75, MATCH($I3,_xlfn.ANCHORARRAY( $A$3), 0)) + INDEX($E$3:$E$75,MATCH(L$2,_xlfn.ANCHORARRAY($A$3),0)) * INDEX($E$3:$E$75,MATCH($I3,_xlfn.ANCHORARRAY($A$3),0)) + INDEX($F$3:$F$75,MATCH(L$2,_xlfn.ANCHORARRAY($A$3),0)) * INDEX($F$3:$F$75,MATCH($I3,_xlfn.ANCHORARRAY($A$3),0)))
/
(
   SQRT(
       INDEX($B$3:$B$75, MATCH(L$2,_xlfn.ANCHORARRAY( $A$3), 0))^2 +
       INDEX($C$3:$C$75, MATCH(L$2,_xlfn.ANCHORARRAY( $A$3), 0))^2 +
       INDEX($D$3:$D$75, MATCH(L$2,_xlfn.ANCHORARRAY( $A$3), 0))^2 + INDEX($E$3:$E$75,MATCH(L$2,_xlfn.ANCHORARRAY($A$3),0))^2 + INDEX($F$3:$F$75,MATCH(L$2,_xlfn.ANCHORARRAY($A$3),0))^2   )
   *
   SQRT(
       INDEX($B$3:$B$75, MATCH($I3,_xlfn.ANCHORARRAY( $A$3), 0))^2 +
       INDEX($C$3:$C$75, MATCH($I3,_xlfn.ANCHORARRAY( $A$3), 0))^2 +
       INDEX($D$3:$D$75, MATCH($I3,_xlfn.ANCHORARRAY( $A$3), 0))^2 + INDEX($E$3:$E$75,MATCH($I3,_xlfn.ANCHORARRAY($A$3),0))^2 + INDEX($F$3:$F$75,MATCH($I3,_xlfn.ANCHORARRAY($A$3),0))^2
   )
)</f>
        <v>0.80837281016178464</v>
      </c>
      <c r="M3" s="18">
        <f t="shared" ref="L3:BW6" si="0">(
   INDEX($B$3:$B$75, MATCH(M$2,_xlfn.ANCHORARRAY( $A$3), 0)) *
   INDEX($B$3:$B$75, MATCH($I3,_xlfn.ANCHORARRAY( $A$3), 0))
 +
   (
     INDEX($C$3:$C$75, MATCH(M$2,_xlfn.ANCHORARRAY( $A$3), 0)) *
     INDEX($C$3:$C$75, MATCH($I3,_xlfn.ANCHORARRAY( $A$3), 0))
   ) *
   IF(
       SIGN(INDEX($C$3:$C$75, MATCH(M$2,_xlfn.ANCHORARRAY( $A$3), 0)))
       =
       SIGN(INDEX($C$3:$C$75, MATCH($I3,_xlfn.ANCHORARRAY( $A$3), 0))),
       1,
       0.1
   )
 +
   INDEX($D$3:$D$75, MATCH(M$2,_xlfn.ANCHORARRAY( $A$3), 0)) *
   INDEX($D$3:$D$75, MATCH($I3,_xlfn.ANCHORARRAY( $A$3), 0)) + INDEX($E$3:$E$75,MATCH(M$2,_xlfn.ANCHORARRAY($A$3),0)) * INDEX($E$3:$E$75,MATCH($I3,_xlfn.ANCHORARRAY($A$3),0)) + INDEX($F$3:$F$75,MATCH(M$2,_xlfn.ANCHORARRAY($A$3),0)) * INDEX($F$3:$F$75,MATCH($I3,_xlfn.ANCHORARRAY($A$3),0)))
/
(
   SQRT(
       INDEX($B$3:$B$75, MATCH(M$2,_xlfn.ANCHORARRAY( $A$3), 0))^2 +
       INDEX($C$3:$C$75, MATCH(M$2,_xlfn.ANCHORARRAY( $A$3), 0))^2 +
       INDEX($D$3:$D$75, MATCH(M$2,_xlfn.ANCHORARRAY( $A$3), 0))^2 + INDEX($E$3:$E$75,MATCH(M$2,_xlfn.ANCHORARRAY($A$3),0))^2 + INDEX($F$3:$F$75,MATCH(M$2,_xlfn.ANCHORARRAY($A$3),0))^2   )
   *
   SQRT(
       INDEX($B$3:$B$75, MATCH($I3,_xlfn.ANCHORARRAY( $A$3), 0))^2 +
       INDEX($C$3:$C$75, MATCH($I3,_xlfn.ANCHORARRAY( $A$3), 0))^2 +
       INDEX($D$3:$D$75, MATCH($I3,_xlfn.ANCHORARRAY( $A$3), 0))^2 + INDEX($E$3:$E$75,MATCH($I3,_xlfn.ANCHORARRAY($A$3),0))^2 + INDEX($F$3:$F$75,MATCH($I3,_xlfn.ANCHORARRAY($A$3),0))^2
   )
)</f>
        <v>0.90217665472858743</v>
      </c>
      <c r="N3" s="18">
        <f t="shared" si="0"/>
        <v>0.88171217853908135</v>
      </c>
      <c r="O3" s="18">
        <f t="shared" si="0"/>
        <v>0.87293182009512382</v>
      </c>
      <c r="P3" s="18">
        <f t="shared" si="0"/>
        <v>0.97169396237572059</v>
      </c>
      <c r="Q3" s="18">
        <f t="shared" si="0"/>
        <v>0.82313945741986339</v>
      </c>
      <c r="R3" s="18">
        <f t="shared" si="0"/>
        <v>0.77699632842583577</v>
      </c>
      <c r="S3" s="18">
        <f t="shared" si="0"/>
        <v>0.80863177691734767</v>
      </c>
      <c r="T3" s="18">
        <f t="shared" si="0"/>
        <v>0.84226268347601063</v>
      </c>
      <c r="U3" s="18">
        <f t="shared" si="0"/>
        <v>0.83118593988014811</v>
      </c>
      <c r="V3" s="18">
        <f t="shared" si="0"/>
        <v>0.78449005036447361</v>
      </c>
      <c r="W3" s="18">
        <f t="shared" si="0"/>
        <v>0.99494894391414146</v>
      </c>
      <c r="X3" s="18">
        <f t="shared" si="0"/>
        <v>0.777828024633893</v>
      </c>
      <c r="Y3" s="18">
        <f t="shared" si="0"/>
        <v>0.85680731326406323</v>
      </c>
      <c r="Z3" s="18">
        <f t="shared" si="0"/>
        <v>0.99178062733703753</v>
      </c>
      <c r="AA3" s="18">
        <f t="shared" si="0"/>
        <v>0.99394994038176698</v>
      </c>
      <c r="AB3" s="18">
        <f t="shared" si="0"/>
        <v>0.80710218702513903</v>
      </c>
      <c r="AC3" s="18">
        <f t="shared" si="0"/>
        <v>0.84955940963829002</v>
      </c>
      <c r="AD3" s="18">
        <f t="shared" si="0"/>
        <v>0.98991457462600652</v>
      </c>
      <c r="AE3" s="18">
        <f t="shared" si="0"/>
        <v>0.79181536587577839</v>
      </c>
      <c r="AF3" s="18">
        <f t="shared" si="0"/>
        <v>0.86961592378519059</v>
      </c>
      <c r="AG3" s="18">
        <f t="shared" si="0"/>
        <v>0.81821617483771869</v>
      </c>
      <c r="AH3" s="18">
        <f t="shared" si="0"/>
        <v>0.77513724778341864</v>
      </c>
      <c r="AI3" s="18">
        <f t="shared" si="0"/>
        <v>0.99526002083873166</v>
      </c>
      <c r="AJ3" s="18">
        <f t="shared" si="0"/>
        <v>0.83007159659031693</v>
      </c>
      <c r="AK3" s="18">
        <f t="shared" si="0"/>
        <v>0.89133608331182124</v>
      </c>
      <c r="AL3" s="18">
        <f t="shared" si="0"/>
        <v>0.62607137452235229</v>
      </c>
      <c r="AM3" s="18">
        <f t="shared" si="0"/>
        <v>0.82792718301486101</v>
      </c>
      <c r="AN3" s="18">
        <f t="shared" si="0"/>
        <v>0.9191446974055264</v>
      </c>
      <c r="AO3" s="18">
        <f t="shared" si="0"/>
        <v>0.76491571080227239</v>
      </c>
      <c r="AP3" s="18">
        <f t="shared" si="0"/>
        <v>0.76231720750687526</v>
      </c>
      <c r="AQ3" s="18">
        <f t="shared" si="0"/>
        <v>0.74979058756409545</v>
      </c>
      <c r="AR3" s="18">
        <f t="shared" si="0"/>
        <v>0.97053930649539788</v>
      </c>
      <c r="AS3" s="18">
        <f t="shared" si="0"/>
        <v>0.9671146588262961</v>
      </c>
      <c r="AT3" s="18">
        <f t="shared" si="0"/>
        <v>0.87428577715576883</v>
      </c>
      <c r="AU3" s="18">
        <f t="shared" si="0"/>
        <v>0.85547348372154641</v>
      </c>
      <c r="AV3" s="18">
        <f t="shared" si="0"/>
        <v>0.85583693103672154</v>
      </c>
      <c r="AW3" s="18">
        <f t="shared" si="0"/>
        <v>0.89832510642228702</v>
      </c>
      <c r="AX3" s="18">
        <f t="shared" si="0"/>
        <v>0.92542204661521854</v>
      </c>
      <c r="AY3" s="18">
        <f t="shared" si="0"/>
        <v>0.91222556155578216</v>
      </c>
      <c r="AZ3" s="18">
        <f t="shared" si="0"/>
        <v>0.98922918038073326</v>
      </c>
      <c r="BA3" s="18">
        <f t="shared" si="0"/>
        <v>0.99145814044177227</v>
      </c>
      <c r="BB3" s="18">
        <f t="shared" si="0"/>
        <v>0.90917486893867883</v>
      </c>
      <c r="BC3" s="18">
        <f t="shared" si="0"/>
        <v>0.80516473295092228</v>
      </c>
      <c r="BD3" s="18">
        <f t="shared" si="0"/>
        <v>0.60235713658865542</v>
      </c>
      <c r="BE3" s="18">
        <f t="shared" si="0"/>
        <v>0.8254634920283157</v>
      </c>
      <c r="BF3" s="18">
        <f t="shared" si="0"/>
        <v>0.77119910109492429</v>
      </c>
      <c r="BG3" s="18">
        <f t="shared" si="0"/>
        <v>0.83290410736832909</v>
      </c>
      <c r="BH3" s="18">
        <f t="shared" si="0"/>
        <v>0.94249991179661208</v>
      </c>
      <c r="BI3" s="18">
        <f t="shared" si="0"/>
        <v>0.99394150306659057</v>
      </c>
      <c r="BJ3" s="18">
        <f t="shared" si="0"/>
        <v>0.9246263362964311</v>
      </c>
      <c r="BK3" s="18">
        <f t="shared" si="0"/>
        <v>0.91196096908039959</v>
      </c>
      <c r="BL3" s="18">
        <f t="shared" si="0"/>
        <v>0.93624432937008606</v>
      </c>
      <c r="BM3" s="18">
        <f t="shared" si="0"/>
        <v>0.88788365355142018</v>
      </c>
      <c r="BN3" s="18">
        <f t="shared" si="0"/>
        <v>0.96292276420699718</v>
      </c>
      <c r="BO3" s="18">
        <f t="shared" si="0"/>
        <v>0.99960054045004965</v>
      </c>
      <c r="BP3" s="18">
        <f t="shared" si="0"/>
        <v>0.95556941730280165</v>
      </c>
      <c r="BQ3" s="18">
        <f t="shared" si="0"/>
        <v>0.9376811278815016</v>
      </c>
      <c r="BR3" s="18">
        <f t="shared" si="0"/>
        <v>0.73103959242623873</v>
      </c>
      <c r="BS3" s="18">
        <f t="shared" si="0"/>
        <v>0.98555516949636723</v>
      </c>
      <c r="BT3" s="18">
        <f t="shared" si="0"/>
        <v>0.91843829497881257</v>
      </c>
      <c r="BU3" s="18">
        <f t="shared" si="0"/>
        <v>0.92923509412847205</v>
      </c>
      <c r="BV3" s="18">
        <f t="shared" si="0"/>
        <v>0.74079312850247647</v>
      </c>
      <c r="BW3" s="18">
        <f t="shared" si="0"/>
        <v>0.96381847679195576</v>
      </c>
      <c r="BX3" s="18">
        <f t="shared" ref="BX3:CD18" si="1">(
   INDEX($B$3:$B$75, MATCH(BX$2,_xlfn.ANCHORARRAY( $A$3), 0)) *
   INDEX($B$3:$B$75, MATCH($I3,_xlfn.ANCHORARRAY( $A$3), 0))
 +
   (
     INDEX($C$3:$C$75, MATCH(BX$2,_xlfn.ANCHORARRAY( $A$3), 0)) *
     INDEX($C$3:$C$75, MATCH($I3,_xlfn.ANCHORARRAY( $A$3), 0))
   ) *
   IF(
       SIGN(INDEX($C$3:$C$75, MATCH(BX$2,_xlfn.ANCHORARRAY( $A$3), 0)))
       =
       SIGN(INDEX($C$3:$C$75, MATCH($I3,_xlfn.ANCHORARRAY( $A$3), 0))),
       1,
       0.1
   )
 +
   INDEX($D$3:$D$75, MATCH(BX$2,_xlfn.ANCHORARRAY( $A$3), 0)) *
   INDEX($D$3:$D$75, MATCH($I3,_xlfn.ANCHORARRAY( $A$3), 0)) + INDEX($E$3:$E$75,MATCH(BX$2,_xlfn.ANCHORARRAY($A$3),0)) * INDEX($E$3:$E$75,MATCH($I3,_xlfn.ANCHORARRAY($A$3),0)) + INDEX($F$3:$F$75,MATCH(BX$2,_xlfn.ANCHORARRAY($A$3),0)) * INDEX($F$3:$F$75,MATCH($I3,_xlfn.ANCHORARRAY($A$3),0)))
/
(
   SQRT(
       INDEX($B$3:$B$75, MATCH(BX$2,_xlfn.ANCHORARRAY( $A$3), 0))^2 +
       INDEX($C$3:$C$75, MATCH(BX$2,_xlfn.ANCHORARRAY( $A$3), 0))^2 +
       INDEX($D$3:$D$75, MATCH(BX$2,_xlfn.ANCHORARRAY( $A$3), 0))^2 + INDEX($E$3:$E$75,MATCH(BX$2,_xlfn.ANCHORARRAY($A$3),0))^2 + INDEX($F$3:$F$75,MATCH(BX$2,_xlfn.ANCHORARRAY($A$3),0))^2   )
   *
   SQRT(
       INDEX($B$3:$B$75, MATCH($I3,_xlfn.ANCHORARRAY( $A$3), 0))^2 +
       INDEX($C$3:$C$75, MATCH($I3,_xlfn.ANCHORARRAY( $A$3), 0))^2 +
       INDEX($D$3:$D$75, MATCH($I3,_xlfn.ANCHORARRAY( $A$3), 0))^2 + INDEX($E$3:$E$75,MATCH($I3,_xlfn.ANCHORARRAY($A$3),0))^2 + INDEX($F$3:$F$75,MATCH($I3,_xlfn.ANCHORARRAY($A$3),0))^2
   )
)</f>
        <v>0.76226819593280704</v>
      </c>
      <c r="BY3" s="18">
        <f t="shared" si="1"/>
        <v>0.98920140325802774</v>
      </c>
      <c r="BZ3" s="18">
        <f t="shared" si="1"/>
        <v>0.89320415483894</v>
      </c>
      <c r="CA3" s="18">
        <f t="shared" si="1"/>
        <v>0.84121940494532998</v>
      </c>
      <c r="CB3" s="18">
        <f t="shared" si="1"/>
        <v>0.87019370223239012</v>
      </c>
      <c r="CC3" s="18">
        <f t="shared" si="1"/>
        <v>0.8756636764520741</v>
      </c>
      <c r="CD3" s="18">
        <f t="shared" si="1"/>
        <v>0.91254634386124289</v>
      </c>
    </row>
    <row r="4" spans="1:82" x14ac:dyDescent="0.3">
      <c r="A4" s="7" t="str">
        <v>Morton, Charlie</v>
      </c>
      <c r="B4">
        <f>_xlfn.XLOOKUP($A4,braves_19_25__2[player_name], braves_19_25__2[release_pos_z])</f>
        <v>5.45</v>
      </c>
      <c r="C4">
        <f>_xlfn.XLOOKUP($A4,braves_19_25__2[player_name], braves_19_25__2[release_pos_x])*2.5</f>
        <v>-5.6499999999999995</v>
      </c>
      <c r="D4">
        <f>_xlfn.XLOOKUP($A4,braves_19_25__2[player_name], braves_19_25__2[release_extension])</f>
        <v>6.24</v>
      </c>
      <c r="E4">
        <f>COS(RADIANS(AVERAGE(_xlfn.XLOOKUP($A4,braves_19_25__2[player_name],braves_19_25__2[arm_angle]))))*4</f>
        <v>3.7165302861362246</v>
      </c>
      <c r="F4">
        <f>SIN(RADIANS(AVERAGE(_xlfn.XLOOKUP($A4,braves_19_25__2[player_name],braves_19_25__2[arm_angle]))))*4</f>
        <v>1.4789870290953171</v>
      </c>
      <c r="G4">
        <f t="shared" ref="G4:G67" si="2">SQRT(SUMSQ(B4:F4))</f>
        <v>10.796416072012045</v>
      </c>
      <c r="I4" s="7" t="str">
        <v>Morton, Charlie</v>
      </c>
      <c r="J4" s="18">
        <f t="shared" ref="J4:Y26" si="3">(
   INDEX($B$3:$B$75, MATCH(J$2,_xlfn.ANCHORARRAY( $A$3), 0)) *
   INDEX($B$3:$B$75, MATCH($I4,_xlfn.ANCHORARRAY( $A$3), 0))
 +
   (
     INDEX($C$3:$C$75, MATCH(J$2,_xlfn.ANCHORARRAY( $A$3), 0)) *
     INDEX($C$3:$C$75, MATCH($I4,_xlfn.ANCHORARRAY( $A$3), 0))
   ) *
   IF(
       SIGN(INDEX($C$3:$C$75, MATCH(J$2,_xlfn.ANCHORARRAY( $A$3), 0)))
       =
       SIGN(INDEX($C$3:$C$75, MATCH($I4,_xlfn.ANCHORARRAY( $A$3), 0))),
       1,
       0.1
   )
 +
   INDEX($D$3:$D$75, MATCH(J$2,_xlfn.ANCHORARRAY( $A$3), 0)) *
   INDEX($D$3:$D$75, MATCH($I4,_xlfn.ANCHORARRAY( $A$3), 0)) + INDEX($E$3:$E$75,MATCH(J$2,_xlfn.ANCHORARRAY($A$3),0)) * INDEX($E$3:$E$75,MATCH($I4,_xlfn.ANCHORARRAY($A$3),0)) + INDEX($F$3:$F$75,MATCH(J$2,_xlfn.ANCHORARRAY($A$3),0)) * INDEX($F$3:$F$75,MATCH($I4,_xlfn.ANCHORARRAY($A$3),0)))
/
(
   SQRT(
       INDEX($B$3:$B$75, MATCH(J$2,_xlfn.ANCHORARRAY( $A$3), 0))^2 +
       INDEX($C$3:$C$75, MATCH(J$2,_xlfn.ANCHORARRAY( $A$3), 0))^2 +
       INDEX($D$3:$D$75, MATCH(J$2,_xlfn.ANCHORARRAY( $A$3), 0))^2 + INDEX($E$3:$E$75,MATCH(J$2,_xlfn.ANCHORARRAY($A$3),0))^2 + INDEX($F$3:$F$75,MATCH(J$2,_xlfn.ANCHORARRAY($A$3),0))^2   )
   *
   SQRT(
       INDEX($B$3:$B$75, MATCH($I4,_xlfn.ANCHORARRAY( $A$3), 0))^2 +
       INDEX($C$3:$C$75, MATCH($I4,_xlfn.ANCHORARRAY( $A$3), 0))^2 +
       INDEX($D$3:$D$75, MATCH($I4,_xlfn.ANCHORARRAY( $A$3), 0))^2 + INDEX($E$3:$E$75,MATCH($I4,_xlfn.ANCHORARRAY($A$3),0))^2 + INDEX($F$3:$F$75,MATCH($I4,_xlfn.ANCHORARRAY($A$3),0))^2
   )
)</f>
        <v>0.77357056010109126</v>
      </c>
      <c r="K4" s="18">
        <f t="shared" si="3"/>
        <v>1.0000000000000002</v>
      </c>
      <c r="L4" s="18">
        <f t="shared" si="0"/>
        <v>0.99263499070168282</v>
      </c>
      <c r="M4" s="18">
        <f t="shared" si="0"/>
        <v>0.9431830139843117</v>
      </c>
      <c r="N4" s="18">
        <f t="shared" si="0"/>
        <v>0.60964493123925267</v>
      </c>
      <c r="O4" s="18">
        <f t="shared" si="0"/>
        <v>0.94805179032833864</v>
      </c>
      <c r="P4" s="18">
        <f t="shared" si="0"/>
        <v>0.6987408631287616</v>
      </c>
      <c r="Q4" s="18">
        <f t="shared" si="0"/>
        <v>0.99538547734682958</v>
      </c>
      <c r="R4" s="18">
        <f t="shared" si="0"/>
        <v>0.99519086130327916</v>
      </c>
      <c r="S4" s="18">
        <f t="shared" si="0"/>
        <v>0.98798711490360958</v>
      </c>
      <c r="T4" s="18">
        <f t="shared" si="0"/>
        <v>0.98872606904630822</v>
      </c>
      <c r="U4" s="18">
        <f t="shared" si="0"/>
        <v>0.99270551266332152</v>
      </c>
      <c r="V4" s="18">
        <f t="shared" si="0"/>
        <v>0.984212982374714</v>
      </c>
      <c r="W4" s="18">
        <f t="shared" si="0"/>
        <v>0.74891840738360416</v>
      </c>
      <c r="X4" s="18">
        <f t="shared" si="0"/>
        <v>0.99261041462815114</v>
      </c>
      <c r="Y4" s="18">
        <f t="shared" si="0"/>
        <v>0.98236413450827786</v>
      </c>
      <c r="Z4" s="18">
        <f t="shared" si="0"/>
        <v>0.73216181068400721</v>
      </c>
      <c r="AA4" s="18">
        <f t="shared" si="0"/>
        <v>0.75746217685176487</v>
      </c>
      <c r="AB4" s="18">
        <f t="shared" si="0"/>
        <v>0.99400811815584533</v>
      </c>
      <c r="AC4" s="18">
        <f t="shared" si="0"/>
        <v>0.98415516852104046</v>
      </c>
      <c r="AD4" s="18">
        <f t="shared" si="0"/>
        <v>0.7280224336956187</v>
      </c>
      <c r="AE4" s="18">
        <f t="shared" si="0"/>
        <v>0.99861786212517145</v>
      </c>
      <c r="AF4" s="18">
        <f t="shared" si="0"/>
        <v>0.97361441084859746</v>
      </c>
      <c r="AG4" s="18">
        <f t="shared" si="0"/>
        <v>0.99417856949063232</v>
      </c>
      <c r="AH4" s="18">
        <f t="shared" si="0"/>
        <v>0.996407589542469</v>
      </c>
      <c r="AI4" s="18">
        <f t="shared" si="0"/>
        <v>0.75258741544440955</v>
      </c>
      <c r="AJ4" s="18">
        <f t="shared" si="0"/>
        <v>0.99160699428130494</v>
      </c>
      <c r="AK4" s="18">
        <f t="shared" si="0"/>
        <v>0.63354415313355827</v>
      </c>
      <c r="AL4" s="18">
        <f t="shared" si="0"/>
        <v>0.97229586586770156</v>
      </c>
      <c r="AM4" s="18">
        <f t="shared" si="0"/>
        <v>0.9860951468169955</v>
      </c>
      <c r="AN4" s="18">
        <f t="shared" si="0"/>
        <v>0.93060088892345161</v>
      </c>
      <c r="AO4" s="18">
        <f t="shared" si="0"/>
        <v>0.98795481774582017</v>
      </c>
      <c r="AP4" s="18">
        <f t="shared" si="0"/>
        <v>0.99477154543213864</v>
      </c>
      <c r="AQ4" s="18">
        <f t="shared" si="0"/>
        <v>0.99037625578054589</v>
      </c>
      <c r="AR4" s="18">
        <f t="shared" si="0"/>
        <v>0.83027853977154742</v>
      </c>
      <c r="AS4" s="18">
        <f t="shared" si="0"/>
        <v>0.68382506446235181</v>
      </c>
      <c r="AT4" s="18">
        <f t="shared" si="0"/>
        <v>0.97462591581155966</v>
      </c>
      <c r="AU4" s="18">
        <f t="shared" si="0"/>
        <v>0.98029402920867026</v>
      </c>
      <c r="AV4" s="18">
        <f t="shared" si="0"/>
        <v>0.98413230627664117</v>
      </c>
      <c r="AW4" s="18">
        <f t="shared" si="0"/>
        <v>0.91288799151902578</v>
      </c>
      <c r="AX4" s="18">
        <f t="shared" si="0"/>
        <v>0.91505319930833562</v>
      </c>
      <c r="AY4" s="18">
        <f t="shared" si="0"/>
        <v>0.60017393537161834</v>
      </c>
      <c r="AZ4" s="18">
        <f t="shared" si="0"/>
        <v>0.75054668294408033</v>
      </c>
      <c r="BA4" s="18">
        <f t="shared" si="0"/>
        <v>0.81056048759367549</v>
      </c>
      <c r="BB4" s="18">
        <f t="shared" si="0"/>
        <v>0.94861856674381217</v>
      </c>
      <c r="BC4" s="18">
        <f t="shared" si="0"/>
        <v>0.99808462059523628</v>
      </c>
      <c r="BD4" s="18">
        <f t="shared" si="0"/>
        <v>0.94486402010562798</v>
      </c>
      <c r="BE4" s="18">
        <f t="shared" si="0"/>
        <v>0.99375130570475467</v>
      </c>
      <c r="BF4" s="18">
        <f t="shared" si="0"/>
        <v>0.97247759268091016</v>
      </c>
      <c r="BG4" s="18">
        <f t="shared" si="0"/>
        <v>0.99103661226282147</v>
      </c>
      <c r="BH4" s="18">
        <f t="shared" si="0"/>
        <v>0.87849625598886616</v>
      </c>
      <c r="BI4" s="18">
        <f t="shared" si="0"/>
        <v>0.73180253704082932</v>
      </c>
      <c r="BJ4" s="18">
        <f t="shared" si="0"/>
        <v>0.91575543000650439</v>
      </c>
      <c r="BK4" s="18">
        <f t="shared" si="0"/>
        <v>0.93800777200549634</v>
      </c>
      <c r="BL4" s="18">
        <f t="shared" si="0"/>
        <v>0.8939503761740194</v>
      </c>
      <c r="BM4" s="18">
        <f t="shared" si="0"/>
        <v>0.96798635198653016</v>
      </c>
      <c r="BN4" s="18">
        <f t="shared" si="0"/>
        <v>0.69087506402674415</v>
      </c>
      <c r="BO4" s="18">
        <f t="shared" si="0"/>
        <v>0.76872647394351756</v>
      </c>
      <c r="BP4" s="18">
        <f t="shared" si="0"/>
        <v>0.65939448198068684</v>
      </c>
      <c r="BQ4" s="18">
        <f t="shared" si="0"/>
        <v>0.89210974399068799</v>
      </c>
      <c r="BR4" s="18">
        <f t="shared" si="0"/>
        <v>0.99170725574066088</v>
      </c>
      <c r="BS4" s="18">
        <f t="shared" si="0"/>
        <v>0.7620424994547762</v>
      </c>
      <c r="BT4" s="18">
        <f t="shared" si="0"/>
        <v>0.92293105397642061</v>
      </c>
      <c r="BU4" s="18">
        <f t="shared" si="0"/>
        <v>0.63777256095887125</v>
      </c>
      <c r="BV4" s="18">
        <f t="shared" si="0"/>
        <v>0.99835931272666145</v>
      </c>
      <c r="BW4" s="18">
        <f t="shared" si="0"/>
        <v>0.67980278374069503</v>
      </c>
      <c r="BX4" s="18">
        <f t="shared" si="1"/>
        <v>0.99766470178762445</v>
      </c>
      <c r="BY4" s="18">
        <f t="shared" si="1"/>
        <v>0.81025932612974938</v>
      </c>
      <c r="BZ4" s="18">
        <f t="shared" si="1"/>
        <v>0.96396275327057412</v>
      </c>
      <c r="CA4" s="18">
        <f t="shared" si="1"/>
        <v>0.98498170427095544</v>
      </c>
      <c r="CB4" s="18">
        <f t="shared" si="1"/>
        <v>0.97787645375939425</v>
      </c>
      <c r="CC4" s="18">
        <f t="shared" si="1"/>
        <v>0.96021813117089538</v>
      </c>
      <c r="CD4" s="18">
        <f t="shared" si="1"/>
        <v>0.59178133541723876</v>
      </c>
    </row>
    <row r="5" spans="1:82" x14ac:dyDescent="0.3">
      <c r="A5" s="7" t="str">
        <v>Strider, Spencer</v>
      </c>
      <c r="B5">
        <f>_xlfn.XLOOKUP($A5,braves_19_25__2[player_name], braves_19_25__2[release_pos_z])</f>
        <v>6.09</v>
      </c>
      <c r="C5">
        <f>_xlfn.XLOOKUP($A5,braves_19_25__2[player_name], braves_19_25__2[release_pos_x])*2.5</f>
        <v>-5.4749999999999996</v>
      </c>
      <c r="D5">
        <f>_xlfn.XLOOKUP($A5,braves_19_25__2[player_name], braves_19_25__2[release_extension])</f>
        <v>6.3</v>
      </c>
      <c r="E5">
        <f>COS(RADIANS(AVERAGE(_xlfn.XLOOKUP($A5,braves_19_25__2[player_name],braves_19_25__2[arm_angle]))))*4</f>
        <v>3.1217216293533188</v>
      </c>
      <c r="F5">
        <f>SIN(RADIANS(AVERAGE(_xlfn.XLOOKUP($A5,braves_19_25__2[player_name],braves_19_25__2[arm_angle]))))*4</f>
        <v>2.5009706253428208</v>
      </c>
      <c r="G5">
        <f t="shared" si="2"/>
        <v>11.079428008701532</v>
      </c>
      <c r="I5" s="7" t="str">
        <v>Strider, Spencer</v>
      </c>
      <c r="J5" s="18">
        <f t="shared" si="3"/>
        <v>0.80837281016178464</v>
      </c>
      <c r="K5" s="18">
        <f t="shared" si="3"/>
        <v>0.99263499070168282</v>
      </c>
      <c r="L5" s="18">
        <f t="shared" si="0"/>
        <v>1</v>
      </c>
      <c r="M5" s="18">
        <f t="shared" si="0"/>
        <v>0.96994759475407388</v>
      </c>
      <c r="N5" s="18">
        <f t="shared" si="0"/>
        <v>0.60890672115408784</v>
      </c>
      <c r="O5" s="18">
        <f t="shared" si="0"/>
        <v>0.97645336551431705</v>
      </c>
      <c r="P5" s="18">
        <f t="shared" si="0"/>
        <v>0.72240721916428818</v>
      </c>
      <c r="Q5" s="18">
        <f t="shared" si="0"/>
        <v>0.99480317807253005</v>
      </c>
      <c r="R5" s="18">
        <f t="shared" si="0"/>
        <v>0.9945043598961758</v>
      </c>
      <c r="S5" s="18">
        <f t="shared" si="0"/>
        <v>0.99742463018837901</v>
      </c>
      <c r="T5" s="18">
        <f t="shared" si="0"/>
        <v>0.98675188795914881</v>
      </c>
      <c r="U5" s="18">
        <f t="shared" si="0"/>
        <v>0.99686190928127272</v>
      </c>
      <c r="V5" s="18">
        <f t="shared" si="0"/>
        <v>0.99644051444629433</v>
      </c>
      <c r="W5" s="18">
        <f t="shared" si="0"/>
        <v>0.78028921457273104</v>
      </c>
      <c r="X5" s="18">
        <f t="shared" si="0"/>
        <v>0.99812705235121169</v>
      </c>
      <c r="Y5" s="18">
        <f t="shared" si="0"/>
        <v>0.99256857039767199</v>
      </c>
      <c r="Z5" s="18">
        <f t="shared" si="0"/>
        <v>0.76471721949806237</v>
      </c>
      <c r="AA5" s="18">
        <f t="shared" si="0"/>
        <v>0.78825010148615104</v>
      </c>
      <c r="AB5" s="18">
        <f t="shared" si="0"/>
        <v>0.99930782469043244</v>
      </c>
      <c r="AC5" s="18">
        <f t="shared" si="0"/>
        <v>0.99555669300018779</v>
      </c>
      <c r="AD5" s="18">
        <f t="shared" si="0"/>
        <v>0.76388639982965201</v>
      </c>
      <c r="AE5" s="18">
        <f t="shared" si="0"/>
        <v>0.99557794858331594</v>
      </c>
      <c r="AF5" s="18">
        <f t="shared" si="0"/>
        <v>0.99024039496116878</v>
      </c>
      <c r="AG5" s="18">
        <f t="shared" si="0"/>
        <v>0.99588021776350044</v>
      </c>
      <c r="AH5" s="18">
        <f t="shared" si="0"/>
        <v>0.99424597918166246</v>
      </c>
      <c r="AI5" s="18">
        <f t="shared" si="0"/>
        <v>0.78706861183905963</v>
      </c>
      <c r="AJ5" s="18">
        <f t="shared" si="0"/>
        <v>0.99841695568701561</v>
      </c>
      <c r="AK5" s="18">
        <f t="shared" si="0"/>
        <v>0.63126720256681523</v>
      </c>
      <c r="AL5" s="18">
        <f t="shared" si="0"/>
        <v>0.95374081537776079</v>
      </c>
      <c r="AM5" s="18">
        <f t="shared" si="0"/>
        <v>0.99626021516247387</v>
      </c>
      <c r="AN5" s="18">
        <f t="shared" si="0"/>
        <v>0.95430154767178965</v>
      </c>
      <c r="AO5" s="18">
        <f t="shared" si="0"/>
        <v>0.99560373201432473</v>
      </c>
      <c r="AP5" s="18">
        <f t="shared" si="0"/>
        <v>0.99432313905973779</v>
      </c>
      <c r="AQ5" s="18">
        <f t="shared" si="0"/>
        <v>0.99289172132672365</v>
      </c>
      <c r="AR5" s="18">
        <f t="shared" si="0"/>
        <v>0.86003777653025781</v>
      </c>
      <c r="AS5" s="18">
        <f t="shared" si="0"/>
        <v>0.70910711034936103</v>
      </c>
      <c r="AT5" s="18">
        <f t="shared" si="0"/>
        <v>0.98841710125456039</v>
      </c>
      <c r="AU5" s="18">
        <f t="shared" si="0"/>
        <v>0.99178616164963163</v>
      </c>
      <c r="AV5" s="18">
        <f t="shared" si="0"/>
        <v>0.99368729112486986</v>
      </c>
      <c r="AW5" s="18">
        <f t="shared" si="0"/>
        <v>0.95041022186858903</v>
      </c>
      <c r="AX5" s="18">
        <f t="shared" si="0"/>
        <v>0.94606815911876962</v>
      </c>
      <c r="AY5" s="18">
        <f t="shared" si="0"/>
        <v>0.61910852886390211</v>
      </c>
      <c r="AZ5" s="18">
        <f t="shared" si="0"/>
        <v>0.77525908391948273</v>
      </c>
      <c r="BA5" s="18">
        <f t="shared" si="0"/>
        <v>0.83977011683801817</v>
      </c>
      <c r="BB5" s="18">
        <f t="shared" si="0"/>
        <v>0.96517974728099643</v>
      </c>
      <c r="BC5" s="18">
        <f t="shared" si="0"/>
        <v>0.99344453323553084</v>
      </c>
      <c r="BD5" s="18">
        <f t="shared" si="0"/>
        <v>0.90287790693833758</v>
      </c>
      <c r="BE5" s="18">
        <f t="shared" si="0"/>
        <v>0.99707041634759896</v>
      </c>
      <c r="BF5" s="18">
        <f t="shared" si="0"/>
        <v>0.98981956089443901</v>
      </c>
      <c r="BG5" s="18">
        <f t="shared" si="0"/>
        <v>0.99608192146158436</v>
      </c>
      <c r="BH5" s="18">
        <f t="shared" si="0"/>
        <v>0.91200379140233556</v>
      </c>
      <c r="BI5" s="18">
        <f t="shared" si="0"/>
        <v>0.77456645681713299</v>
      </c>
      <c r="BJ5" s="18">
        <f t="shared" si="0"/>
        <v>0.94490724490242806</v>
      </c>
      <c r="BK5" s="18">
        <f t="shared" si="0"/>
        <v>0.96369146457654209</v>
      </c>
      <c r="BL5" s="18">
        <f t="shared" si="0"/>
        <v>0.92634787268839669</v>
      </c>
      <c r="BM5" s="18">
        <f t="shared" si="0"/>
        <v>0.97996273725118865</v>
      </c>
      <c r="BN5" s="18">
        <f t="shared" si="0"/>
        <v>0.71145214561792014</v>
      </c>
      <c r="BO5" s="18">
        <f t="shared" si="0"/>
        <v>0.80540618555897758</v>
      </c>
      <c r="BP5" s="18">
        <f t="shared" si="0"/>
        <v>0.68559919291370863</v>
      </c>
      <c r="BQ5" s="18">
        <f t="shared" si="0"/>
        <v>0.92364466008010415</v>
      </c>
      <c r="BR5" s="18">
        <f t="shared" si="0"/>
        <v>0.98982398183890485</v>
      </c>
      <c r="BS5" s="18">
        <f t="shared" si="0"/>
        <v>0.78030416151604998</v>
      </c>
      <c r="BT5" s="18">
        <f t="shared" si="0"/>
        <v>0.94951379861556973</v>
      </c>
      <c r="BU5" s="18">
        <f t="shared" si="0"/>
        <v>0.65503236106521978</v>
      </c>
      <c r="BV5" s="18">
        <f t="shared" si="0"/>
        <v>0.98648549311626654</v>
      </c>
      <c r="BW5" s="18">
        <f t="shared" si="0"/>
        <v>0.70463688637645883</v>
      </c>
      <c r="BX5" s="18">
        <f t="shared" si="1"/>
        <v>0.99051046078799376</v>
      </c>
      <c r="BY5" s="18">
        <f t="shared" si="1"/>
        <v>0.84548772435982322</v>
      </c>
      <c r="BZ5" s="18">
        <f t="shared" si="1"/>
        <v>0.97449704631059586</v>
      </c>
      <c r="CA5" s="18">
        <f t="shared" si="1"/>
        <v>0.99600148899367347</v>
      </c>
      <c r="CB5" s="18">
        <f t="shared" si="1"/>
        <v>0.98980596942598154</v>
      </c>
      <c r="CC5" s="18">
        <f t="shared" si="1"/>
        <v>0.98391734751073567</v>
      </c>
      <c r="CD5" s="18">
        <f t="shared" si="1"/>
        <v>0.61570479775266374</v>
      </c>
    </row>
    <row r="6" spans="1:82" x14ac:dyDescent="0.3">
      <c r="A6" s="7" t="str">
        <v>Elder, Bryce</v>
      </c>
      <c r="B6">
        <f>_xlfn.XLOOKUP($A6,braves_19_25__2[player_name], braves_19_25__2[release_pos_z])</f>
        <v>6.48</v>
      </c>
      <c r="C6">
        <f>_xlfn.XLOOKUP($A6,braves_19_25__2[player_name], braves_19_25__2[release_pos_x])*2.5</f>
        <v>-2.9</v>
      </c>
      <c r="D6">
        <f>_xlfn.XLOOKUP($A6,braves_19_25__2[player_name], braves_19_25__2[release_extension])</f>
        <v>6.03</v>
      </c>
      <c r="E6">
        <f>COS(RADIANS(AVERAGE(_xlfn.XLOOKUP($A6,braves_19_25__2[player_name],braves_19_25__2[arm_angle]))))*4</f>
        <v>2.4955183868375448</v>
      </c>
      <c r="F6">
        <f>SIN(RADIANS(AVERAGE(_xlfn.XLOOKUP($A6,braves_19_25__2[player_name],braves_19_25__2[arm_angle]))))*4</f>
        <v>3.1260818896752749</v>
      </c>
      <c r="G6">
        <f t="shared" si="2"/>
        <v>10.137124838927456</v>
      </c>
      <c r="I6" s="7" t="str">
        <v>Elder, Bryce</v>
      </c>
      <c r="J6" s="18">
        <f t="shared" si="3"/>
        <v>0.90217665472858743</v>
      </c>
      <c r="K6" s="18">
        <f t="shared" si="3"/>
        <v>0.9431830139843117</v>
      </c>
      <c r="L6" s="18">
        <f t="shared" si="0"/>
        <v>0.96994759475407388</v>
      </c>
      <c r="M6" s="18">
        <f t="shared" si="0"/>
        <v>1.0000000000000002</v>
      </c>
      <c r="N6" s="18">
        <f t="shared" si="0"/>
        <v>0.66614027275075449</v>
      </c>
      <c r="O6" s="18">
        <f t="shared" si="0"/>
        <v>0.99040031280225482</v>
      </c>
      <c r="P6" s="18">
        <f t="shared" si="0"/>
        <v>0.805010738182941</v>
      </c>
      <c r="Q6" s="18">
        <f t="shared" si="0"/>
        <v>0.96800282631927759</v>
      </c>
      <c r="R6" s="18">
        <f t="shared" si="0"/>
        <v>0.94707747614182225</v>
      </c>
      <c r="S6" s="18">
        <f t="shared" si="0"/>
        <v>0.97145778248725934</v>
      </c>
      <c r="T6" s="18">
        <f t="shared" si="0"/>
        <v>0.96949109422496171</v>
      </c>
      <c r="U6" s="18">
        <f t="shared" si="0"/>
        <v>0.9751266052583405</v>
      </c>
      <c r="V6" s="18">
        <f t="shared" si="0"/>
        <v>0.96008697614515459</v>
      </c>
      <c r="W6" s="18">
        <f t="shared" si="0"/>
        <v>0.87162896821124225</v>
      </c>
      <c r="X6" s="18">
        <f t="shared" si="0"/>
        <v>0.95552194504086863</v>
      </c>
      <c r="Y6" s="18">
        <f t="shared" si="0"/>
        <v>0.9864270879437238</v>
      </c>
      <c r="Z6" s="18">
        <f t="shared" si="0"/>
        <v>0.85644442013546729</v>
      </c>
      <c r="AA6" s="18">
        <f t="shared" si="0"/>
        <v>0.87966679153079042</v>
      </c>
      <c r="AB6" s="18">
        <f t="shared" si="0"/>
        <v>0.96868762014271681</v>
      </c>
      <c r="AC6" s="18">
        <f t="shared" si="0"/>
        <v>0.98501132612104014</v>
      </c>
      <c r="AD6" s="18">
        <f t="shared" si="0"/>
        <v>0.85887665029819227</v>
      </c>
      <c r="AE6" s="18">
        <f t="shared" si="0"/>
        <v>0.95373209593124408</v>
      </c>
      <c r="AF6" s="18">
        <f t="shared" si="0"/>
        <v>0.99399688445252354</v>
      </c>
      <c r="AG6" s="18">
        <f t="shared" si="0"/>
        <v>0.96655942179426846</v>
      </c>
      <c r="AH6" s="18">
        <f t="shared" si="0"/>
        <v>0.94575972536195907</v>
      </c>
      <c r="AI6" s="18">
        <f t="shared" si="0"/>
        <v>0.88145914499467248</v>
      </c>
      <c r="AJ6" s="18">
        <f t="shared" si="0"/>
        <v>0.97715552183485688</v>
      </c>
      <c r="AK6" s="18">
        <f t="shared" si="0"/>
        <v>0.68854953629468318</v>
      </c>
      <c r="AL6" s="18">
        <f t="shared" si="0"/>
        <v>0.85242820669935015</v>
      </c>
      <c r="AM6" s="18">
        <f t="shared" si="0"/>
        <v>0.97479498785722374</v>
      </c>
      <c r="AN6" s="18">
        <f t="shared" si="0"/>
        <v>0.99577028039805193</v>
      </c>
      <c r="AO6" s="18">
        <f t="shared" si="0"/>
        <v>0.94928538174644672</v>
      </c>
      <c r="AP6" s="18">
        <f t="shared" si="0"/>
        <v>0.94458697172162587</v>
      </c>
      <c r="AQ6" s="18">
        <f t="shared" si="0"/>
        <v>0.93746927905548438</v>
      </c>
      <c r="AR6" s="18">
        <f t="shared" si="0"/>
        <v>0.9480062483662951</v>
      </c>
      <c r="AS6" s="18">
        <f t="shared" si="0"/>
        <v>0.79262592778652385</v>
      </c>
      <c r="AT6" s="18">
        <f t="shared" si="0"/>
        <v>0.99283227662257334</v>
      </c>
      <c r="AU6" s="18">
        <f t="shared" si="0"/>
        <v>0.98780710304688435</v>
      </c>
      <c r="AV6" s="18">
        <f t="shared" si="0"/>
        <v>0.98597958738643221</v>
      </c>
      <c r="AW6" s="18">
        <f t="shared" si="0"/>
        <v>0.98974930867340738</v>
      </c>
      <c r="AX6" s="18">
        <f t="shared" si="0"/>
        <v>0.99505987308205457</v>
      </c>
      <c r="AY6" s="18">
        <f t="shared" si="0"/>
        <v>0.69332868297425176</v>
      </c>
      <c r="AZ6" s="18">
        <f t="shared" si="0"/>
        <v>0.86113768523845136</v>
      </c>
      <c r="BA6" s="18">
        <f t="shared" si="0"/>
        <v>0.92810748200404969</v>
      </c>
      <c r="BB6" s="18">
        <f t="shared" si="0"/>
        <v>0.99378702166330568</v>
      </c>
      <c r="BC6" s="18">
        <f t="shared" si="0"/>
        <v>0.95785411514391561</v>
      </c>
      <c r="BD6" s="18">
        <f t="shared" si="0"/>
        <v>0.79595794943142706</v>
      </c>
      <c r="BE6" s="18">
        <f t="shared" si="0"/>
        <v>0.97187073824323833</v>
      </c>
      <c r="BF6" s="18">
        <f t="shared" si="0"/>
        <v>0.95322185306070317</v>
      </c>
      <c r="BG6" s="18">
        <f t="shared" si="0"/>
        <v>0.97478448429760833</v>
      </c>
      <c r="BH6" s="18">
        <f t="shared" si="0"/>
        <v>0.98301002776352975</v>
      </c>
      <c r="BI6" s="18">
        <f t="shared" si="0"/>
        <v>0.87457566360509598</v>
      </c>
      <c r="BJ6" s="18">
        <f t="shared" si="0"/>
        <v>0.99497343216450462</v>
      </c>
      <c r="BK6" s="18">
        <f t="shared" si="0"/>
        <v>0.99905962243604507</v>
      </c>
      <c r="BL6" s="18">
        <f t="shared" si="0"/>
        <v>0.98932753008695928</v>
      </c>
      <c r="BM6" s="18">
        <f t="shared" si="0"/>
        <v>0.99113549497092501</v>
      </c>
      <c r="BN6" s="18">
        <f t="shared" si="0"/>
        <v>0.79165589402916459</v>
      </c>
      <c r="BO6" s="18">
        <f t="shared" si="0"/>
        <v>0.90107145618786144</v>
      </c>
      <c r="BP6" s="18">
        <f t="shared" si="0"/>
        <v>0.76902016207916712</v>
      </c>
      <c r="BQ6" s="18">
        <f t="shared" si="0"/>
        <v>0.987791908288148</v>
      </c>
      <c r="BR6" s="18">
        <f t="shared" si="0"/>
        <v>0.92625964815024187</v>
      </c>
      <c r="BS6" s="18">
        <f t="shared" si="0"/>
        <v>0.86016998484892149</v>
      </c>
      <c r="BT6" s="18">
        <f t="shared" si="0"/>
        <v>0.99509282487165429</v>
      </c>
      <c r="BU6" s="18">
        <f t="shared" si="0"/>
        <v>0.73058611768505266</v>
      </c>
      <c r="BV6" s="18">
        <f t="shared" si="0"/>
        <v>0.92358560741600282</v>
      </c>
      <c r="BW6" s="18">
        <f t="shared" ref="L6:BW10" si="4">(
   INDEX($B$3:$B$75, MATCH(BW$2,_xlfn.ANCHORARRAY( $A$3), 0)) *
   INDEX($B$3:$B$75, MATCH($I6,_xlfn.ANCHORARRAY( $A$3), 0))
 +
   (
     INDEX($C$3:$C$75, MATCH(BW$2,_xlfn.ANCHORARRAY( $A$3), 0)) *
     INDEX($C$3:$C$75, MATCH($I6,_xlfn.ANCHORARRAY( $A$3), 0))
   ) *
   IF(
       SIGN(INDEX($C$3:$C$75, MATCH(BW$2,_xlfn.ANCHORARRAY( $A$3), 0)))
       =
       SIGN(INDEX($C$3:$C$75, MATCH($I6,_xlfn.ANCHORARRAY( $A$3), 0))),
       1,
       0.1
   )
 +
   INDEX($D$3:$D$75, MATCH(BW$2,_xlfn.ANCHORARRAY( $A$3), 0)) *
   INDEX($D$3:$D$75, MATCH($I6,_xlfn.ANCHORARRAY( $A$3), 0)) + INDEX($E$3:$E$75,MATCH(BW$2,_xlfn.ANCHORARRAY($A$3),0)) * INDEX($E$3:$E$75,MATCH($I6,_xlfn.ANCHORARRAY($A$3),0)) + INDEX($F$3:$F$75,MATCH(BW$2,_xlfn.ANCHORARRAY($A$3),0)) * INDEX($F$3:$F$75,MATCH($I6,_xlfn.ANCHORARRAY($A$3),0)))
/
(
   SQRT(
       INDEX($B$3:$B$75, MATCH(BW$2,_xlfn.ANCHORARRAY( $A$3), 0))^2 +
       INDEX($C$3:$C$75, MATCH(BW$2,_xlfn.ANCHORARRAY( $A$3), 0))^2 +
       INDEX($D$3:$D$75, MATCH(BW$2,_xlfn.ANCHORARRAY( $A$3), 0))^2 + INDEX($E$3:$E$75,MATCH(BW$2,_xlfn.ANCHORARRAY($A$3),0))^2 + INDEX($F$3:$F$75,MATCH(BW$2,_xlfn.ANCHORARRAY($A$3),0))^2   )
   *
   SQRT(
       INDEX($B$3:$B$75, MATCH($I6,_xlfn.ANCHORARRAY( $A$3), 0))^2 +
       INDEX($C$3:$C$75, MATCH($I6,_xlfn.ANCHORARRAY( $A$3), 0))^2 +
       INDEX($D$3:$D$75, MATCH($I6,_xlfn.ANCHORARRAY( $A$3), 0))^2 + INDEX($E$3:$E$75,MATCH($I6,_xlfn.ANCHORARRAY($A$3),0))^2 + INDEX($F$3:$F$75,MATCH($I6,_xlfn.ANCHORARRAY($A$3),0))^2
   )
)</f>
        <v>0.78779735410760987</v>
      </c>
      <c r="BX6" s="18">
        <f t="shared" si="1"/>
        <v>0.9354331914873496</v>
      </c>
      <c r="BY6" s="18">
        <f t="shared" si="1"/>
        <v>0.93967135293020587</v>
      </c>
      <c r="BZ6" s="18">
        <f t="shared" si="1"/>
        <v>0.98928835781472613</v>
      </c>
      <c r="CA6" s="18">
        <f t="shared" si="1"/>
        <v>0.98126258919248299</v>
      </c>
      <c r="CB6" s="18">
        <f t="shared" si="1"/>
        <v>0.99082957071579847</v>
      </c>
      <c r="CC6" s="18">
        <f t="shared" si="1"/>
        <v>0.99439323047212058</v>
      </c>
      <c r="CD6" s="18">
        <f t="shared" si="1"/>
        <v>0.69474196253747433</v>
      </c>
    </row>
    <row r="7" spans="1:82" x14ac:dyDescent="0.3">
      <c r="A7" s="7" t="str">
        <v>Sale, Chris</v>
      </c>
      <c r="B7">
        <f>_xlfn.XLOOKUP($A7,braves_19_25__2[player_name], braves_19_25__2[release_pos_z])</f>
        <v>4.96</v>
      </c>
      <c r="C7">
        <f>_xlfn.XLOOKUP($A7,braves_19_25__2[player_name], braves_19_25__2[release_pos_x])*2.5</f>
        <v>7.8249999999999993</v>
      </c>
      <c r="D7">
        <f>_xlfn.XLOOKUP($A7,braves_19_25__2[player_name], braves_19_25__2[release_extension])</f>
        <v>6.59</v>
      </c>
      <c r="E7">
        <f>COS(RADIANS(AVERAGE(_xlfn.XLOOKUP($A7,braves_19_25__2[player_name],braves_19_25__2[arm_angle]))))*4</f>
        <v>3.9529135257862111</v>
      </c>
      <c r="F7">
        <f>SIN(RADIANS(AVERAGE(_xlfn.XLOOKUP($A7,braves_19_25__2[player_name],braves_19_25__2[arm_angle]))))*4</f>
        <v>0.61194334513615234</v>
      </c>
      <c r="G7">
        <f t="shared" si="2"/>
        <v>12.052399138760714</v>
      </c>
      <c r="I7" s="7" t="str">
        <v>Sale, Chris</v>
      </c>
      <c r="J7" s="18">
        <f t="shared" si="3"/>
        <v>0.88171217853908135</v>
      </c>
      <c r="K7" s="18">
        <f t="shared" si="3"/>
        <v>0.60964493123925267</v>
      </c>
      <c r="L7" s="18">
        <f t="shared" si="4"/>
        <v>0.60890672115408784</v>
      </c>
      <c r="M7" s="18">
        <f t="shared" si="4"/>
        <v>0.66614027275075449</v>
      </c>
      <c r="N7" s="18">
        <f t="shared" si="4"/>
        <v>1</v>
      </c>
      <c r="O7" s="18">
        <f t="shared" si="4"/>
        <v>0.6297438899544221</v>
      </c>
      <c r="P7" s="18">
        <f t="shared" si="4"/>
        <v>0.96407992682253796</v>
      </c>
      <c r="Q7" s="18">
        <f t="shared" si="4"/>
        <v>0.64400650144059668</v>
      </c>
      <c r="R7" s="18">
        <f t="shared" si="4"/>
        <v>0.59558548803606415</v>
      </c>
      <c r="S7" s="18">
        <f t="shared" si="4"/>
        <v>0.60556629441015075</v>
      </c>
      <c r="T7" s="18">
        <f t="shared" si="4"/>
        <v>0.66822837206956431</v>
      </c>
      <c r="U7" s="18">
        <f t="shared" si="4"/>
        <v>0.64022653351387171</v>
      </c>
      <c r="V7" s="18">
        <f t="shared" si="4"/>
        <v>0.57334075636218207</v>
      </c>
      <c r="W7" s="18">
        <f t="shared" si="4"/>
        <v>0.91845591342985777</v>
      </c>
      <c r="X7" s="18">
        <f t="shared" si="4"/>
        <v>0.58206003138187512</v>
      </c>
      <c r="Y7" s="18">
        <f t="shared" si="4"/>
        <v>0.65300557355397082</v>
      </c>
      <c r="Z7" s="18">
        <f t="shared" si="4"/>
        <v>0.92647877388747979</v>
      </c>
      <c r="AA7" s="18">
        <f t="shared" si="4"/>
        <v>0.91071830312830371</v>
      </c>
      <c r="AB7" s="18">
        <f t="shared" si="4"/>
        <v>0.61291827678969546</v>
      </c>
      <c r="AC7" s="18">
        <f t="shared" si="4"/>
        <v>0.64217152040609815</v>
      </c>
      <c r="AD7" s="18">
        <f t="shared" si="4"/>
        <v>0.91590025284915477</v>
      </c>
      <c r="AE7" s="18">
        <f t="shared" si="4"/>
        <v>0.6169687907263276</v>
      </c>
      <c r="AF7" s="18">
        <f t="shared" si="4"/>
        <v>0.65220930950761213</v>
      </c>
      <c r="AG7" s="18">
        <f t="shared" si="4"/>
        <v>0.63256284363419646</v>
      </c>
      <c r="AH7" s="18">
        <f t="shared" si="4"/>
        <v>0.59775174530920938</v>
      </c>
      <c r="AI7" s="18">
        <f t="shared" si="4"/>
        <v>0.90290072520618569</v>
      </c>
      <c r="AJ7" s="18">
        <f t="shared" si="4"/>
        <v>0.63258403086299009</v>
      </c>
      <c r="AK7" s="18">
        <f t="shared" si="4"/>
        <v>0.99851142037313934</v>
      </c>
      <c r="AL7" s="18">
        <f t="shared" si="4"/>
        <v>0.49241452996849705</v>
      </c>
      <c r="AM7" s="18">
        <f t="shared" si="4"/>
        <v>0.62208151733768202</v>
      </c>
      <c r="AN7" s="18">
        <f t="shared" si="4"/>
        <v>0.69410804761756684</v>
      </c>
      <c r="AO7" s="18">
        <f t="shared" si="4"/>
        <v>0.56425572938122392</v>
      </c>
      <c r="AP7" s="18">
        <f t="shared" si="4"/>
        <v>0.58119710606210062</v>
      </c>
      <c r="AQ7" s="18">
        <f t="shared" si="4"/>
        <v>0.56051545271369307</v>
      </c>
      <c r="AR7" s="18">
        <f t="shared" si="4"/>
        <v>0.77632630301903105</v>
      </c>
      <c r="AS7" s="18">
        <f t="shared" si="4"/>
        <v>0.96572745852435637</v>
      </c>
      <c r="AT7" s="18">
        <f t="shared" si="4"/>
        <v>0.66379651816525598</v>
      </c>
      <c r="AU7" s="18">
        <f t="shared" si="4"/>
        <v>0.65007720449463346</v>
      </c>
      <c r="AV7" s="18">
        <f t="shared" si="4"/>
        <v>0.65343650483794646</v>
      </c>
      <c r="AW7" s="18">
        <f t="shared" si="4"/>
        <v>0.64052052885542277</v>
      </c>
      <c r="AX7" s="18">
        <f t="shared" si="4"/>
        <v>0.68428207264900298</v>
      </c>
      <c r="AY7" s="18">
        <f t="shared" si="4"/>
        <v>0.98490587252062856</v>
      </c>
      <c r="AZ7" s="18">
        <f t="shared" si="4"/>
        <v>0.9348519952292591</v>
      </c>
      <c r="BA7" s="18">
        <f t="shared" si="4"/>
        <v>0.84267535838970931</v>
      </c>
      <c r="BB7" s="18">
        <f t="shared" si="4"/>
        <v>0.69808851369065728</v>
      </c>
      <c r="BC7" s="18">
        <f t="shared" si="4"/>
        <v>0.63547317262523217</v>
      </c>
      <c r="BD7" s="18">
        <f t="shared" si="4"/>
        <v>0.53477471519813302</v>
      </c>
      <c r="BE7" s="18">
        <f t="shared" si="4"/>
        <v>0.63634677419847885</v>
      </c>
      <c r="BF7" s="18">
        <f t="shared" si="4"/>
        <v>0.54896825568119434</v>
      </c>
      <c r="BG7" s="18">
        <f t="shared" si="4"/>
        <v>0.63939251248349172</v>
      </c>
      <c r="BH7" s="18">
        <f t="shared" si="4"/>
        <v>0.7036175025645458</v>
      </c>
      <c r="BI7" s="18">
        <f t="shared" si="4"/>
        <v>0.88675310206853664</v>
      </c>
      <c r="BJ7" s="18">
        <f t="shared" si="4"/>
        <v>0.68863246969297331</v>
      </c>
      <c r="BK7" s="18">
        <f t="shared" si="4"/>
        <v>0.67967709874982152</v>
      </c>
      <c r="BL7" s="18">
        <f t="shared" si="4"/>
        <v>0.69711266549819106</v>
      </c>
      <c r="BM7" s="18">
        <f t="shared" si="4"/>
        <v>0.68373196159526728</v>
      </c>
      <c r="BN7" s="18">
        <f t="shared" si="4"/>
        <v>0.9717372652652867</v>
      </c>
      <c r="BO7" s="18">
        <f t="shared" si="4"/>
        <v>0.87977699995248559</v>
      </c>
      <c r="BP7" s="18">
        <f t="shared" si="4"/>
        <v>0.96874566875836532</v>
      </c>
      <c r="BQ7" s="18">
        <f t="shared" si="4"/>
        <v>0.70142933219877623</v>
      </c>
      <c r="BR7" s="18">
        <f t="shared" si="4"/>
        <v>0.55298387271849903</v>
      </c>
      <c r="BS7" s="18">
        <f t="shared" si="4"/>
        <v>0.9398212429396916</v>
      </c>
      <c r="BT7" s="18">
        <f t="shared" si="4"/>
        <v>0.6882351384915919</v>
      </c>
      <c r="BU7" s="18">
        <f t="shared" si="4"/>
        <v>0.98491631993282358</v>
      </c>
      <c r="BV7" s="18">
        <f t="shared" si="4"/>
        <v>0.58798842535855778</v>
      </c>
      <c r="BW7" s="18">
        <f t="shared" si="4"/>
        <v>0.96709731874423344</v>
      </c>
      <c r="BX7" s="18">
        <f t="shared" si="1"/>
        <v>0.59679977032301035</v>
      </c>
      <c r="BY7" s="18">
        <f t="shared" si="1"/>
        <v>0.81601077306256242</v>
      </c>
      <c r="BZ7" s="18">
        <f t="shared" si="1"/>
        <v>0.69393378687321838</v>
      </c>
      <c r="CA7" s="18">
        <f t="shared" si="1"/>
        <v>0.6344468323943927</v>
      </c>
      <c r="CB7" s="18">
        <f t="shared" si="1"/>
        <v>0.66382186748765448</v>
      </c>
      <c r="CC7" s="18">
        <f t="shared" si="1"/>
        <v>0.6419715315157547</v>
      </c>
      <c r="CD7" s="18">
        <f t="shared" si="1"/>
        <v>0.97673012072843512</v>
      </c>
    </row>
    <row r="8" spans="1:82" x14ac:dyDescent="0.3">
      <c r="A8" s="7" t="str">
        <v>Anderson, Ian</v>
      </c>
      <c r="B8">
        <f>_xlfn.XLOOKUP($A8,braves_19_25__2[player_name], braves_19_25__2[release_pos_z])</f>
        <v>6.19</v>
      </c>
      <c r="C8">
        <f>_xlfn.XLOOKUP($A8,braves_19_25__2[player_name], braves_19_25__2[release_pos_x])*2.5</f>
        <v>-3.9250000000000003</v>
      </c>
      <c r="D8">
        <f>_xlfn.XLOOKUP($A8,braves_19_25__2[player_name], braves_19_25__2[release_extension])</f>
        <v>6.85</v>
      </c>
      <c r="E8">
        <f>COS(RADIANS(AVERAGE(_xlfn.XLOOKUP($A8,braves_19_25__2[player_name],braves_19_25__2[arm_angle]))))*4</f>
        <v>1.7722847632967185</v>
      </c>
      <c r="F8">
        <f>SIN(RADIANS(AVERAGE(_xlfn.XLOOKUP($A8,braves_19_25__2[player_name],braves_19_25__2[arm_angle]))))*4</f>
        <v>3.5859457215337622</v>
      </c>
      <c r="G8">
        <f t="shared" si="2"/>
        <v>10.800195600080585</v>
      </c>
      <c r="I8" s="7" t="str">
        <v>Anderson, Ian</v>
      </c>
      <c r="J8" s="18">
        <f t="shared" si="3"/>
        <v>0.87293182009512382</v>
      </c>
      <c r="K8" s="18">
        <f t="shared" si="3"/>
        <v>0.94805179032833864</v>
      </c>
      <c r="L8" s="18">
        <f t="shared" si="4"/>
        <v>0.97645336551431705</v>
      </c>
      <c r="M8" s="18">
        <f t="shared" si="4"/>
        <v>0.99040031280225482</v>
      </c>
      <c r="N8" s="18">
        <f t="shared" si="4"/>
        <v>0.6297438899544221</v>
      </c>
      <c r="O8" s="18">
        <f t="shared" si="4"/>
        <v>0.99999999999999989</v>
      </c>
      <c r="P8" s="18">
        <f t="shared" si="4"/>
        <v>0.77220543056961966</v>
      </c>
      <c r="Q8" s="18">
        <f t="shared" si="4"/>
        <v>0.96792824488063223</v>
      </c>
      <c r="R8" s="18">
        <f t="shared" si="4"/>
        <v>0.9626314632438856</v>
      </c>
      <c r="S8" s="18">
        <f t="shared" si="4"/>
        <v>0.97098904069955383</v>
      </c>
      <c r="T8" s="18">
        <f t="shared" si="4"/>
        <v>0.963815938452247</v>
      </c>
      <c r="U8" s="18">
        <f t="shared" si="4"/>
        <v>0.97490416952638359</v>
      </c>
      <c r="V8" s="18">
        <f t="shared" si="4"/>
        <v>0.97579969226663865</v>
      </c>
      <c r="W8" s="18">
        <f t="shared" si="4"/>
        <v>0.83775669380686713</v>
      </c>
      <c r="X8" s="18">
        <f t="shared" si="4"/>
        <v>0.96557589944829569</v>
      </c>
      <c r="Y8" s="18">
        <f t="shared" si="4"/>
        <v>0.98086209002383951</v>
      </c>
      <c r="Z8" s="18">
        <f t="shared" si="4"/>
        <v>0.82447602000206854</v>
      </c>
      <c r="AA8" s="18">
        <f t="shared" si="4"/>
        <v>0.8412684329762804</v>
      </c>
      <c r="AB8" s="18">
        <f t="shared" si="4"/>
        <v>0.97083408800425031</v>
      </c>
      <c r="AC8" s="18">
        <f t="shared" si="4"/>
        <v>0.98799290405929863</v>
      </c>
      <c r="AD8" s="18">
        <f t="shared" si="4"/>
        <v>0.82401232086178189</v>
      </c>
      <c r="AE8" s="18">
        <f t="shared" si="4"/>
        <v>0.96125261985494981</v>
      </c>
      <c r="AF8" s="18">
        <f t="shared" si="4"/>
        <v>0.9895529140941357</v>
      </c>
      <c r="AG8" s="18">
        <f t="shared" si="4"/>
        <v>0.97364554816880344</v>
      </c>
      <c r="AH8" s="18">
        <f t="shared" si="4"/>
        <v>0.96063471634572373</v>
      </c>
      <c r="AI8" s="18">
        <f t="shared" si="4"/>
        <v>0.84571462149095822</v>
      </c>
      <c r="AJ8" s="18">
        <f t="shared" si="4"/>
        <v>0.97900399531089344</v>
      </c>
      <c r="AK8" s="18">
        <f t="shared" si="4"/>
        <v>0.64802863860703308</v>
      </c>
      <c r="AL8" s="18">
        <f t="shared" si="4"/>
        <v>0.87586785932381839</v>
      </c>
      <c r="AM8" s="18">
        <f t="shared" si="4"/>
        <v>0.9861259366164461</v>
      </c>
      <c r="AN8" s="18">
        <f t="shared" si="4"/>
        <v>0.97550316926699365</v>
      </c>
      <c r="AO8" s="18">
        <f t="shared" si="4"/>
        <v>0.96578027196878913</v>
      </c>
      <c r="AP8" s="18">
        <f t="shared" si="4"/>
        <v>0.94916607212263804</v>
      </c>
      <c r="AQ8" s="18">
        <f t="shared" si="4"/>
        <v>0.95693683839406896</v>
      </c>
      <c r="AR8" s="18">
        <f t="shared" si="4"/>
        <v>0.92040257669722059</v>
      </c>
      <c r="AS8" s="18">
        <f t="shared" si="4"/>
        <v>0.76228047498282825</v>
      </c>
      <c r="AT8" s="18">
        <f t="shared" si="4"/>
        <v>0.98637288756692387</v>
      </c>
      <c r="AU8" s="18">
        <f t="shared" si="4"/>
        <v>0.97863736752015307</v>
      </c>
      <c r="AV8" s="18">
        <f t="shared" si="4"/>
        <v>0.98315488475544366</v>
      </c>
      <c r="AW8" s="18">
        <f t="shared" si="4"/>
        <v>0.99388696017717926</v>
      </c>
      <c r="AX8" s="18">
        <f t="shared" si="4"/>
        <v>0.98431856892782432</v>
      </c>
      <c r="AY8" s="18">
        <f t="shared" si="4"/>
        <v>0.6648288467407345</v>
      </c>
      <c r="AZ8" s="18">
        <f t="shared" si="4"/>
        <v>0.82275915737114691</v>
      </c>
      <c r="BA8" s="18">
        <f t="shared" si="4"/>
        <v>0.89965563879905397</v>
      </c>
      <c r="BB8" s="18">
        <f t="shared" si="4"/>
        <v>0.97747730982231207</v>
      </c>
      <c r="BC8" s="18">
        <f t="shared" si="4"/>
        <v>0.95824090798187977</v>
      </c>
      <c r="BD8" s="18">
        <f t="shared" si="4"/>
        <v>0.81505629540510371</v>
      </c>
      <c r="BE8" s="18">
        <f t="shared" si="4"/>
        <v>0.97600788516512837</v>
      </c>
      <c r="BF8" s="18">
        <f t="shared" si="4"/>
        <v>0.97369369589949428</v>
      </c>
      <c r="BG8" s="18">
        <f t="shared" si="4"/>
        <v>0.9776914803227561</v>
      </c>
      <c r="BH8" s="18">
        <f t="shared" si="4"/>
        <v>0.95900087710280313</v>
      </c>
      <c r="BI8" s="18">
        <f t="shared" si="4"/>
        <v>0.84810293184840935</v>
      </c>
      <c r="BJ8" s="18">
        <f t="shared" si="4"/>
        <v>0.9743091189671319</v>
      </c>
      <c r="BK8" s="18">
        <f t="shared" si="4"/>
        <v>0.98615977951645795</v>
      </c>
      <c r="BL8" s="18">
        <f t="shared" si="4"/>
        <v>0.96776097066441347</v>
      </c>
      <c r="BM8" s="18">
        <f t="shared" si="4"/>
        <v>0.98356856579014873</v>
      </c>
      <c r="BN8" s="18">
        <f t="shared" si="4"/>
        <v>0.75428217572080414</v>
      </c>
      <c r="BO8" s="18">
        <f t="shared" si="4"/>
        <v>0.87115549693246253</v>
      </c>
      <c r="BP8" s="18">
        <f t="shared" si="4"/>
        <v>0.73831845438530852</v>
      </c>
      <c r="BQ8" s="18">
        <f t="shared" si="4"/>
        <v>0.96546758286180057</v>
      </c>
      <c r="BR8" s="18">
        <f t="shared" si="4"/>
        <v>0.94535494612918658</v>
      </c>
      <c r="BS8" s="18">
        <f t="shared" si="4"/>
        <v>0.82151105367094723</v>
      </c>
      <c r="BT8" s="18">
        <f t="shared" si="4"/>
        <v>0.97229862217808882</v>
      </c>
      <c r="BU8" s="18">
        <f t="shared" si="4"/>
        <v>0.6917848863225956</v>
      </c>
      <c r="BV8" s="18">
        <f t="shared" si="4"/>
        <v>0.93193193603059976</v>
      </c>
      <c r="BW8" s="18">
        <f t="shared" si="4"/>
        <v>0.75432351214499438</v>
      </c>
      <c r="BX8" s="18">
        <f t="shared" si="1"/>
        <v>0.94862931826542818</v>
      </c>
      <c r="BY8" s="18">
        <f t="shared" si="1"/>
        <v>0.90869218314282973</v>
      </c>
      <c r="BZ8" s="18">
        <f t="shared" si="1"/>
        <v>0.9781406106539311</v>
      </c>
      <c r="CA8" s="18">
        <f t="shared" si="1"/>
        <v>0.98842522291920387</v>
      </c>
      <c r="CB8" s="18">
        <f t="shared" si="1"/>
        <v>0.98605729652446894</v>
      </c>
      <c r="CC8" s="18">
        <f t="shared" si="1"/>
        <v>0.99781728070213871</v>
      </c>
      <c r="CD8" s="18">
        <f t="shared" si="1"/>
        <v>0.66370084486808956</v>
      </c>
    </row>
    <row r="9" spans="1:82" x14ac:dyDescent="0.3">
      <c r="A9" s="7" t="str">
        <v>Minter, A.J.</v>
      </c>
      <c r="B9">
        <f>_xlfn.XLOOKUP($A9,braves_19_25__2[player_name], braves_19_25__2[release_pos_z])</f>
        <v>5.66</v>
      </c>
      <c r="C9">
        <f>_xlfn.XLOOKUP($A9,braves_19_25__2[player_name], braves_19_25__2[release_pos_x])*2.5</f>
        <v>5.5250000000000004</v>
      </c>
      <c r="D9">
        <f>_xlfn.XLOOKUP($A9,braves_19_25__2[player_name], braves_19_25__2[release_extension])</f>
        <v>6.25</v>
      </c>
      <c r="E9">
        <f>COS(RADIANS(AVERAGE(_xlfn.XLOOKUP($A9,braves_19_25__2[player_name],braves_19_25__2[arm_angle]))))*4</f>
        <v>3.0142535692065517</v>
      </c>
      <c r="F9">
        <f>SIN(RADIANS(AVERAGE(_xlfn.XLOOKUP($A9,braves_19_25__2[player_name],braves_19_25__2[arm_angle]))))*4</f>
        <v>2.6295009831763831</v>
      </c>
      <c r="G9">
        <f t="shared" si="2"/>
        <v>10.845447201475835</v>
      </c>
      <c r="I9" s="7" t="str">
        <v>Minter, A.J.</v>
      </c>
      <c r="J9" s="18">
        <f t="shared" si="3"/>
        <v>0.97169396237572059</v>
      </c>
      <c r="K9" s="18">
        <f t="shared" si="3"/>
        <v>0.6987408631287616</v>
      </c>
      <c r="L9" s="18">
        <f t="shared" si="4"/>
        <v>0.72240721916428818</v>
      </c>
      <c r="M9" s="18">
        <f t="shared" si="4"/>
        <v>0.805010738182941</v>
      </c>
      <c r="N9" s="18">
        <f t="shared" si="4"/>
        <v>0.96407992682253796</v>
      </c>
      <c r="O9" s="18">
        <f t="shared" si="4"/>
        <v>0.77220543056961966</v>
      </c>
      <c r="P9" s="18">
        <f t="shared" si="4"/>
        <v>0.99999999999999989</v>
      </c>
      <c r="Q9" s="18">
        <f t="shared" si="4"/>
        <v>0.74319400292499072</v>
      </c>
      <c r="R9" s="18">
        <f t="shared" si="4"/>
        <v>0.69648360033702106</v>
      </c>
      <c r="S9" s="18">
        <f t="shared" si="4"/>
        <v>0.72244968369654106</v>
      </c>
      <c r="T9" s="18">
        <f t="shared" si="4"/>
        <v>0.76433414452510573</v>
      </c>
      <c r="U9" s="18">
        <f t="shared" si="4"/>
        <v>0.74822557259210443</v>
      </c>
      <c r="V9" s="18">
        <f t="shared" si="4"/>
        <v>0.69476328074685634</v>
      </c>
      <c r="W9" s="18">
        <f t="shared" si="4"/>
        <v>0.9882421212949406</v>
      </c>
      <c r="X9" s="18">
        <f t="shared" si="4"/>
        <v>0.69368199722860402</v>
      </c>
      <c r="Y9" s="18">
        <f t="shared" si="4"/>
        <v>0.77055426976583752</v>
      </c>
      <c r="Z9" s="18">
        <f t="shared" si="4"/>
        <v>0.99230693460495334</v>
      </c>
      <c r="AA9" s="18">
        <f t="shared" si="4"/>
        <v>0.98347621394337215</v>
      </c>
      <c r="AB9" s="18">
        <f t="shared" si="4"/>
        <v>0.72324888708020152</v>
      </c>
      <c r="AC9" s="18">
        <f t="shared" si="4"/>
        <v>0.76077113017326659</v>
      </c>
      <c r="AD9" s="18">
        <f t="shared" si="4"/>
        <v>0.98755842649608538</v>
      </c>
      <c r="AE9" s="18">
        <f t="shared" si="4"/>
        <v>0.71329687734098091</v>
      </c>
      <c r="AF9" s="18">
        <f t="shared" si="4"/>
        <v>0.77815559377840493</v>
      </c>
      <c r="AG9" s="18">
        <f t="shared" si="4"/>
        <v>0.73598499604945999</v>
      </c>
      <c r="AH9" s="18">
        <f t="shared" si="4"/>
        <v>0.69537362135523206</v>
      </c>
      <c r="AI9" s="18">
        <f t="shared" si="4"/>
        <v>0.98148857152265445</v>
      </c>
      <c r="AJ9" s="18">
        <f t="shared" si="4"/>
        <v>0.74489766483864339</v>
      </c>
      <c r="AK9" s="18">
        <f t="shared" si="4"/>
        <v>0.96650407930718252</v>
      </c>
      <c r="AL9" s="18">
        <f t="shared" si="4"/>
        <v>0.56183431074992085</v>
      </c>
      <c r="AM9" s="18">
        <f t="shared" si="4"/>
        <v>0.7393655292912984</v>
      </c>
      <c r="AN9" s="18">
        <f t="shared" si="4"/>
        <v>0.82626344932400841</v>
      </c>
      <c r="AO9" s="18">
        <f t="shared" si="4"/>
        <v>0.67865428900111202</v>
      </c>
      <c r="AP9" s="18">
        <f t="shared" si="4"/>
        <v>0.68374377962392907</v>
      </c>
      <c r="AQ9" s="18">
        <f t="shared" si="4"/>
        <v>0.66746911755090077</v>
      </c>
      <c r="AR9" s="18">
        <f t="shared" si="4"/>
        <v>0.8944236277891463</v>
      </c>
      <c r="AS9" s="18">
        <f t="shared" si="4"/>
        <v>0.99934182294477636</v>
      </c>
      <c r="AT9" s="18">
        <f t="shared" si="4"/>
        <v>0.78515816994691134</v>
      </c>
      <c r="AU9" s="18">
        <f t="shared" si="4"/>
        <v>0.76830098891838927</v>
      </c>
      <c r="AV9" s="18">
        <f t="shared" si="4"/>
        <v>0.76927547270306673</v>
      </c>
      <c r="AW9" s="18">
        <f t="shared" si="4"/>
        <v>0.79267795293352217</v>
      </c>
      <c r="AX9" s="18">
        <f t="shared" si="4"/>
        <v>0.82653072518815507</v>
      </c>
      <c r="AY9" s="18">
        <f t="shared" si="4"/>
        <v>0.98214175864762143</v>
      </c>
      <c r="AZ9" s="18">
        <f t="shared" si="4"/>
        <v>0.99129472960535303</v>
      </c>
      <c r="BA9" s="18">
        <f t="shared" si="4"/>
        <v>0.94226046983572154</v>
      </c>
      <c r="BB9" s="18">
        <f t="shared" si="4"/>
        <v>0.82006265980127491</v>
      </c>
      <c r="BC9" s="18">
        <f t="shared" si="4"/>
        <v>0.72836844935527945</v>
      </c>
      <c r="BD9" s="18">
        <f t="shared" si="4"/>
        <v>0.55635305607697594</v>
      </c>
      <c r="BE9" s="18">
        <f t="shared" si="4"/>
        <v>0.74222817018490561</v>
      </c>
      <c r="BF9" s="18">
        <f t="shared" si="4"/>
        <v>0.67805666824742505</v>
      </c>
      <c r="BG9" s="18">
        <f t="shared" si="4"/>
        <v>0.74916543698347571</v>
      </c>
      <c r="BH9" s="18">
        <f t="shared" si="4"/>
        <v>0.84541271237532456</v>
      </c>
      <c r="BI9" s="18">
        <f t="shared" si="4"/>
        <v>0.97631031658428369</v>
      </c>
      <c r="BJ9" s="18">
        <f t="shared" si="4"/>
        <v>0.82877871791483271</v>
      </c>
      <c r="BK9" s="18">
        <f t="shared" si="4"/>
        <v>0.81638028622760073</v>
      </c>
      <c r="BL9" s="18">
        <f t="shared" si="4"/>
        <v>0.83869029168471909</v>
      </c>
      <c r="BM9" s="18">
        <f t="shared" si="4"/>
        <v>0.80004623416786769</v>
      </c>
      <c r="BN9" s="18">
        <f t="shared" si="4"/>
        <v>0.99861310566686534</v>
      </c>
      <c r="BO9" s="18">
        <f t="shared" si="4"/>
        <v>0.97127269101287028</v>
      </c>
      <c r="BP9" s="18">
        <f t="shared" si="4"/>
        <v>0.99704169671569232</v>
      </c>
      <c r="BQ9" s="18">
        <f t="shared" si="4"/>
        <v>0.84071774612805394</v>
      </c>
      <c r="BR9" s="18">
        <f t="shared" si="4"/>
        <v>0.65188950355410502</v>
      </c>
      <c r="BS9" s="18">
        <f t="shared" si="4"/>
        <v>0.98907938758649638</v>
      </c>
      <c r="BT9" s="18">
        <f t="shared" si="4"/>
        <v>0.82405689587832631</v>
      </c>
      <c r="BU9" s="18">
        <f t="shared" si="4"/>
        <v>0.98902589273001451</v>
      </c>
      <c r="BV9" s="18">
        <f t="shared" si="4"/>
        <v>0.66950766500185444</v>
      </c>
      <c r="BW9" s="18">
        <f t="shared" si="4"/>
        <v>0.99913141521924875</v>
      </c>
      <c r="BX9" s="18">
        <f t="shared" si="1"/>
        <v>0.68689620665860462</v>
      </c>
      <c r="BY9" s="18">
        <f t="shared" si="1"/>
        <v>0.92917039495893916</v>
      </c>
      <c r="BZ9" s="18">
        <f t="shared" si="1"/>
        <v>0.80695326987307747</v>
      </c>
      <c r="CA9" s="18">
        <f t="shared" si="1"/>
        <v>0.75202591621093307</v>
      </c>
      <c r="CB9" s="18">
        <f t="shared" si="1"/>
        <v>0.78186214060528192</v>
      </c>
      <c r="CC9" s="18">
        <f t="shared" si="1"/>
        <v>0.77889593275923219</v>
      </c>
      <c r="CD9" s="18">
        <f t="shared" si="1"/>
        <v>0.98068890234515127</v>
      </c>
    </row>
    <row r="10" spans="1:82" x14ac:dyDescent="0.3">
      <c r="A10" s="7" t="str">
        <v>Wright, Kyle</v>
      </c>
      <c r="B10">
        <f>_xlfn.XLOOKUP($A10,braves_19_25__2[player_name], braves_19_25__2[release_pos_z])</f>
        <v>5.64</v>
      </c>
      <c r="C10">
        <f>_xlfn.XLOOKUP($A10,braves_19_25__2[player_name], braves_19_25__2[release_pos_x])*2.5</f>
        <v>-4.7249999999999996</v>
      </c>
      <c r="D10">
        <f>_xlfn.XLOOKUP($A10,braves_19_25__2[player_name], braves_19_25__2[release_extension])</f>
        <v>6.49</v>
      </c>
      <c r="E10">
        <f>COS(RADIANS(AVERAGE(_xlfn.XLOOKUP($A10,braves_19_25__2[player_name],braves_19_25__2[arm_angle]))))*4</f>
        <v>3.560851218444506</v>
      </c>
      <c r="F10">
        <f>SIN(RADIANS(AVERAGE(_xlfn.XLOOKUP($A10,braves_19_25__2[player_name],braves_19_25__2[arm_angle]))))*4</f>
        <v>1.8221796289340624</v>
      </c>
      <c r="G10">
        <f t="shared" si="2"/>
        <v>10.595061349515632</v>
      </c>
      <c r="I10" s="7" t="str">
        <v>Wright, Kyle</v>
      </c>
      <c r="J10" s="18">
        <f t="shared" si="3"/>
        <v>0.82313945741986339</v>
      </c>
      <c r="K10" s="18">
        <f t="shared" si="3"/>
        <v>0.99538547734682958</v>
      </c>
      <c r="L10" s="18">
        <f t="shared" si="4"/>
        <v>0.99480317807253005</v>
      </c>
      <c r="M10" s="18">
        <f t="shared" si="4"/>
        <v>0.96800282631927759</v>
      </c>
      <c r="N10" s="18">
        <f t="shared" si="4"/>
        <v>0.64400650144059668</v>
      </c>
      <c r="O10" s="18">
        <f t="shared" si="4"/>
        <v>0.96792824488063223</v>
      </c>
      <c r="P10" s="18">
        <f t="shared" si="4"/>
        <v>0.74319400292499072</v>
      </c>
      <c r="Q10" s="18">
        <f t="shared" si="4"/>
        <v>1</v>
      </c>
      <c r="R10" s="18">
        <f t="shared" si="4"/>
        <v>0.99232409471790461</v>
      </c>
      <c r="S10" s="18">
        <f t="shared" si="4"/>
        <v>0.99022929892439959</v>
      </c>
      <c r="T10" s="18">
        <f t="shared" si="4"/>
        <v>0.99767538035172731</v>
      </c>
      <c r="U10" s="18">
        <f t="shared" si="4"/>
        <v>0.9989310853574761</v>
      </c>
      <c r="V10" s="18">
        <f t="shared" si="4"/>
        <v>0.98348172681468071</v>
      </c>
      <c r="W10" s="18">
        <f t="shared" si="4"/>
        <v>0.7964465196875965</v>
      </c>
      <c r="X10" s="18">
        <f t="shared" si="4"/>
        <v>0.98941678009469436</v>
      </c>
      <c r="Y10" s="18">
        <f t="shared" si="4"/>
        <v>0.99419786959585366</v>
      </c>
      <c r="Z10" s="18">
        <f t="shared" si="4"/>
        <v>0.77976739674686246</v>
      </c>
      <c r="AA10" s="18">
        <f t="shared" si="4"/>
        <v>0.80439277749029947</v>
      </c>
      <c r="AB10" s="18">
        <f t="shared" si="4"/>
        <v>0.9955481324671076</v>
      </c>
      <c r="AC10" s="18">
        <f t="shared" si="4"/>
        <v>0.99486561052640365</v>
      </c>
      <c r="AD10" s="18">
        <f t="shared" si="4"/>
        <v>0.77571857501784236</v>
      </c>
      <c r="AE10" s="18">
        <f t="shared" si="4"/>
        <v>0.99757422819865826</v>
      </c>
      <c r="AF10" s="18">
        <f t="shared" si="4"/>
        <v>0.98877548113421831</v>
      </c>
      <c r="AG10" s="18">
        <f t="shared" si="4"/>
        <v>0.99843928830800766</v>
      </c>
      <c r="AH10" s="18">
        <f t="shared" si="4"/>
        <v>0.9930276887216708</v>
      </c>
      <c r="AI10" s="18">
        <f t="shared" si="4"/>
        <v>0.80054806075107987</v>
      </c>
      <c r="AJ10" s="18">
        <f t="shared" si="4"/>
        <v>0.99774574239101632</v>
      </c>
      <c r="AK10" s="18">
        <f t="shared" si="4"/>
        <v>0.66778665980495011</v>
      </c>
      <c r="AL10" s="18">
        <f t="shared" si="4"/>
        <v>0.9461570618313917</v>
      </c>
      <c r="AM10" s="18">
        <f t="shared" si="4"/>
        <v>0.99314592406730451</v>
      </c>
      <c r="AN10" s="18">
        <f t="shared" si="4"/>
        <v>0.95997714234271225</v>
      </c>
      <c r="AO10" s="18">
        <f t="shared" si="4"/>
        <v>0.98333775222378583</v>
      </c>
      <c r="AP10" s="18">
        <f t="shared" si="4"/>
        <v>0.98834377847488908</v>
      </c>
      <c r="AQ10" s="18">
        <f t="shared" si="4"/>
        <v>0.98315885960475025</v>
      </c>
      <c r="AR10" s="18">
        <f t="shared" si="4"/>
        <v>0.87931981587427521</v>
      </c>
      <c r="AS10" s="18">
        <f t="shared" si="4"/>
        <v>0.72846332362344701</v>
      </c>
      <c r="AT10" s="18">
        <f t="shared" si="4"/>
        <v>0.99058479150556067</v>
      </c>
      <c r="AU10" s="18">
        <f t="shared" si="4"/>
        <v>0.99176764112167803</v>
      </c>
      <c r="AV10" s="18">
        <f t="shared" si="4"/>
        <v>0.99574497500413905</v>
      </c>
      <c r="AW10" s="18">
        <f t="shared" si="4"/>
        <v>0.94179846621191587</v>
      </c>
      <c r="AX10" s="18">
        <f t="shared" si="4"/>
        <v>0.94816758299163961</v>
      </c>
      <c r="AY10" s="18">
        <f t="shared" si="4"/>
        <v>0.64040133976380753</v>
      </c>
      <c r="AZ10" s="18">
        <f t="shared" si="4"/>
        <v>0.79597824101226444</v>
      </c>
      <c r="BA10" s="18">
        <f t="shared" si="4"/>
        <v>0.85966623239636408</v>
      </c>
      <c r="BB10" s="18">
        <f t="shared" si="4"/>
        <v>0.97418664361622198</v>
      </c>
      <c r="BC10" s="18">
        <f t="shared" si="4"/>
        <v>0.99921206450720201</v>
      </c>
      <c r="BD10" s="18">
        <f t="shared" si="4"/>
        <v>0.9196526642736621</v>
      </c>
      <c r="BE10" s="18">
        <f t="shared" si="4"/>
        <v>0.99909963050632</v>
      </c>
      <c r="BF10" s="18">
        <f t="shared" si="4"/>
        <v>0.9709972514794275</v>
      </c>
      <c r="BG10" s="18">
        <f t="shared" si="4"/>
        <v>0.99803631611507215</v>
      </c>
      <c r="BH10" s="18">
        <f t="shared" si="4"/>
        <v>0.91921011817416332</v>
      </c>
      <c r="BI10" s="18">
        <f t="shared" si="4"/>
        <v>0.78225404718270741</v>
      </c>
      <c r="BJ10" s="18">
        <f t="shared" si="4"/>
        <v>0.94801492602315229</v>
      </c>
      <c r="BK10" s="18">
        <f t="shared" si="4"/>
        <v>0.96531767292588644</v>
      </c>
      <c r="BL10" s="18">
        <f t="shared" si="4"/>
        <v>0.93138281381308785</v>
      </c>
      <c r="BM10" s="18">
        <f t="shared" si="4"/>
        <v>0.98756088500675765</v>
      </c>
      <c r="BN10" s="18">
        <f t="shared" si="4"/>
        <v>0.73361338832060363</v>
      </c>
      <c r="BO10" s="18">
        <f t="shared" si="4"/>
        <v>0.81843115673884104</v>
      </c>
      <c r="BP10" s="18">
        <f t="shared" si="4"/>
        <v>0.70333707274147794</v>
      </c>
      <c r="BQ10" s="18">
        <f t="shared" si="4"/>
        <v>0.9300820883726193</v>
      </c>
      <c r="BR10" s="18">
        <f t="shared" si="4"/>
        <v>0.98098908859642131</v>
      </c>
      <c r="BS10" s="18">
        <f t="shared" si="4"/>
        <v>0.80632860647541071</v>
      </c>
      <c r="BT10" s="18">
        <f t="shared" si="4"/>
        <v>0.95291683107059788</v>
      </c>
      <c r="BU10" s="18">
        <f t="shared" si="4"/>
        <v>0.67748918907796052</v>
      </c>
      <c r="BV10" s="18">
        <f t="shared" ref="BV10:CD46" si="5">(
   INDEX($B$3:$B$75, MATCH(BV$2,_xlfn.ANCHORARRAY( $A$3), 0)) *
   INDEX($B$3:$B$75, MATCH($I10,_xlfn.ANCHORARRAY( $A$3), 0))
 +
   (
     INDEX($C$3:$C$75, MATCH(BV$2,_xlfn.ANCHORARRAY( $A$3), 0)) *
     INDEX($C$3:$C$75, MATCH($I10,_xlfn.ANCHORARRAY( $A$3), 0))
   ) *
   IF(
       SIGN(INDEX($C$3:$C$75, MATCH(BV$2,_xlfn.ANCHORARRAY( $A$3), 0)))
       =
       SIGN(INDEX($C$3:$C$75, MATCH($I10,_xlfn.ANCHORARRAY( $A$3), 0))),
       1,
       0.1
   )
 +
   INDEX($D$3:$D$75, MATCH(BV$2,_xlfn.ANCHORARRAY( $A$3), 0)) *
   INDEX($D$3:$D$75, MATCH($I10,_xlfn.ANCHORARRAY( $A$3), 0)) + INDEX($E$3:$E$75,MATCH(BV$2,_xlfn.ANCHORARRAY($A$3),0)) * INDEX($E$3:$E$75,MATCH($I10,_xlfn.ANCHORARRAY($A$3),0)) + INDEX($F$3:$F$75,MATCH(BV$2,_xlfn.ANCHORARRAY($A$3),0)) * INDEX($F$3:$F$75,MATCH($I10,_xlfn.ANCHORARRAY($A$3),0)))
/
(
   SQRT(
       INDEX($B$3:$B$75, MATCH(BV$2,_xlfn.ANCHORARRAY( $A$3), 0))^2 +
       INDEX($C$3:$C$75, MATCH(BV$2,_xlfn.ANCHORARRAY( $A$3), 0))^2 +
       INDEX($D$3:$D$75, MATCH(BV$2,_xlfn.ANCHORARRAY( $A$3), 0))^2 + INDEX($E$3:$E$75,MATCH(BV$2,_xlfn.ANCHORARRAY($A$3),0))^2 + INDEX($F$3:$F$75,MATCH(BV$2,_xlfn.ANCHORARRAY($A$3),0))^2   )
   *
   SQRT(
       INDEX($B$3:$B$75, MATCH($I10,_xlfn.ANCHORARRAY( $A$3), 0))^2 +
       INDEX($C$3:$C$75, MATCH($I10,_xlfn.ANCHORARRAY( $A$3), 0))^2 +
       INDEX($D$3:$D$75, MATCH($I10,_xlfn.ANCHORARRAY( $A$3), 0))^2 + INDEX($E$3:$E$75,MATCH($I10,_xlfn.ANCHORARRAY($A$3),0))^2 + INDEX($F$3:$F$75,MATCH($I10,_xlfn.ANCHORARRAY($A$3),0))^2
   )
)</f>
        <v>0.98836485960633735</v>
      </c>
      <c r="BW10" s="18">
        <f t="shared" si="5"/>
        <v>0.72376361077469309</v>
      </c>
      <c r="BX10" s="18">
        <f t="shared" si="1"/>
        <v>0.99191390048205619</v>
      </c>
      <c r="BY10" s="18">
        <f t="shared" si="1"/>
        <v>0.86006542281951748</v>
      </c>
      <c r="BZ10" s="18">
        <f t="shared" si="1"/>
        <v>0.98498340248721949</v>
      </c>
      <c r="CA10" s="18">
        <f t="shared" si="1"/>
        <v>0.99431301432626784</v>
      </c>
      <c r="CB10" s="18">
        <f t="shared" si="1"/>
        <v>0.99281216445883125</v>
      </c>
      <c r="CC10" s="18">
        <f t="shared" si="1"/>
        <v>0.97867106369485724</v>
      </c>
      <c r="CD10" s="18">
        <f t="shared" si="1"/>
        <v>0.63245478720938586</v>
      </c>
    </row>
    <row r="11" spans="1:82" x14ac:dyDescent="0.3">
      <c r="A11" s="7" t="str">
        <v>Schwellenbach, Spencer</v>
      </c>
      <c r="B11">
        <f>_xlfn.XLOOKUP($A11,braves_19_25__2[player_name], braves_19_25__2[release_pos_z])</f>
        <v>5.29</v>
      </c>
      <c r="C11">
        <f>_xlfn.XLOOKUP($A11,braves_19_25__2[player_name], braves_19_25__2[release_pos_x])*2.5</f>
        <v>-6.0750000000000002</v>
      </c>
      <c r="D11">
        <f>_xlfn.XLOOKUP($A11,braves_19_25__2[player_name], braves_19_25__2[release_extension])</f>
        <v>6.91</v>
      </c>
      <c r="E11">
        <f>COS(RADIANS(AVERAGE(_xlfn.XLOOKUP($A11,braves_19_25__2[player_name],braves_19_25__2[arm_angle]))))*4</f>
        <v>3.2885761641229498</v>
      </c>
      <c r="F11">
        <f>SIN(RADIANS(AVERAGE(_xlfn.XLOOKUP($A11,braves_19_25__2[player_name],braves_19_25__2[arm_angle]))))*4</f>
        <v>2.2771180937233768</v>
      </c>
      <c r="G11">
        <f t="shared" si="2"/>
        <v>11.341861619681312</v>
      </c>
      <c r="I11" s="7" t="str">
        <v>Schwellenbach, Spencer</v>
      </c>
      <c r="J11" s="18">
        <f t="shared" si="3"/>
        <v>0.77699632842583577</v>
      </c>
      <c r="K11" s="18">
        <f t="shared" si="3"/>
        <v>0.99519086130327916</v>
      </c>
      <c r="L11" s="18">
        <f t="shared" si="3"/>
        <v>0.9945043598961758</v>
      </c>
      <c r="M11" s="18">
        <f t="shared" si="3"/>
        <v>0.94707747614182225</v>
      </c>
      <c r="N11" s="18">
        <f t="shared" si="3"/>
        <v>0.59558548803606415</v>
      </c>
      <c r="O11" s="18">
        <f t="shared" si="3"/>
        <v>0.9626314632438856</v>
      </c>
      <c r="P11" s="18">
        <f t="shared" si="3"/>
        <v>0.69648360033702106</v>
      </c>
      <c r="Q11" s="18">
        <f t="shared" si="3"/>
        <v>0.99232409471790461</v>
      </c>
      <c r="R11" s="18">
        <f t="shared" si="3"/>
        <v>1</v>
      </c>
      <c r="S11" s="18">
        <f t="shared" si="3"/>
        <v>0.98574564584965663</v>
      </c>
      <c r="T11" s="18">
        <f t="shared" si="3"/>
        <v>0.98400287989432633</v>
      </c>
      <c r="U11" s="18">
        <f t="shared" si="3"/>
        <v>0.9917333995702311</v>
      </c>
      <c r="V11" s="18">
        <f t="shared" si="3"/>
        <v>0.99176329668931651</v>
      </c>
      <c r="W11" s="18">
        <f t="shared" si="3"/>
        <v>0.74749660848956201</v>
      </c>
      <c r="X11" s="18">
        <f t="shared" si="3"/>
        <v>0.99469157570842071</v>
      </c>
      <c r="Y11" s="18">
        <f t="shared" si="3"/>
        <v>0.98180561831009694</v>
      </c>
      <c r="Z11" s="18">
        <f t="shared" ref="Z11:AO26" si="6">(
   INDEX($B$3:$B$75, MATCH(Z$2,_xlfn.ANCHORARRAY( $A$3), 0)) *
   INDEX($B$3:$B$75, MATCH($I11,_xlfn.ANCHORARRAY( $A$3), 0))
 +
   (
     INDEX($C$3:$C$75, MATCH(Z$2,_xlfn.ANCHORARRAY( $A$3), 0)) *
     INDEX($C$3:$C$75, MATCH($I11,_xlfn.ANCHORARRAY( $A$3), 0))
   ) *
   IF(
       SIGN(INDEX($C$3:$C$75, MATCH(Z$2,_xlfn.ANCHORARRAY( $A$3), 0)))
       =
       SIGN(INDEX($C$3:$C$75, MATCH($I11,_xlfn.ANCHORARRAY( $A$3), 0))),
       1,
       0.1
   )
 +
   INDEX($D$3:$D$75, MATCH(Z$2,_xlfn.ANCHORARRAY( $A$3), 0)) *
   INDEX($D$3:$D$75, MATCH($I11,_xlfn.ANCHORARRAY( $A$3), 0)) + INDEX($E$3:$E$75,MATCH(Z$2,_xlfn.ANCHORARRAY($A$3),0)) * INDEX($E$3:$E$75,MATCH($I11,_xlfn.ANCHORARRAY($A$3),0)) + INDEX($F$3:$F$75,MATCH(Z$2,_xlfn.ANCHORARRAY($A$3),0)) * INDEX($F$3:$F$75,MATCH($I11,_xlfn.ANCHORARRAY($A$3),0)))
/
(
   SQRT(
       INDEX($B$3:$B$75, MATCH(Z$2,_xlfn.ANCHORARRAY( $A$3), 0))^2 +
       INDEX($C$3:$C$75, MATCH(Z$2,_xlfn.ANCHORARRAY( $A$3), 0))^2 +
       INDEX($D$3:$D$75, MATCH(Z$2,_xlfn.ANCHORARRAY( $A$3), 0))^2 + INDEX($E$3:$E$75,MATCH(Z$2,_xlfn.ANCHORARRAY($A$3),0))^2 + INDEX($F$3:$F$75,MATCH(Z$2,_xlfn.ANCHORARRAY($A$3),0))^2   )
   *
   SQRT(
       INDEX($B$3:$B$75, MATCH($I11,_xlfn.ANCHORARRAY( $A$3), 0))^2 +
       INDEX($C$3:$C$75, MATCH($I11,_xlfn.ANCHORARRAY( $A$3), 0))^2 +
       INDEX($D$3:$D$75, MATCH($I11,_xlfn.ANCHORARRAY( $A$3), 0))^2 + INDEX($E$3:$E$75,MATCH($I11,_xlfn.ANCHORARRAY($A$3),0))^2 + INDEX($F$3:$F$75,MATCH($I11,_xlfn.ANCHORARRAY($A$3),0))^2
   )
)</f>
        <v>0.73258475138601709</v>
      </c>
      <c r="AA11" s="18">
        <f t="shared" si="6"/>
        <v>0.75272750045802372</v>
      </c>
      <c r="AB11" s="18">
        <f t="shared" si="6"/>
        <v>0.99249274839645607</v>
      </c>
      <c r="AC11" s="18">
        <f t="shared" si="6"/>
        <v>0.98807161439714253</v>
      </c>
      <c r="AD11" s="18">
        <f t="shared" si="6"/>
        <v>0.72695501822748798</v>
      </c>
      <c r="AE11" s="18">
        <f t="shared" si="6"/>
        <v>0.99803768657375624</v>
      </c>
      <c r="AF11" s="18">
        <f t="shared" si="6"/>
        <v>0.97529275969307538</v>
      </c>
      <c r="AG11" s="18">
        <f t="shared" si="6"/>
        <v>0.99636296010896852</v>
      </c>
      <c r="AH11" s="18">
        <f t="shared" si="6"/>
        <v>0.99967489819934119</v>
      </c>
      <c r="AI11" s="18">
        <f t="shared" si="6"/>
        <v>0.75051516495166193</v>
      </c>
      <c r="AJ11" s="18">
        <f t="shared" si="6"/>
        <v>0.992269143359227</v>
      </c>
      <c r="AK11" s="18">
        <f t="shared" si="6"/>
        <v>0.61598362199271939</v>
      </c>
      <c r="AL11" s="18">
        <f t="shared" si="6"/>
        <v>0.96884274186446462</v>
      </c>
      <c r="AM11" s="18">
        <f t="shared" si="6"/>
        <v>0.99393016363576225</v>
      </c>
      <c r="AN11" s="18">
        <f t="shared" si="6"/>
        <v>0.92923327488928531</v>
      </c>
      <c r="AO11" s="18">
        <f t="shared" si="6"/>
        <v>0.99364553532879796</v>
      </c>
      <c r="AP11" s="18">
        <f t="shared" ref="AP11:BE26" si="7">(
   INDEX($B$3:$B$75, MATCH(AP$2,_xlfn.ANCHORARRAY( $A$3), 0)) *
   INDEX($B$3:$B$75, MATCH($I11,_xlfn.ANCHORARRAY( $A$3), 0))
 +
   (
     INDEX($C$3:$C$75, MATCH(AP$2,_xlfn.ANCHORARRAY( $A$3), 0)) *
     INDEX($C$3:$C$75, MATCH($I11,_xlfn.ANCHORARRAY( $A$3), 0))
   ) *
   IF(
       SIGN(INDEX($C$3:$C$75, MATCH(AP$2,_xlfn.ANCHORARRAY( $A$3), 0)))
       =
       SIGN(INDEX($C$3:$C$75, MATCH($I11,_xlfn.ANCHORARRAY( $A$3), 0))),
       1,
       0.1
   )
 +
   INDEX($D$3:$D$75, MATCH(AP$2,_xlfn.ANCHORARRAY( $A$3), 0)) *
   INDEX($D$3:$D$75, MATCH($I11,_xlfn.ANCHORARRAY( $A$3), 0)) + INDEX($E$3:$E$75,MATCH(AP$2,_xlfn.ANCHORARRAY($A$3),0)) * INDEX($E$3:$E$75,MATCH($I11,_xlfn.ANCHORARRAY($A$3),0)) + INDEX($F$3:$F$75,MATCH(AP$2,_xlfn.ANCHORARRAY($A$3),0)) * INDEX($F$3:$F$75,MATCH($I11,_xlfn.ANCHORARRAY($A$3),0)))
/
(
   SQRT(
       INDEX($B$3:$B$75, MATCH(AP$2,_xlfn.ANCHORARRAY( $A$3), 0))^2 +
       INDEX($C$3:$C$75, MATCH(AP$2,_xlfn.ANCHORARRAY( $A$3), 0))^2 +
       INDEX($D$3:$D$75, MATCH(AP$2,_xlfn.ANCHORARRAY( $A$3), 0))^2 + INDEX($E$3:$E$75,MATCH(AP$2,_xlfn.ANCHORARRAY($A$3),0))^2 + INDEX($F$3:$F$75,MATCH(AP$2,_xlfn.ANCHORARRAY($A$3),0))^2   )
   *
   SQRT(
       INDEX($B$3:$B$75, MATCH($I11,_xlfn.ANCHORARRAY( $A$3), 0))^2 +
       INDEX($C$3:$C$75, MATCH($I11,_xlfn.ANCHORARRAY( $A$3), 0))^2 +
       INDEX($D$3:$D$75, MATCH($I11,_xlfn.ANCHORARRAY( $A$3), 0))^2 + INDEX($E$3:$E$75,MATCH($I11,_xlfn.ANCHORARRAY($A$3),0))^2 + INDEX($F$3:$F$75,MATCH($I11,_xlfn.ANCHORARRAY($A$3),0))^2
   )
)</f>
        <v>0.99129293139651686</v>
      </c>
      <c r="AQ11" s="18">
        <f t="shared" si="7"/>
        <v>0.99673762313357694</v>
      </c>
      <c r="AR11" s="18">
        <f t="shared" si="7"/>
        <v>0.83292547132863903</v>
      </c>
      <c r="AS11" s="18">
        <f t="shared" si="7"/>
        <v>0.68326533712160109</v>
      </c>
      <c r="AT11" s="18">
        <f t="shared" si="7"/>
        <v>0.975088475259968</v>
      </c>
      <c r="AU11" s="18">
        <f t="shared" si="7"/>
        <v>0.97640334903892378</v>
      </c>
      <c r="AV11" s="18">
        <f t="shared" si="7"/>
        <v>0.98465487779441452</v>
      </c>
      <c r="AW11" s="18">
        <f t="shared" si="7"/>
        <v>0.92833409626257946</v>
      </c>
      <c r="AX11" s="18">
        <f t="shared" si="7"/>
        <v>0.92252053839804427</v>
      </c>
      <c r="AY11" s="18">
        <f t="shared" si="7"/>
        <v>0.5985610539510291</v>
      </c>
      <c r="AZ11" s="18">
        <f t="shared" si="7"/>
        <v>0.74412712192347863</v>
      </c>
      <c r="BA11" s="18">
        <f t="shared" si="7"/>
        <v>0.81347176212137751</v>
      </c>
      <c r="BB11" s="18">
        <f t="shared" si="7"/>
        <v>0.94698114363519292</v>
      </c>
      <c r="BC11" s="18">
        <f t="shared" si="7"/>
        <v>0.99319695322514978</v>
      </c>
      <c r="BD11" s="18">
        <f t="shared" si="7"/>
        <v>0.93242959025194039</v>
      </c>
      <c r="BE11" s="18">
        <f t="shared" si="7"/>
        <v>0.9945701897717143</v>
      </c>
      <c r="BF11" s="18">
        <f t="shared" ref="BF11:BU40" si="8">(
   INDEX($B$3:$B$75, MATCH(BF$2,_xlfn.ANCHORARRAY( $A$3), 0)) *
   INDEX($B$3:$B$75, MATCH($I11,_xlfn.ANCHORARRAY( $A$3), 0))
 +
   (
     INDEX($C$3:$C$75, MATCH(BF$2,_xlfn.ANCHORARRAY( $A$3), 0)) *
     INDEX($C$3:$C$75, MATCH($I11,_xlfn.ANCHORARRAY( $A$3), 0))
   ) *
   IF(
       SIGN(INDEX($C$3:$C$75, MATCH(BF$2,_xlfn.ANCHORARRAY( $A$3), 0)))
       =
       SIGN(INDEX($C$3:$C$75, MATCH($I11,_xlfn.ANCHORARRAY( $A$3), 0))),
       1,
       0.1
   )
 +
   INDEX($D$3:$D$75, MATCH(BF$2,_xlfn.ANCHORARRAY( $A$3), 0)) *
   INDEX($D$3:$D$75, MATCH($I11,_xlfn.ANCHORARRAY( $A$3), 0)) + INDEX($E$3:$E$75,MATCH(BF$2,_xlfn.ANCHORARRAY($A$3),0)) * INDEX($E$3:$E$75,MATCH($I11,_xlfn.ANCHORARRAY($A$3),0)) + INDEX($F$3:$F$75,MATCH(BF$2,_xlfn.ANCHORARRAY($A$3),0)) * INDEX($F$3:$F$75,MATCH($I11,_xlfn.ANCHORARRAY($A$3),0)))
/
(
   SQRT(
       INDEX($B$3:$B$75, MATCH(BF$2,_xlfn.ANCHORARRAY( $A$3), 0))^2 +
       INDEX($C$3:$C$75, MATCH(BF$2,_xlfn.ANCHORARRAY( $A$3), 0))^2 +
       INDEX($D$3:$D$75, MATCH(BF$2,_xlfn.ANCHORARRAY( $A$3), 0))^2 + INDEX($E$3:$E$75,MATCH(BF$2,_xlfn.ANCHORARRAY($A$3),0))^2 + INDEX($F$3:$F$75,MATCH(BF$2,_xlfn.ANCHORARRAY($A$3),0))^2   )
   *
   SQRT(
       INDEX($B$3:$B$75, MATCH($I11,_xlfn.ANCHORARRAY( $A$3), 0))^2 +
       INDEX($C$3:$C$75, MATCH($I11,_xlfn.ANCHORARRAY( $A$3), 0))^2 +
       INDEX($D$3:$D$75, MATCH($I11,_xlfn.ANCHORARRAY( $A$3), 0))^2 + INDEX($E$3:$E$75,MATCH($I11,_xlfn.ANCHORARRAY($A$3),0))^2 + INDEX($F$3:$F$75,MATCH($I11,_xlfn.ANCHORARRAY($A$3),0))^2
   )
)</f>
        <v>0.98366056783294187</v>
      </c>
      <c r="BG11" s="18">
        <f t="shared" si="8"/>
        <v>0.99299039241363996</v>
      </c>
      <c r="BH11" s="18">
        <f t="shared" si="8"/>
        <v>0.88086830860429255</v>
      </c>
      <c r="BI11" s="18">
        <f t="shared" si="8"/>
        <v>0.73863675409200691</v>
      </c>
      <c r="BJ11" s="18">
        <f t="shared" si="8"/>
        <v>0.91657231452984311</v>
      </c>
      <c r="BK11" s="18">
        <f t="shared" si="8"/>
        <v>0.94101357971077049</v>
      </c>
      <c r="BL11" s="18">
        <f t="shared" si="8"/>
        <v>0.89609384261053882</v>
      </c>
      <c r="BM11" s="18">
        <f t="shared" si="8"/>
        <v>0.96849743781767894</v>
      </c>
      <c r="BN11" s="18">
        <f t="shared" si="8"/>
        <v>0.68407035948491079</v>
      </c>
      <c r="BO11" s="18">
        <f t="shared" si="8"/>
        <v>0.77175271994397709</v>
      </c>
      <c r="BP11" s="18">
        <f t="shared" si="8"/>
        <v>0.65901426298820875</v>
      </c>
      <c r="BQ11" s="18">
        <f t="shared" si="8"/>
        <v>0.89348200458009641</v>
      </c>
      <c r="BR11" s="18">
        <f t="shared" si="8"/>
        <v>0.99491743288519574</v>
      </c>
      <c r="BS11" s="18">
        <f t="shared" si="8"/>
        <v>0.75437708675812887</v>
      </c>
      <c r="BT11" s="18">
        <f t="shared" si="8"/>
        <v>0.92028566750805285</v>
      </c>
      <c r="BU11" s="18">
        <f t="shared" si="8"/>
        <v>0.62820411810194821</v>
      </c>
      <c r="BV11" s="18">
        <f t="shared" si="5"/>
        <v>0.9926625974679697</v>
      </c>
      <c r="BW11" s="18">
        <f t="shared" si="5"/>
        <v>0.67727103113508791</v>
      </c>
      <c r="BX11" s="18">
        <f t="shared" si="1"/>
        <v>0.99849005291140425</v>
      </c>
      <c r="BY11" s="18">
        <f t="shared" si="1"/>
        <v>0.81203033416704962</v>
      </c>
      <c r="BZ11" s="18">
        <f t="shared" si="1"/>
        <v>0.96236011102725272</v>
      </c>
      <c r="CA11" s="18">
        <f t="shared" si="1"/>
        <v>0.99060733767957443</v>
      </c>
      <c r="CB11" s="18">
        <f t="shared" si="1"/>
        <v>0.97833743026801601</v>
      </c>
      <c r="CC11" s="18">
        <f t="shared" si="1"/>
        <v>0.97009407710480899</v>
      </c>
      <c r="CD11" s="18">
        <f t="shared" si="1"/>
        <v>0.58929515705158253</v>
      </c>
    </row>
    <row r="12" spans="1:82" x14ac:dyDescent="0.3">
      <c r="A12" s="7" t="str">
        <v>Soroka, Michael</v>
      </c>
      <c r="B12">
        <f>_xlfn.XLOOKUP($A12,braves_19_25__2[player_name], braves_19_25__2[release_pos_z])</f>
        <v>6.3</v>
      </c>
      <c r="C12">
        <f>_xlfn.XLOOKUP($A12,braves_19_25__2[player_name], braves_19_25__2[release_pos_x])*2.5</f>
        <v>-5.15</v>
      </c>
      <c r="D12">
        <f>_xlfn.XLOOKUP($A12,braves_19_25__2[player_name], braves_19_25__2[release_extension])</f>
        <v>5.47</v>
      </c>
      <c r="E12">
        <f>COS(RADIANS(AVERAGE(_xlfn.XLOOKUP($A12,braves_19_25__2[player_name],braves_19_25__2[arm_angle]))))*4</f>
        <v>3.1691585734207628</v>
      </c>
      <c r="F12">
        <f>SIN(RADIANS(AVERAGE(_xlfn.XLOOKUP($A12,braves_19_25__2[player_name],braves_19_25__2[arm_angle]))))*4</f>
        <v>2.4405806556050704</v>
      </c>
      <c r="G12">
        <f t="shared" si="2"/>
        <v>10.589305926263533</v>
      </c>
      <c r="I12" s="7" t="str">
        <v>Soroka, Michael</v>
      </c>
      <c r="J12" s="18">
        <f t="shared" si="3"/>
        <v>0.80863177691734767</v>
      </c>
      <c r="K12" s="18">
        <f t="shared" si="3"/>
        <v>0.98798711490360958</v>
      </c>
      <c r="L12" s="18">
        <f t="shared" si="3"/>
        <v>0.99742463018837901</v>
      </c>
      <c r="M12" s="18">
        <f t="shared" si="3"/>
        <v>0.97145778248725934</v>
      </c>
      <c r="N12" s="18">
        <f t="shared" si="3"/>
        <v>0.60556629441015075</v>
      </c>
      <c r="O12" s="18">
        <f t="shared" si="3"/>
        <v>0.97098904069955383</v>
      </c>
      <c r="P12" s="18">
        <f t="shared" si="3"/>
        <v>0.72244968369654106</v>
      </c>
      <c r="Q12" s="18">
        <f t="shared" si="3"/>
        <v>0.99022929892439959</v>
      </c>
      <c r="R12" s="18">
        <f t="shared" si="3"/>
        <v>0.98574564584965663</v>
      </c>
      <c r="S12" s="18">
        <f t="shared" si="3"/>
        <v>1.0000000000000002</v>
      </c>
      <c r="T12" s="18">
        <f t="shared" si="3"/>
        <v>0.9816369227841315</v>
      </c>
      <c r="U12" s="18">
        <f t="shared" si="3"/>
        <v>0.99362906161609932</v>
      </c>
      <c r="V12" s="18">
        <f t="shared" si="3"/>
        <v>0.99305888752276317</v>
      </c>
      <c r="W12" s="18">
        <f t="shared" si="3"/>
        <v>0.78300519776322153</v>
      </c>
      <c r="X12" s="18">
        <f t="shared" si="3"/>
        <v>0.99614132764121899</v>
      </c>
      <c r="Y12" s="18">
        <f t="shared" si="3"/>
        <v>0.99168590990458061</v>
      </c>
      <c r="Z12" s="18">
        <f t="shared" si="6"/>
        <v>0.76684863127443514</v>
      </c>
      <c r="AA12" s="18">
        <f t="shared" si="6"/>
        <v>0.79372271908914183</v>
      </c>
      <c r="AB12" s="18">
        <f t="shared" si="6"/>
        <v>0.99862393166013663</v>
      </c>
      <c r="AC12" s="18">
        <f t="shared" si="6"/>
        <v>0.99122593462987785</v>
      </c>
      <c r="AD12" s="18">
        <f t="shared" si="6"/>
        <v>0.76946237970127906</v>
      </c>
      <c r="AE12" s="18">
        <f t="shared" si="6"/>
        <v>0.98911767142473705</v>
      </c>
      <c r="AF12" s="18">
        <f t="shared" si="6"/>
        <v>0.98999026177378924</v>
      </c>
      <c r="AG12" s="18">
        <f t="shared" si="6"/>
        <v>0.98848796867356492</v>
      </c>
      <c r="AH12" s="18">
        <f t="shared" si="6"/>
        <v>0.98558551301780617</v>
      </c>
      <c r="AI12" s="18">
        <f t="shared" si="6"/>
        <v>0.79225416632713941</v>
      </c>
      <c r="AJ12" s="18">
        <f t="shared" si="6"/>
        <v>0.99546220979534517</v>
      </c>
      <c r="AK12" s="18">
        <f t="shared" si="6"/>
        <v>0.62967038638459638</v>
      </c>
      <c r="AL12" s="18">
        <f t="shared" si="6"/>
        <v>0.94730091864515653</v>
      </c>
      <c r="AM12" s="18">
        <f t="shared" si="6"/>
        <v>0.98887216077269902</v>
      </c>
      <c r="AN12" s="18">
        <f t="shared" si="6"/>
        <v>0.95724288037058858</v>
      </c>
      <c r="AO12" s="18">
        <f t="shared" si="6"/>
        <v>0.99203445192833684</v>
      </c>
      <c r="AP12" s="18">
        <f t="shared" si="7"/>
        <v>0.994575934944262</v>
      </c>
      <c r="AQ12" s="18">
        <f t="shared" si="7"/>
        <v>0.98652555909246598</v>
      </c>
      <c r="AR12" s="18">
        <f t="shared" si="7"/>
        <v>0.85706029107395143</v>
      </c>
      <c r="AS12" s="18">
        <f t="shared" si="7"/>
        <v>0.7085115928110165</v>
      </c>
      <c r="AT12" s="18">
        <f t="shared" si="7"/>
        <v>0.98724039958059429</v>
      </c>
      <c r="AU12" s="18">
        <f t="shared" si="7"/>
        <v>0.99417114272243134</v>
      </c>
      <c r="AV12" s="18">
        <f t="shared" si="7"/>
        <v>0.99109783209774105</v>
      </c>
      <c r="AW12" s="18">
        <f t="shared" si="7"/>
        <v>0.94693409851005439</v>
      </c>
      <c r="AX12" s="18">
        <f t="shared" si="7"/>
        <v>0.94474007709626318</v>
      </c>
      <c r="AY12" s="18">
        <f t="shared" si="7"/>
        <v>0.61718215996064307</v>
      </c>
      <c r="AZ12" s="18">
        <f t="shared" si="7"/>
        <v>0.7785661189603913</v>
      </c>
      <c r="BA12" s="18">
        <f t="shared" si="7"/>
        <v>0.83682089344056465</v>
      </c>
      <c r="BB12" s="18">
        <f t="shared" si="7"/>
        <v>0.96463820308513304</v>
      </c>
      <c r="BC12" s="18">
        <f t="shared" si="7"/>
        <v>0.98887405045506582</v>
      </c>
      <c r="BD12" s="18">
        <f t="shared" si="7"/>
        <v>0.88647349819303978</v>
      </c>
      <c r="BE12" s="18">
        <f t="shared" si="7"/>
        <v>0.99154626269917734</v>
      </c>
      <c r="BF12" s="18">
        <f t="shared" si="8"/>
        <v>0.98690402383627507</v>
      </c>
      <c r="BG12" s="18">
        <f t="shared" si="8"/>
        <v>0.99086050981847507</v>
      </c>
      <c r="BH12" s="18">
        <f t="shared" si="8"/>
        <v>0.91457718425866075</v>
      </c>
      <c r="BI12" s="18">
        <f t="shared" si="8"/>
        <v>0.77691109941795178</v>
      </c>
      <c r="BJ12" s="18">
        <f t="shared" si="8"/>
        <v>0.94892808421316088</v>
      </c>
      <c r="BK12" s="18">
        <f t="shared" si="8"/>
        <v>0.96475998446709355</v>
      </c>
      <c r="BL12" s="18">
        <f t="shared" si="8"/>
        <v>0.92920849579448184</v>
      </c>
      <c r="BM12" s="18">
        <f t="shared" si="8"/>
        <v>0.97604663388435986</v>
      </c>
      <c r="BN12" s="18">
        <f t="shared" si="8"/>
        <v>0.71382291952615551</v>
      </c>
      <c r="BO12" s="18">
        <f t="shared" si="8"/>
        <v>0.80703790494573358</v>
      </c>
      <c r="BP12" s="18">
        <f t="shared" si="8"/>
        <v>0.68613135749944099</v>
      </c>
      <c r="BQ12" s="18">
        <f t="shared" si="8"/>
        <v>0.92619025571521763</v>
      </c>
      <c r="BR12" s="18">
        <f t="shared" si="8"/>
        <v>0.9839249581744155</v>
      </c>
      <c r="BS12" s="18">
        <f t="shared" si="8"/>
        <v>0.78102954590345408</v>
      </c>
      <c r="BT12" s="18">
        <f t="shared" si="8"/>
        <v>0.95513493578484421</v>
      </c>
      <c r="BU12" s="18">
        <f t="shared" si="8"/>
        <v>0.6587051254197529</v>
      </c>
      <c r="BV12" s="18">
        <f t="shared" si="5"/>
        <v>0.98119047936450854</v>
      </c>
      <c r="BW12" s="18">
        <f t="shared" si="5"/>
        <v>0.7060418881411844</v>
      </c>
      <c r="BX12" s="18">
        <f t="shared" si="1"/>
        <v>0.98174628632010441</v>
      </c>
      <c r="BY12" s="18">
        <f t="shared" si="1"/>
        <v>0.84688968285530097</v>
      </c>
      <c r="BZ12" s="18">
        <f t="shared" si="1"/>
        <v>0.97094761026352028</v>
      </c>
      <c r="CA12" s="18">
        <f t="shared" si="1"/>
        <v>0.99004444171287653</v>
      </c>
      <c r="CB12" s="18">
        <f t="shared" si="1"/>
        <v>0.987427902190258</v>
      </c>
      <c r="CC12" s="18">
        <f t="shared" si="1"/>
        <v>0.9804203374154119</v>
      </c>
      <c r="CD12" s="18">
        <f t="shared" si="1"/>
        <v>0.61767563094950739</v>
      </c>
    </row>
    <row r="13" spans="1:82" x14ac:dyDescent="0.3">
      <c r="A13" s="7" t="str">
        <v>Chavez, Jesse</v>
      </c>
      <c r="B13">
        <f>_xlfn.XLOOKUP($A13,braves_19_25__2[player_name], braves_19_25__2[release_pos_z])</f>
        <v>5.14</v>
      </c>
      <c r="C13">
        <f>_xlfn.XLOOKUP($A13,braves_19_25__2[player_name], braves_19_25__2[release_pos_x])*2.5</f>
        <v>-3.85</v>
      </c>
      <c r="D13">
        <f>_xlfn.XLOOKUP($A13,braves_19_25__2[player_name], braves_19_25__2[release_extension])</f>
        <v>6.23</v>
      </c>
      <c r="E13">
        <f>COS(RADIANS(AVERAGE(_xlfn.XLOOKUP($A13,braves_19_25__2[player_name],braves_19_25__2[arm_angle]))))*4</f>
        <v>3.6369444361882741</v>
      </c>
      <c r="F13">
        <f>SIN(RADIANS(AVERAGE(_xlfn.XLOOKUP($A13,braves_19_25__2[player_name],braves_19_25__2[arm_angle]))))*4</f>
        <v>1.6651231690416048</v>
      </c>
      <c r="G13">
        <f t="shared" si="2"/>
        <v>9.8007652762424637</v>
      </c>
      <c r="I13" s="7" t="str">
        <v>Chavez, Jesse</v>
      </c>
      <c r="J13" s="18">
        <f t="shared" si="3"/>
        <v>0.84226268347601063</v>
      </c>
      <c r="K13" s="18">
        <f t="shared" si="3"/>
        <v>0.98872606904630822</v>
      </c>
      <c r="L13" s="18">
        <f t="shared" si="3"/>
        <v>0.98675188795914881</v>
      </c>
      <c r="M13" s="18">
        <f t="shared" si="3"/>
        <v>0.96949109422496171</v>
      </c>
      <c r="N13" s="18">
        <f t="shared" si="3"/>
        <v>0.66822837206956431</v>
      </c>
      <c r="O13" s="18">
        <f t="shared" si="3"/>
        <v>0.963815938452247</v>
      </c>
      <c r="P13" s="18">
        <f t="shared" si="3"/>
        <v>0.76433414452510573</v>
      </c>
      <c r="Q13" s="18">
        <f t="shared" si="3"/>
        <v>0.99767538035172731</v>
      </c>
      <c r="R13" s="18">
        <f t="shared" si="3"/>
        <v>0.98400287989432633</v>
      </c>
      <c r="S13" s="18">
        <f t="shared" si="3"/>
        <v>0.9816369227841315</v>
      </c>
      <c r="T13" s="18">
        <f t="shared" si="3"/>
        <v>0.99999999999999989</v>
      </c>
      <c r="U13" s="18">
        <f t="shared" si="3"/>
        <v>0.99617870886183935</v>
      </c>
      <c r="V13" s="18">
        <f t="shared" si="3"/>
        <v>0.97050851024064277</v>
      </c>
      <c r="W13" s="18">
        <f t="shared" si="3"/>
        <v>0.8155637156723945</v>
      </c>
      <c r="X13" s="18">
        <f t="shared" si="3"/>
        <v>0.97815029880409277</v>
      </c>
      <c r="Y13" s="18">
        <f t="shared" si="3"/>
        <v>0.99369612048899458</v>
      </c>
      <c r="Z13" s="18">
        <f t="shared" si="6"/>
        <v>0.79861401284311728</v>
      </c>
      <c r="AA13" s="18">
        <f t="shared" si="6"/>
        <v>0.82348425228371835</v>
      </c>
      <c r="AB13" s="18">
        <f t="shared" si="6"/>
        <v>0.98821317538358577</v>
      </c>
      <c r="AC13" s="18">
        <f t="shared" si="6"/>
        <v>0.99192817560524627</v>
      </c>
      <c r="AD13" s="18">
        <f t="shared" si="6"/>
        <v>0.79308868384830267</v>
      </c>
      <c r="AE13" s="18">
        <f t="shared" si="6"/>
        <v>0.99178998539046415</v>
      </c>
      <c r="AF13" s="18">
        <f t="shared" si="6"/>
        <v>0.98717909321215647</v>
      </c>
      <c r="AG13" s="18">
        <f t="shared" si="6"/>
        <v>0.99468027103490986</v>
      </c>
      <c r="AH13" s="18">
        <f t="shared" si="6"/>
        <v>0.98456861239485682</v>
      </c>
      <c r="AI13" s="18">
        <f t="shared" si="6"/>
        <v>0.81852789716633312</v>
      </c>
      <c r="AJ13" s="18">
        <f t="shared" si="6"/>
        <v>0.99349799473341693</v>
      </c>
      <c r="AK13" s="18">
        <f t="shared" si="6"/>
        <v>0.69240057272698685</v>
      </c>
      <c r="AL13" s="18">
        <f t="shared" si="6"/>
        <v>0.92704569747201093</v>
      </c>
      <c r="AM13" s="18">
        <f t="shared" si="6"/>
        <v>0.98765764919156684</v>
      </c>
      <c r="AN13" s="18">
        <f t="shared" si="6"/>
        <v>0.9672467686656564</v>
      </c>
      <c r="AO13" s="18">
        <f t="shared" si="6"/>
        <v>0.9694117714705659</v>
      </c>
      <c r="AP13" s="18">
        <f t="shared" si="7"/>
        <v>0.97782332752208823</v>
      </c>
      <c r="AQ13" s="18">
        <f t="shared" si="7"/>
        <v>0.96992783957204309</v>
      </c>
      <c r="AR13" s="18">
        <f t="shared" si="7"/>
        <v>0.89960337913693567</v>
      </c>
      <c r="AS13" s="18">
        <f t="shared" si="7"/>
        <v>0.74873955304228357</v>
      </c>
      <c r="AT13" s="18">
        <f t="shared" si="7"/>
        <v>0.9912108885268095</v>
      </c>
      <c r="AU13" s="18">
        <f t="shared" si="7"/>
        <v>0.98980342684621836</v>
      </c>
      <c r="AV13" s="18">
        <f t="shared" si="7"/>
        <v>0.99488478113088019</v>
      </c>
      <c r="AW13" s="18">
        <f t="shared" si="7"/>
        <v>0.94027227075137443</v>
      </c>
      <c r="AX13" s="18">
        <f t="shared" si="7"/>
        <v>0.95444814471252559</v>
      </c>
      <c r="AY13" s="18">
        <f t="shared" si="7"/>
        <v>0.66078531746307645</v>
      </c>
      <c r="AZ13" s="18">
        <f t="shared" si="7"/>
        <v>0.81671938202255534</v>
      </c>
      <c r="BA13" s="18">
        <f t="shared" si="7"/>
        <v>0.88098028921511851</v>
      </c>
      <c r="BB13" s="18">
        <f t="shared" si="7"/>
        <v>0.9815227081498844</v>
      </c>
      <c r="BC13" s="18">
        <f t="shared" si="7"/>
        <v>0.9960148125666568</v>
      </c>
      <c r="BD13" s="18">
        <f t="shared" si="7"/>
        <v>0.91070369668068452</v>
      </c>
      <c r="BE13" s="18">
        <f t="shared" si="7"/>
        <v>0.99545750887433915</v>
      </c>
      <c r="BF13" s="18">
        <f t="shared" si="8"/>
        <v>0.95483393707428565</v>
      </c>
      <c r="BG13" s="18">
        <f t="shared" si="8"/>
        <v>0.99563317716838518</v>
      </c>
      <c r="BH13" s="18">
        <f t="shared" si="8"/>
        <v>0.93101285435952941</v>
      </c>
      <c r="BI13" s="18">
        <f t="shared" si="8"/>
        <v>0.79825337075402003</v>
      </c>
      <c r="BJ13" s="18">
        <f t="shared" si="8"/>
        <v>0.95529455079297898</v>
      </c>
      <c r="BK13" s="18">
        <f t="shared" si="8"/>
        <v>0.96973518022982608</v>
      </c>
      <c r="BL13" s="18">
        <f t="shared" si="8"/>
        <v>0.94076935404059203</v>
      </c>
      <c r="BM13" s="18">
        <f t="shared" si="8"/>
        <v>0.9916582883996341</v>
      </c>
      <c r="BN13" s="18">
        <f t="shared" si="8"/>
        <v>0.75484276086399227</v>
      </c>
      <c r="BO13" s="18">
        <f t="shared" si="8"/>
        <v>0.83658743229350963</v>
      </c>
      <c r="BP13" s="18">
        <f t="shared" si="8"/>
        <v>0.72310417249218784</v>
      </c>
      <c r="BQ13" s="18">
        <f t="shared" si="8"/>
        <v>0.94008628116170279</v>
      </c>
      <c r="BR13" s="18">
        <f t="shared" si="8"/>
        <v>0.96656652433000045</v>
      </c>
      <c r="BS13" s="18">
        <f t="shared" si="8"/>
        <v>0.82952761083513382</v>
      </c>
      <c r="BT13" s="18">
        <f t="shared" si="8"/>
        <v>0.95919065699040551</v>
      </c>
      <c r="BU13" s="18">
        <f t="shared" si="8"/>
        <v>0.6980927478452984</v>
      </c>
      <c r="BV13" s="18">
        <f t="shared" si="5"/>
        <v>0.97930750799509791</v>
      </c>
      <c r="BW13" s="18">
        <f t="shared" si="5"/>
        <v>0.74417172361435213</v>
      </c>
      <c r="BX13" s="18">
        <f t="shared" si="1"/>
        <v>0.98433988881895373</v>
      </c>
      <c r="BY13" s="18">
        <f t="shared" si="1"/>
        <v>0.87865860976931898</v>
      </c>
      <c r="BZ13" s="18">
        <f t="shared" si="1"/>
        <v>0.99097655334084855</v>
      </c>
      <c r="CA13" s="18">
        <f t="shared" si="1"/>
        <v>0.99000306800916138</v>
      </c>
      <c r="CB13" s="18">
        <f t="shared" si="1"/>
        <v>0.99316020592223619</v>
      </c>
      <c r="CC13" s="18">
        <f t="shared" si="1"/>
        <v>0.97639199634163665</v>
      </c>
      <c r="CD13" s="18">
        <f t="shared" si="1"/>
        <v>0.65081825592263354</v>
      </c>
    </row>
    <row r="14" spans="1:82" x14ac:dyDescent="0.3">
      <c r="A14" s="7" t="str">
        <v>Iglesias, Raisel</v>
      </c>
      <c r="B14">
        <f>_xlfn.XLOOKUP($A14,braves_19_25__2[player_name], braves_19_25__2[release_pos_z])</f>
        <v>5.49</v>
      </c>
      <c r="C14">
        <f>_xlfn.XLOOKUP($A14,braves_19_25__2[player_name], braves_19_25__2[release_pos_x])*2.5</f>
        <v>-4.4749999999999996</v>
      </c>
      <c r="D14">
        <f>_xlfn.XLOOKUP($A14,braves_19_25__2[player_name], braves_19_25__2[release_extension])</f>
        <v>6.06</v>
      </c>
      <c r="E14">
        <f>COS(RADIANS(AVERAGE(_xlfn.XLOOKUP($A14,braves_19_25__2[player_name],braves_19_25__2[arm_angle]))))*4</f>
        <v>3.3584794581376527</v>
      </c>
      <c r="F14">
        <f>SIN(RADIANS(AVERAGE(_xlfn.XLOOKUP($A14,braves_19_25__2[player_name],braves_19_25__2[arm_angle]))))*4</f>
        <v>2.1726977998026826</v>
      </c>
      <c r="G14">
        <f t="shared" si="2"/>
        <v>10.143437533696355</v>
      </c>
      <c r="I14" s="7" t="str">
        <v>Iglesias, Raisel</v>
      </c>
      <c r="J14" s="18">
        <f t="shared" si="3"/>
        <v>0.83118593988014811</v>
      </c>
      <c r="K14" s="18">
        <f t="shared" si="3"/>
        <v>0.99270551266332152</v>
      </c>
      <c r="L14" s="18">
        <f t="shared" si="3"/>
        <v>0.99686190928127272</v>
      </c>
      <c r="M14" s="18">
        <f t="shared" si="3"/>
        <v>0.9751266052583405</v>
      </c>
      <c r="N14" s="18">
        <f t="shared" si="3"/>
        <v>0.64022653351387171</v>
      </c>
      <c r="O14" s="18">
        <f t="shared" si="3"/>
        <v>0.97490416952638359</v>
      </c>
      <c r="P14" s="18">
        <f t="shared" si="3"/>
        <v>0.74822557259210443</v>
      </c>
      <c r="Q14" s="18">
        <f t="shared" si="3"/>
        <v>0.9989310853574761</v>
      </c>
      <c r="R14" s="18">
        <f t="shared" si="3"/>
        <v>0.9917333995702311</v>
      </c>
      <c r="S14" s="18">
        <f t="shared" si="3"/>
        <v>0.99362906161609932</v>
      </c>
      <c r="T14" s="18">
        <f t="shared" si="3"/>
        <v>0.99617870886183935</v>
      </c>
      <c r="U14" s="18">
        <f t="shared" si="3"/>
        <v>1</v>
      </c>
      <c r="V14" s="18">
        <f t="shared" si="3"/>
        <v>0.98713601448262112</v>
      </c>
      <c r="W14" s="18">
        <f t="shared" si="3"/>
        <v>0.80342714024256134</v>
      </c>
      <c r="X14" s="18">
        <f t="shared" si="3"/>
        <v>0.99161527125138371</v>
      </c>
      <c r="Y14" s="18">
        <f t="shared" si="3"/>
        <v>0.99756255710550035</v>
      </c>
      <c r="Z14" s="18">
        <f t="shared" si="6"/>
        <v>0.78727314615252331</v>
      </c>
      <c r="AA14" s="18">
        <f t="shared" si="6"/>
        <v>0.81160119836702926</v>
      </c>
      <c r="AB14" s="18">
        <f t="shared" si="6"/>
        <v>0.99729762508467046</v>
      </c>
      <c r="AC14" s="18">
        <f t="shared" si="6"/>
        <v>0.997557860276856</v>
      </c>
      <c r="AD14" s="18">
        <f t="shared" si="6"/>
        <v>0.78452870321676071</v>
      </c>
      <c r="AE14" s="18">
        <f t="shared" si="6"/>
        <v>0.99604653324200443</v>
      </c>
      <c r="AF14" s="18">
        <f t="shared" si="6"/>
        <v>0.99325070186124231</v>
      </c>
      <c r="AG14" s="18">
        <f t="shared" si="6"/>
        <v>0.99800773860609204</v>
      </c>
      <c r="AH14" s="18">
        <f t="shared" si="6"/>
        <v>0.99150808279392233</v>
      </c>
      <c r="AI14" s="18">
        <f t="shared" si="6"/>
        <v>0.80870724997000798</v>
      </c>
      <c r="AJ14" s="18">
        <f t="shared" si="6"/>
        <v>0.99958094819372723</v>
      </c>
      <c r="AK14" s="18">
        <f t="shared" si="6"/>
        <v>0.66344501874230555</v>
      </c>
      <c r="AL14" s="18">
        <f t="shared" si="6"/>
        <v>0.94086130076496743</v>
      </c>
      <c r="AM14" s="18">
        <f t="shared" si="6"/>
        <v>0.99542405378753651</v>
      </c>
      <c r="AN14" s="18">
        <f t="shared" si="6"/>
        <v>0.9662839716333459</v>
      </c>
      <c r="AO14" s="18">
        <f t="shared" si="6"/>
        <v>0.98577130706020766</v>
      </c>
      <c r="AP14" s="18">
        <f t="shared" si="7"/>
        <v>0.98943492303005121</v>
      </c>
      <c r="AQ14" s="18">
        <f t="shared" si="7"/>
        <v>0.98431566574810758</v>
      </c>
      <c r="AR14" s="18">
        <f t="shared" si="7"/>
        <v>0.88498688641546941</v>
      </c>
      <c r="AS14" s="18">
        <f t="shared" si="7"/>
        <v>0.73364588683994114</v>
      </c>
      <c r="AT14" s="18">
        <f t="shared" si="7"/>
        <v>0.99420816074460017</v>
      </c>
      <c r="AU14" s="18">
        <f t="shared" si="7"/>
        <v>0.99512865866724476</v>
      </c>
      <c r="AV14" s="18">
        <f t="shared" si="7"/>
        <v>0.99829860552829675</v>
      </c>
      <c r="AW14" s="18">
        <f t="shared" si="7"/>
        <v>0.95057181620670106</v>
      </c>
      <c r="AX14" s="18">
        <f t="shared" si="7"/>
        <v>0.95582069851274443</v>
      </c>
      <c r="AY14" s="18">
        <f t="shared" si="7"/>
        <v>0.64385742075601138</v>
      </c>
      <c r="AZ14" s="18">
        <f t="shared" si="7"/>
        <v>0.80101511079748811</v>
      </c>
      <c r="BA14" s="18">
        <f t="shared" si="7"/>
        <v>0.8657944200775668</v>
      </c>
      <c r="BB14" s="18">
        <f t="shared" si="7"/>
        <v>0.97802834939630634</v>
      </c>
      <c r="BC14" s="18">
        <f t="shared" si="7"/>
        <v>0.99707596131015275</v>
      </c>
      <c r="BD14" s="18">
        <f t="shared" si="7"/>
        <v>0.90348585460951014</v>
      </c>
      <c r="BE14" s="18">
        <f t="shared" si="7"/>
        <v>0.99922229380915717</v>
      </c>
      <c r="BF14" s="18">
        <f t="shared" si="8"/>
        <v>0.97629380990117609</v>
      </c>
      <c r="BG14" s="18">
        <f t="shared" si="8"/>
        <v>0.99941003557306918</v>
      </c>
      <c r="BH14" s="18">
        <f t="shared" si="8"/>
        <v>0.92757878828707441</v>
      </c>
      <c r="BI14" s="18">
        <f t="shared" si="8"/>
        <v>0.79277145079169031</v>
      </c>
      <c r="BJ14" s="18">
        <f t="shared" si="8"/>
        <v>0.95621909765640989</v>
      </c>
      <c r="BK14" s="18">
        <f t="shared" si="8"/>
        <v>0.97221984532698624</v>
      </c>
      <c r="BL14" s="18">
        <f t="shared" si="8"/>
        <v>0.93946126403730845</v>
      </c>
      <c r="BM14" s="18">
        <f t="shared" si="8"/>
        <v>0.98969615504144393</v>
      </c>
      <c r="BN14" s="18">
        <f t="shared" si="8"/>
        <v>0.73777171658188878</v>
      </c>
      <c r="BO14" s="18">
        <f t="shared" si="8"/>
        <v>0.82694927548835861</v>
      </c>
      <c r="BP14" s="18">
        <f t="shared" si="8"/>
        <v>0.70933664144960851</v>
      </c>
      <c r="BQ14" s="18">
        <f t="shared" si="8"/>
        <v>0.93752688837397558</v>
      </c>
      <c r="BR14" s="18">
        <f t="shared" si="8"/>
        <v>0.98045064259686732</v>
      </c>
      <c r="BS14" s="18">
        <f t="shared" si="8"/>
        <v>0.80951670778612106</v>
      </c>
      <c r="BT14" s="18">
        <f t="shared" si="8"/>
        <v>0.96011552474655992</v>
      </c>
      <c r="BU14" s="18">
        <f t="shared" si="8"/>
        <v>0.68072109211218068</v>
      </c>
      <c r="BV14" s="18">
        <f t="shared" si="5"/>
        <v>0.9843452773590422</v>
      </c>
      <c r="BW14" s="18">
        <f t="shared" si="5"/>
        <v>0.72942748765215615</v>
      </c>
      <c r="BX14" s="18">
        <f t="shared" si="1"/>
        <v>0.98933426056695639</v>
      </c>
      <c r="BY14" s="18">
        <f t="shared" si="1"/>
        <v>0.86796466401694539</v>
      </c>
      <c r="BZ14" s="18">
        <f t="shared" si="1"/>
        <v>0.98651017956666898</v>
      </c>
      <c r="CA14" s="18">
        <f t="shared" si="1"/>
        <v>0.99644805925656865</v>
      </c>
      <c r="CB14" s="18">
        <f t="shared" si="1"/>
        <v>0.99547300232635905</v>
      </c>
      <c r="CC14" s="18">
        <f t="shared" si="1"/>
        <v>0.98511985280269243</v>
      </c>
      <c r="CD14" s="18">
        <f t="shared" si="1"/>
        <v>0.63772877342575784</v>
      </c>
    </row>
    <row r="15" spans="1:82" x14ac:dyDescent="0.3">
      <c r="A15" s="7" t="str">
        <v>Jackson, Luke</v>
      </c>
      <c r="B15">
        <f>_xlfn.XLOOKUP($A15,braves_19_25__2[player_name], braves_19_25__2[release_pos_z])</f>
        <v>6.33</v>
      </c>
      <c r="C15">
        <f>_xlfn.XLOOKUP($A15,braves_19_25__2[player_name], braves_19_25__2[release_pos_x])*2.5</f>
        <v>-6.35</v>
      </c>
      <c r="D15">
        <f>_xlfn.XLOOKUP($A15,braves_19_25__2[player_name], braves_19_25__2[release_extension])</f>
        <v>6.47</v>
      </c>
      <c r="E15">
        <f>COS(RADIANS(AVERAGE(_xlfn.XLOOKUP($A15,braves_19_25__2[player_name],braves_19_25__2[arm_angle]))))*4</f>
        <v>2.6136824159604215</v>
      </c>
      <c r="F15">
        <f>SIN(RADIANS(AVERAGE(_xlfn.XLOOKUP($A15,braves_19_25__2[player_name],braves_19_25__2[arm_angle]))))*4</f>
        <v>3.027980222607026</v>
      </c>
      <c r="G15">
        <f t="shared" si="2"/>
        <v>11.758073821846841</v>
      </c>
      <c r="I15" s="7" t="str">
        <v>Jackson, Luke</v>
      </c>
      <c r="J15" s="18">
        <f t="shared" si="3"/>
        <v>0.78449005036447361</v>
      </c>
      <c r="K15" s="18">
        <f t="shared" si="3"/>
        <v>0.984212982374714</v>
      </c>
      <c r="L15" s="18">
        <f t="shared" si="3"/>
        <v>0.99644051444629433</v>
      </c>
      <c r="M15" s="18">
        <f t="shared" si="3"/>
        <v>0.96008697614515459</v>
      </c>
      <c r="N15" s="18">
        <f t="shared" si="3"/>
        <v>0.57334075636218207</v>
      </c>
      <c r="O15" s="18">
        <f t="shared" si="3"/>
        <v>0.97579969226663865</v>
      </c>
      <c r="P15" s="18">
        <f t="shared" si="3"/>
        <v>0.69476328074685634</v>
      </c>
      <c r="Q15" s="18">
        <f t="shared" si="3"/>
        <v>0.98348172681468071</v>
      </c>
      <c r="R15" s="18">
        <f t="shared" si="3"/>
        <v>0.99176329668931651</v>
      </c>
      <c r="S15" s="18">
        <f t="shared" si="3"/>
        <v>0.99305888752276317</v>
      </c>
      <c r="T15" s="18">
        <f t="shared" si="3"/>
        <v>0.97050851024064277</v>
      </c>
      <c r="U15" s="18">
        <f t="shared" si="3"/>
        <v>0.98713601448262112</v>
      </c>
      <c r="V15" s="18">
        <f t="shared" si="3"/>
        <v>1.0000000000000002</v>
      </c>
      <c r="W15" s="18">
        <f t="shared" si="3"/>
        <v>0.75464771867343783</v>
      </c>
      <c r="X15" s="18">
        <f t="shared" si="3"/>
        <v>0.99757401361314813</v>
      </c>
      <c r="Y15" s="18">
        <f t="shared" si="3"/>
        <v>0.98147949578516991</v>
      </c>
      <c r="Z15" s="18">
        <f t="shared" si="6"/>
        <v>0.74032557036109659</v>
      </c>
      <c r="AA15" s="18">
        <f t="shared" si="6"/>
        <v>0.76127251266290585</v>
      </c>
      <c r="AB15" s="18">
        <f t="shared" si="6"/>
        <v>0.99368747887913256</v>
      </c>
      <c r="AC15" s="18">
        <f t="shared" si="6"/>
        <v>0.98835566986625756</v>
      </c>
      <c r="AD15" s="18">
        <f t="shared" si="6"/>
        <v>0.74057460776951201</v>
      </c>
      <c r="AE15" s="18">
        <f t="shared" si="6"/>
        <v>0.98823066589246034</v>
      </c>
      <c r="AF15" s="18">
        <f t="shared" si="6"/>
        <v>0.98142390308113592</v>
      </c>
      <c r="AG15" s="18">
        <f t="shared" si="6"/>
        <v>0.98803212656555806</v>
      </c>
      <c r="AH15" s="18">
        <f t="shared" si="6"/>
        <v>0.99088347825003775</v>
      </c>
      <c r="AI15" s="18">
        <f t="shared" si="6"/>
        <v>0.76240022809085717</v>
      </c>
      <c r="AJ15" s="18">
        <f t="shared" si="6"/>
        <v>0.99086543358712897</v>
      </c>
      <c r="AK15" s="18">
        <f t="shared" si="6"/>
        <v>0.59360603559378533</v>
      </c>
      <c r="AL15" s="18">
        <f t="shared" si="6"/>
        <v>0.95703866649826264</v>
      </c>
      <c r="AM15" s="18">
        <f t="shared" si="6"/>
        <v>0.99279990438837107</v>
      </c>
      <c r="AN15" s="18">
        <f t="shared" si="6"/>
        <v>0.93708409070182286</v>
      </c>
      <c r="AO15" s="18">
        <f t="shared" si="6"/>
        <v>0.99902082321942642</v>
      </c>
      <c r="AP15" s="18">
        <f t="shared" si="7"/>
        <v>0.99064380763027537</v>
      </c>
      <c r="AQ15" s="18">
        <f t="shared" si="7"/>
        <v>0.99560894867318028</v>
      </c>
      <c r="AR15" s="18">
        <f t="shared" si="7"/>
        <v>0.83368948877335058</v>
      </c>
      <c r="AS15" s="18">
        <f t="shared" si="7"/>
        <v>0.68315110171858573</v>
      </c>
      <c r="AT15" s="18">
        <f t="shared" si="7"/>
        <v>0.97690269505449923</v>
      </c>
      <c r="AU15" s="18">
        <f t="shared" si="7"/>
        <v>0.98083306078998056</v>
      </c>
      <c r="AV15" s="18">
        <f t="shared" si="7"/>
        <v>0.98321067171435428</v>
      </c>
      <c r="AW15" s="18">
        <f t="shared" si="7"/>
        <v>0.94859068084663134</v>
      </c>
      <c r="AX15" s="18">
        <f t="shared" si="7"/>
        <v>0.93367896006600726</v>
      </c>
      <c r="AY15" s="18">
        <f t="shared" si="7"/>
        <v>0.59330267449358198</v>
      </c>
      <c r="AZ15" s="18">
        <f t="shared" si="7"/>
        <v>0.74579089876763305</v>
      </c>
      <c r="BA15" s="18">
        <f t="shared" si="7"/>
        <v>0.81285057445443043</v>
      </c>
      <c r="BB15" s="18">
        <f t="shared" si="7"/>
        <v>0.94710299594983538</v>
      </c>
      <c r="BC15" s="18">
        <f t="shared" si="7"/>
        <v>0.98196405047091107</v>
      </c>
      <c r="BD15" s="18">
        <f t="shared" si="7"/>
        <v>0.89185274076962007</v>
      </c>
      <c r="BE15" s="18">
        <f t="shared" si="7"/>
        <v>0.98870578673898324</v>
      </c>
      <c r="BF15" s="18">
        <f t="shared" si="8"/>
        <v>0.99817377762866655</v>
      </c>
      <c r="BG15" s="18">
        <f t="shared" si="8"/>
        <v>0.98723050356242181</v>
      </c>
      <c r="BH15" s="18">
        <f t="shared" si="8"/>
        <v>0.89317957103586476</v>
      </c>
      <c r="BI15" s="18">
        <f t="shared" si="8"/>
        <v>0.75587090313346483</v>
      </c>
      <c r="BJ15" s="18">
        <f t="shared" si="8"/>
        <v>0.92906015457418922</v>
      </c>
      <c r="BK15" s="18">
        <f t="shared" si="8"/>
        <v>0.9508018613061564</v>
      </c>
      <c r="BL15" s="18">
        <f t="shared" si="8"/>
        <v>0.90940962894158728</v>
      </c>
      <c r="BM15" s="18">
        <f t="shared" si="8"/>
        <v>0.96513369268766003</v>
      </c>
      <c r="BN15" s="18">
        <f t="shared" si="8"/>
        <v>0.68190233799427857</v>
      </c>
      <c r="BO15" s="18">
        <f t="shared" si="8"/>
        <v>0.78242590044822591</v>
      </c>
      <c r="BP15" s="18">
        <f t="shared" si="8"/>
        <v>0.66059612245678911</v>
      </c>
      <c r="BQ15" s="18">
        <f t="shared" si="8"/>
        <v>0.9057707195200122</v>
      </c>
      <c r="BR15" s="18">
        <f t="shared" si="8"/>
        <v>0.99210719885079257</v>
      </c>
      <c r="BS15" s="18">
        <f t="shared" si="8"/>
        <v>0.74756924200384089</v>
      </c>
      <c r="BT15" s="18">
        <f t="shared" si="8"/>
        <v>0.93299970172148727</v>
      </c>
      <c r="BU15" s="18">
        <f t="shared" si="8"/>
        <v>0.62545638065564724</v>
      </c>
      <c r="BV15" s="18">
        <f t="shared" si="5"/>
        <v>0.97967763775888383</v>
      </c>
      <c r="BW15" s="18">
        <f t="shared" si="5"/>
        <v>0.67789702547415687</v>
      </c>
      <c r="BX15" s="18">
        <f t="shared" si="1"/>
        <v>0.985127243117361</v>
      </c>
      <c r="BY15" s="18">
        <f t="shared" si="1"/>
        <v>0.82100884698762566</v>
      </c>
      <c r="BZ15" s="18">
        <f t="shared" si="1"/>
        <v>0.95705591217991048</v>
      </c>
      <c r="CA15" s="18">
        <f t="shared" si="1"/>
        <v>0.9906340362772833</v>
      </c>
      <c r="CB15" s="18">
        <f t="shared" si="1"/>
        <v>0.97834777700218056</v>
      </c>
      <c r="CC15" s="18">
        <f t="shared" si="1"/>
        <v>0.97944067720646433</v>
      </c>
      <c r="CD15" s="18">
        <f t="shared" si="1"/>
        <v>0.59187170548316081</v>
      </c>
    </row>
    <row r="16" spans="1:82" x14ac:dyDescent="0.3">
      <c r="A16" s="7" t="str">
        <v>Lee, Dylan</v>
      </c>
      <c r="B16">
        <f>_xlfn.XLOOKUP($A16,braves_19_25__2[player_name], braves_19_25__2[release_pos_z])</f>
        <v>6.51</v>
      </c>
      <c r="C16">
        <f>_xlfn.XLOOKUP($A16,braves_19_25__2[player_name], braves_19_25__2[release_pos_x])*2.5</f>
        <v>4.1749999999999998</v>
      </c>
      <c r="D16">
        <f>_xlfn.XLOOKUP($A16,braves_19_25__2[player_name], braves_19_25__2[release_extension])</f>
        <v>6.34</v>
      </c>
      <c r="E16">
        <f>COS(RADIANS(AVERAGE(_xlfn.XLOOKUP($A16,braves_19_25__2[player_name],braves_19_25__2[arm_angle]))))*4</f>
        <v>2.702360830462641</v>
      </c>
      <c r="F16">
        <f>SIN(RADIANS(AVERAGE(_xlfn.XLOOKUP($A16,braves_19_25__2[player_name],braves_19_25__2[arm_angle]))))*4</f>
        <v>2.9491093472404963</v>
      </c>
      <c r="G16">
        <f t="shared" si="2"/>
        <v>10.770623241019992</v>
      </c>
      <c r="I16" s="7" t="str">
        <v>Lee, Dylan</v>
      </c>
      <c r="J16" s="18">
        <f t="shared" si="3"/>
        <v>0.99494894391414146</v>
      </c>
      <c r="K16" s="18">
        <f t="shared" si="3"/>
        <v>0.74891840738360416</v>
      </c>
      <c r="L16" s="18">
        <f t="shared" si="3"/>
        <v>0.78028921457273104</v>
      </c>
      <c r="M16" s="18">
        <f t="shared" si="3"/>
        <v>0.87162896821124225</v>
      </c>
      <c r="N16" s="18">
        <f t="shared" si="3"/>
        <v>0.91845591342985777</v>
      </c>
      <c r="O16" s="18">
        <f t="shared" si="3"/>
        <v>0.83775669380686713</v>
      </c>
      <c r="P16" s="18">
        <f t="shared" si="3"/>
        <v>0.9882421212949406</v>
      </c>
      <c r="Q16" s="18">
        <f t="shared" si="3"/>
        <v>0.7964465196875965</v>
      </c>
      <c r="R16" s="18">
        <f t="shared" si="3"/>
        <v>0.74749660848956201</v>
      </c>
      <c r="S16" s="18">
        <f t="shared" si="3"/>
        <v>0.78300519776322153</v>
      </c>
      <c r="T16" s="18">
        <f t="shared" si="3"/>
        <v>0.8155637156723945</v>
      </c>
      <c r="U16" s="18">
        <f t="shared" si="3"/>
        <v>0.80342714024256134</v>
      </c>
      <c r="V16" s="18">
        <f t="shared" si="3"/>
        <v>0.75464771867343783</v>
      </c>
      <c r="W16" s="18">
        <f t="shared" si="3"/>
        <v>1</v>
      </c>
      <c r="X16" s="18">
        <f t="shared" si="3"/>
        <v>0.75046249719203384</v>
      </c>
      <c r="Y16" s="18">
        <f t="shared" si="3"/>
        <v>0.82843015996463276</v>
      </c>
      <c r="Z16" s="18">
        <f t="shared" si="6"/>
        <v>0.9991076872486182</v>
      </c>
      <c r="AA16" s="18">
        <f t="shared" si="6"/>
        <v>0.99888599857348614</v>
      </c>
      <c r="AB16" s="18">
        <f t="shared" si="6"/>
        <v>0.78069570536154576</v>
      </c>
      <c r="AC16" s="18">
        <f t="shared" si="6"/>
        <v>0.81925922525574779</v>
      </c>
      <c r="AD16" s="18">
        <f t="shared" si="6"/>
        <v>0.99804749960875672</v>
      </c>
      <c r="AE16" s="18">
        <f t="shared" si="6"/>
        <v>0.76458400529348092</v>
      </c>
      <c r="AF16" s="18">
        <f t="shared" si="6"/>
        <v>0.84038772995540889</v>
      </c>
      <c r="AG16" s="18">
        <f t="shared" si="6"/>
        <v>0.78899963976443188</v>
      </c>
      <c r="AH16" s="18">
        <f t="shared" si="6"/>
        <v>0.74650891473283765</v>
      </c>
      <c r="AI16" s="18">
        <f t="shared" si="6"/>
        <v>0.99891047843398062</v>
      </c>
      <c r="AJ16" s="18">
        <f t="shared" si="6"/>
        <v>0.80175757992123475</v>
      </c>
      <c r="AK16" s="18">
        <f t="shared" si="6"/>
        <v>0.92651905356071707</v>
      </c>
      <c r="AL16" s="18">
        <f t="shared" si="6"/>
        <v>0.60480243307155945</v>
      </c>
      <c r="AM16" s="18">
        <f t="shared" si="6"/>
        <v>0.79609152580062603</v>
      </c>
      <c r="AN16" s="18">
        <f t="shared" si="6"/>
        <v>0.89048584328613134</v>
      </c>
      <c r="AO16" s="18">
        <f t="shared" si="6"/>
        <v>0.73631962499303816</v>
      </c>
      <c r="AP16" s="18">
        <f t="shared" si="7"/>
        <v>0.7378766114780918</v>
      </c>
      <c r="AQ16" s="18">
        <f t="shared" si="7"/>
        <v>0.72071267313964327</v>
      </c>
      <c r="AR16" s="18">
        <f t="shared" si="7"/>
        <v>0.94537842090275748</v>
      </c>
      <c r="AS16" s="18">
        <f t="shared" si="7"/>
        <v>0.98514287018644464</v>
      </c>
      <c r="AT16" s="18">
        <f t="shared" si="7"/>
        <v>0.84521398085111155</v>
      </c>
      <c r="AU16" s="18">
        <f t="shared" si="7"/>
        <v>0.82929577051685943</v>
      </c>
      <c r="AV16" s="18">
        <f t="shared" si="7"/>
        <v>0.82692157026648228</v>
      </c>
      <c r="AW16" s="18">
        <f t="shared" si="7"/>
        <v>0.86284739495999974</v>
      </c>
      <c r="AX16" s="18">
        <f t="shared" si="7"/>
        <v>0.89247179093651663</v>
      </c>
      <c r="AY16" s="18">
        <f t="shared" si="7"/>
        <v>0.94379374652204073</v>
      </c>
      <c r="AZ16" s="18">
        <f t="shared" si="7"/>
        <v>0.99799474486338691</v>
      </c>
      <c r="BA16" s="18">
        <f t="shared" si="7"/>
        <v>0.97628467725894685</v>
      </c>
      <c r="BB16" s="18">
        <f t="shared" si="7"/>
        <v>0.88029269596789528</v>
      </c>
      <c r="BC16" s="18">
        <f t="shared" si="7"/>
        <v>0.77969815666017872</v>
      </c>
      <c r="BD16" s="18">
        <f t="shared" si="7"/>
        <v>0.584837626203771</v>
      </c>
      <c r="BE16" s="18">
        <f t="shared" si="7"/>
        <v>0.79693539239090005</v>
      </c>
      <c r="BF16" s="18">
        <f t="shared" si="8"/>
        <v>0.74037931471753904</v>
      </c>
      <c r="BG16" s="18">
        <f t="shared" si="8"/>
        <v>0.80349494283411527</v>
      </c>
      <c r="BH16" s="18">
        <f t="shared" si="8"/>
        <v>0.91197483564788939</v>
      </c>
      <c r="BI16" s="18">
        <f t="shared" si="8"/>
        <v>0.99440206801927977</v>
      </c>
      <c r="BJ16" s="18">
        <f t="shared" si="8"/>
        <v>0.89507811559006767</v>
      </c>
      <c r="BK16" s="18">
        <f t="shared" si="8"/>
        <v>0.88135695670008984</v>
      </c>
      <c r="BL16" s="18">
        <f t="shared" si="8"/>
        <v>0.90601206758507591</v>
      </c>
      <c r="BM16" s="18">
        <f t="shared" si="8"/>
        <v>0.85817018233565801</v>
      </c>
      <c r="BN16" s="18">
        <f t="shared" si="8"/>
        <v>0.98379406585629592</v>
      </c>
      <c r="BO16" s="18">
        <f t="shared" si="8"/>
        <v>0.99555124373792625</v>
      </c>
      <c r="BP16" s="18">
        <f t="shared" si="8"/>
        <v>0.97736015003286458</v>
      </c>
      <c r="BQ16" s="18">
        <f t="shared" si="8"/>
        <v>0.90779059947288132</v>
      </c>
      <c r="BR16" s="18">
        <f t="shared" si="8"/>
        <v>0.70403356961348862</v>
      </c>
      <c r="BS16" s="18">
        <f t="shared" si="8"/>
        <v>0.99305270795742628</v>
      </c>
      <c r="BT16" s="18">
        <f t="shared" si="8"/>
        <v>0.89087250866565293</v>
      </c>
      <c r="BU16" s="18">
        <f t="shared" si="8"/>
        <v>0.96023379730795355</v>
      </c>
      <c r="BV16" s="18">
        <f t="shared" si="5"/>
        <v>0.71736619108060473</v>
      </c>
      <c r="BW16" s="18">
        <f t="shared" si="5"/>
        <v>0.98369444409916718</v>
      </c>
      <c r="BX16" s="18">
        <f t="shared" si="1"/>
        <v>0.73483639380013155</v>
      </c>
      <c r="BY16" s="18">
        <f t="shared" si="1"/>
        <v>0.97269308079829464</v>
      </c>
      <c r="BZ16" s="18">
        <f t="shared" si="1"/>
        <v>0.86432825940424662</v>
      </c>
      <c r="CA16" s="18">
        <f t="shared" si="1"/>
        <v>0.81030870018783063</v>
      </c>
      <c r="CB16" s="18">
        <f t="shared" si="1"/>
        <v>0.8411397175683335</v>
      </c>
      <c r="CC16" s="18">
        <f t="shared" si="1"/>
        <v>0.84236112066542967</v>
      </c>
      <c r="CD16" s="18">
        <f t="shared" si="1"/>
        <v>0.94566125643982402</v>
      </c>
    </row>
    <row r="17" spans="1:82" x14ac:dyDescent="0.3">
      <c r="A17" s="7" t="str">
        <v>Holmes, Grant</v>
      </c>
      <c r="B17">
        <f>_xlfn.XLOOKUP($A17,braves_19_25__2[player_name], braves_19_25__2[release_pos_z])</f>
        <v>5.89</v>
      </c>
      <c r="C17">
        <f>_xlfn.XLOOKUP($A17,braves_19_25__2[player_name], braves_19_25__2[release_pos_x])*2.5</f>
        <v>-6</v>
      </c>
      <c r="D17">
        <f>_xlfn.XLOOKUP($A17,braves_19_25__2[player_name], braves_19_25__2[release_extension])</f>
        <v>5.92</v>
      </c>
      <c r="E17">
        <f>COS(RADIANS(AVERAGE(_xlfn.XLOOKUP($A17,braves_19_25__2[player_name],braves_19_25__2[arm_angle]))))*4</f>
        <v>3.1217216293533188</v>
      </c>
      <c r="F17">
        <f>SIN(RADIANS(AVERAGE(_xlfn.XLOOKUP($A17,braves_19_25__2[player_name],braves_19_25__2[arm_angle]))))*4</f>
        <v>2.5009706253428208</v>
      </c>
      <c r="G17">
        <f t="shared" si="2"/>
        <v>11.033517118308195</v>
      </c>
      <c r="I17" s="7" t="str">
        <v>Holmes, Grant</v>
      </c>
      <c r="J17" s="18">
        <f t="shared" si="3"/>
        <v>0.777828024633893</v>
      </c>
      <c r="K17" s="18">
        <f t="shared" si="3"/>
        <v>0.99261041462815114</v>
      </c>
      <c r="L17" s="18">
        <f t="shared" si="3"/>
        <v>0.99812705235121169</v>
      </c>
      <c r="M17" s="18">
        <f t="shared" si="3"/>
        <v>0.95552194504086863</v>
      </c>
      <c r="N17" s="18">
        <f t="shared" si="3"/>
        <v>0.58206003138187512</v>
      </c>
      <c r="O17" s="18">
        <f t="shared" si="3"/>
        <v>0.96557589944829569</v>
      </c>
      <c r="P17" s="18">
        <f t="shared" si="3"/>
        <v>0.69368199722860402</v>
      </c>
      <c r="Q17" s="18">
        <f t="shared" si="3"/>
        <v>0.98941678009469436</v>
      </c>
      <c r="R17" s="18">
        <f t="shared" si="3"/>
        <v>0.99469157570842071</v>
      </c>
      <c r="S17" s="18">
        <f t="shared" si="3"/>
        <v>0.99614132764121899</v>
      </c>
      <c r="T17" s="18">
        <f t="shared" si="3"/>
        <v>0.97815029880409277</v>
      </c>
      <c r="U17" s="18">
        <f t="shared" si="3"/>
        <v>0.99161527125138371</v>
      </c>
      <c r="V17" s="18">
        <f t="shared" si="3"/>
        <v>0.99757401361314813</v>
      </c>
      <c r="W17" s="18">
        <f t="shared" si="3"/>
        <v>0.75046249719203384</v>
      </c>
      <c r="X17" s="18">
        <f t="shared" si="3"/>
        <v>1.0000000000000002</v>
      </c>
      <c r="Y17" s="18">
        <f t="shared" si="3"/>
        <v>0.98478912074226654</v>
      </c>
      <c r="Z17" s="18">
        <f t="shared" si="6"/>
        <v>0.73520244004971724</v>
      </c>
      <c r="AA17" s="18">
        <f t="shared" si="6"/>
        <v>0.75886012847215012</v>
      </c>
      <c r="AB17" s="18">
        <f t="shared" si="6"/>
        <v>0.9976087424514517</v>
      </c>
      <c r="AC17" s="18">
        <f t="shared" si="6"/>
        <v>0.98827020106234698</v>
      </c>
      <c r="AD17" s="18">
        <f t="shared" si="6"/>
        <v>0.73499020730248366</v>
      </c>
      <c r="AE17" s="18">
        <f t="shared" si="6"/>
        <v>0.99386096972628468</v>
      </c>
      <c r="AF17" s="18">
        <f t="shared" si="6"/>
        <v>0.98085309203758209</v>
      </c>
      <c r="AG17" s="18">
        <f t="shared" si="6"/>
        <v>0.99122204753919763</v>
      </c>
      <c r="AH17" s="18">
        <f t="shared" si="6"/>
        <v>0.99422386778819527</v>
      </c>
      <c r="AI17" s="18">
        <f t="shared" si="6"/>
        <v>0.75756850904583317</v>
      </c>
      <c r="AJ17" s="18">
        <f t="shared" si="6"/>
        <v>0.99368948016597158</v>
      </c>
      <c r="AK17" s="18">
        <f t="shared" si="6"/>
        <v>0.60406282191097793</v>
      </c>
      <c r="AL17" s="18">
        <f t="shared" si="6"/>
        <v>0.96704054950805218</v>
      </c>
      <c r="AM17" s="18">
        <f t="shared" si="6"/>
        <v>0.99134080433887495</v>
      </c>
      <c r="AN17" s="18">
        <f t="shared" si="6"/>
        <v>0.93621397994281375</v>
      </c>
      <c r="AO17" s="18">
        <f t="shared" si="6"/>
        <v>0.99866725731511774</v>
      </c>
      <c r="AP17" s="18">
        <f t="shared" si="7"/>
        <v>0.99765962466740998</v>
      </c>
      <c r="AQ17" s="18">
        <f t="shared" si="7"/>
        <v>0.99705353686426923</v>
      </c>
      <c r="AR17" s="18">
        <f t="shared" si="7"/>
        <v>0.82843221252164501</v>
      </c>
      <c r="AS17" s="18">
        <f t="shared" si="7"/>
        <v>0.6803988799963423</v>
      </c>
      <c r="AT17" s="18">
        <f t="shared" si="7"/>
        <v>0.97799131249105964</v>
      </c>
      <c r="AU17" s="18">
        <f t="shared" si="7"/>
        <v>0.98415349243997252</v>
      </c>
      <c r="AV17" s="18">
        <f t="shared" si="7"/>
        <v>0.98563045158764062</v>
      </c>
      <c r="AW17" s="18">
        <f t="shared" si="7"/>
        <v>0.93441620343697618</v>
      </c>
      <c r="AX17" s="18">
        <f t="shared" si="7"/>
        <v>0.92640902641076417</v>
      </c>
      <c r="AY17" s="18">
        <f t="shared" si="7"/>
        <v>0.59257332574602073</v>
      </c>
      <c r="AZ17" s="18">
        <f t="shared" si="7"/>
        <v>0.74566982516761438</v>
      </c>
      <c r="BA17" s="18">
        <f t="shared" si="7"/>
        <v>0.80842374771734116</v>
      </c>
      <c r="BB17" s="18">
        <f t="shared" si="7"/>
        <v>0.94830444888603083</v>
      </c>
      <c r="BC17" s="18">
        <f t="shared" si="7"/>
        <v>0.98980253010416019</v>
      </c>
      <c r="BD17" s="18">
        <f t="shared" si="7"/>
        <v>0.90936692264058783</v>
      </c>
      <c r="BE17" s="18">
        <f t="shared" si="7"/>
        <v>0.99193795616947156</v>
      </c>
      <c r="BF17" s="18">
        <f t="shared" si="8"/>
        <v>0.9924711388388241</v>
      </c>
      <c r="BG17" s="18">
        <f t="shared" si="8"/>
        <v>0.99055627484999831</v>
      </c>
      <c r="BH17" s="18">
        <f t="shared" si="8"/>
        <v>0.88748139434145423</v>
      </c>
      <c r="BI17" s="18">
        <f t="shared" si="8"/>
        <v>0.74491897341101987</v>
      </c>
      <c r="BJ17" s="18">
        <f t="shared" si="8"/>
        <v>0.92597439182602514</v>
      </c>
      <c r="BK17" s="18">
        <f t="shared" si="8"/>
        <v>0.94743847177521312</v>
      </c>
      <c r="BL17" s="18">
        <f t="shared" si="8"/>
        <v>0.90387120514059527</v>
      </c>
      <c r="BM17" s="18">
        <f t="shared" si="8"/>
        <v>0.96626022252608368</v>
      </c>
      <c r="BN17" s="18">
        <f t="shared" si="8"/>
        <v>0.68331146654751351</v>
      </c>
      <c r="BO17" s="18">
        <f t="shared" si="8"/>
        <v>0.77501902174585113</v>
      </c>
      <c r="BP17" s="18">
        <f t="shared" si="8"/>
        <v>0.65786301438268135</v>
      </c>
      <c r="BQ17" s="18">
        <f t="shared" si="8"/>
        <v>0.90043051399753604</v>
      </c>
      <c r="BR17" s="18">
        <f t="shared" si="8"/>
        <v>0.99535297813384982</v>
      </c>
      <c r="BS17" s="18">
        <f t="shared" si="8"/>
        <v>0.75044338607820049</v>
      </c>
      <c r="BT17" s="18">
        <f t="shared" si="8"/>
        <v>0.93147275171994581</v>
      </c>
      <c r="BU17" s="18">
        <f t="shared" si="8"/>
        <v>0.62845609009686187</v>
      </c>
      <c r="BV17" s="18">
        <f t="shared" si="5"/>
        <v>0.98937429676139432</v>
      </c>
      <c r="BW17" s="18">
        <f t="shared" si="5"/>
        <v>0.67661818714106403</v>
      </c>
      <c r="BX17" s="18">
        <f t="shared" si="1"/>
        <v>0.99146993548603968</v>
      </c>
      <c r="BY17" s="18">
        <f t="shared" si="1"/>
        <v>0.8145928181404809</v>
      </c>
      <c r="BZ17" s="18">
        <f t="shared" si="1"/>
        <v>0.95942621223739299</v>
      </c>
      <c r="CA17" s="18">
        <f t="shared" si="1"/>
        <v>0.98938555041940024</v>
      </c>
      <c r="CB17" s="18">
        <f t="shared" si="1"/>
        <v>0.97954001508114774</v>
      </c>
      <c r="CC17" s="18">
        <f t="shared" si="1"/>
        <v>0.9735981817819569</v>
      </c>
      <c r="CD17" s="18">
        <f t="shared" si="1"/>
        <v>0.58984800655806258</v>
      </c>
    </row>
    <row r="18" spans="1:82" x14ac:dyDescent="0.3">
      <c r="A18" s="7" t="str">
        <v>Tomlin, Josh</v>
      </c>
      <c r="B18">
        <f>_xlfn.XLOOKUP($A18,braves_19_25__2[player_name], braves_19_25__2[release_pos_z])</f>
        <v>5.4</v>
      </c>
      <c r="C18">
        <f>_xlfn.XLOOKUP($A18,braves_19_25__2[player_name], braves_19_25__2[release_pos_x])*2.5</f>
        <v>-3.7250000000000001</v>
      </c>
      <c r="D18">
        <f>_xlfn.XLOOKUP($A18,braves_19_25__2[player_name], braves_19_25__2[release_extension])</f>
        <v>5.59</v>
      </c>
      <c r="E18">
        <f>COS(RADIANS(AVERAGE(_xlfn.XLOOKUP($A18,braves_19_25__2[player_name],braves_19_25__2[arm_angle]))))*4</f>
        <v>3.186119672096785</v>
      </c>
      <c r="F18">
        <f>SIN(RADIANS(AVERAGE(_xlfn.XLOOKUP($A18,braves_19_25__2[player_name],braves_19_25__2[arm_angle]))))*4</f>
        <v>2.4183964594494993</v>
      </c>
      <c r="G18">
        <f t="shared" si="2"/>
        <v>9.5017748342086072</v>
      </c>
      <c r="I18" s="7" t="str">
        <v>Tomlin, Josh</v>
      </c>
      <c r="J18" s="18">
        <f t="shared" si="3"/>
        <v>0.85680731326406323</v>
      </c>
      <c r="K18" s="18">
        <f t="shared" si="3"/>
        <v>0.98236413450827786</v>
      </c>
      <c r="L18" s="18">
        <f t="shared" si="3"/>
        <v>0.99256857039767199</v>
      </c>
      <c r="M18" s="18">
        <f t="shared" si="3"/>
        <v>0.9864270879437238</v>
      </c>
      <c r="N18" s="18">
        <f t="shared" si="3"/>
        <v>0.65300557355397082</v>
      </c>
      <c r="O18" s="18">
        <f t="shared" si="3"/>
        <v>0.98086209002383951</v>
      </c>
      <c r="P18" s="18">
        <f t="shared" si="3"/>
        <v>0.77055426976583752</v>
      </c>
      <c r="Q18" s="18">
        <f t="shared" si="3"/>
        <v>0.99419786959585366</v>
      </c>
      <c r="R18" s="18">
        <f t="shared" si="3"/>
        <v>0.98180561831009694</v>
      </c>
      <c r="S18" s="18">
        <f t="shared" si="3"/>
        <v>0.99168590990458061</v>
      </c>
      <c r="T18" s="18">
        <f t="shared" si="3"/>
        <v>0.99369612048899458</v>
      </c>
      <c r="U18" s="18">
        <f t="shared" si="3"/>
        <v>0.99756255710550035</v>
      </c>
      <c r="V18" s="18">
        <f t="shared" si="3"/>
        <v>0.98147949578516991</v>
      </c>
      <c r="W18" s="18">
        <f t="shared" si="3"/>
        <v>0.82843015996463276</v>
      </c>
      <c r="X18" s="18">
        <f t="shared" si="3"/>
        <v>0.98478912074226654</v>
      </c>
      <c r="Y18" s="18">
        <f t="shared" si="3"/>
        <v>1</v>
      </c>
      <c r="Z18" s="18">
        <f t="shared" si="6"/>
        <v>0.81246280212173527</v>
      </c>
      <c r="AA18" s="18">
        <f t="shared" si="6"/>
        <v>0.83730922141617148</v>
      </c>
      <c r="AB18" s="18">
        <f t="shared" si="6"/>
        <v>0.99327415316238277</v>
      </c>
      <c r="AC18" s="18">
        <f t="shared" si="6"/>
        <v>0.99759805008138802</v>
      </c>
      <c r="AD18" s="18">
        <f t="shared" si="6"/>
        <v>0.81134774091366846</v>
      </c>
      <c r="AE18" s="18">
        <f t="shared" si="6"/>
        <v>0.98747275065556928</v>
      </c>
      <c r="AF18" s="18">
        <f t="shared" si="6"/>
        <v>0.99774716440912292</v>
      </c>
      <c r="AG18" s="18">
        <f t="shared" si="6"/>
        <v>0.99237846503859872</v>
      </c>
      <c r="AH18" s="18">
        <f t="shared" si="6"/>
        <v>0.98080877955389867</v>
      </c>
      <c r="AI18" s="18">
        <f t="shared" si="6"/>
        <v>0.83513360711693618</v>
      </c>
      <c r="AJ18" s="18">
        <f t="shared" si="6"/>
        <v>0.99738014086067639</v>
      </c>
      <c r="AK18" s="18">
        <f t="shared" si="6"/>
        <v>0.67634992827936369</v>
      </c>
      <c r="AL18" s="18">
        <f t="shared" si="6"/>
        <v>0.91734815877203424</v>
      </c>
      <c r="AM18" s="18">
        <f t="shared" si="6"/>
        <v>0.99228301759795334</v>
      </c>
      <c r="AN18" s="18">
        <f t="shared" si="6"/>
        <v>0.98053798587220964</v>
      </c>
      <c r="AO18" s="18">
        <f t="shared" si="6"/>
        <v>0.97753412087473279</v>
      </c>
      <c r="AP18" s="18">
        <f t="shared" si="7"/>
        <v>0.98143938015295429</v>
      </c>
      <c r="AQ18" s="18">
        <f t="shared" si="7"/>
        <v>0.9734986686144701</v>
      </c>
      <c r="AR18" s="18">
        <f t="shared" si="7"/>
        <v>0.90793787430142059</v>
      </c>
      <c r="AS18" s="18">
        <f t="shared" si="7"/>
        <v>0.75584375638751589</v>
      </c>
      <c r="AT18" s="18">
        <f t="shared" si="7"/>
        <v>0.99864393567550291</v>
      </c>
      <c r="AU18" s="18">
        <f t="shared" si="7"/>
        <v>0.99816054987182412</v>
      </c>
      <c r="AV18" s="18">
        <f t="shared" si="7"/>
        <v>0.99955340081812083</v>
      </c>
      <c r="AW18" s="18">
        <f t="shared" si="7"/>
        <v>0.96256046682660856</v>
      </c>
      <c r="AX18" s="18">
        <f t="shared" si="7"/>
        <v>0.97097658609848669</v>
      </c>
      <c r="AY18" s="18">
        <f t="shared" si="7"/>
        <v>0.6631623703154107</v>
      </c>
      <c r="AZ18" s="18">
        <f t="shared" si="7"/>
        <v>0.82446731193995204</v>
      </c>
      <c r="BA18" s="18">
        <f t="shared" si="7"/>
        <v>0.88933434490229712</v>
      </c>
      <c r="BB18" s="18">
        <f t="shared" si="7"/>
        <v>0.98809561809323443</v>
      </c>
      <c r="BC18" s="18">
        <f t="shared" si="7"/>
        <v>0.99009649824257573</v>
      </c>
      <c r="BD18" s="18">
        <f t="shared" si="7"/>
        <v>0.87273128569669423</v>
      </c>
      <c r="BE18" s="18">
        <f t="shared" si="7"/>
        <v>0.99497432004935182</v>
      </c>
      <c r="BF18" s="18">
        <f t="shared" si="8"/>
        <v>0.97091538741116257</v>
      </c>
      <c r="BG18" s="18">
        <f t="shared" si="8"/>
        <v>0.99693126669550913</v>
      </c>
      <c r="BH18" s="18">
        <f t="shared" si="8"/>
        <v>0.94867396835089191</v>
      </c>
      <c r="BI18" s="18">
        <f t="shared" si="8"/>
        <v>0.82047704875908756</v>
      </c>
      <c r="BJ18" s="18">
        <f t="shared" si="8"/>
        <v>0.97319641565119541</v>
      </c>
      <c r="BK18" s="18">
        <f t="shared" si="8"/>
        <v>0.98484146460420163</v>
      </c>
      <c r="BL18" s="18">
        <f t="shared" si="8"/>
        <v>0.9586083238951989</v>
      </c>
      <c r="BM18" s="18">
        <f t="shared" si="8"/>
        <v>0.99454673050491238</v>
      </c>
      <c r="BN18" s="18">
        <f t="shared" si="8"/>
        <v>0.75964034776077938</v>
      </c>
      <c r="BO18" s="18">
        <f t="shared" si="8"/>
        <v>0.85317383138581282</v>
      </c>
      <c r="BP18" s="18">
        <f t="shared" si="8"/>
        <v>0.73209722852604897</v>
      </c>
      <c r="BQ18" s="18">
        <f t="shared" si="8"/>
        <v>0.95653873049686977</v>
      </c>
      <c r="BR18" s="18">
        <f t="shared" si="8"/>
        <v>0.9670917179534948</v>
      </c>
      <c r="BS18" s="18">
        <f t="shared" si="8"/>
        <v>0.83099966262442082</v>
      </c>
      <c r="BT18" s="18">
        <f t="shared" si="8"/>
        <v>0.97583085273753734</v>
      </c>
      <c r="BU18" s="18">
        <f t="shared" si="8"/>
        <v>0.70129824319826728</v>
      </c>
      <c r="BV18" s="18">
        <f t="shared" si="5"/>
        <v>0.97034833460216807</v>
      </c>
      <c r="BW18" s="18">
        <f t="shared" si="5"/>
        <v>0.75229861325484826</v>
      </c>
      <c r="BX18" s="18">
        <f t="shared" si="1"/>
        <v>0.97715322727248599</v>
      </c>
      <c r="BY18" s="18">
        <f t="shared" si="1"/>
        <v>0.89369598513053772</v>
      </c>
      <c r="BZ18" s="18">
        <f t="shared" si="1"/>
        <v>0.99207179450129757</v>
      </c>
      <c r="CA18" s="18">
        <f t="shared" si="1"/>
        <v>0.99482292656953142</v>
      </c>
      <c r="CB18" s="18">
        <f t="shared" si="1"/>
        <v>0.99847150015284036</v>
      </c>
      <c r="CC18" s="18">
        <f t="shared" si="1"/>
        <v>0.99107903099677863</v>
      </c>
      <c r="CD18" s="18">
        <f t="shared" si="1"/>
        <v>0.65917406666650313</v>
      </c>
    </row>
    <row r="19" spans="1:82" x14ac:dyDescent="0.3">
      <c r="A19" s="7" t="str">
        <v>Matzek, Tyler</v>
      </c>
      <c r="B19">
        <f>_xlfn.XLOOKUP($A19,braves_19_25__2[player_name], braves_19_25__2[release_pos_z])</f>
        <v>6.3</v>
      </c>
      <c r="C19">
        <f>_xlfn.XLOOKUP($A19,braves_19_25__2[player_name], braves_19_25__2[release_pos_x])*2.5</f>
        <v>4.5250000000000004</v>
      </c>
      <c r="D19">
        <f>_xlfn.XLOOKUP($A19,braves_19_25__2[player_name], braves_19_25__2[release_extension])</f>
        <v>6.25</v>
      </c>
      <c r="E19">
        <f>COS(RADIANS(AVERAGE(_xlfn.XLOOKUP($A19,braves_19_25__2[player_name],braves_19_25__2[arm_angle]))))*4</f>
        <v>2.5657985262766316</v>
      </c>
      <c r="F19">
        <f>SIN(RADIANS(AVERAGE(_xlfn.XLOOKUP($A19,braves_19_25__2[player_name],braves_19_25__2[arm_angle]))))*4</f>
        <v>3.0686606072611982</v>
      </c>
      <c r="G19">
        <f t="shared" si="2"/>
        <v>10.734436408121296</v>
      </c>
      <c r="I19" s="7" t="str">
        <v>Matzek, Tyler</v>
      </c>
      <c r="J19" s="18">
        <f t="shared" si="3"/>
        <v>0.99178062733703753</v>
      </c>
      <c r="K19" s="18">
        <f t="shared" si="3"/>
        <v>0.73216181068400721</v>
      </c>
      <c r="L19" s="18">
        <f t="shared" si="3"/>
        <v>0.76471721949806237</v>
      </c>
      <c r="M19" s="18">
        <f t="shared" si="3"/>
        <v>0.85644442013546729</v>
      </c>
      <c r="N19" s="18">
        <f t="shared" si="3"/>
        <v>0.92647877388747979</v>
      </c>
      <c r="O19" s="18">
        <f t="shared" si="3"/>
        <v>0.82447602000206854</v>
      </c>
      <c r="P19" s="18">
        <f t="shared" si="3"/>
        <v>0.99230693460495334</v>
      </c>
      <c r="Q19" s="18">
        <f t="shared" si="3"/>
        <v>0.77976739674686246</v>
      </c>
      <c r="R19" s="18">
        <f t="shared" si="3"/>
        <v>0.73258475138601709</v>
      </c>
      <c r="S19" s="18">
        <f t="shared" si="3"/>
        <v>0.76684863127443514</v>
      </c>
      <c r="T19" s="18">
        <f t="shared" si="3"/>
        <v>0.79861401284311728</v>
      </c>
      <c r="U19" s="18">
        <f t="shared" si="3"/>
        <v>0.78727314615252331</v>
      </c>
      <c r="V19" s="18">
        <f t="shared" si="3"/>
        <v>0.74032557036109659</v>
      </c>
      <c r="W19" s="18">
        <f t="shared" si="3"/>
        <v>0.9991076872486182</v>
      </c>
      <c r="X19" s="18">
        <f t="shared" si="3"/>
        <v>0.73520244004971724</v>
      </c>
      <c r="Y19" s="18">
        <f t="shared" si="3"/>
        <v>0.81246280212173527</v>
      </c>
      <c r="Z19" s="18">
        <f t="shared" si="6"/>
        <v>0.99999999999999989</v>
      </c>
      <c r="AA19" s="18">
        <f t="shared" si="6"/>
        <v>0.99662735597764407</v>
      </c>
      <c r="AB19" s="18">
        <f t="shared" si="6"/>
        <v>0.76455461017617055</v>
      </c>
      <c r="AC19" s="18">
        <f t="shared" si="6"/>
        <v>0.80389519361503448</v>
      </c>
      <c r="AD19" s="18">
        <f t="shared" si="6"/>
        <v>0.99857580962761583</v>
      </c>
      <c r="AE19" s="18">
        <f t="shared" si="6"/>
        <v>0.74852148611828928</v>
      </c>
      <c r="AF19" s="18">
        <f t="shared" si="6"/>
        <v>0.82466799821958126</v>
      </c>
      <c r="AG19" s="18">
        <f t="shared" si="6"/>
        <v>0.7733209986448959</v>
      </c>
      <c r="AH19" s="18">
        <f t="shared" si="6"/>
        <v>0.73119433144328161</v>
      </c>
      <c r="AI19" s="18">
        <f t="shared" si="6"/>
        <v>0.99707768090246074</v>
      </c>
      <c r="AJ19" s="18">
        <f t="shared" si="6"/>
        <v>0.7858979015692098</v>
      </c>
      <c r="AK19" s="18">
        <f t="shared" si="6"/>
        <v>0.93236188644799978</v>
      </c>
      <c r="AL19" s="18">
        <f t="shared" si="6"/>
        <v>0.58941177072562634</v>
      </c>
      <c r="AM19" s="18">
        <f t="shared" si="6"/>
        <v>0.78152084124759014</v>
      </c>
      <c r="AN19" s="18">
        <f t="shared" si="6"/>
        <v>0.87447134833784324</v>
      </c>
      <c r="AO19" s="18">
        <f t="shared" si="6"/>
        <v>0.72173494927783488</v>
      </c>
      <c r="AP19" s="18">
        <f t="shared" si="7"/>
        <v>0.72179176013322122</v>
      </c>
      <c r="AQ19" s="18">
        <f t="shared" si="7"/>
        <v>0.70638834812116547</v>
      </c>
      <c r="AR19" s="18">
        <f t="shared" si="7"/>
        <v>0.9332947259645622</v>
      </c>
      <c r="AS19" s="18">
        <f t="shared" si="7"/>
        <v>0.99041608686327665</v>
      </c>
      <c r="AT19" s="18">
        <f t="shared" si="7"/>
        <v>0.82926602292627916</v>
      </c>
      <c r="AU19" s="18">
        <f t="shared" si="7"/>
        <v>0.81261524114771222</v>
      </c>
      <c r="AV19" s="18">
        <f t="shared" si="7"/>
        <v>0.81100547080721541</v>
      </c>
      <c r="AW19" s="18">
        <f t="shared" si="7"/>
        <v>0.84981313320703766</v>
      </c>
      <c r="AX19" s="18">
        <f t="shared" si="7"/>
        <v>0.87806536148714331</v>
      </c>
      <c r="AY19" s="18">
        <f t="shared" si="7"/>
        <v>0.95468843628768596</v>
      </c>
      <c r="AZ19" s="18">
        <f t="shared" si="7"/>
        <v>0.99676970480204086</v>
      </c>
      <c r="BA19" s="18">
        <f t="shared" si="7"/>
        <v>0.96876450806107461</v>
      </c>
      <c r="BB19" s="18">
        <f t="shared" si="7"/>
        <v>0.86401886248134308</v>
      </c>
      <c r="BC19" s="18">
        <f t="shared" si="7"/>
        <v>0.76276573553332527</v>
      </c>
      <c r="BD19" s="18">
        <f t="shared" si="7"/>
        <v>0.56754505057474303</v>
      </c>
      <c r="BE19" s="18">
        <f t="shared" si="7"/>
        <v>0.78097650061777601</v>
      </c>
      <c r="BF19" s="18">
        <f t="shared" si="8"/>
        <v>0.72691824420926854</v>
      </c>
      <c r="BG19" s="18">
        <f t="shared" si="8"/>
        <v>0.78791898620724854</v>
      </c>
      <c r="BH19" s="18">
        <f t="shared" si="8"/>
        <v>0.8969997916151502</v>
      </c>
      <c r="BI19" s="18">
        <f t="shared" si="8"/>
        <v>0.99476527044908691</v>
      </c>
      <c r="BJ19" s="18">
        <f t="shared" si="8"/>
        <v>0.87966602978220976</v>
      </c>
      <c r="BK19" s="18">
        <f t="shared" si="8"/>
        <v>0.86607982830676278</v>
      </c>
      <c r="BL19" s="18">
        <f t="shared" si="8"/>
        <v>0.89082447834506362</v>
      </c>
      <c r="BM19" s="18">
        <f t="shared" si="8"/>
        <v>0.84208458495243421</v>
      </c>
      <c r="BN19" s="18">
        <f t="shared" si="8"/>
        <v>0.98783084836613033</v>
      </c>
      <c r="BO19" s="18">
        <f t="shared" si="8"/>
        <v>0.99252187138869241</v>
      </c>
      <c r="BP19" s="18">
        <f t="shared" si="8"/>
        <v>0.98443911746520318</v>
      </c>
      <c r="BQ19" s="18">
        <f t="shared" si="8"/>
        <v>0.8923988837194482</v>
      </c>
      <c r="BR19" s="18">
        <f t="shared" si="8"/>
        <v>0.68910451925759875</v>
      </c>
      <c r="BS19" s="18">
        <f t="shared" si="8"/>
        <v>0.99104375876468165</v>
      </c>
      <c r="BT19" s="18">
        <f t="shared" si="8"/>
        <v>0.87469161928348726</v>
      </c>
      <c r="BU19" s="18">
        <f t="shared" si="8"/>
        <v>0.96751644994235153</v>
      </c>
      <c r="BV19" s="18">
        <f t="shared" si="5"/>
        <v>0.70061188681999476</v>
      </c>
      <c r="BW19" s="18">
        <f t="shared" si="5"/>
        <v>0.98908823816631963</v>
      </c>
      <c r="BX19" s="18">
        <f t="shared" si="5"/>
        <v>0.71923245137541658</v>
      </c>
      <c r="BY19" s="18">
        <f t="shared" si="5"/>
        <v>0.9638325114377797</v>
      </c>
      <c r="BZ19" s="18">
        <f t="shared" si="5"/>
        <v>0.8478518583263045</v>
      </c>
      <c r="CA19" s="18">
        <f t="shared" si="5"/>
        <v>0.79518780725102922</v>
      </c>
      <c r="CB19" s="18">
        <f t="shared" si="5"/>
        <v>0.82508726433922219</v>
      </c>
      <c r="CC19" s="18">
        <f t="shared" si="5"/>
        <v>0.82826336448723226</v>
      </c>
      <c r="CD19" s="18">
        <f t="shared" si="5"/>
        <v>0.95670931071935961</v>
      </c>
    </row>
    <row r="20" spans="1:82" x14ac:dyDescent="0.3">
      <c r="A20" s="7" t="str">
        <v>Newcomb, Sean</v>
      </c>
      <c r="B20">
        <f>_xlfn.XLOOKUP($A20,braves_19_25__2[player_name], braves_19_25__2[release_pos_z])</f>
        <v>6.58</v>
      </c>
      <c r="C20">
        <f>_xlfn.XLOOKUP($A20,braves_19_25__2[player_name], braves_19_25__2[release_pos_x])*2.5</f>
        <v>3.8250000000000002</v>
      </c>
      <c r="D20">
        <f>_xlfn.XLOOKUP($A20,braves_19_25__2[player_name], braves_19_25__2[release_extension])</f>
        <v>5.9</v>
      </c>
      <c r="E20">
        <f>COS(RADIANS(AVERAGE(_xlfn.XLOOKUP($A20,braves_19_25__2[player_name],braves_19_25__2[arm_angle]))))*4</f>
        <v>2.8578907185312135</v>
      </c>
      <c r="F20">
        <f>SIN(RADIANS(AVERAGE(_xlfn.XLOOKUP($A20,braves_19_25__2[player_name],braves_19_25__2[arm_angle]))))*4</f>
        <v>2.7986533620534617</v>
      </c>
      <c r="G20">
        <f t="shared" si="2"/>
        <v>10.427704685116471</v>
      </c>
      <c r="I20" s="7" t="str">
        <v>Newcomb, Sean</v>
      </c>
      <c r="J20" s="18">
        <f t="shared" si="3"/>
        <v>0.99394994038176698</v>
      </c>
      <c r="K20" s="18">
        <f t="shared" si="3"/>
        <v>0.75746217685176487</v>
      </c>
      <c r="L20" s="18">
        <f t="shared" si="3"/>
        <v>0.78825010148615104</v>
      </c>
      <c r="M20" s="18">
        <f t="shared" si="3"/>
        <v>0.87966679153079042</v>
      </c>
      <c r="N20" s="18">
        <f t="shared" si="3"/>
        <v>0.91071830312830371</v>
      </c>
      <c r="O20" s="18">
        <f t="shared" si="3"/>
        <v>0.8412684329762804</v>
      </c>
      <c r="P20" s="18">
        <f t="shared" si="3"/>
        <v>0.98347621394337215</v>
      </c>
      <c r="Q20" s="18">
        <f t="shared" si="3"/>
        <v>0.80439277749029947</v>
      </c>
      <c r="R20" s="18">
        <f t="shared" si="3"/>
        <v>0.75272750045802372</v>
      </c>
      <c r="S20" s="18">
        <f t="shared" si="3"/>
        <v>0.79372271908914183</v>
      </c>
      <c r="T20" s="18">
        <f t="shared" si="3"/>
        <v>0.82348425228371835</v>
      </c>
      <c r="U20" s="18">
        <f t="shared" si="3"/>
        <v>0.81160119836702926</v>
      </c>
      <c r="V20" s="18">
        <f t="shared" si="3"/>
        <v>0.76127251266290585</v>
      </c>
      <c r="W20" s="18">
        <f t="shared" si="3"/>
        <v>0.99888599857348614</v>
      </c>
      <c r="X20" s="18">
        <f t="shared" si="3"/>
        <v>0.75886012847215012</v>
      </c>
      <c r="Y20" s="18">
        <f t="shared" si="3"/>
        <v>0.83730922141617148</v>
      </c>
      <c r="Z20" s="18">
        <f t="shared" si="6"/>
        <v>0.99662735597764407</v>
      </c>
      <c r="AA20" s="18">
        <f t="shared" si="6"/>
        <v>1.0000000000000002</v>
      </c>
      <c r="AB20" s="18">
        <f t="shared" si="6"/>
        <v>0.79006602420606253</v>
      </c>
      <c r="AC20" s="18">
        <f t="shared" si="6"/>
        <v>0.82584231512475936</v>
      </c>
      <c r="AD20" s="18">
        <f t="shared" si="6"/>
        <v>0.99722930838756618</v>
      </c>
      <c r="AE20" s="18">
        <f t="shared" si="6"/>
        <v>0.77158407739887602</v>
      </c>
      <c r="AF20" s="18">
        <f t="shared" si="6"/>
        <v>0.84874113524416783</v>
      </c>
      <c r="AG20" s="18">
        <f t="shared" si="6"/>
        <v>0.79494173736935902</v>
      </c>
      <c r="AH20" s="18">
        <f t="shared" si="6"/>
        <v>0.75195741990774956</v>
      </c>
      <c r="AI20" s="18">
        <f t="shared" si="6"/>
        <v>0.9993684425004663</v>
      </c>
      <c r="AJ20" s="18">
        <f t="shared" si="6"/>
        <v>0.80971445900576944</v>
      </c>
      <c r="AK20" s="18">
        <f t="shared" si="6"/>
        <v>0.92094678025999743</v>
      </c>
      <c r="AL20" s="18">
        <f t="shared" si="6"/>
        <v>0.6127294057783339</v>
      </c>
      <c r="AM20" s="18">
        <f t="shared" si="6"/>
        <v>0.80091403459832711</v>
      </c>
      <c r="AN20" s="18">
        <f t="shared" si="6"/>
        <v>0.89984417138188688</v>
      </c>
      <c r="AO20" s="18">
        <f t="shared" si="6"/>
        <v>0.74335709619697421</v>
      </c>
      <c r="AP20" s="18">
        <f t="shared" si="7"/>
        <v>0.74835406157715589</v>
      </c>
      <c r="AQ20" s="18">
        <f t="shared" si="7"/>
        <v>0.72674674334438427</v>
      </c>
      <c r="AR20" s="18">
        <f t="shared" si="7"/>
        <v>0.94842538314923919</v>
      </c>
      <c r="AS20" s="18">
        <f t="shared" si="7"/>
        <v>0.97915008653210522</v>
      </c>
      <c r="AT20" s="18">
        <f t="shared" si="7"/>
        <v>0.85345250492940428</v>
      </c>
      <c r="AU20" s="18">
        <f t="shared" si="7"/>
        <v>0.83985963791143003</v>
      </c>
      <c r="AV20" s="18">
        <f t="shared" si="7"/>
        <v>0.83484949612122727</v>
      </c>
      <c r="AW20" s="18">
        <f t="shared" si="7"/>
        <v>0.86620373684280716</v>
      </c>
      <c r="AX20" s="18">
        <f t="shared" si="7"/>
        <v>0.89823631492999079</v>
      </c>
      <c r="AY20" s="18">
        <f t="shared" si="7"/>
        <v>0.93420562814256924</v>
      </c>
      <c r="AZ20" s="18">
        <f t="shared" si="7"/>
        <v>0.99775482936007354</v>
      </c>
      <c r="BA20" s="18">
        <f t="shared" si="7"/>
        <v>0.97677893581559305</v>
      </c>
      <c r="BB20" s="18">
        <f t="shared" si="7"/>
        <v>0.88859189527820637</v>
      </c>
      <c r="BC20" s="18">
        <f t="shared" si="7"/>
        <v>0.78810300113062115</v>
      </c>
      <c r="BD20" s="18">
        <f t="shared" si="7"/>
        <v>0.58958010598636101</v>
      </c>
      <c r="BE20" s="18">
        <f t="shared" si="7"/>
        <v>0.80380026086443956</v>
      </c>
      <c r="BF20" s="18">
        <f t="shared" si="8"/>
        <v>0.74643209583491799</v>
      </c>
      <c r="BG20" s="18">
        <f t="shared" si="8"/>
        <v>0.81039141610974141</v>
      </c>
      <c r="BH20" s="18">
        <f t="shared" si="8"/>
        <v>0.91961361813467501</v>
      </c>
      <c r="BI20" s="18">
        <f t="shared" si="8"/>
        <v>0.99172767845269827</v>
      </c>
      <c r="BJ20" s="18">
        <f t="shared" si="8"/>
        <v>0.90430294046302362</v>
      </c>
      <c r="BK20" s="18">
        <f t="shared" si="8"/>
        <v>0.88933511368257934</v>
      </c>
      <c r="BL20" s="18">
        <f t="shared" si="8"/>
        <v>0.91400670844401632</v>
      </c>
      <c r="BM20" s="18">
        <f t="shared" si="8"/>
        <v>0.86505019847274689</v>
      </c>
      <c r="BN20" s="18">
        <f t="shared" si="8"/>
        <v>0.98027904752611394</v>
      </c>
      <c r="BO20" s="18">
        <f t="shared" si="8"/>
        <v>0.99493695017779415</v>
      </c>
      <c r="BP20" s="18">
        <f t="shared" si="8"/>
        <v>0.97088718661578122</v>
      </c>
      <c r="BQ20" s="18">
        <f t="shared" si="8"/>
        <v>0.91569323177294037</v>
      </c>
      <c r="BR20" s="18">
        <f t="shared" si="8"/>
        <v>0.71079362920636324</v>
      </c>
      <c r="BS20" s="18">
        <f t="shared" si="8"/>
        <v>0.99255302132326984</v>
      </c>
      <c r="BT20" s="18">
        <f t="shared" si="8"/>
        <v>0.90136043890937256</v>
      </c>
      <c r="BU20" s="18">
        <f t="shared" si="8"/>
        <v>0.95553108023726063</v>
      </c>
      <c r="BV20" s="18">
        <f t="shared" si="5"/>
        <v>0.72591625245182634</v>
      </c>
      <c r="BW20" s="18">
        <f t="shared" si="5"/>
        <v>0.97874497285904849</v>
      </c>
      <c r="BX20" s="18">
        <f t="shared" si="5"/>
        <v>0.74085858931240312</v>
      </c>
      <c r="BY20" s="18">
        <f t="shared" si="5"/>
        <v>0.97557878417767141</v>
      </c>
      <c r="BZ20" s="18">
        <f t="shared" si="5"/>
        <v>0.87162493944954667</v>
      </c>
      <c r="CA20" s="18">
        <f t="shared" si="5"/>
        <v>0.81590778359796268</v>
      </c>
      <c r="CB20" s="18">
        <f t="shared" si="5"/>
        <v>0.84888998226075307</v>
      </c>
      <c r="CC20" s="18">
        <f t="shared" si="5"/>
        <v>0.84781128371872383</v>
      </c>
      <c r="CD20" s="18">
        <f t="shared" si="5"/>
        <v>0.93752353382372644</v>
      </c>
    </row>
    <row r="21" spans="1:82" x14ac:dyDescent="0.3">
      <c r="A21" s="7" t="str">
        <v>Johnson, Pierce</v>
      </c>
      <c r="B21">
        <f>_xlfn.XLOOKUP($A21,braves_19_25__2[player_name], braves_19_25__2[release_pos_z])</f>
        <v>5.99</v>
      </c>
      <c r="C21">
        <f>_xlfn.XLOOKUP($A21,braves_19_25__2[player_name], braves_19_25__2[release_pos_x])*2.5</f>
        <v>-5.2249999999999996</v>
      </c>
      <c r="D21">
        <f>_xlfn.XLOOKUP($A21,braves_19_25__2[player_name], braves_19_25__2[release_extension])</f>
        <v>5.88</v>
      </c>
      <c r="E21">
        <f>COS(RADIANS(AVERAGE(_xlfn.XLOOKUP($A21,braves_19_25__2[player_name],braves_19_25__2[arm_angle]))))*4</f>
        <v>3.2965047544880628</v>
      </c>
      <c r="F21">
        <f>SIN(RADIANS(AVERAGE(_xlfn.XLOOKUP($A21,braves_19_25__2[player_name],braves_19_25__2[arm_angle]))))*4</f>
        <v>2.2656249476993313</v>
      </c>
      <c r="G21">
        <f t="shared" si="2"/>
        <v>10.665604764850421</v>
      </c>
      <c r="I21" s="7" t="str">
        <v>Johnson, Pierce</v>
      </c>
      <c r="J21" s="18">
        <f t="shared" si="3"/>
        <v>0.80710218702513903</v>
      </c>
      <c r="K21" s="18">
        <f t="shared" si="3"/>
        <v>0.99400811815584533</v>
      </c>
      <c r="L21" s="18">
        <f t="shared" si="3"/>
        <v>0.99930782469043244</v>
      </c>
      <c r="M21" s="18">
        <f t="shared" si="3"/>
        <v>0.96868762014271681</v>
      </c>
      <c r="N21" s="18">
        <f t="shared" si="3"/>
        <v>0.61291827678969546</v>
      </c>
      <c r="O21" s="18">
        <f t="shared" si="3"/>
        <v>0.97083408800425031</v>
      </c>
      <c r="P21" s="18">
        <f t="shared" si="3"/>
        <v>0.72324888708020152</v>
      </c>
      <c r="Q21" s="18">
        <f t="shared" si="3"/>
        <v>0.9955481324671076</v>
      </c>
      <c r="R21" s="18">
        <f t="shared" si="3"/>
        <v>0.99249274839645607</v>
      </c>
      <c r="S21" s="18">
        <f t="shared" si="3"/>
        <v>0.99862393166013663</v>
      </c>
      <c r="T21" s="18">
        <f t="shared" si="3"/>
        <v>0.98821317538358577</v>
      </c>
      <c r="U21" s="18">
        <f t="shared" si="3"/>
        <v>0.99729762508467046</v>
      </c>
      <c r="V21" s="18">
        <f t="shared" si="3"/>
        <v>0.99368747887913256</v>
      </c>
      <c r="W21" s="18">
        <f t="shared" si="3"/>
        <v>0.78069570536154576</v>
      </c>
      <c r="X21" s="18">
        <f t="shared" si="3"/>
        <v>0.9976087424514517</v>
      </c>
      <c r="Y21" s="18">
        <f t="shared" si="3"/>
        <v>0.99327415316238277</v>
      </c>
      <c r="Z21" s="18">
        <f t="shared" si="6"/>
        <v>0.76455461017617055</v>
      </c>
      <c r="AA21" s="18">
        <f t="shared" si="6"/>
        <v>0.79006602420606253</v>
      </c>
      <c r="AB21" s="18">
        <f t="shared" si="6"/>
        <v>0.99999999999999989</v>
      </c>
      <c r="AC21" s="18">
        <f t="shared" si="6"/>
        <v>0.99402646398733729</v>
      </c>
      <c r="AD21" s="18">
        <f t="shared" si="6"/>
        <v>0.76443582951188227</v>
      </c>
      <c r="AE21" s="18">
        <f t="shared" si="6"/>
        <v>0.99543389750061462</v>
      </c>
      <c r="AF21" s="18">
        <f t="shared" si="6"/>
        <v>0.98975460069656718</v>
      </c>
      <c r="AG21" s="18">
        <f t="shared" si="6"/>
        <v>0.99469140657805</v>
      </c>
      <c r="AH21" s="18">
        <f t="shared" si="6"/>
        <v>0.99250178229623676</v>
      </c>
      <c r="AI21" s="18">
        <f t="shared" si="6"/>
        <v>0.7878562858321545</v>
      </c>
      <c r="AJ21" s="18">
        <f t="shared" si="6"/>
        <v>0.99823895052668199</v>
      </c>
      <c r="AK21" s="18">
        <f t="shared" si="6"/>
        <v>0.63648480936941554</v>
      </c>
      <c r="AL21" s="18">
        <f t="shared" si="6"/>
        <v>0.95446925153934914</v>
      </c>
      <c r="AM21" s="18">
        <f t="shared" si="6"/>
        <v>0.99319227481253058</v>
      </c>
      <c r="AN21" s="18">
        <f t="shared" si="6"/>
        <v>0.95512991442938378</v>
      </c>
      <c r="AO21" s="18">
        <f t="shared" si="6"/>
        <v>0.9935091163728329</v>
      </c>
      <c r="AP21" s="18">
        <f t="shared" si="7"/>
        <v>0.99612047247114954</v>
      </c>
      <c r="AQ21" s="18">
        <f t="shared" si="7"/>
        <v>0.99064220061704367</v>
      </c>
      <c r="AR21" s="18">
        <f t="shared" si="7"/>
        <v>0.85854966950512868</v>
      </c>
      <c r="AS21" s="18">
        <f t="shared" si="7"/>
        <v>0.70914805451720386</v>
      </c>
      <c r="AT21" s="18">
        <f t="shared" si="7"/>
        <v>0.98839630944814283</v>
      </c>
      <c r="AU21" s="18">
        <f t="shared" si="7"/>
        <v>0.99345934628055688</v>
      </c>
      <c r="AV21" s="18">
        <f t="shared" si="7"/>
        <v>0.99364660064694088</v>
      </c>
      <c r="AW21" s="18">
        <f t="shared" si="7"/>
        <v>0.94417697852617866</v>
      </c>
      <c r="AX21" s="18">
        <f t="shared" si="7"/>
        <v>0.94331600539192029</v>
      </c>
      <c r="AY21" s="18">
        <f t="shared" si="7"/>
        <v>0.6195178309219761</v>
      </c>
      <c r="AZ21" s="18">
        <f t="shared" si="7"/>
        <v>0.77745300476745083</v>
      </c>
      <c r="BA21" s="18">
        <f t="shared" si="7"/>
        <v>0.83854582787547327</v>
      </c>
      <c r="BB21" s="18">
        <f t="shared" si="7"/>
        <v>0.96582851097211608</v>
      </c>
      <c r="BC21" s="18">
        <f t="shared" si="7"/>
        <v>0.99484446739972021</v>
      </c>
      <c r="BD21" s="18">
        <f t="shared" si="7"/>
        <v>0.90472326855944096</v>
      </c>
      <c r="BE21" s="18">
        <f t="shared" si="7"/>
        <v>0.99644089622945886</v>
      </c>
      <c r="BF21" s="18">
        <f t="shared" si="8"/>
        <v>0.98578736044597604</v>
      </c>
      <c r="BG21" s="18">
        <f t="shared" si="8"/>
        <v>0.99550360726616205</v>
      </c>
      <c r="BH21" s="18">
        <f t="shared" si="8"/>
        <v>0.91127726589684688</v>
      </c>
      <c r="BI21" s="18">
        <f t="shared" si="8"/>
        <v>0.77212261876919863</v>
      </c>
      <c r="BJ21" s="18">
        <f t="shared" si="8"/>
        <v>0.94516686289489316</v>
      </c>
      <c r="BK21" s="18">
        <f t="shared" si="8"/>
        <v>0.96288151197237482</v>
      </c>
      <c r="BL21" s="18">
        <f t="shared" si="8"/>
        <v>0.9256394636680243</v>
      </c>
      <c r="BM21" s="18">
        <f t="shared" si="8"/>
        <v>0.97948987829020329</v>
      </c>
      <c r="BN21" s="18">
        <f t="shared" si="8"/>
        <v>0.71392272765627107</v>
      </c>
      <c r="BO21" s="18">
        <f t="shared" si="8"/>
        <v>0.80422783837769651</v>
      </c>
      <c r="BP21" s="18">
        <f t="shared" si="8"/>
        <v>0.68586186811927763</v>
      </c>
      <c r="BQ21" s="18">
        <f t="shared" si="8"/>
        <v>0.92301726062569611</v>
      </c>
      <c r="BR21" s="18">
        <f t="shared" si="8"/>
        <v>0.98840792958077406</v>
      </c>
      <c r="BS21" s="18">
        <f t="shared" si="8"/>
        <v>0.78297671353853737</v>
      </c>
      <c r="BT21" s="18">
        <f t="shared" si="8"/>
        <v>0.95083036111013075</v>
      </c>
      <c r="BU21" s="18">
        <f t="shared" si="8"/>
        <v>0.65846017179573457</v>
      </c>
      <c r="BV21" s="18">
        <f t="shared" si="5"/>
        <v>0.98804494609596016</v>
      </c>
      <c r="BW21" s="18">
        <f t="shared" si="5"/>
        <v>0.70572221008142932</v>
      </c>
      <c r="BX21" s="18">
        <f t="shared" si="5"/>
        <v>0.9898399100702886</v>
      </c>
      <c r="BY21" s="18">
        <f t="shared" si="5"/>
        <v>0.84466392007941693</v>
      </c>
      <c r="BZ21" s="18">
        <f t="shared" si="5"/>
        <v>0.97472913196113398</v>
      </c>
      <c r="CA21" s="18">
        <f t="shared" si="5"/>
        <v>0.99356467803799486</v>
      </c>
      <c r="CB21" s="18">
        <f t="shared" si="5"/>
        <v>0.9895304017020472</v>
      </c>
      <c r="CC21" s="18">
        <f t="shared" si="5"/>
        <v>0.98046788419944086</v>
      </c>
      <c r="CD21" s="18">
        <f t="shared" si="5"/>
        <v>0.61661569144509987</v>
      </c>
    </row>
    <row r="22" spans="1:82" x14ac:dyDescent="0.3">
      <c r="A22" s="7" t="str">
        <v>López, Reynaldo</v>
      </c>
      <c r="B22">
        <f>_xlfn.XLOOKUP($A22,braves_19_25__2[player_name], braves_19_25__2[release_pos_z])</f>
        <v>5.89</v>
      </c>
      <c r="C22">
        <f>_xlfn.XLOOKUP($A22,braves_19_25__2[player_name], braves_19_25__2[release_pos_x])*2.5</f>
        <v>-4.45</v>
      </c>
      <c r="D22">
        <f>_xlfn.XLOOKUP($A22,braves_19_25__2[player_name], braves_19_25__2[release_extension])</f>
        <v>6.59</v>
      </c>
      <c r="E22">
        <f>COS(RADIANS(AVERAGE(_xlfn.XLOOKUP($A22,braves_19_25__2[player_name],braves_19_25__2[arm_angle]))))*4</f>
        <v>2.9911923619941274</v>
      </c>
      <c r="F22">
        <f>SIN(RADIANS(AVERAGE(_xlfn.XLOOKUP($A22,braves_19_25__2[player_name],braves_19_25__2[arm_angle]))))*4</f>
        <v>2.6557048506089664</v>
      </c>
      <c r="G22">
        <f t="shared" si="2"/>
        <v>10.673457734024153</v>
      </c>
      <c r="I22" s="7" t="str">
        <v>López, Reynaldo</v>
      </c>
      <c r="J22" s="18">
        <f t="shared" si="3"/>
        <v>0.84955940963829002</v>
      </c>
      <c r="K22" s="18">
        <f t="shared" si="3"/>
        <v>0.98415516852104046</v>
      </c>
      <c r="L22" s="18">
        <f t="shared" si="3"/>
        <v>0.99555669300018779</v>
      </c>
      <c r="M22" s="18">
        <f t="shared" si="3"/>
        <v>0.98501132612104014</v>
      </c>
      <c r="N22" s="18">
        <f t="shared" si="3"/>
        <v>0.64217152040609815</v>
      </c>
      <c r="O22" s="18">
        <f t="shared" si="3"/>
        <v>0.98799290405929863</v>
      </c>
      <c r="P22" s="18">
        <f t="shared" si="3"/>
        <v>0.76077113017326659</v>
      </c>
      <c r="Q22" s="18">
        <f t="shared" si="3"/>
        <v>0.99486561052640365</v>
      </c>
      <c r="R22" s="18">
        <f t="shared" si="3"/>
        <v>0.98807161439714253</v>
      </c>
      <c r="S22" s="18">
        <f t="shared" si="3"/>
        <v>0.99122593462987785</v>
      </c>
      <c r="T22" s="18">
        <f t="shared" si="3"/>
        <v>0.99192817560524627</v>
      </c>
      <c r="U22" s="18">
        <f t="shared" si="3"/>
        <v>0.997557860276856</v>
      </c>
      <c r="V22" s="18">
        <f t="shared" si="3"/>
        <v>0.98835566986625756</v>
      </c>
      <c r="W22" s="18">
        <f t="shared" si="3"/>
        <v>0.81925922525574779</v>
      </c>
      <c r="X22" s="18">
        <f t="shared" si="3"/>
        <v>0.98827020106234698</v>
      </c>
      <c r="Y22" s="18">
        <f t="shared" si="3"/>
        <v>0.99759805008138802</v>
      </c>
      <c r="Z22" s="18">
        <f t="shared" si="6"/>
        <v>0.80389519361503448</v>
      </c>
      <c r="AA22" s="18">
        <f t="shared" si="6"/>
        <v>0.82584231512475936</v>
      </c>
      <c r="AB22" s="18">
        <f t="shared" si="6"/>
        <v>0.99402646398733729</v>
      </c>
      <c r="AC22" s="18">
        <f t="shared" si="6"/>
        <v>1</v>
      </c>
      <c r="AD22" s="18">
        <f t="shared" si="6"/>
        <v>0.8015447710654926</v>
      </c>
      <c r="AE22" s="18">
        <f t="shared" si="6"/>
        <v>0.99069548090266546</v>
      </c>
      <c r="AF22" s="18">
        <f t="shared" si="6"/>
        <v>0.99729324380598305</v>
      </c>
      <c r="AG22" s="18">
        <f t="shared" si="6"/>
        <v>0.99606012226756191</v>
      </c>
      <c r="AH22" s="18">
        <f t="shared" si="6"/>
        <v>0.98736243407588076</v>
      </c>
      <c r="AI22" s="18">
        <f t="shared" si="6"/>
        <v>0.82517260245229562</v>
      </c>
      <c r="AJ22" s="18">
        <f t="shared" si="6"/>
        <v>0.99844401439405994</v>
      </c>
      <c r="AK22" s="18">
        <f t="shared" si="6"/>
        <v>0.6639402810052818</v>
      </c>
      <c r="AL22" s="18">
        <f t="shared" si="6"/>
        <v>0.92519656352241142</v>
      </c>
      <c r="AM22" s="18">
        <f t="shared" si="6"/>
        <v>0.99798054593071206</v>
      </c>
      <c r="AN22" s="18">
        <f t="shared" si="6"/>
        <v>0.97444620347716637</v>
      </c>
      <c r="AO22" s="18">
        <f t="shared" si="6"/>
        <v>0.98426943009826162</v>
      </c>
      <c r="AP22" s="18">
        <f t="shared" si="7"/>
        <v>0.98152922588942193</v>
      </c>
      <c r="AQ22" s="18">
        <f t="shared" si="7"/>
        <v>0.98067478712011102</v>
      </c>
      <c r="AR22" s="18">
        <f t="shared" si="7"/>
        <v>0.90204600460663198</v>
      </c>
      <c r="AS22" s="18">
        <f t="shared" si="7"/>
        <v>0.7475864863937034</v>
      </c>
      <c r="AT22" s="18">
        <f t="shared" si="7"/>
        <v>0.99713721299523017</v>
      </c>
      <c r="AU22" s="18">
        <f t="shared" si="7"/>
        <v>0.99503827784373178</v>
      </c>
      <c r="AV22" s="18">
        <f t="shared" si="7"/>
        <v>0.99897825743904922</v>
      </c>
      <c r="AW22" s="18">
        <f t="shared" si="7"/>
        <v>0.96928598716566561</v>
      </c>
      <c r="AX22" s="18">
        <f t="shared" si="7"/>
        <v>0.97014502017516746</v>
      </c>
      <c r="AY22" s="18">
        <f t="shared" si="7"/>
        <v>0.65502560484002392</v>
      </c>
      <c r="AZ22" s="18">
        <f t="shared" si="7"/>
        <v>0.8130090897111053</v>
      </c>
      <c r="BA22" s="18">
        <f t="shared" si="7"/>
        <v>0.8822299986996418</v>
      </c>
      <c r="BB22" s="18">
        <f t="shared" si="7"/>
        <v>0.98348205928414889</v>
      </c>
      <c r="BC22" s="18">
        <f t="shared" si="7"/>
        <v>0.99053325856160301</v>
      </c>
      <c r="BD22" s="18">
        <f t="shared" si="7"/>
        <v>0.88199106258556581</v>
      </c>
      <c r="BE22" s="18">
        <f t="shared" si="7"/>
        <v>0.99753291864176341</v>
      </c>
      <c r="BF22" s="18">
        <f t="shared" si="8"/>
        <v>0.97994961263694114</v>
      </c>
      <c r="BG22" s="18">
        <f t="shared" si="8"/>
        <v>0.99811391719918952</v>
      </c>
      <c r="BH22" s="18">
        <f t="shared" si="8"/>
        <v>0.94271744923487077</v>
      </c>
      <c r="BI22" s="18">
        <f t="shared" si="8"/>
        <v>0.81485036317129422</v>
      </c>
      <c r="BJ22" s="18">
        <f t="shared" si="8"/>
        <v>0.96695817740240186</v>
      </c>
      <c r="BK22" s="18">
        <f t="shared" si="8"/>
        <v>0.98182435351136599</v>
      </c>
      <c r="BL22" s="18">
        <f t="shared" si="8"/>
        <v>0.95356912997322163</v>
      </c>
      <c r="BM22" s="18">
        <f t="shared" si="8"/>
        <v>0.99356924505186262</v>
      </c>
      <c r="BN22" s="18">
        <f t="shared" si="8"/>
        <v>0.74784717365212194</v>
      </c>
      <c r="BO22" s="18">
        <f t="shared" si="8"/>
        <v>0.8459541483593731</v>
      </c>
      <c r="BP22" s="18">
        <f t="shared" si="8"/>
        <v>0.72309537528140311</v>
      </c>
      <c r="BQ22" s="18">
        <f t="shared" si="8"/>
        <v>0.95161542244845132</v>
      </c>
      <c r="BR22" s="18">
        <f t="shared" si="8"/>
        <v>0.97439727155487188</v>
      </c>
      <c r="BS22" s="18">
        <f t="shared" si="8"/>
        <v>0.81879625957238811</v>
      </c>
      <c r="BT22" s="18">
        <f t="shared" si="8"/>
        <v>0.96896774273591979</v>
      </c>
      <c r="BU22" s="18">
        <f t="shared" si="8"/>
        <v>0.68872192577000613</v>
      </c>
      <c r="BV22" s="18">
        <f t="shared" si="5"/>
        <v>0.97328855640823275</v>
      </c>
      <c r="BW22" s="18">
        <f t="shared" si="5"/>
        <v>0.74201054288256973</v>
      </c>
      <c r="BX22" s="18">
        <f t="shared" si="5"/>
        <v>0.98214080527322911</v>
      </c>
      <c r="BY22" s="18">
        <f t="shared" si="5"/>
        <v>0.88617447173143749</v>
      </c>
      <c r="BZ22" s="18">
        <f t="shared" si="5"/>
        <v>0.9897746597113023</v>
      </c>
      <c r="CA22" s="18">
        <f t="shared" si="5"/>
        <v>0.9994428316908569</v>
      </c>
      <c r="CB22" s="18">
        <f t="shared" si="5"/>
        <v>0.99803221813048493</v>
      </c>
      <c r="CC22" s="18">
        <f t="shared" si="5"/>
        <v>0.99430916297127458</v>
      </c>
      <c r="CD22" s="18">
        <f t="shared" si="5"/>
        <v>0.65005827971841279</v>
      </c>
    </row>
    <row r="23" spans="1:82" x14ac:dyDescent="0.3">
      <c r="A23" s="7" t="str">
        <v>Smyly, Drew</v>
      </c>
      <c r="B23">
        <f>_xlfn.XLOOKUP($A23,braves_19_25__2[player_name], braves_19_25__2[release_pos_z])</f>
        <v>6.66</v>
      </c>
      <c r="C23">
        <f>_xlfn.XLOOKUP($A23,braves_19_25__2[player_name], braves_19_25__2[release_pos_x])*2.5</f>
        <v>4.45</v>
      </c>
      <c r="D23">
        <f>_xlfn.XLOOKUP($A23,braves_19_25__2[player_name], braves_19_25__2[release_extension])</f>
        <v>5.83</v>
      </c>
      <c r="E23">
        <f>COS(RADIANS(AVERAGE(_xlfn.XLOOKUP($A23,braves_19_25__2[player_name],braves_19_25__2[arm_angle]))))*4</f>
        <v>2.4626459013026332</v>
      </c>
      <c r="F23">
        <f>SIN(RADIANS(AVERAGE(_xlfn.XLOOKUP($A23,braves_19_25__2[player_name],braves_19_25__2[arm_angle]))))*4</f>
        <v>3.1520430144268881</v>
      </c>
      <c r="G23">
        <f t="shared" si="2"/>
        <v>10.683959940022239</v>
      </c>
      <c r="I23" s="7" t="str">
        <v>Smyly, Drew</v>
      </c>
      <c r="J23" s="18">
        <f t="shared" si="3"/>
        <v>0.98991457462600652</v>
      </c>
      <c r="K23" s="18">
        <f t="shared" si="3"/>
        <v>0.7280224336956187</v>
      </c>
      <c r="L23" s="18">
        <f t="shared" si="3"/>
        <v>0.76388639982965201</v>
      </c>
      <c r="M23" s="18">
        <f t="shared" si="3"/>
        <v>0.85887665029819227</v>
      </c>
      <c r="N23" s="18">
        <f t="shared" si="3"/>
        <v>0.91590025284915477</v>
      </c>
      <c r="O23" s="18">
        <f t="shared" si="3"/>
        <v>0.82401232086178189</v>
      </c>
      <c r="P23" s="18">
        <f t="shared" si="3"/>
        <v>0.98755842649608538</v>
      </c>
      <c r="Q23" s="18">
        <f t="shared" si="3"/>
        <v>0.77571857501784236</v>
      </c>
      <c r="R23" s="18">
        <f t="shared" si="3"/>
        <v>0.72695501822748798</v>
      </c>
      <c r="S23" s="18">
        <f t="shared" si="3"/>
        <v>0.76946237970127906</v>
      </c>
      <c r="T23" s="18">
        <f t="shared" si="3"/>
        <v>0.79308868384830267</v>
      </c>
      <c r="U23" s="18">
        <f t="shared" si="3"/>
        <v>0.78452870321676071</v>
      </c>
      <c r="V23" s="18">
        <f t="shared" si="3"/>
        <v>0.74057460776951201</v>
      </c>
      <c r="W23" s="18">
        <f t="shared" si="3"/>
        <v>0.99804749960875672</v>
      </c>
      <c r="X23" s="18">
        <f t="shared" si="3"/>
        <v>0.73499020730248366</v>
      </c>
      <c r="Y23" s="18">
        <f t="shared" si="3"/>
        <v>0.81134774091366846</v>
      </c>
      <c r="Z23" s="18">
        <f t="shared" si="6"/>
        <v>0.99857580962761583</v>
      </c>
      <c r="AA23" s="18">
        <f t="shared" si="6"/>
        <v>0.99722930838756618</v>
      </c>
      <c r="AB23" s="18">
        <f t="shared" si="6"/>
        <v>0.76443582951188227</v>
      </c>
      <c r="AC23" s="18">
        <f t="shared" si="6"/>
        <v>0.8015447710654926</v>
      </c>
      <c r="AD23" s="18">
        <f t="shared" si="6"/>
        <v>1.0000000000000002</v>
      </c>
      <c r="AE23" s="18">
        <f t="shared" si="6"/>
        <v>0.74360770409263288</v>
      </c>
      <c r="AF23" s="18">
        <f t="shared" si="6"/>
        <v>0.82522662301745131</v>
      </c>
      <c r="AG23" s="18">
        <f t="shared" si="6"/>
        <v>0.76806464981086398</v>
      </c>
      <c r="AH23" s="18">
        <f t="shared" si="6"/>
        <v>0.72562494947105394</v>
      </c>
      <c r="AI23" s="18">
        <f t="shared" si="6"/>
        <v>0.99824196506225715</v>
      </c>
      <c r="AJ23" s="18">
        <f t="shared" si="6"/>
        <v>0.78397673726577788</v>
      </c>
      <c r="AK23" s="18">
        <f t="shared" si="6"/>
        <v>0.92278300740355923</v>
      </c>
      <c r="AL23" s="18">
        <f t="shared" si="6"/>
        <v>0.58522247282427098</v>
      </c>
      <c r="AM23" s="18">
        <f t="shared" si="6"/>
        <v>0.7776136421999954</v>
      </c>
      <c r="AN23" s="18">
        <f t="shared" si="6"/>
        <v>0.87622441309119503</v>
      </c>
      <c r="AO23" s="18">
        <f t="shared" si="6"/>
        <v>0.72145918281643806</v>
      </c>
      <c r="AP23" s="18">
        <f t="shared" si="7"/>
        <v>0.72192214646838693</v>
      </c>
      <c r="AQ23" s="18">
        <f t="shared" si="7"/>
        <v>0.70347520111718453</v>
      </c>
      <c r="AR23" s="18">
        <f t="shared" si="7"/>
        <v>0.92981654238360456</v>
      </c>
      <c r="AS23" s="18">
        <f t="shared" si="7"/>
        <v>0.98565522431603569</v>
      </c>
      <c r="AT23" s="18">
        <f t="shared" si="7"/>
        <v>0.82842175489614911</v>
      </c>
      <c r="AU23" s="18">
        <f t="shared" si="7"/>
        <v>0.8141745014447076</v>
      </c>
      <c r="AV23" s="18">
        <f t="shared" si="7"/>
        <v>0.8089816151987449</v>
      </c>
      <c r="AW23" s="18">
        <f t="shared" si="7"/>
        <v>0.8515262262910458</v>
      </c>
      <c r="AX23" s="18">
        <f t="shared" si="7"/>
        <v>0.87846657754342228</v>
      </c>
      <c r="AY23" s="18">
        <f t="shared" si="7"/>
        <v>0.94774979940324233</v>
      </c>
      <c r="AZ23" s="18">
        <f t="shared" si="7"/>
        <v>0.99484532487313648</v>
      </c>
      <c r="BA23" s="18">
        <f t="shared" si="7"/>
        <v>0.96426581620962581</v>
      </c>
      <c r="BB23" s="18">
        <f t="shared" si="7"/>
        <v>0.86273723476639419</v>
      </c>
      <c r="BC23" s="18">
        <f t="shared" si="7"/>
        <v>0.758362860833104</v>
      </c>
      <c r="BD23" s="18">
        <f t="shared" si="7"/>
        <v>0.55324823593368688</v>
      </c>
      <c r="BE23" s="18">
        <f t="shared" si="7"/>
        <v>0.77706421615463506</v>
      </c>
      <c r="BF23" s="18">
        <f t="shared" si="8"/>
        <v>0.72874122188582624</v>
      </c>
      <c r="BG23" s="18">
        <f t="shared" si="8"/>
        <v>0.78392858630053119</v>
      </c>
      <c r="BH23" s="18">
        <f t="shared" si="8"/>
        <v>0.89910980505100857</v>
      </c>
      <c r="BI23" s="18">
        <f t="shared" si="8"/>
        <v>0.99555829395928375</v>
      </c>
      <c r="BJ23" s="18">
        <f t="shared" si="8"/>
        <v>0.88271101953898801</v>
      </c>
      <c r="BK23" s="18">
        <f t="shared" si="8"/>
        <v>0.86746128366852415</v>
      </c>
      <c r="BL23" s="18">
        <f t="shared" si="8"/>
        <v>0.8934513748142785</v>
      </c>
      <c r="BM23" s="18">
        <f t="shared" si="8"/>
        <v>0.83884066211986152</v>
      </c>
      <c r="BN23" s="18">
        <f t="shared" si="8"/>
        <v>0.98408135466662372</v>
      </c>
      <c r="BO23" s="18">
        <f t="shared" si="8"/>
        <v>0.99197205040155612</v>
      </c>
      <c r="BP23" s="18">
        <f t="shared" si="8"/>
        <v>0.98031027637515467</v>
      </c>
      <c r="BQ23" s="18">
        <f t="shared" si="8"/>
        <v>0.89470837218716825</v>
      </c>
      <c r="BR23" s="18">
        <f t="shared" si="8"/>
        <v>0.68632281219682423</v>
      </c>
      <c r="BS23" s="18">
        <f t="shared" si="8"/>
        <v>0.98619874557963239</v>
      </c>
      <c r="BT23" s="18">
        <f t="shared" si="8"/>
        <v>0.87872005014794485</v>
      </c>
      <c r="BU23" s="18">
        <f t="shared" si="8"/>
        <v>0.96398733819196469</v>
      </c>
      <c r="BV23" s="18">
        <f t="shared" si="5"/>
        <v>0.69601903135293353</v>
      </c>
      <c r="BW23" s="18">
        <f t="shared" si="5"/>
        <v>0.98530207062537123</v>
      </c>
      <c r="BX23" s="18">
        <f t="shared" si="5"/>
        <v>0.71267286996981749</v>
      </c>
      <c r="BY23" s="18">
        <f t="shared" si="5"/>
        <v>0.96357620702704017</v>
      </c>
      <c r="BZ23" s="18">
        <f t="shared" si="5"/>
        <v>0.84433069278729478</v>
      </c>
      <c r="CA23" s="18">
        <f t="shared" si="5"/>
        <v>0.7921743881378065</v>
      </c>
      <c r="CB23" s="18">
        <f t="shared" si="5"/>
        <v>0.82342673225634833</v>
      </c>
      <c r="CC23" s="18">
        <f t="shared" si="5"/>
        <v>0.82781258987510009</v>
      </c>
      <c r="CD23" s="18">
        <f t="shared" si="5"/>
        <v>0.95317749481359682</v>
      </c>
    </row>
    <row r="24" spans="1:82" x14ac:dyDescent="0.3">
      <c r="A24" s="7" t="str">
        <v>McHugh, Collin</v>
      </c>
      <c r="B24">
        <f>_xlfn.XLOOKUP($A24,braves_19_25__2[player_name], braves_19_25__2[release_pos_z])</f>
        <v>5.45</v>
      </c>
      <c r="C24">
        <f>_xlfn.XLOOKUP($A24,braves_19_25__2[player_name], braves_19_25__2[release_pos_x])*2.5</f>
        <v>-5.5250000000000004</v>
      </c>
      <c r="D24">
        <f>_xlfn.XLOOKUP($A24,braves_19_25__2[player_name], braves_19_25__2[release_extension])</f>
        <v>6.63</v>
      </c>
      <c r="E24">
        <f>COS(RADIANS(AVERAGE(_xlfn.XLOOKUP($A24,braves_19_25__2[player_name],braves_19_25__2[arm_angle]))))*4</f>
        <v>3.5350625203547739</v>
      </c>
      <c r="F24">
        <f>SIN(RADIANS(AVERAGE(_xlfn.XLOOKUP($A24,braves_19_25__2[player_name],braves_19_25__2[arm_angle]))))*4</f>
        <v>1.8717192570422934</v>
      </c>
      <c r="G24">
        <f t="shared" si="2"/>
        <v>10.962893094434516</v>
      </c>
      <c r="I24" s="7" t="str">
        <v>McHugh, Collin</v>
      </c>
      <c r="J24" s="18">
        <f t="shared" si="3"/>
        <v>0.79181536587577839</v>
      </c>
      <c r="K24" s="18">
        <f t="shared" si="3"/>
        <v>0.99861786212517145</v>
      </c>
      <c r="L24" s="18">
        <f t="shared" si="3"/>
        <v>0.99557794858331594</v>
      </c>
      <c r="M24" s="18">
        <f t="shared" si="3"/>
        <v>0.95373209593124408</v>
      </c>
      <c r="N24" s="18">
        <f t="shared" si="3"/>
        <v>0.6169687907263276</v>
      </c>
      <c r="O24" s="18">
        <f t="shared" si="3"/>
        <v>0.96125261985494981</v>
      </c>
      <c r="P24" s="18">
        <f t="shared" si="3"/>
        <v>0.71329687734098091</v>
      </c>
      <c r="Q24" s="18">
        <f t="shared" si="3"/>
        <v>0.99757422819865826</v>
      </c>
      <c r="R24" s="18">
        <f t="shared" si="3"/>
        <v>0.99803768657375624</v>
      </c>
      <c r="S24" s="18">
        <f t="shared" si="3"/>
        <v>0.98911767142473705</v>
      </c>
      <c r="T24" s="18">
        <f t="shared" si="3"/>
        <v>0.99178998539046415</v>
      </c>
      <c r="U24" s="18">
        <f t="shared" si="3"/>
        <v>0.99604653324200443</v>
      </c>
      <c r="V24" s="18">
        <f t="shared" si="3"/>
        <v>0.98823066589246034</v>
      </c>
      <c r="W24" s="18">
        <f t="shared" si="3"/>
        <v>0.76458400529348092</v>
      </c>
      <c r="X24" s="18">
        <f t="shared" si="3"/>
        <v>0.99386096972628468</v>
      </c>
      <c r="Y24" s="18">
        <f t="shared" si="3"/>
        <v>0.98747275065556928</v>
      </c>
      <c r="Z24" s="18">
        <f t="shared" si="6"/>
        <v>0.74852148611828928</v>
      </c>
      <c r="AA24" s="18">
        <f t="shared" si="6"/>
        <v>0.77158407739887602</v>
      </c>
      <c r="AB24" s="18">
        <f t="shared" si="6"/>
        <v>0.99543389750061462</v>
      </c>
      <c r="AC24" s="18">
        <f t="shared" si="6"/>
        <v>0.99069548090266546</v>
      </c>
      <c r="AD24" s="18">
        <f t="shared" si="6"/>
        <v>0.74360770409263288</v>
      </c>
      <c r="AE24" s="18">
        <f t="shared" si="6"/>
        <v>0.99999999999999989</v>
      </c>
      <c r="AF24" s="18">
        <f t="shared" si="6"/>
        <v>0.98047266028621927</v>
      </c>
      <c r="AG24" s="18">
        <f t="shared" si="6"/>
        <v>0.998296815904548</v>
      </c>
      <c r="AH24" s="18">
        <f t="shared" si="6"/>
        <v>0.99853014295938414</v>
      </c>
      <c r="AI24" s="18">
        <f t="shared" si="6"/>
        <v>0.76797120863212431</v>
      </c>
      <c r="AJ24" s="18">
        <f t="shared" si="6"/>
        <v>0.99545483654028044</v>
      </c>
      <c r="AK24" s="18">
        <f t="shared" si="6"/>
        <v>0.63950319752530305</v>
      </c>
      <c r="AL24" s="18">
        <f t="shared" si="6"/>
        <v>0.96453011729494875</v>
      </c>
      <c r="AM24" s="18">
        <f t="shared" si="6"/>
        <v>0.99305907320028486</v>
      </c>
      <c r="AN24" s="18">
        <f t="shared" si="6"/>
        <v>0.94068468863250043</v>
      </c>
      <c r="AO24" s="18">
        <f t="shared" si="6"/>
        <v>0.99009761039142752</v>
      </c>
      <c r="AP24" s="18">
        <f t="shared" si="7"/>
        <v>0.99289640217146002</v>
      </c>
      <c r="AQ24" s="18">
        <f t="shared" si="7"/>
        <v>0.99216123166081049</v>
      </c>
      <c r="AR24" s="18">
        <f t="shared" si="7"/>
        <v>0.84840700285500603</v>
      </c>
      <c r="AS24" s="18">
        <f t="shared" si="7"/>
        <v>0.69904556118820838</v>
      </c>
      <c r="AT24" s="18">
        <f t="shared" si="7"/>
        <v>0.98140720027498052</v>
      </c>
      <c r="AU24" s="18">
        <f t="shared" si="7"/>
        <v>0.98383711959789411</v>
      </c>
      <c r="AV24" s="18">
        <f t="shared" si="7"/>
        <v>0.98966536379662584</v>
      </c>
      <c r="AW24" s="18">
        <f t="shared" si="7"/>
        <v>0.92906317433732544</v>
      </c>
      <c r="AX24" s="18">
        <f t="shared" si="7"/>
        <v>0.92970331751277135</v>
      </c>
      <c r="AY24" s="18">
        <f t="shared" si="7"/>
        <v>0.61360499020425452</v>
      </c>
      <c r="AZ24" s="18">
        <f t="shared" si="7"/>
        <v>0.76376540976931329</v>
      </c>
      <c r="BA24" s="18">
        <f t="shared" si="7"/>
        <v>0.82879729281467385</v>
      </c>
      <c r="BB24" s="18">
        <f t="shared" si="7"/>
        <v>0.95768496602683351</v>
      </c>
      <c r="BC24" s="18">
        <f t="shared" si="7"/>
        <v>0.99852143996929366</v>
      </c>
      <c r="BD24" s="18">
        <f t="shared" si="7"/>
        <v>0.93497617609975081</v>
      </c>
      <c r="BE24" s="18">
        <f t="shared" si="7"/>
        <v>0.99759391028192812</v>
      </c>
      <c r="BF24" s="18">
        <f t="shared" si="8"/>
        <v>0.9774486557525347</v>
      </c>
      <c r="BG24" s="18">
        <f t="shared" si="8"/>
        <v>0.99580714870481946</v>
      </c>
      <c r="BH24" s="18">
        <f t="shared" si="8"/>
        <v>0.8934746101378922</v>
      </c>
      <c r="BI24" s="18">
        <f t="shared" si="8"/>
        <v>0.75127088933353825</v>
      </c>
      <c r="BJ24" s="18">
        <f t="shared" si="8"/>
        <v>0.92742455665655088</v>
      </c>
      <c r="BK24" s="18">
        <f t="shared" si="8"/>
        <v>0.94909630219396712</v>
      </c>
      <c r="BL24" s="18">
        <f t="shared" si="8"/>
        <v>0.90778161555417869</v>
      </c>
      <c r="BM24" s="18">
        <f t="shared" si="8"/>
        <v>0.97614854504957738</v>
      </c>
      <c r="BN24" s="18">
        <f t="shared" si="8"/>
        <v>0.70309930078670047</v>
      </c>
      <c r="BO24" s="18">
        <f t="shared" si="8"/>
        <v>0.78674841575995458</v>
      </c>
      <c r="BP24" s="18">
        <f t="shared" si="8"/>
        <v>0.67434151279277443</v>
      </c>
      <c r="BQ24" s="18">
        <f t="shared" si="8"/>
        <v>0.90586034399867266</v>
      </c>
      <c r="BR24" s="18">
        <f t="shared" si="8"/>
        <v>0.99121605348188535</v>
      </c>
      <c r="BS24" s="18">
        <f t="shared" si="8"/>
        <v>0.77470392470214844</v>
      </c>
      <c r="BT24" s="18">
        <f t="shared" si="8"/>
        <v>0.93253173609303863</v>
      </c>
      <c r="BU24" s="18">
        <f t="shared" si="8"/>
        <v>0.64788030061711199</v>
      </c>
      <c r="BV24" s="18">
        <f t="shared" si="5"/>
        <v>0.994977245787384</v>
      </c>
      <c r="BW24" s="18">
        <f t="shared" si="5"/>
        <v>0.69397174074153489</v>
      </c>
      <c r="BX24" s="18">
        <f t="shared" si="5"/>
        <v>0.99820589257739689</v>
      </c>
      <c r="BY24" s="18">
        <f t="shared" si="5"/>
        <v>0.82795250188734892</v>
      </c>
      <c r="BZ24" s="18">
        <f t="shared" si="5"/>
        <v>0.97182351623813157</v>
      </c>
      <c r="CA24" s="18">
        <f t="shared" si="5"/>
        <v>0.9917849261982864</v>
      </c>
      <c r="CB24" s="18">
        <f t="shared" si="5"/>
        <v>0.98441626322986453</v>
      </c>
      <c r="CC24" s="18">
        <f t="shared" si="5"/>
        <v>0.9712221643483957</v>
      </c>
      <c r="CD24" s="18">
        <f t="shared" si="5"/>
        <v>0.60472097584433493</v>
      </c>
    </row>
    <row r="25" spans="1:82" x14ac:dyDescent="0.3">
      <c r="A25" s="7" t="str">
        <v>Ynoa, Huascar</v>
      </c>
      <c r="B25">
        <f>_xlfn.XLOOKUP($A25,braves_19_25__2[player_name], braves_19_25__2[release_pos_z])</f>
        <v>6.21</v>
      </c>
      <c r="C25">
        <f>_xlfn.XLOOKUP($A25,braves_19_25__2[player_name], braves_19_25__2[release_pos_x])*2.5</f>
        <v>-3.85</v>
      </c>
      <c r="D25">
        <f>_xlfn.XLOOKUP($A25,braves_19_25__2[player_name], braves_19_25__2[release_extension])</f>
        <v>6.1</v>
      </c>
      <c r="E25">
        <f>COS(RADIANS(AVERAGE(_xlfn.XLOOKUP($A25,braves_19_25__2[player_name],braves_19_25__2[arm_angle]))))*4</f>
        <v>2.9062986838839038</v>
      </c>
      <c r="F25">
        <f>SIN(RADIANS(AVERAGE(_xlfn.XLOOKUP($A25,braves_19_25__2[player_name],braves_19_25__2[arm_angle]))))*4</f>
        <v>2.7483500432176919</v>
      </c>
      <c r="G25">
        <f t="shared" si="2"/>
        <v>10.324562944744924</v>
      </c>
      <c r="I25" s="7" t="str">
        <v>Ynoa, Huascar</v>
      </c>
      <c r="J25" s="18">
        <f t="shared" si="3"/>
        <v>0.86961592378519059</v>
      </c>
      <c r="K25" s="18">
        <f t="shared" si="3"/>
        <v>0.97361441084859746</v>
      </c>
      <c r="L25" s="18">
        <f t="shared" si="3"/>
        <v>0.99024039496116878</v>
      </c>
      <c r="M25" s="18">
        <f t="shared" si="3"/>
        <v>0.99399688445252354</v>
      </c>
      <c r="N25" s="18">
        <f t="shared" si="3"/>
        <v>0.65220930950761213</v>
      </c>
      <c r="O25" s="18">
        <f t="shared" si="3"/>
        <v>0.9895529140941357</v>
      </c>
      <c r="P25" s="18">
        <f t="shared" si="3"/>
        <v>0.77815559377840493</v>
      </c>
      <c r="Q25" s="18">
        <f t="shared" si="3"/>
        <v>0.98877548113421831</v>
      </c>
      <c r="R25" s="18">
        <f t="shared" si="3"/>
        <v>0.97529275969307538</v>
      </c>
      <c r="S25" s="18">
        <f t="shared" si="3"/>
        <v>0.98999026177378924</v>
      </c>
      <c r="T25" s="18">
        <f t="shared" si="3"/>
        <v>0.98717909321215647</v>
      </c>
      <c r="U25" s="18">
        <f t="shared" si="3"/>
        <v>0.99325070186124231</v>
      </c>
      <c r="V25" s="18">
        <f t="shared" si="3"/>
        <v>0.98142390308113592</v>
      </c>
      <c r="W25" s="18">
        <f t="shared" si="3"/>
        <v>0.84038772995540889</v>
      </c>
      <c r="X25" s="18">
        <f t="shared" si="3"/>
        <v>0.98085309203758209</v>
      </c>
      <c r="Y25" s="18">
        <f t="shared" si="3"/>
        <v>0.99774716440912292</v>
      </c>
      <c r="Z25" s="18">
        <f t="shared" si="6"/>
        <v>0.82466799821958126</v>
      </c>
      <c r="AA25" s="18">
        <f t="shared" si="6"/>
        <v>0.84874113524416783</v>
      </c>
      <c r="AB25" s="18">
        <f t="shared" si="6"/>
        <v>0.98975460069656718</v>
      </c>
      <c r="AC25" s="18">
        <f t="shared" si="6"/>
        <v>0.99729324380598305</v>
      </c>
      <c r="AD25" s="18">
        <f t="shared" si="6"/>
        <v>0.82522662301745131</v>
      </c>
      <c r="AE25" s="18">
        <f t="shared" si="6"/>
        <v>0.98047266028621927</v>
      </c>
      <c r="AF25" s="18">
        <f t="shared" si="6"/>
        <v>1.0000000000000002</v>
      </c>
      <c r="AG25" s="18">
        <f t="shared" si="6"/>
        <v>0.98768912151627364</v>
      </c>
      <c r="AH25" s="18">
        <f t="shared" si="6"/>
        <v>0.97452584561815991</v>
      </c>
      <c r="AI25" s="18">
        <f t="shared" si="6"/>
        <v>0.84854201301300503</v>
      </c>
      <c r="AJ25" s="18">
        <f t="shared" si="6"/>
        <v>0.9944804747781969</v>
      </c>
      <c r="AK25" s="18">
        <f t="shared" si="6"/>
        <v>0.67517696040749131</v>
      </c>
      <c r="AL25" s="18">
        <f t="shared" si="6"/>
        <v>0.90347382414295918</v>
      </c>
      <c r="AM25" s="18">
        <f t="shared" si="6"/>
        <v>0.9912115158490622</v>
      </c>
      <c r="AN25" s="18">
        <f t="shared" si="6"/>
        <v>0.98635912709077567</v>
      </c>
      <c r="AO25" s="18">
        <f t="shared" si="6"/>
        <v>0.97524638341727576</v>
      </c>
      <c r="AP25" s="18">
        <f t="shared" si="7"/>
        <v>0.97401020789823878</v>
      </c>
      <c r="AQ25" s="18">
        <f t="shared" si="7"/>
        <v>0.9679331871296416</v>
      </c>
      <c r="AR25" s="18">
        <f t="shared" si="7"/>
        <v>0.91902802703727571</v>
      </c>
      <c r="AS25" s="18">
        <f t="shared" si="7"/>
        <v>0.76479912655887361</v>
      </c>
      <c r="AT25" s="18">
        <f t="shared" si="7"/>
        <v>0.99927616785766815</v>
      </c>
      <c r="AU25" s="18">
        <f t="shared" si="7"/>
        <v>0.99788160316772545</v>
      </c>
      <c r="AV25" s="18">
        <f t="shared" si="7"/>
        <v>0.99781943823613795</v>
      </c>
      <c r="AW25" s="18">
        <f t="shared" si="7"/>
        <v>0.97719638301812495</v>
      </c>
      <c r="AX25" s="18">
        <f t="shared" si="7"/>
        <v>0.98092031496245691</v>
      </c>
      <c r="AY25" s="18">
        <f t="shared" si="7"/>
        <v>0.6693058915769029</v>
      </c>
      <c r="AZ25" s="18">
        <f t="shared" si="7"/>
        <v>0.83335761691114807</v>
      </c>
      <c r="BA25" s="18">
        <f t="shared" si="7"/>
        <v>0.89911555742573612</v>
      </c>
      <c r="BB25" s="18">
        <f t="shared" si="7"/>
        <v>0.99063316479300123</v>
      </c>
      <c r="BC25" s="18">
        <f t="shared" si="7"/>
        <v>0.98270653922448314</v>
      </c>
      <c r="BD25" s="18">
        <f t="shared" si="7"/>
        <v>0.85277782790612966</v>
      </c>
      <c r="BE25" s="18">
        <f t="shared" si="7"/>
        <v>0.99119052863979862</v>
      </c>
      <c r="BF25" s="18">
        <f t="shared" si="8"/>
        <v>0.97336922186182262</v>
      </c>
      <c r="BG25" s="18">
        <f t="shared" si="8"/>
        <v>0.99256824431918012</v>
      </c>
      <c r="BH25" s="18">
        <f t="shared" si="8"/>
        <v>0.96013980212792638</v>
      </c>
      <c r="BI25" s="18">
        <f t="shared" si="8"/>
        <v>0.83754775892935929</v>
      </c>
      <c r="BJ25" s="18">
        <f t="shared" si="8"/>
        <v>0.98122143718462029</v>
      </c>
      <c r="BK25" s="18">
        <f t="shared" si="8"/>
        <v>0.99142987482367995</v>
      </c>
      <c r="BL25" s="18">
        <f t="shared" si="8"/>
        <v>0.96970314427185467</v>
      </c>
      <c r="BM25" s="18">
        <f t="shared" si="8"/>
        <v>0.99526138706324963</v>
      </c>
      <c r="BN25" s="18">
        <f t="shared" si="8"/>
        <v>0.76624701791855543</v>
      </c>
      <c r="BO25" s="18">
        <f t="shared" si="8"/>
        <v>0.86732799044026154</v>
      </c>
      <c r="BP25" s="18">
        <f t="shared" si="8"/>
        <v>0.74090862376642186</v>
      </c>
      <c r="BQ25" s="18">
        <f t="shared" si="8"/>
        <v>0.96780906372458819</v>
      </c>
      <c r="BR25" s="18">
        <f t="shared" si="8"/>
        <v>0.96045089643450887</v>
      </c>
      <c r="BS25" s="18">
        <f t="shared" si="8"/>
        <v>0.83615707195734279</v>
      </c>
      <c r="BT25" s="18">
        <f t="shared" si="8"/>
        <v>0.98347839156003003</v>
      </c>
      <c r="BU25" s="18">
        <f t="shared" si="8"/>
        <v>0.70695267544709584</v>
      </c>
      <c r="BV25" s="18">
        <f t="shared" si="5"/>
        <v>0.95973430363369949</v>
      </c>
      <c r="BW25" s="18">
        <f t="shared" si="5"/>
        <v>0.76034397603012815</v>
      </c>
      <c r="BX25" s="18">
        <f t="shared" si="5"/>
        <v>0.96781057653211178</v>
      </c>
      <c r="BY25" s="18">
        <f t="shared" si="5"/>
        <v>0.90719763895335404</v>
      </c>
      <c r="BZ25" s="18">
        <f t="shared" si="5"/>
        <v>0.99236979624884236</v>
      </c>
      <c r="CA25" s="18">
        <f t="shared" si="5"/>
        <v>0.99496839109248503</v>
      </c>
      <c r="CB25" s="18">
        <f t="shared" si="5"/>
        <v>0.99879327917382088</v>
      </c>
      <c r="CC25" s="18">
        <f t="shared" si="5"/>
        <v>0.99626107845254752</v>
      </c>
      <c r="CD25" s="18">
        <f t="shared" si="5"/>
        <v>0.66786753776795871</v>
      </c>
    </row>
    <row r="26" spans="1:82" x14ac:dyDescent="0.3">
      <c r="A26" s="7" t="str">
        <v>Toussaint, Touki</v>
      </c>
      <c r="B26">
        <f>_xlfn.XLOOKUP($A26,braves_19_25__2[player_name], braves_19_25__2[release_pos_z])</f>
        <v>5.54</v>
      </c>
      <c r="C26">
        <f>_xlfn.XLOOKUP($A26,braves_19_25__2[player_name], braves_19_25__2[release_pos_x])*2.5</f>
        <v>-5.0999999999999996</v>
      </c>
      <c r="D26">
        <f>_xlfn.XLOOKUP($A26,braves_19_25__2[player_name], braves_19_25__2[release_extension])</f>
        <v>6.94</v>
      </c>
      <c r="E26">
        <f>COS(RADIANS(AVERAGE(_xlfn.XLOOKUP($A26,braves_19_25__2[player_name],braves_19_25__2[arm_angle]))))*4</f>
        <v>3.3546822717816962</v>
      </c>
      <c r="F26">
        <f>SIN(RADIANS(AVERAGE(_xlfn.XLOOKUP($A26,braves_19_25__2[player_name],braves_19_25__2[arm_angle]))))*4</f>
        <v>2.1785561400601083</v>
      </c>
      <c r="G26">
        <f t="shared" si="2"/>
        <v>10.993871019800078</v>
      </c>
      <c r="I26" s="7" t="str">
        <v>Toussaint, Touki</v>
      </c>
      <c r="J26" s="18">
        <f t="shared" si="3"/>
        <v>0.81821617483771869</v>
      </c>
      <c r="K26" s="18">
        <f t="shared" ref="K26:Z41" si="9">(
   INDEX($B$3:$B$75, MATCH(K$2,_xlfn.ANCHORARRAY( $A$3), 0)) *
   INDEX($B$3:$B$75, MATCH($I26,_xlfn.ANCHORARRAY( $A$3), 0))
 +
   (
     INDEX($C$3:$C$75, MATCH(K$2,_xlfn.ANCHORARRAY( $A$3), 0)) *
     INDEX($C$3:$C$75, MATCH($I26,_xlfn.ANCHORARRAY( $A$3), 0))
   ) *
   IF(
       SIGN(INDEX($C$3:$C$75, MATCH(K$2,_xlfn.ANCHORARRAY( $A$3), 0)))
       =
       SIGN(INDEX($C$3:$C$75, MATCH($I26,_xlfn.ANCHORARRAY( $A$3), 0))),
       1,
       0.1
   )
 +
   INDEX($D$3:$D$75, MATCH(K$2,_xlfn.ANCHORARRAY( $A$3), 0)) *
   INDEX($D$3:$D$75, MATCH($I26,_xlfn.ANCHORARRAY( $A$3), 0)) + INDEX($E$3:$E$75,MATCH(K$2,_xlfn.ANCHORARRAY($A$3),0)) * INDEX($E$3:$E$75,MATCH($I26,_xlfn.ANCHORARRAY($A$3),0)) + INDEX($F$3:$F$75,MATCH(K$2,_xlfn.ANCHORARRAY($A$3),0)) * INDEX($F$3:$F$75,MATCH($I26,_xlfn.ANCHORARRAY($A$3),0)))
/
(
   SQRT(
       INDEX($B$3:$B$75, MATCH(K$2,_xlfn.ANCHORARRAY( $A$3), 0))^2 +
       INDEX($C$3:$C$75, MATCH(K$2,_xlfn.ANCHORARRAY( $A$3), 0))^2 +
       INDEX($D$3:$D$75, MATCH(K$2,_xlfn.ANCHORARRAY( $A$3), 0))^2 + INDEX($E$3:$E$75,MATCH(K$2,_xlfn.ANCHORARRAY($A$3),0))^2 + INDEX($F$3:$F$75,MATCH(K$2,_xlfn.ANCHORARRAY($A$3),0))^2   )
   *
   SQRT(
       INDEX($B$3:$B$75, MATCH($I26,_xlfn.ANCHORARRAY( $A$3), 0))^2 +
       INDEX($C$3:$C$75, MATCH($I26,_xlfn.ANCHORARRAY( $A$3), 0))^2 +
       INDEX($D$3:$D$75, MATCH($I26,_xlfn.ANCHORARRAY( $A$3), 0))^2 + INDEX($E$3:$E$75,MATCH($I26,_xlfn.ANCHORARRAY($A$3),0))^2 + INDEX($F$3:$F$75,MATCH($I26,_xlfn.ANCHORARRAY($A$3),0))^2
   )
)</f>
        <v>0.99417856949063232</v>
      </c>
      <c r="L26" s="18">
        <f t="shared" si="9"/>
        <v>0.99588021776350044</v>
      </c>
      <c r="M26" s="18">
        <f t="shared" si="9"/>
        <v>0.96655942179426846</v>
      </c>
      <c r="N26" s="18">
        <f t="shared" si="9"/>
        <v>0.63256284363419646</v>
      </c>
      <c r="O26" s="18">
        <f t="shared" si="9"/>
        <v>0.97364554816880344</v>
      </c>
      <c r="P26" s="18">
        <f t="shared" si="9"/>
        <v>0.73598499604945999</v>
      </c>
      <c r="Q26" s="18">
        <f t="shared" si="9"/>
        <v>0.99843928830800766</v>
      </c>
      <c r="R26" s="18">
        <f t="shared" si="9"/>
        <v>0.99636296010896852</v>
      </c>
      <c r="S26" s="18">
        <f t="shared" si="9"/>
        <v>0.98848796867356492</v>
      </c>
      <c r="T26" s="18">
        <f t="shared" si="9"/>
        <v>0.99468027103490986</v>
      </c>
      <c r="U26" s="18">
        <f t="shared" si="9"/>
        <v>0.99800773860609204</v>
      </c>
      <c r="V26" s="18">
        <f t="shared" si="9"/>
        <v>0.98803212656555806</v>
      </c>
      <c r="W26" s="18">
        <f t="shared" si="9"/>
        <v>0.78899963976443188</v>
      </c>
      <c r="X26" s="18">
        <f t="shared" si="9"/>
        <v>0.99122204753919763</v>
      </c>
      <c r="Y26" s="18">
        <f t="shared" si="9"/>
        <v>0.99237846503859872</v>
      </c>
      <c r="Z26" s="18">
        <f t="shared" si="9"/>
        <v>0.7733209986448959</v>
      </c>
      <c r="AA26" s="18">
        <f t="shared" si="6"/>
        <v>0.79494173736935902</v>
      </c>
      <c r="AB26" s="18">
        <f t="shared" si="6"/>
        <v>0.99469140657805</v>
      </c>
      <c r="AC26" s="18">
        <f t="shared" si="6"/>
        <v>0.99606012226756191</v>
      </c>
      <c r="AD26" s="18">
        <f t="shared" si="6"/>
        <v>0.76806464981086398</v>
      </c>
      <c r="AE26" s="18">
        <f t="shared" si="6"/>
        <v>0.998296815904548</v>
      </c>
      <c r="AF26" s="18">
        <f t="shared" si="6"/>
        <v>0.98768912151627364</v>
      </c>
      <c r="AG26" s="18">
        <f t="shared" si="6"/>
        <v>1</v>
      </c>
      <c r="AH26" s="18">
        <f t="shared" si="6"/>
        <v>0.99637715741327204</v>
      </c>
      <c r="AI26" s="18">
        <f t="shared" si="6"/>
        <v>0.79240107116951519</v>
      </c>
      <c r="AJ26" s="18">
        <f t="shared" si="6"/>
        <v>0.99766851251312638</v>
      </c>
      <c r="AK26" s="18">
        <f t="shared" si="6"/>
        <v>0.65434382976004468</v>
      </c>
      <c r="AL26" s="18">
        <f t="shared" si="6"/>
        <v>0.94883536783218403</v>
      </c>
      <c r="AM26" s="18">
        <f t="shared" si="6"/>
        <v>0.99726058311008836</v>
      </c>
      <c r="AN26" s="18">
        <f t="shared" si="6"/>
        <v>0.95494553485378264</v>
      </c>
      <c r="AO26" s="18">
        <f t="shared" si="6"/>
        <v>0.98746583640032692</v>
      </c>
      <c r="AP26" s="18">
        <f t="shared" si="7"/>
        <v>0.98735954479695365</v>
      </c>
      <c r="AQ26" s="18">
        <f t="shared" si="7"/>
        <v>0.98828087013139376</v>
      </c>
      <c r="AR26" s="18">
        <f t="shared" si="7"/>
        <v>0.8745229404111966</v>
      </c>
      <c r="AS26" s="18">
        <f t="shared" si="7"/>
        <v>0.72222940343836661</v>
      </c>
      <c r="AT26" s="18">
        <f t="shared" si="7"/>
        <v>0.98884488121961822</v>
      </c>
      <c r="AU26" s="18">
        <f t="shared" si="7"/>
        <v>0.98794059110442456</v>
      </c>
      <c r="AV26" s="18">
        <f t="shared" si="7"/>
        <v>0.99478574642633755</v>
      </c>
      <c r="AW26" s="18">
        <f t="shared" si="7"/>
        <v>0.94657902064119803</v>
      </c>
      <c r="AX26" s="18">
        <f t="shared" si="7"/>
        <v>0.94781539928608682</v>
      </c>
      <c r="AY26" s="18">
        <f t="shared" si="7"/>
        <v>0.63435544860813975</v>
      </c>
      <c r="AZ26" s="18">
        <f t="shared" si="7"/>
        <v>0.78612977023265407</v>
      </c>
      <c r="BA26" s="18">
        <f t="shared" si="7"/>
        <v>0.85491768158171599</v>
      </c>
      <c r="BB26" s="18">
        <f t="shared" si="7"/>
        <v>0.9699736250491976</v>
      </c>
      <c r="BC26" s="18">
        <f t="shared" si="7"/>
        <v>0.99716927786089071</v>
      </c>
      <c r="BD26" s="18">
        <f t="shared" si="7"/>
        <v>0.91901250333475881</v>
      </c>
      <c r="BE26" s="18">
        <f t="shared" ref="BE26:BT41" si="10">(
   INDEX($B$3:$B$75, MATCH(BE$2,_xlfn.ANCHORARRAY( $A$3), 0)) *
   INDEX($B$3:$B$75, MATCH($I26,_xlfn.ANCHORARRAY( $A$3), 0))
 +
   (
     INDEX($C$3:$C$75, MATCH(BE$2,_xlfn.ANCHORARRAY( $A$3), 0)) *
     INDEX($C$3:$C$75, MATCH($I26,_xlfn.ANCHORARRAY( $A$3), 0))
   ) *
   IF(
       SIGN(INDEX($C$3:$C$75, MATCH(BE$2,_xlfn.ANCHORARRAY( $A$3), 0)))
       =
       SIGN(INDEX($C$3:$C$75, MATCH($I26,_xlfn.ANCHORARRAY( $A$3), 0))),
       1,
       0.1
   )
 +
   INDEX($D$3:$D$75, MATCH(BE$2,_xlfn.ANCHORARRAY( $A$3), 0)) *
   INDEX($D$3:$D$75, MATCH($I26,_xlfn.ANCHORARRAY( $A$3), 0)) + INDEX($E$3:$E$75,MATCH(BE$2,_xlfn.ANCHORARRAY($A$3),0)) * INDEX($E$3:$E$75,MATCH($I26,_xlfn.ANCHORARRAY($A$3),0)) + INDEX($F$3:$F$75,MATCH(BE$2,_xlfn.ANCHORARRAY($A$3),0)) * INDEX($F$3:$F$75,MATCH($I26,_xlfn.ANCHORARRAY($A$3),0)))
/
(
   SQRT(
       INDEX($B$3:$B$75, MATCH(BE$2,_xlfn.ANCHORARRAY( $A$3), 0))^2 +
       INDEX($C$3:$C$75, MATCH(BE$2,_xlfn.ANCHORARRAY( $A$3), 0))^2 +
       INDEX($D$3:$D$75, MATCH(BE$2,_xlfn.ANCHORARRAY( $A$3), 0))^2 + INDEX($E$3:$E$75,MATCH(BE$2,_xlfn.ANCHORARRAY($A$3),0))^2 + INDEX($F$3:$F$75,MATCH(BE$2,_xlfn.ANCHORARRAY($A$3),0))^2   )
   *
   SQRT(
       INDEX($B$3:$B$75, MATCH($I26,_xlfn.ANCHORARRAY( $A$3), 0))^2 +
       INDEX($C$3:$C$75, MATCH($I26,_xlfn.ANCHORARRAY( $A$3), 0))^2 +
       INDEX($D$3:$D$75, MATCH($I26,_xlfn.ANCHORARRAY( $A$3), 0))^2 + INDEX($E$3:$E$75,MATCH($I26,_xlfn.ANCHORARRAY($A$3),0))^2 + INDEX($F$3:$F$75,MATCH($I26,_xlfn.ANCHORARRAY($A$3),0))^2
   )
)</f>
        <v>0.99957637938691435</v>
      </c>
      <c r="BF26" s="18">
        <f t="shared" si="10"/>
        <v>0.97750191359694572</v>
      </c>
      <c r="BG26" s="18">
        <f t="shared" si="10"/>
        <v>0.99875226902252412</v>
      </c>
      <c r="BH26" s="18">
        <f t="shared" si="10"/>
        <v>0.91467061060777088</v>
      </c>
      <c r="BI26" s="18">
        <f t="shared" si="10"/>
        <v>0.77875933377520801</v>
      </c>
      <c r="BJ26" s="18">
        <f t="shared" si="10"/>
        <v>0.94357164854410602</v>
      </c>
      <c r="BK26" s="18">
        <f t="shared" si="10"/>
        <v>0.96308572512108193</v>
      </c>
      <c r="BL26" s="18">
        <f t="shared" si="10"/>
        <v>0.9271567034349939</v>
      </c>
      <c r="BM26" s="18">
        <f t="shared" si="10"/>
        <v>0.98574062508706595</v>
      </c>
      <c r="BN26" s="18">
        <f t="shared" si="10"/>
        <v>0.72399693424236899</v>
      </c>
      <c r="BO26" s="18">
        <f t="shared" si="10"/>
        <v>0.81314077510386418</v>
      </c>
      <c r="BP26" s="18">
        <f t="shared" si="10"/>
        <v>0.69710666274367727</v>
      </c>
      <c r="BQ26" s="18">
        <f t="shared" si="10"/>
        <v>0.92545257329558928</v>
      </c>
      <c r="BR26" s="18">
        <f t="shared" si="10"/>
        <v>0.98494763928513329</v>
      </c>
      <c r="BS26" s="18">
        <f t="shared" si="10"/>
        <v>0.79625702219320194</v>
      </c>
      <c r="BT26" s="18">
        <f t="shared" si="10"/>
        <v>0.94683241674976837</v>
      </c>
      <c r="BU26" s="18">
        <f t="shared" si="8"/>
        <v>0.66669467996226595</v>
      </c>
      <c r="BV26" s="18">
        <f t="shared" si="5"/>
        <v>0.98752655987395255</v>
      </c>
      <c r="BW26" s="18">
        <f t="shared" si="5"/>
        <v>0.71629691610122781</v>
      </c>
      <c r="BX26" s="18">
        <f t="shared" si="5"/>
        <v>0.99427421856263742</v>
      </c>
      <c r="BY26" s="18">
        <f t="shared" si="5"/>
        <v>0.85415150404958662</v>
      </c>
      <c r="BZ26" s="18">
        <f t="shared" si="5"/>
        <v>0.98182568363021894</v>
      </c>
      <c r="CA26" s="18">
        <f t="shared" si="5"/>
        <v>0.9968335889592691</v>
      </c>
      <c r="CB26" s="18">
        <f t="shared" si="5"/>
        <v>0.99139673392087868</v>
      </c>
      <c r="CC26" s="18">
        <f t="shared" si="5"/>
        <v>0.9817968032873744</v>
      </c>
      <c r="CD26" s="18">
        <f t="shared" si="5"/>
        <v>0.62542499424455944</v>
      </c>
    </row>
    <row r="27" spans="1:82" x14ac:dyDescent="0.3">
      <c r="A27" s="7" t="str">
        <v>Jiménez, Joe</v>
      </c>
      <c r="B27">
        <f>_xlfn.XLOOKUP($A27,braves_19_25__2[player_name], braves_19_25__2[release_pos_z])</f>
        <v>5.65</v>
      </c>
      <c r="C27">
        <f>_xlfn.XLOOKUP($A27,braves_19_25__2[player_name], braves_19_25__2[release_pos_x])*2.5</f>
        <v>-6.375</v>
      </c>
      <c r="D27">
        <f>_xlfn.XLOOKUP($A27,braves_19_25__2[player_name], braves_19_25__2[release_extension])</f>
        <v>7.27</v>
      </c>
      <c r="E27">
        <f>COS(RADIANS(AVERAGE(_xlfn.XLOOKUP($A27,braves_19_25__2[player_name],braves_19_25__2[arm_angle]))))*4</f>
        <v>3.3995707719474559</v>
      </c>
      <c r="F27">
        <f>SIN(RADIANS(AVERAGE(_xlfn.XLOOKUP($A27,braves_19_25__2[player_name],braves_19_25__2[arm_angle]))))*4</f>
        <v>2.1078231819867104</v>
      </c>
      <c r="G27">
        <f t="shared" si="2"/>
        <v>11.891846996997565</v>
      </c>
      <c r="I27" s="7" t="str">
        <v>Jiménez, Joe</v>
      </c>
      <c r="J27" s="18">
        <f t="shared" ref="J27:Y56" si="11">(
   INDEX($B$3:$B$75, MATCH(J$2,_xlfn.ANCHORARRAY( $A$3), 0)) *
   INDEX($B$3:$B$75, MATCH($I27,_xlfn.ANCHORARRAY( $A$3), 0))
 +
   (
     INDEX($C$3:$C$75, MATCH(J$2,_xlfn.ANCHORARRAY( $A$3), 0)) *
     INDEX($C$3:$C$75, MATCH($I27,_xlfn.ANCHORARRAY( $A$3), 0))
   ) *
   IF(
       SIGN(INDEX($C$3:$C$75, MATCH(J$2,_xlfn.ANCHORARRAY( $A$3), 0)))
       =
       SIGN(INDEX($C$3:$C$75, MATCH($I27,_xlfn.ANCHORARRAY( $A$3), 0))),
       1,
       0.1
   )
 +
   INDEX($D$3:$D$75, MATCH(J$2,_xlfn.ANCHORARRAY( $A$3), 0)) *
   INDEX($D$3:$D$75, MATCH($I27,_xlfn.ANCHORARRAY( $A$3), 0)) + INDEX($E$3:$E$75,MATCH(J$2,_xlfn.ANCHORARRAY($A$3),0)) * INDEX($E$3:$E$75,MATCH($I27,_xlfn.ANCHORARRAY($A$3),0)) + INDEX($F$3:$F$75,MATCH(J$2,_xlfn.ANCHORARRAY($A$3),0)) * INDEX($F$3:$F$75,MATCH($I27,_xlfn.ANCHORARRAY($A$3),0)))
/
(
   SQRT(
       INDEX($B$3:$B$75, MATCH(J$2,_xlfn.ANCHORARRAY( $A$3), 0))^2 +
       INDEX($C$3:$C$75, MATCH(J$2,_xlfn.ANCHORARRAY( $A$3), 0))^2 +
       INDEX($D$3:$D$75, MATCH(J$2,_xlfn.ANCHORARRAY( $A$3), 0))^2 + INDEX($E$3:$E$75,MATCH(J$2,_xlfn.ANCHORARRAY($A$3),0))^2 + INDEX($F$3:$F$75,MATCH(J$2,_xlfn.ANCHORARRAY($A$3),0))^2   )
   *
   SQRT(
       INDEX($B$3:$B$75, MATCH($I27,_xlfn.ANCHORARRAY( $A$3), 0))^2 +
       INDEX($C$3:$C$75, MATCH($I27,_xlfn.ANCHORARRAY( $A$3), 0))^2 +
       INDEX($D$3:$D$75, MATCH($I27,_xlfn.ANCHORARRAY( $A$3), 0))^2 + INDEX($E$3:$E$75,MATCH($I27,_xlfn.ANCHORARRAY($A$3),0))^2 + INDEX($F$3:$F$75,MATCH($I27,_xlfn.ANCHORARRAY($A$3),0))^2
   )
)</f>
        <v>0.77513724778341864</v>
      </c>
      <c r="K27" s="18">
        <f t="shared" si="9"/>
        <v>0.996407589542469</v>
      </c>
      <c r="L27" s="18">
        <f t="shared" si="9"/>
        <v>0.99424597918166246</v>
      </c>
      <c r="M27" s="18">
        <f t="shared" si="9"/>
        <v>0.94575972536195907</v>
      </c>
      <c r="N27" s="18">
        <f t="shared" si="9"/>
        <v>0.59775174530920938</v>
      </c>
      <c r="O27" s="18">
        <f t="shared" si="9"/>
        <v>0.96063471634572373</v>
      </c>
      <c r="P27" s="18">
        <f t="shared" si="9"/>
        <v>0.69537362135523206</v>
      </c>
      <c r="Q27" s="18">
        <f t="shared" si="9"/>
        <v>0.9930276887216708</v>
      </c>
      <c r="R27" s="18">
        <f t="shared" si="9"/>
        <v>0.99967489819934119</v>
      </c>
      <c r="S27" s="18">
        <f t="shared" si="9"/>
        <v>0.98558551301780617</v>
      </c>
      <c r="T27" s="18">
        <f t="shared" si="9"/>
        <v>0.98456861239485682</v>
      </c>
      <c r="U27" s="18">
        <f t="shared" si="9"/>
        <v>0.99150808279392233</v>
      </c>
      <c r="V27" s="18">
        <f t="shared" si="9"/>
        <v>0.99088347825003775</v>
      </c>
      <c r="W27" s="18">
        <f t="shared" si="9"/>
        <v>0.74650891473283765</v>
      </c>
      <c r="X27" s="18">
        <f t="shared" si="9"/>
        <v>0.99422386778819527</v>
      </c>
      <c r="Y27" s="18">
        <f t="shared" si="9"/>
        <v>0.98080877955389867</v>
      </c>
      <c r="Z27" s="18">
        <f t="shared" si="9"/>
        <v>0.73119433144328161</v>
      </c>
      <c r="AA27" s="18">
        <f t="shared" ref="AA27:AP55" si="12">(
   INDEX($B$3:$B$75, MATCH(AA$2,_xlfn.ANCHORARRAY( $A$3), 0)) *
   INDEX($B$3:$B$75, MATCH($I27,_xlfn.ANCHORARRAY( $A$3), 0))
 +
   (
     INDEX($C$3:$C$75, MATCH(AA$2,_xlfn.ANCHORARRAY( $A$3), 0)) *
     INDEX($C$3:$C$75, MATCH($I27,_xlfn.ANCHORARRAY( $A$3), 0))
   ) *
   IF(
       SIGN(INDEX($C$3:$C$75, MATCH(AA$2,_xlfn.ANCHORARRAY( $A$3), 0)))
       =
       SIGN(INDEX($C$3:$C$75, MATCH($I27,_xlfn.ANCHORARRAY( $A$3), 0))),
       1,
       0.1
   )
 +
   INDEX($D$3:$D$75, MATCH(AA$2,_xlfn.ANCHORARRAY( $A$3), 0)) *
   INDEX($D$3:$D$75, MATCH($I27,_xlfn.ANCHORARRAY( $A$3), 0)) + INDEX($E$3:$E$75,MATCH(AA$2,_xlfn.ANCHORARRAY($A$3),0)) * INDEX($E$3:$E$75,MATCH($I27,_xlfn.ANCHORARRAY($A$3),0)) + INDEX($F$3:$F$75,MATCH(AA$2,_xlfn.ANCHORARRAY($A$3),0)) * INDEX($F$3:$F$75,MATCH($I27,_xlfn.ANCHORARRAY($A$3),0)))
/
(
   SQRT(
       INDEX($B$3:$B$75, MATCH(AA$2,_xlfn.ANCHORARRAY( $A$3), 0))^2 +
       INDEX($C$3:$C$75, MATCH(AA$2,_xlfn.ANCHORARRAY( $A$3), 0))^2 +
       INDEX($D$3:$D$75, MATCH(AA$2,_xlfn.ANCHORARRAY( $A$3), 0))^2 + INDEX($E$3:$E$75,MATCH(AA$2,_xlfn.ANCHORARRAY($A$3),0))^2 + INDEX($F$3:$F$75,MATCH(AA$2,_xlfn.ANCHORARRAY($A$3),0))^2   )
   *
   SQRT(
       INDEX($B$3:$B$75, MATCH($I27,_xlfn.ANCHORARRAY( $A$3), 0))^2 +
       INDEX($C$3:$C$75, MATCH($I27,_xlfn.ANCHORARRAY( $A$3), 0))^2 +
       INDEX($D$3:$D$75, MATCH($I27,_xlfn.ANCHORARRAY( $A$3), 0))^2 + INDEX($E$3:$E$75,MATCH($I27,_xlfn.ANCHORARRAY($A$3),0))^2 + INDEX($F$3:$F$75,MATCH($I27,_xlfn.ANCHORARRAY($A$3),0))^2
   )
)</f>
        <v>0.75195741990774956</v>
      </c>
      <c r="AB27" s="18">
        <f t="shared" si="12"/>
        <v>0.99250178229623676</v>
      </c>
      <c r="AC27" s="18">
        <f t="shared" si="12"/>
        <v>0.98736243407588076</v>
      </c>
      <c r="AD27" s="18">
        <f t="shared" si="12"/>
        <v>0.72562494947105394</v>
      </c>
      <c r="AE27" s="18">
        <f t="shared" si="12"/>
        <v>0.99853014295938414</v>
      </c>
      <c r="AF27" s="18">
        <f t="shared" si="12"/>
        <v>0.97452584561815991</v>
      </c>
      <c r="AG27" s="18">
        <f t="shared" si="12"/>
        <v>0.99637715741327204</v>
      </c>
      <c r="AH27" s="18">
        <f t="shared" si="12"/>
        <v>1</v>
      </c>
      <c r="AI27" s="18">
        <f t="shared" si="12"/>
        <v>0.74947564235043163</v>
      </c>
      <c r="AJ27" s="18">
        <f t="shared" si="12"/>
        <v>0.99189463310025927</v>
      </c>
      <c r="AK27" s="18">
        <f t="shared" si="12"/>
        <v>0.61874734815908961</v>
      </c>
      <c r="AL27" s="18">
        <f t="shared" si="12"/>
        <v>0.97074465391882514</v>
      </c>
      <c r="AM27" s="18">
        <f t="shared" si="12"/>
        <v>0.99291737764103916</v>
      </c>
      <c r="AN27" s="18">
        <f t="shared" si="12"/>
        <v>0.9281839457241875</v>
      </c>
      <c r="AO27" s="18">
        <f t="shared" si="12"/>
        <v>0.99313065374330001</v>
      </c>
      <c r="AP27" s="18">
        <f t="shared" si="12"/>
        <v>0.99123496192507365</v>
      </c>
      <c r="AQ27" s="18">
        <f t="shared" ref="AQ27:BF42" si="13">(
   INDEX($B$3:$B$75, MATCH(AQ$2,_xlfn.ANCHORARRAY( $A$3), 0)) *
   INDEX($B$3:$B$75, MATCH($I27,_xlfn.ANCHORARRAY( $A$3), 0))
 +
   (
     INDEX($C$3:$C$75, MATCH(AQ$2,_xlfn.ANCHORARRAY( $A$3), 0)) *
     INDEX($C$3:$C$75, MATCH($I27,_xlfn.ANCHORARRAY( $A$3), 0))
   ) *
   IF(
       SIGN(INDEX($C$3:$C$75, MATCH(AQ$2,_xlfn.ANCHORARRAY( $A$3), 0)))
       =
       SIGN(INDEX($C$3:$C$75, MATCH($I27,_xlfn.ANCHORARRAY( $A$3), 0))),
       1,
       0.1
   )
 +
   INDEX($D$3:$D$75, MATCH(AQ$2,_xlfn.ANCHORARRAY( $A$3), 0)) *
   INDEX($D$3:$D$75, MATCH($I27,_xlfn.ANCHORARRAY( $A$3), 0)) + INDEX($E$3:$E$75,MATCH(AQ$2,_xlfn.ANCHORARRAY($A$3),0)) * INDEX($E$3:$E$75,MATCH($I27,_xlfn.ANCHORARRAY($A$3),0)) + INDEX($F$3:$F$75,MATCH(AQ$2,_xlfn.ANCHORARRAY($A$3),0)) * INDEX($F$3:$F$75,MATCH($I27,_xlfn.ANCHORARRAY($A$3),0)))
/
(
   SQRT(
       INDEX($B$3:$B$75, MATCH(AQ$2,_xlfn.ANCHORARRAY( $A$3), 0))^2 +
       INDEX($C$3:$C$75, MATCH(AQ$2,_xlfn.ANCHORARRAY( $A$3), 0))^2 +
       INDEX($D$3:$D$75, MATCH(AQ$2,_xlfn.ANCHORARRAY( $A$3), 0))^2 + INDEX($E$3:$E$75,MATCH(AQ$2,_xlfn.ANCHORARRAY($A$3),0))^2 + INDEX($F$3:$F$75,MATCH(AQ$2,_xlfn.ANCHORARRAY($A$3),0))^2   )
   *
   SQRT(
       INDEX($B$3:$B$75, MATCH($I27,_xlfn.ANCHORARRAY( $A$3), 0))^2 +
       INDEX($C$3:$C$75, MATCH($I27,_xlfn.ANCHORARRAY( $A$3), 0))^2 +
       INDEX($D$3:$D$75, MATCH($I27,_xlfn.ANCHORARRAY( $A$3), 0))^2 + INDEX($E$3:$E$75,MATCH($I27,_xlfn.ANCHORARRAY($A$3),0))^2 + INDEX($F$3:$F$75,MATCH($I27,_xlfn.ANCHORARRAY($A$3),0))^2
   )
)</f>
        <v>0.99597288551235785</v>
      </c>
      <c r="AR27" s="18">
        <f t="shared" si="13"/>
        <v>0.83180783326308139</v>
      </c>
      <c r="AS27" s="18">
        <f t="shared" si="13"/>
        <v>0.68219910216853397</v>
      </c>
      <c r="AT27" s="18">
        <f t="shared" si="13"/>
        <v>0.97436542337644538</v>
      </c>
      <c r="AU27" s="18">
        <f t="shared" si="13"/>
        <v>0.97632322978586561</v>
      </c>
      <c r="AV27" s="18">
        <f t="shared" si="13"/>
        <v>0.98400301112015154</v>
      </c>
      <c r="AW27" s="18">
        <f t="shared" si="13"/>
        <v>0.92647925329986991</v>
      </c>
      <c r="AX27" s="18">
        <f t="shared" si="13"/>
        <v>0.9206822296257664</v>
      </c>
      <c r="AY27" s="18">
        <f t="shared" si="13"/>
        <v>0.59771687066584622</v>
      </c>
      <c r="AZ27" s="18">
        <f t="shared" si="13"/>
        <v>0.74386929672340607</v>
      </c>
      <c r="BA27" s="18">
        <f t="shared" si="13"/>
        <v>0.81177096824564854</v>
      </c>
      <c r="BB27" s="18">
        <f t="shared" si="13"/>
        <v>0.94636373017555153</v>
      </c>
      <c r="BC27" s="18">
        <f t="shared" si="13"/>
        <v>0.99424346948541198</v>
      </c>
      <c r="BD27" s="18">
        <f t="shared" si="13"/>
        <v>0.93821138978240137</v>
      </c>
      <c r="BE27" s="18">
        <f t="shared" si="13"/>
        <v>0.99469472735402709</v>
      </c>
      <c r="BF27" s="18">
        <f t="shared" si="13"/>
        <v>0.98232985058328537</v>
      </c>
      <c r="BG27" s="18">
        <f t="shared" si="10"/>
        <v>0.9922329768664494</v>
      </c>
      <c r="BH27" s="18">
        <f t="shared" si="10"/>
        <v>0.8792858945126848</v>
      </c>
      <c r="BI27" s="18">
        <f t="shared" si="10"/>
        <v>0.73632868882046465</v>
      </c>
      <c r="BJ27" s="18">
        <f t="shared" si="10"/>
        <v>0.91487183976046293</v>
      </c>
      <c r="BK27" s="18">
        <f t="shared" si="10"/>
        <v>0.93950781962948438</v>
      </c>
      <c r="BL27" s="18">
        <f t="shared" si="10"/>
        <v>0.89475754744495029</v>
      </c>
      <c r="BM27" s="18">
        <f t="shared" si="10"/>
        <v>0.96819657931086556</v>
      </c>
      <c r="BN27" s="18">
        <f t="shared" si="10"/>
        <v>0.68368948610537728</v>
      </c>
      <c r="BO27" s="18">
        <f t="shared" si="10"/>
        <v>0.77007516289147482</v>
      </c>
      <c r="BP27" s="18">
        <f t="shared" si="10"/>
        <v>0.65755681970785207</v>
      </c>
      <c r="BQ27" s="18">
        <f t="shared" si="10"/>
        <v>0.89250981248757344</v>
      </c>
      <c r="BR27" s="18">
        <f t="shared" si="10"/>
        <v>0.99513459943569416</v>
      </c>
      <c r="BS27" s="18">
        <f t="shared" si="10"/>
        <v>0.75415607327804635</v>
      </c>
      <c r="BT27" s="18">
        <f t="shared" si="10"/>
        <v>0.9194451187557352</v>
      </c>
      <c r="BU27" s="18">
        <f t="shared" si="8"/>
        <v>0.62836931131545126</v>
      </c>
      <c r="BV27" s="18">
        <f t="shared" si="5"/>
        <v>0.99433802827046736</v>
      </c>
      <c r="BW27" s="18">
        <f t="shared" si="5"/>
        <v>0.67604586250395604</v>
      </c>
      <c r="BX27" s="18">
        <f t="shared" si="5"/>
        <v>0.99889331056404629</v>
      </c>
      <c r="BY27" s="18">
        <f t="shared" si="5"/>
        <v>0.81064868978950022</v>
      </c>
      <c r="BZ27" s="18">
        <f t="shared" si="5"/>
        <v>0.96237482800560548</v>
      </c>
      <c r="CA27" s="18">
        <f t="shared" si="5"/>
        <v>0.9901057222126225</v>
      </c>
      <c r="CB27" s="18">
        <f t="shared" si="5"/>
        <v>0.97798596885809375</v>
      </c>
      <c r="CC27" s="18">
        <f t="shared" si="5"/>
        <v>0.96808492151366266</v>
      </c>
      <c r="CD27" s="18">
        <f t="shared" si="5"/>
        <v>0.58842436546828836</v>
      </c>
    </row>
    <row r="28" spans="1:82" x14ac:dyDescent="0.3">
      <c r="A28" s="7" t="str">
        <v>Smith, Will</v>
      </c>
      <c r="B28">
        <f>_xlfn.XLOOKUP($A28,braves_19_25__2[player_name], braves_19_25__2[release_pos_z])</f>
        <v>6.75</v>
      </c>
      <c r="C28">
        <f>_xlfn.XLOOKUP($A28,braves_19_25__2[player_name], braves_19_25__2[release_pos_x])*2.5</f>
        <v>3.875</v>
      </c>
      <c r="D28">
        <f>_xlfn.XLOOKUP($A28,braves_19_25__2[player_name], braves_19_25__2[release_extension])</f>
        <v>6.02</v>
      </c>
      <c r="E28">
        <f>COS(RADIANS(AVERAGE(_xlfn.XLOOKUP($A28,braves_19_25__2[player_name],braves_19_25__2[arm_angle]))))*4</f>
        <v>2.5924796042525236</v>
      </c>
      <c r="F28">
        <f>SIN(RADIANS(AVERAGE(_xlfn.XLOOKUP($A28,braves_19_25__2[player_name],braves_19_25__2[arm_angle]))))*4</f>
        <v>3.0461532301469467</v>
      </c>
      <c r="G28">
        <f t="shared" si="2"/>
        <v>10.62160651690694</v>
      </c>
      <c r="I28" s="7" t="str">
        <v>Smith, Will</v>
      </c>
      <c r="J28" s="18">
        <f t="shared" si="11"/>
        <v>0.99526002083873166</v>
      </c>
      <c r="K28" s="18">
        <f t="shared" si="9"/>
        <v>0.75258741544440955</v>
      </c>
      <c r="L28" s="18">
        <f t="shared" si="9"/>
        <v>0.78706861183905963</v>
      </c>
      <c r="M28" s="18">
        <f t="shared" si="9"/>
        <v>0.88145914499467248</v>
      </c>
      <c r="N28" s="18">
        <f t="shared" si="9"/>
        <v>0.90290072520618569</v>
      </c>
      <c r="O28" s="18">
        <f t="shared" si="9"/>
        <v>0.84571462149095822</v>
      </c>
      <c r="P28" s="18">
        <f t="shared" si="9"/>
        <v>0.98148857152265445</v>
      </c>
      <c r="Q28" s="18">
        <f t="shared" si="9"/>
        <v>0.80054806075107987</v>
      </c>
      <c r="R28" s="18">
        <f t="shared" si="9"/>
        <v>0.75051516495166193</v>
      </c>
      <c r="S28" s="18">
        <f t="shared" si="9"/>
        <v>0.79225416632713941</v>
      </c>
      <c r="T28" s="18">
        <f t="shared" si="9"/>
        <v>0.81852789716633312</v>
      </c>
      <c r="U28" s="18">
        <f t="shared" si="9"/>
        <v>0.80870724997000798</v>
      </c>
      <c r="V28" s="18">
        <f t="shared" si="9"/>
        <v>0.76240022809085717</v>
      </c>
      <c r="W28" s="18">
        <f t="shared" si="9"/>
        <v>0.99891047843398062</v>
      </c>
      <c r="X28" s="18">
        <f t="shared" si="9"/>
        <v>0.75756850904583317</v>
      </c>
      <c r="Y28" s="18">
        <f t="shared" si="9"/>
        <v>0.83513360711693618</v>
      </c>
      <c r="Z28" s="18">
        <f t="shared" si="9"/>
        <v>0.99707768090246074</v>
      </c>
      <c r="AA28" s="18">
        <f t="shared" si="12"/>
        <v>0.9993684425004663</v>
      </c>
      <c r="AB28" s="18">
        <f t="shared" si="12"/>
        <v>0.7878562858321545</v>
      </c>
      <c r="AC28" s="18">
        <f t="shared" si="12"/>
        <v>0.82517260245229562</v>
      </c>
      <c r="AD28" s="18">
        <f t="shared" si="12"/>
        <v>0.99824196506225715</v>
      </c>
      <c r="AE28" s="18">
        <f t="shared" si="12"/>
        <v>0.76797120863212431</v>
      </c>
      <c r="AF28" s="18">
        <f t="shared" si="12"/>
        <v>0.84854201301300503</v>
      </c>
      <c r="AG28" s="18">
        <f t="shared" si="12"/>
        <v>0.79240107116951519</v>
      </c>
      <c r="AH28" s="18">
        <f t="shared" si="12"/>
        <v>0.74947564235043163</v>
      </c>
      <c r="AI28" s="18">
        <f t="shared" si="12"/>
        <v>1.0000000000000002</v>
      </c>
      <c r="AJ28" s="18">
        <f t="shared" si="12"/>
        <v>0.80775180159020066</v>
      </c>
      <c r="AK28" s="18">
        <f t="shared" si="12"/>
        <v>0.91235990238822573</v>
      </c>
      <c r="AL28" s="18">
        <f t="shared" si="12"/>
        <v>0.60757592797812343</v>
      </c>
      <c r="AM28" s="18">
        <f t="shared" si="12"/>
        <v>0.80087411241164319</v>
      </c>
      <c r="AN28" s="18">
        <f t="shared" si="12"/>
        <v>0.89958649210525854</v>
      </c>
      <c r="AO28" s="18">
        <f t="shared" si="12"/>
        <v>0.74346546193995522</v>
      </c>
      <c r="AP28" s="18">
        <f t="shared" si="12"/>
        <v>0.74489049796263762</v>
      </c>
      <c r="AQ28" s="18">
        <f t="shared" si="13"/>
        <v>0.72576681063862969</v>
      </c>
      <c r="AR28" s="18">
        <f t="shared" si="13"/>
        <v>0.9490728964180758</v>
      </c>
      <c r="AS28" s="18">
        <f t="shared" si="13"/>
        <v>0.97794063491736893</v>
      </c>
      <c r="AT28" s="18">
        <f t="shared" si="13"/>
        <v>0.85224556839514543</v>
      </c>
      <c r="AU28" s="18">
        <f t="shared" si="13"/>
        <v>0.83788256479246381</v>
      </c>
      <c r="AV28" s="18">
        <f t="shared" si="13"/>
        <v>0.83295962387975364</v>
      </c>
      <c r="AW28" s="18">
        <f t="shared" si="13"/>
        <v>0.87257996659677539</v>
      </c>
      <c r="AX28" s="18">
        <f t="shared" si="13"/>
        <v>0.90095710497629289</v>
      </c>
      <c r="AY28" s="18">
        <f t="shared" si="13"/>
        <v>0.93168237399483234</v>
      </c>
      <c r="AZ28" s="18">
        <f t="shared" si="13"/>
        <v>0.99562376537442721</v>
      </c>
      <c r="BA28" s="18">
        <f t="shared" si="13"/>
        <v>0.97681507532755063</v>
      </c>
      <c r="BB28" s="18">
        <f t="shared" si="13"/>
        <v>0.88700149030501962</v>
      </c>
      <c r="BC28" s="18">
        <f t="shared" si="13"/>
        <v>0.78333413875653068</v>
      </c>
      <c r="BD28" s="18">
        <f t="shared" si="13"/>
        <v>0.57899512696854616</v>
      </c>
      <c r="BE28" s="18">
        <f t="shared" si="13"/>
        <v>0.8013538048505231</v>
      </c>
      <c r="BF28" s="18">
        <f t="shared" si="13"/>
        <v>0.74943634031373951</v>
      </c>
      <c r="BG28" s="18">
        <f t="shared" si="10"/>
        <v>0.80796512255483688</v>
      </c>
      <c r="BH28" s="18">
        <f t="shared" si="10"/>
        <v>0.92153061111677892</v>
      </c>
      <c r="BI28" s="18">
        <f t="shared" si="10"/>
        <v>0.99540632526803896</v>
      </c>
      <c r="BJ28" s="18">
        <f t="shared" si="10"/>
        <v>0.90529582376540652</v>
      </c>
      <c r="BK28" s="18">
        <f t="shared" si="10"/>
        <v>0.89037168210027251</v>
      </c>
      <c r="BL28" s="18">
        <f t="shared" si="10"/>
        <v>0.91596126709509496</v>
      </c>
      <c r="BM28" s="18">
        <f t="shared" si="10"/>
        <v>0.86338175877277634</v>
      </c>
      <c r="BN28" s="18">
        <f t="shared" si="10"/>
        <v>0.97711494481982719</v>
      </c>
      <c r="BO28" s="18">
        <f t="shared" si="10"/>
        <v>0.9967332990159965</v>
      </c>
      <c r="BP28" s="18">
        <f t="shared" si="10"/>
        <v>0.96977072898219252</v>
      </c>
      <c r="BQ28" s="18">
        <f t="shared" si="10"/>
        <v>0.91744852342233529</v>
      </c>
      <c r="BR28" s="18">
        <f t="shared" si="10"/>
        <v>0.70891072937645994</v>
      </c>
      <c r="BS28" s="18">
        <f t="shared" si="10"/>
        <v>0.98865189669453835</v>
      </c>
      <c r="BT28" s="18">
        <f t="shared" si="10"/>
        <v>0.90165165348365683</v>
      </c>
      <c r="BU28" s="18">
        <f t="shared" si="8"/>
        <v>0.9515207172986645</v>
      </c>
      <c r="BV28" s="18">
        <f t="shared" si="5"/>
        <v>0.72043911546889761</v>
      </c>
      <c r="BW28" s="18">
        <f t="shared" si="5"/>
        <v>0.97696067607145831</v>
      </c>
      <c r="BX28" s="18">
        <f t="shared" si="5"/>
        <v>0.73684450248500855</v>
      </c>
      <c r="BY28" s="18">
        <f t="shared" si="5"/>
        <v>0.97707307602648708</v>
      </c>
      <c r="BZ28" s="18">
        <f t="shared" si="5"/>
        <v>0.86923221047692889</v>
      </c>
      <c r="CA28" s="18">
        <f t="shared" si="5"/>
        <v>0.81573808854930518</v>
      </c>
      <c r="CB28" s="18">
        <f t="shared" si="5"/>
        <v>0.84751196013812802</v>
      </c>
      <c r="CC28" s="18">
        <f t="shared" si="5"/>
        <v>0.85015326006821745</v>
      </c>
      <c r="CD28" s="18">
        <f t="shared" si="5"/>
        <v>0.93602530611009449</v>
      </c>
    </row>
    <row r="29" spans="1:82" x14ac:dyDescent="0.3">
      <c r="A29" s="7" t="str">
        <v>Foltynewicz, Mike</v>
      </c>
      <c r="B29">
        <f>_xlfn.XLOOKUP($A29,braves_19_25__2[player_name], braves_19_25__2[release_pos_z])</f>
        <v>5.73</v>
      </c>
      <c r="C29">
        <f>_xlfn.XLOOKUP($A29,braves_19_25__2[player_name], braves_19_25__2[release_pos_x])*2.5</f>
        <v>-4.6999999999999993</v>
      </c>
      <c r="D29">
        <f>_xlfn.XLOOKUP($A29,braves_19_25__2[player_name], braves_19_25__2[release_extension])</f>
        <v>6.17</v>
      </c>
      <c r="E29">
        <f>COS(RADIANS(AVERAGE(_xlfn.XLOOKUP($A29,braves_19_25__2[player_name],braves_19_25__2[arm_angle]))))*4</f>
        <v>3.223713128994063</v>
      </c>
      <c r="F29">
        <f>SIN(RADIANS(AVERAGE(_xlfn.XLOOKUP($A29,braves_19_25__2[player_name],braves_19_25__2[arm_angle]))))*4</f>
        <v>2.3680527151968782</v>
      </c>
      <c r="G29">
        <f t="shared" si="2"/>
        <v>10.439913792747525</v>
      </c>
      <c r="I29" s="7" t="str">
        <v>Foltynewicz, Mike</v>
      </c>
      <c r="J29" s="18">
        <f t="shared" si="11"/>
        <v>0.83007159659031693</v>
      </c>
      <c r="K29" s="18">
        <f t="shared" si="9"/>
        <v>0.99160699428130494</v>
      </c>
      <c r="L29" s="18">
        <f t="shared" si="9"/>
        <v>0.99841695568701561</v>
      </c>
      <c r="M29" s="18">
        <f t="shared" si="9"/>
        <v>0.97715552183485688</v>
      </c>
      <c r="N29" s="18">
        <f t="shared" si="9"/>
        <v>0.63258403086299009</v>
      </c>
      <c r="O29" s="18">
        <f t="shared" si="9"/>
        <v>0.97900399531089344</v>
      </c>
      <c r="P29" s="18">
        <f t="shared" si="9"/>
        <v>0.74489766483864339</v>
      </c>
      <c r="Q29" s="18">
        <f t="shared" si="9"/>
        <v>0.99774574239101632</v>
      </c>
      <c r="R29" s="18">
        <f t="shared" si="9"/>
        <v>0.992269143359227</v>
      </c>
      <c r="S29" s="18">
        <f t="shared" si="9"/>
        <v>0.99546220979534517</v>
      </c>
      <c r="T29" s="18">
        <f t="shared" si="9"/>
        <v>0.99349799473341693</v>
      </c>
      <c r="U29" s="18">
        <f t="shared" si="9"/>
        <v>0.99958094819372723</v>
      </c>
      <c r="V29" s="18">
        <f t="shared" si="9"/>
        <v>0.99086543358712897</v>
      </c>
      <c r="W29" s="18">
        <f t="shared" si="9"/>
        <v>0.80175757992123475</v>
      </c>
      <c r="X29" s="18">
        <f t="shared" si="9"/>
        <v>0.99368948016597158</v>
      </c>
      <c r="Y29" s="18">
        <f t="shared" si="9"/>
        <v>0.99738014086067639</v>
      </c>
      <c r="Z29" s="18">
        <f t="shared" si="9"/>
        <v>0.7858979015692098</v>
      </c>
      <c r="AA29" s="18">
        <f t="shared" si="12"/>
        <v>0.80971445900576944</v>
      </c>
      <c r="AB29" s="18">
        <f t="shared" si="12"/>
        <v>0.99823895052668199</v>
      </c>
      <c r="AC29" s="18">
        <f t="shared" si="12"/>
        <v>0.99844401439405994</v>
      </c>
      <c r="AD29" s="18">
        <f t="shared" si="12"/>
        <v>0.78397673726577788</v>
      </c>
      <c r="AE29" s="18">
        <f t="shared" si="12"/>
        <v>0.99545483654028044</v>
      </c>
      <c r="AF29" s="18">
        <f t="shared" si="12"/>
        <v>0.9944804747781969</v>
      </c>
      <c r="AG29" s="18">
        <f t="shared" si="12"/>
        <v>0.99766851251312638</v>
      </c>
      <c r="AH29" s="18">
        <f t="shared" si="12"/>
        <v>0.99189463310025927</v>
      </c>
      <c r="AI29" s="18">
        <f t="shared" si="12"/>
        <v>0.80775180159020066</v>
      </c>
      <c r="AJ29" s="18">
        <f t="shared" si="12"/>
        <v>0.99999999999999989</v>
      </c>
      <c r="AK29" s="18">
        <f t="shared" si="12"/>
        <v>0.65536601102913805</v>
      </c>
      <c r="AL29" s="18">
        <f t="shared" si="12"/>
        <v>0.94150060053772511</v>
      </c>
      <c r="AM29" s="18">
        <f t="shared" si="12"/>
        <v>0.99691022439260857</v>
      </c>
      <c r="AN29" s="18">
        <f t="shared" si="12"/>
        <v>0.96618274749833832</v>
      </c>
      <c r="AO29" s="18">
        <f t="shared" si="12"/>
        <v>0.98902271039327394</v>
      </c>
      <c r="AP29" s="18">
        <f t="shared" si="12"/>
        <v>0.99021843777986984</v>
      </c>
      <c r="AQ29" s="18">
        <f t="shared" si="13"/>
        <v>0.98659899720668165</v>
      </c>
      <c r="AR29" s="18">
        <f t="shared" si="13"/>
        <v>0.88281211395851933</v>
      </c>
      <c r="AS29" s="18">
        <f t="shared" si="13"/>
        <v>0.73089778453869525</v>
      </c>
      <c r="AT29" s="18">
        <f t="shared" si="13"/>
        <v>0.99438784981591544</v>
      </c>
      <c r="AU29" s="18">
        <f t="shared" si="13"/>
        <v>0.99551942024041862</v>
      </c>
      <c r="AV29" s="18">
        <f t="shared" si="13"/>
        <v>0.99822000429595303</v>
      </c>
      <c r="AW29" s="18">
        <f t="shared" si="13"/>
        <v>0.95550976005274235</v>
      </c>
      <c r="AX29" s="18">
        <f t="shared" si="13"/>
        <v>0.95738973003585393</v>
      </c>
      <c r="AY29" s="18">
        <f t="shared" si="13"/>
        <v>0.64025295085163558</v>
      </c>
      <c r="AZ29" s="18">
        <f t="shared" si="13"/>
        <v>0.79780945807385761</v>
      </c>
      <c r="BA29" s="18">
        <f t="shared" si="13"/>
        <v>0.86321578234177643</v>
      </c>
      <c r="BB29" s="18">
        <f t="shared" si="13"/>
        <v>0.97686604867713023</v>
      </c>
      <c r="BC29" s="18">
        <f t="shared" si="13"/>
        <v>0.99547008867418452</v>
      </c>
      <c r="BD29" s="18">
        <f t="shared" si="13"/>
        <v>0.89828044821643027</v>
      </c>
      <c r="BE29" s="18">
        <f t="shared" si="13"/>
        <v>0.99905128534041454</v>
      </c>
      <c r="BF29" s="18">
        <f t="shared" si="13"/>
        <v>0.98172824130465886</v>
      </c>
      <c r="BG29" s="18">
        <f t="shared" si="10"/>
        <v>0.9990858551585009</v>
      </c>
      <c r="BH29" s="18">
        <f t="shared" si="10"/>
        <v>0.92796821538781082</v>
      </c>
      <c r="BI29" s="18">
        <f t="shared" si="10"/>
        <v>0.7938144553611266</v>
      </c>
      <c r="BJ29" s="18">
        <f t="shared" si="10"/>
        <v>0.95695320668328432</v>
      </c>
      <c r="BK29" s="18">
        <f t="shared" si="10"/>
        <v>0.97326734501050516</v>
      </c>
      <c r="BL29" s="18">
        <f t="shared" si="10"/>
        <v>0.94030920218509539</v>
      </c>
      <c r="BM29" s="18">
        <f t="shared" si="10"/>
        <v>0.98879970502595149</v>
      </c>
      <c r="BN29" s="18">
        <f t="shared" si="10"/>
        <v>0.7338770672301792</v>
      </c>
      <c r="BO29" s="18">
        <f t="shared" si="10"/>
        <v>0.8263868187484269</v>
      </c>
      <c r="BP29" s="18">
        <f t="shared" si="10"/>
        <v>0.70683909518706189</v>
      </c>
      <c r="BQ29" s="18">
        <f t="shared" si="10"/>
        <v>0.93811626345783694</v>
      </c>
      <c r="BR29" s="18">
        <f t="shared" si="10"/>
        <v>0.98239455480851834</v>
      </c>
      <c r="BS29" s="18">
        <f t="shared" si="10"/>
        <v>0.80463499045489029</v>
      </c>
      <c r="BT29" s="18">
        <f t="shared" si="10"/>
        <v>0.96069226892862714</v>
      </c>
      <c r="BU29" s="18">
        <f t="shared" si="8"/>
        <v>0.67653840861849313</v>
      </c>
      <c r="BV29" s="18">
        <f t="shared" si="5"/>
        <v>0.98322226795360046</v>
      </c>
      <c r="BW29" s="18">
        <f t="shared" si="5"/>
        <v>0.72646168287666213</v>
      </c>
      <c r="BX29" s="18">
        <f t="shared" si="5"/>
        <v>0.98863472045396672</v>
      </c>
      <c r="BY29" s="18">
        <f t="shared" si="5"/>
        <v>0.86699310578735578</v>
      </c>
      <c r="BZ29" s="18">
        <f t="shared" si="5"/>
        <v>0.98487038958172457</v>
      </c>
      <c r="CA29" s="18">
        <f t="shared" si="5"/>
        <v>0.99774615777684561</v>
      </c>
      <c r="CB29" s="18">
        <f t="shared" si="5"/>
        <v>0.99550303859957745</v>
      </c>
      <c r="CC29" s="18">
        <f t="shared" si="5"/>
        <v>0.98779089698595679</v>
      </c>
      <c r="CD29" s="18">
        <f t="shared" si="5"/>
        <v>0.63536210918798997</v>
      </c>
    </row>
    <row r="30" spans="1:82" x14ac:dyDescent="0.3">
      <c r="A30" s="7" t="str">
        <v>Bummer, Aaron</v>
      </c>
      <c r="B30">
        <f>_xlfn.XLOOKUP($A30,braves_19_25__2[player_name], braves_19_25__2[release_pos_z])</f>
        <v>5.05</v>
      </c>
      <c r="C30">
        <f>_xlfn.XLOOKUP($A30,braves_19_25__2[player_name], braves_19_25__2[release_pos_x])*2.5</f>
        <v>7</v>
      </c>
      <c r="D30">
        <f>_xlfn.XLOOKUP($A30,braves_19_25__2[player_name], braves_19_25__2[release_extension])</f>
        <v>6.22</v>
      </c>
      <c r="E30">
        <f>COS(RADIANS(AVERAGE(_xlfn.XLOOKUP($A30,braves_19_25__2[player_name],braves_19_25__2[arm_angle]))))*4</f>
        <v>3.9815847934687154</v>
      </c>
      <c r="F30">
        <f>SIN(RADIANS(AVERAGE(_xlfn.XLOOKUP($A30,braves_19_25__2[player_name],braves_19_25__2[arm_angle]))))*4</f>
        <v>0.38338301008089593</v>
      </c>
      <c r="G30">
        <f t="shared" si="2"/>
        <v>11.366217488681096</v>
      </c>
      <c r="I30" s="7" t="str">
        <v>Bummer, Aaron</v>
      </c>
      <c r="J30" s="18">
        <f t="shared" si="11"/>
        <v>0.89133608331182124</v>
      </c>
      <c r="K30" s="18">
        <f t="shared" si="9"/>
        <v>0.63354415313355827</v>
      </c>
      <c r="L30" s="18">
        <f t="shared" si="9"/>
        <v>0.63126720256681523</v>
      </c>
      <c r="M30" s="18">
        <f t="shared" si="9"/>
        <v>0.68854953629468318</v>
      </c>
      <c r="N30" s="18">
        <f t="shared" si="9"/>
        <v>0.99851142037313934</v>
      </c>
      <c r="O30" s="18">
        <f t="shared" si="9"/>
        <v>0.64802863860703308</v>
      </c>
      <c r="P30" s="18">
        <f t="shared" si="9"/>
        <v>0.96650407930718252</v>
      </c>
      <c r="Q30" s="18">
        <f t="shared" si="9"/>
        <v>0.66778665980495011</v>
      </c>
      <c r="R30" s="18">
        <f t="shared" si="9"/>
        <v>0.61598362199271939</v>
      </c>
      <c r="S30" s="18">
        <f t="shared" si="9"/>
        <v>0.62967038638459638</v>
      </c>
      <c r="T30" s="18">
        <f t="shared" si="9"/>
        <v>0.69240057272698685</v>
      </c>
      <c r="U30" s="18">
        <f t="shared" si="9"/>
        <v>0.66344501874230555</v>
      </c>
      <c r="V30" s="18">
        <f t="shared" si="9"/>
        <v>0.59360603559378533</v>
      </c>
      <c r="W30" s="18">
        <f t="shared" si="9"/>
        <v>0.92651905356071707</v>
      </c>
      <c r="X30" s="18">
        <f t="shared" si="9"/>
        <v>0.60406282191097793</v>
      </c>
      <c r="Y30" s="18">
        <f t="shared" si="9"/>
        <v>0.67634992827936369</v>
      </c>
      <c r="Z30" s="18">
        <f t="shared" si="9"/>
        <v>0.93236188644799978</v>
      </c>
      <c r="AA30" s="18">
        <f t="shared" si="12"/>
        <v>0.92094678025999743</v>
      </c>
      <c r="AB30" s="18">
        <f t="shared" si="12"/>
        <v>0.63648480936941554</v>
      </c>
      <c r="AC30" s="18">
        <f t="shared" si="12"/>
        <v>0.6639402810052818</v>
      </c>
      <c r="AD30" s="18">
        <f t="shared" si="12"/>
        <v>0.92278300740355923</v>
      </c>
      <c r="AE30" s="18">
        <f t="shared" si="12"/>
        <v>0.63950319752530305</v>
      </c>
      <c r="AF30" s="18">
        <f t="shared" si="12"/>
        <v>0.67517696040749131</v>
      </c>
      <c r="AG30" s="18">
        <f t="shared" si="12"/>
        <v>0.65434382976004468</v>
      </c>
      <c r="AH30" s="18">
        <f t="shared" si="12"/>
        <v>0.61874734815908961</v>
      </c>
      <c r="AI30" s="18">
        <f t="shared" si="12"/>
        <v>0.91235990238822573</v>
      </c>
      <c r="AJ30" s="18">
        <f t="shared" si="12"/>
        <v>0.65536601102913805</v>
      </c>
      <c r="AK30" s="18">
        <f t="shared" si="12"/>
        <v>1</v>
      </c>
      <c r="AL30" s="18">
        <f t="shared" si="12"/>
        <v>0.51394260143768822</v>
      </c>
      <c r="AM30" s="18">
        <f t="shared" si="12"/>
        <v>0.64213183580725708</v>
      </c>
      <c r="AN30" s="18">
        <f t="shared" si="12"/>
        <v>0.71810723475837168</v>
      </c>
      <c r="AO30" s="18">
        <f t="shared" si="12"/>
        <v>0.58491208947321771</v>
      </c>
      <c r="AP30" s="18">
        <f t="shared" si="12"/>
        <v>0.60489758446873532</v>
      </c>
      <c r="AQ30" s="18">
        <f t="shared" si="13"/>
        <v>0.58038605089766337</v>
      </c>
      <c r="AR30" s="18">
        <f t="shared" si="13"/>
        <v>0.7947797404972029</v>
      </c>
      <c r="AS30" s="18">
        <f t="shared" si="13"/>
        <v>0.96657980266895416</v>
      </c>
      <c r="AT30" s="18">
        <f t="shared" si="13"/>
        <v>0.6870047541550115</v>
      </c>
      <c r="AU30" s="18">
        <f t="shared" si="13"/>
        <v>0.67497233434303172</v>
      </c>
      <c r="AV30" s="18">
        <f t="shared" si="13"/>
        <v>0.67638521695231135</v>
      </c>
      <c r="AW30" s="18">
        <f t="shared" si="13"/>
        <v>0.65868516625895079</v>
      </c>
      <c r="AX30" s="18">
        <f t="shared" si="13"/>
        <v>0.70505903701670414</v>
      </c>
      <c r="AY30" s="18">
        <f t="shared" si="13"/>
        <v>0.97941847128073811</v>
      </c>
      <c r="AZ30" s="18">
        <f t="shared" si="13"/>
        <v>0.94385545183110464</v>
      </c>
      <c r="BA30" s="18">
        <f t="shared" si="13"/>
        <v>0.85644058071300466</v>
      </c>
      <c r="BB30" s="18">
        <f t="shared" si="13"/>
        <v>0.7219316971432479</v>
      </c>
      <c r="BC30" s="18">
        <f t="shared" si="13"/>
        <v>0.65965939837943743</v>
      </c>
      <c r="BD30" s="18">
        <f t="shared" si="13"/>
        <v>0.55759947984789282</v>
      </c>
      <c r="BE30" s="18">
        <f t="shared" si="13"/>
        <v>0.658847867050254</v>
      </c>
      <c r="BF30" s="18">
        <f t="shared" si="13"/>
        <v>0.56795034601083405</v>
      </c>
      <c r="BG30" s="18">
        <f t="shared" si="10"/>
        <v>0.66142060150012316</v>
      </c>
      <c r="BH30" s="18">
        <f t="shared" si="10"/>
        <v>0.72595413129834363</v>
      </c>
      <c r="BI30" s="18">
        <f t="shared" si="10"/>
        <v>0.89253248336145463</v>
      </c>
      <c r="BJ30" s="18">
        <f t="shared" si="10"/>
        <v>0.71188836224586394</v>
      </c>
      <c r="BK30" s="18">
        <f t="shared" si="10"/>
        <v>0.70220882871261803</v>
      </c>
      <c r="BL30" s="18">
        <f t="shared" si="10"/>
        <v>0.71978680417255692</v>
      </c>
      <c r="BM30" s="18">
        <f t="shared" si="10"/>
        <v>0.70670176401024054</v>
      </c>
      <c r="BN30" s="18">
        <f t="shared" si="10"/>
        <v>0.97494754167397746</v>
      </c>
      <c r="BO30" s="18">
        <f t="shared" si="10"/>
        <v>0.88948284047489923</v>
      </c>
      <c r="BP30" s="18">
        <f t="shared" si="10"/>
        <v>0.96775336220760644</v>
      </c>
      <c r="BQ30" s="18">
        <f t="shared" si="10"/>
        <v>0.72434965787277961</v>
      </c>
      <c r="BR30" s="18">
        <f t="shared" si="10"/>
        <v>0.57382880649329171</v>
      </c>
      <c r="BS30" s="18">
        <f t="shared" si="10"/>
        <v>0.94941042167084766</v>
      </c>
      <c r="BT30" s="18">
        <f t="shared" si="10"/>
        <v>0.71289257421732988</v>
      </c>
      <c r="BU30" s="18">
        <f t="shared" si="8"/>
        <v>0.98497052882953773</v>
      </c>
      <c r="BV30" s="18">
        <f t="shared" si="5"/>
        <v>0.61177984797762641</v>
      </c>
      <c r="BW30" s="18">
        <f t="shared" si="5"/>
        <v>0.96828552656071765</v>
      </c>
      <c r="BX30" s="18">
        <f t="shared" si="5"/>
        <v>0.61828716146663165</v>
      </c>
      <c r="BY30" s="18">
        <f t="shared" si="5"/>
        <v>0.83188618836746908</v>
      </c>
      <c r="BZ30" s="18">
        <f t="shared" si="5"/>
        <v>0.71757596808657642</v>
      </c>
      <c r="CA30" s="18">
        <f t="shared" si="5"/>
        <v>0.65554111084944677</v>
      </c>
      <c r="CB30" s="18">
        <f t="shared" si="5"/>
        <v>0.68697320129951012</v>
      </c>
      <c r="CC30" s="18">
        <f t="shared" si="5"/>
        <v>0.66191240356688685</v>
      </c>
      <c r="CD30" s="18">
        <f t="shared" si="5"/>
        <v>0.97170655017621321</v>
      </c>
    </row>
    <row r="31" spans="1:82" x14ac:dyDescent="0.3">
      <c r="A31" s="7" t="str">
        <v>Tonkin, Michael</v>
      </c>
      <c r="B31">
        <f>_xlfn.XLOOKUP($A31,braves_19_25__2[player_name], braves_19_25__2[release_pos_z])</f>
        <v>5.32</v>
      </c>
      <c r="C31">
        <f>_xlfn.XLOOKUP($A31,braves_19_25__2[player_name], braves_19_25__2[release_pos_x])*2.5</f>
        <v>-9.0749999999999993</v>
      </c>
      <c r="D31">
        <f>_xlfn.XLOOKUP($A31,braves_19_25__2[player_name], braves_19_25__2[release_extension])</f>
        <v>6.25</v>
      </c>
      <c r="E31">
        <f>COS(RADIANS(AVERAGE(_xlfn.XLOOKUP($A31,braves_19_25__2[player_name],braves_19_25__2[arm_angle]))))*4</f>
        <v>3.8760629256274779</v>
      </c>
      <c r="F31">
        <f>SIN(RADIANS(AVERAGE(_xlfn.XLOOKUP($A31,braves_19_25__2[player_name],braves_19_25__2[arm_angle]))))*4</f>
        <v>0.98799605089097164</v>
      </c>
      <c r="G31">
        <f t="shared" si="2"/>
        <v>12.873248424543046</v>
      </c>
      <c r="I31" s="7" t="str">
        <v>Tonkin, Michael</v>
      </c>
      <c r="J31" s="18">
        <f t="shared" si="11"/>
        <v>0.62607137452235229</v>
      </c>
      <c r="K31" s="18">
        <f t="shared" si="9"/>
        <v>0.97229586586770156</v>
      </c>
      <c r="L31" s="18">
        <f t="shared" si="9"/>
        <v>0.95374081537776079</v>
      </c>
      <c r="M31" s="18">
        <f t="shared" si="9"/>
        <v>0.85242820669935015</v>
      </c>
      <c r="N31" s="18">
        <f t="shared" si="9"/>
        <v>0.49241452996849705</v>
      </c>
      <c r="O31" s="18">
        <f t="shared" si="9"/>
        <v>0.87586785932381839</v>
      </c>
      <c r="P31" s="18">
        <f t="shared" si="9"/>
        <v>0.56183431074992085</v>
      </c>
      <c r="Q31" s="18">
        <f t="shared" si="9"/>
        <v>0.9461570618313917</v>
      </c>
      <c r="R31" s="18">
        <f t="shared" si="9"/>
        <v>0.96884274186446462</v>
      </c>
      <c r="S31" s="18">
        <f t="shared" si="9"/>
        <v>0.94730091864515653</v>
      </c>
      <c r="T31" s="18">
        <f t="shared" si="9"/>
        <v>0.92704569747201093</v>
      </c>
      <c r="U31" s="18">
        <f t="shared" si="9"/>
        <v>0.94086130076496743</v>
      </c>
      <c r="V31" s="18">
        <f t="shared" si="9"/>
        <v>0.95703866649826264</v>
      </c>
      <c r="W31" s="18">
        <f t="shared" si="9"/>
        <v>0.60480243307155945</v>
      </c>
      <c r="X31" s="18">
        <f t="shared" si="9"/>
        <v>0.96704054950805218</v>
      </c>
      <c r="Y31" s="18">
        <f t="shared" si="9"/>
        <v>0.91734815877203424</v>
      </c>
      <c r="Z31" s="18">
        <f t="shared" si="9"/>
        <v>0.58941177072562634</v>
      </c>
      <c r="AA31" s="18">
        <f t="shared" si="12"/>
        <v>0.6127294057783339</v>
      </c>
      <c r="AB31" s="18">
        <f t="shared" si="12"/>
        <v>0.95446925153934914</v>
      </c>
      <c r="AC31" s="18">
        <f t="shared" si="12"/>
        <v>0.92519656352241142</v>
      </c>
      <c r="AD31" s="18">
        <f t="shared" si="12"/>
        <v>0.58522247282427098</v>
      </c>
      <c r="AE31" s="18">
        <f t="shared" si="12"/>
        <v>0.96453011729494875</v>
      </c>
      <c r="AF31" s="18">
        <f t="shared" si="12"/>
        <v>0.90347382414295918</v>
      </c>
      <c r="AG31" s="18">
        <f t="shared" si="12"/>
        <v>0.94883536783218403</v>
      </c>
      <c r="AH31" s="18">
        <f t="shared" si="12"/>
        <v>0.97074465391882514</v>
      </c>
      <c r="AI31" s="18">
        <f t="shared" si="12"/>
        <v>0.60757592797812343</v>
      </c>
      <c r="AJ31" s="18">
        <f t="shared" si="12"/>
        <v>0.94150060053772511</v>
      </c>
      <c r="AK31" s="18">
        <f t="shared" si="12"/>
        <v>0.51394260143768822</v>
      </c>
      <c r="AL31" s="18">
        <f t="shared" si="12"/>
        <v>0.99999999999999978</v>
      </c>
      <c r="AM31" s="18">
        <f t="shared" si="12"/>
        <v>0.93820090471585693</v>
      </c>
      <c r="AN31" s="18">
        <f t="shared" si="12"/>
        <v>0.8249311692540976</v>
      </c>
      <c r="AO31" s="18">
        <f t="shared" si="12"/>
        <v>0.96883891387139609</v>
      </c>
      <c r="AP31" s="18">
        <f t="shared" si="12"/>
        <v>0.97316529953410724</v>
      </c>
      <c r="AQ31" s="18">
        <f t="shared" si="13"/>
        <v>0.97673407522554911</v>
      </c>
      <c r="AR31" s="18">
        <f t="shared" si="13"/>
        <v>0.68112352345231431</v>
      </c>
      <c r="AS31" s="18">
        <f t="shared" si="13"/>
        <v>0.54842593794811867</v>
      </c>
      <c r="AT31" s="18">
        <f t="shared" si="13"/>
        <v>0.9009979409169786</v>
      </c>
      <c r="AU31" s="18">
        <f t="shared" si="13"/>
        <v>0.91562083808564398</v>
      </c>
      <c r="AV31" s="18">
        <f t="shared" si="13"/>
        <v>0.92044817926844191</v>
      </c>
      <c r="AW31" s="18">
        <f t="shared" si="13"/>
        <v>0.82155208747667097</v>
      </c>
      <c r="AX31" s="18">
        <f t="shared" si="13"/>
        <v>0.80645953514161517</v>
      </c>
      <c r="AY31" s="18">
        <f t="shared" si="13"/>
        <v>0.47723260004258167</v>
      </c>
      <c r="AZ31" s="18">
        <f t="shared" si="13"/>
        <v>0.60795098955466564</v>
      </c>
      <c r="BA31" s="18">
        <f t="shared" si="13"/>
        <v>0.66136244974762837</v>
      </c>
      <c r="BB31" s="18">
        <f t="shared" si="13"/>
        <v>0.85063445012395078</v>
      </c>
      <c r="BC31" s="18">
        <f t="shared" si="13"/>
        <v>0.95604871332814656</v>
      </c>
      <c r="BD31" s="18">
        <f t="shared" si="13"/>
        <v>0.96398962453100112</v>
      </c>
      <c r="BE31" s="18">
        <f t="shared" si="13"/>
        <v>0.94533599917713351</v>
      </c>
      <c r="BF31" s="18">
        <f t="shared" si="13"/>
        <v>0.95062011164103399</v>
      </c>
      <c r="BG31" s="18">
        <f t="shared" si="10"/>
        <v>0.93862839804314946</v>
      </c>
      <c r="BH31" s="18">
        <f t="shared" si="10"/>
        <v>0.74947223003604369</v>
      </c>
      <c r="BI31" s="18">
        <f t="shared" si="10"/>
        <v>0.58707767211293693</v>
      </c>
      <c r="BJ31" s="18">
        <f t="shared" si="10"/>
        <v>0.80514073654834739</v>
      </c>
      <c r="BK31" s="18">
        <f t="shared" si="10"/>
        <v>0.84000297602134089</v>
      </c>
      <c r="BL31" s="18">
        <f t="shared" si="10"/>
        <v>0.77270493735799994</v>
      </c>
      <c r="BM31" s="18">
        <f t="shared" si="10"/>
        <v>0.88523939979487554</v>
      </c>
      <c r="BN31" s="18">
        <f t="shared" si="10"/>
        <v>0.55601354773933875</v>
      </c>
      <c r="BO31" s="18">
        <f t="shared" si="10"/>
        <v>0.62148385429789343</v>
      </c>
      <c r="BP31" s="18">
        <f t="shared" si="10"/>
        <v>0.52661589934306441</v>
      </c>
      <c r="BQ31" s="18">
        <f t="shared" si="10"/>
        <v>0.7692412976827705</v>
      </c>
      <c r="BR31" s="18">
        <f t="shared" si="10"/>
        <v>0.98514615710615028</v>
      </c>
      <c r="BS31" s="18">
        <f t="shared" si="10"/>
        <v>0.61966820624060559</v>
      </c>
      <c r="BT31" s="18">
        <f t="shared" si="10"/>
        <v>0.81616479896681415</v>
      </c>
      <c r="BU31" s="18">
        <f t="shared" si="8"/>
        <v>0.51077277289018819</v>
      </c>
      <c r="BV31" s="18">
        <f t="shared" si="5"/>
        <v>0.98346040242551458</v>
      </c>
      <c r="BW31" s="18">
        <f t="shared" si="5"/>
        <v>0.54487494191626673</v>
      </c>
      <c r="BX31" s="18">
        <f t="shared" si="5"/>
        <v>0.97548412129113027</v>
      </c>
      <c r="BY31" s="18">
        <f t="shared" si="5"/>
        <v>0.66045474576986518</v>
      </c>
      <c r="BZ31" s="18">
        <f t="shared" si="5"/>
        <v>0.87634407640407519</v>
      </c>
      <c r="CA31" s="18">
        <f t="shared" si="5"/>
        <v>0.93068030193294149</v>
      </c>
      <c r="CB31" s="18">
        <f t="shared" si="5"/>
        <v>0.90669193451361974</v>
      </c>
      <c r="CC31" s="18">
        <f t="shared" si="5"/>
        <v>0.88732811697440284</v>
      </c>
      <c r="CD31" s="18">
        <f t="shared" si="5"/>
        <v>0.46872043123979873</v>
      </c>
    </row>
    <row r="32" spans="1:82" x14ac:dyDescent="0.3">
      <c r="A32" s="7" t="str">
        <v>Smith-Shawver, AJ</v>
      </c>
      <c r="B32">
        <f>_xlfn.XLOOKUP($A32,braves_19_25__2[player_name], braves_19_25__2[release_pos_z])</f>
        <v>5.69</v>
      </c>
      <c r="C32">
        <f>_xlfn.XLOOKUP($A32,braves_19_25__2[player_name], braves_19_25__2[release_pos_x])*2.5</f>
        <v>-5.0999999999999996</v>
      </c>
      <c r="D32">
        <f>_xlfn.XLOOKUP($A32,braves_19_25__2[player_name], braves_19_25__2[release_extension])</f>
        <v>6.97</v>
      </c>
      <c r="E32">
        <f>COS(RADIANS(AVERAGE(_xlfn.XLOOKUP($A32,braves_19_25__2[player_name],braves_19_25__2[arm_angle]))))*4</f>
        <v>2.848104183963986</v>
      </c>
      <c r="F32">
        <f>SIN(RADIANS(AVERAGE(_xlfn.XLOOKUP($A32,braves_19_25__2[player_name],braves_19_25__2[arm_angle]))))*4</f>
        <v>2.8086122119806496</v>
      </c>
      <c r="G32">
        <f t="shared" si="2"/>
        <v>11.089048651710389</v>
      </c>
      <c r="I32" s="7" t="str">
        <v>Smith-Shawver, AJ</v>
      </c>
      <c r="J32" s="18">
        <f t="shared" si="11"/>
        <v>0.82792718301486101</v>
      </c>
      <c r="K32" s="18">
        <f t="shared" si="9"/>
        <v>0.9860951468169955</v>
      </c>
      <c r="L32" s="18">
        <f t="shared" si="9"/>
        <v>0.99626021516247387</v>
      </c>
      <c r="M32" s="18">
        <f t="shared" si="9"/>
        <v>0.97479498785722374</v>
      </c>
      <c r="N32" s="18">
        <f t="shared" si="9"/>
        <v>0.62208151733768202</v>
      </c>
      <c r="O32" s="18">
        <f t="shared" si="9"/>
        <v>0.9861259366164461</v>
      </c>
      <c r="P32" s="18">
        <f t="shared" si="9"/>
        <v>0.7393655292912984</v>
      </c>
      <c r="Q32" s="18">
        <f t="shared" si="9"/>
        <v>0.99314592406730451</v>
      </c>
      <c r="R32" s="18">
        <f t="shared" si="9"/>
        <v>0.99393016363576225</v>
      </c>
      <c r="S32" s="18">
        <f t="shared" si="9"/>
        <v>0.98887216077269902</v>
      </c>
      <c r="T32" s="18">
        <f t="shared" si="9"/>
        <v>0.98765764919156684</v>
      </c>
      <c r="U32" s="18">
        <f t="shared" si="9"/>
        <v>0.99542405378753651</v>
      </c>
      <c r="V32" s="18">
        <f t="shared" si="9"/>
        <v>0.99279990438837107</v>
      </c>
      <c r="W32" s="18">
        <f t="shared" si="9"/>
        <v>0.79609152580062603</v>
      </c>
      <c r="X32" s="18">
        <f t="shared" si="9"/>
        <v>0.99134080433887495</v>
      </c>
      <c r="Y32" s="18">
        <f t="shared" si="9"/>
        <v>0.99228301759795334</v>
      </c>
      <c r="Z32" s="18">
        <f t="shared" si="9"/>
        <v>0.78152084124759014</v>
      </c>
      <c r="AA32" s="18">
        <f t="shared" si="12"/>
        <v>0.80091403459832711</v>
      </c>
      <c r="AB32" s="18">
        <f t="shared" si="12"/>
        <v>0.99319227481253058</v>
      </c>
      <c r="AC32" s="18">
        <f t="shared" si="12"/>
        <v>0.99798054593071206</v>
      </c>
      <c r="AD32" s="18">
        <f t="shared" si="12"/>
        <v>0.7776136421999954</v>
      </c>
      <c r="AE32" s="18">
        <f t="shared" si="12"/>
        <v>0.99305907320028486</v>
      </c>
      <c r="AF32" s="18">
        <f t="shared" si="12"/>
        <v>0.9912115158490622</v>
      </c>
      <c r="AG32" s="18">
        <f t="shared" si="12"/>
        <v>0.99726058311008836</v>
      </c>
      <c r="AH32" s="18">
        <f t="shared" si="12"/>
        <v>0.99291737764103916</v>
      </c>
      <c r="AI32" s="18">
        <f t="shared" si="12"/>
        <v>0.80087411241164319</v>
      </c>
      <c r="AJ32" s="18">
        <f t="shared" si="12"/>
        <v>0.99691022439260857</v>
      </c>
      <c r="AK32" s="18">
        <f t="shared" si="12"/>
        <v>0.64213183580725708</v>
      </c>
      <c r="AL32" s="18">
        <f t="shared" si="12"/>
        <v>0.93820090471585693</v>
      </c>
      <c r="AM32" s="18">
        <f t="shared" si="12"/>
        <v>1.0000000000000002</v>
      </c>
      <c r="AN32" s="18">
        <f t="shared" si="12"/>
        <v>0.95966134989671059</v>
      </c>
      <c r="AO32" s="18">
        <f t="shared" si="12"/>
        <v>0.98986820269922349</v>
      </c>
      <c r="AP32" s="18">
        <f t="shared" si="12"/>
        <v>0.98331783397481431</v>
      </c>
      <c r="AQ32" s="18">
        <f t="shared" si="13"/>
        <v>0.9884523424556354</v>
      </c>
      <c r="AR32" s="18">
        <f t="shared" si="13"/>
        <v>0.88134970165653337</v>
      </c>
      <c r="AS32" s="18">
        <f t="shared" si="13"/>
        <v>0.72695398699615243</v>
      </c>
      <c r="AT32" s="18">
        <f t="shared" si="13"/>
        <v>0.99045241349773572</v>
      </c>
      <c r="AU32" s="18">
        <f t="shared" si="13"/>
        <v>0.9878210901669674</v>
      </c>
      <c r="AV32" s="18">
        <f t="shared" si="13"/>
        <v>0.99471618914855275</v>
      </c>
      <c r="AW32" s="18">
        <f t="shared" si="13"/>
        <v>0.96308035320569374</v>
      </c>
      <c r="AX32" s="18">
        <f t="shared" si="13"/>
        <v>0.95820810156126424</v>
      </c>
      <c r="AY32" s="18">
        <f t="shared" si="13"/>
        <v>0.63637111118030054</v>
      </c>
      <c r="AZ32" s="18">
        <f t="shared" si="13"/>
        <v>0.7887552545525317</v>
      </c>
      <c r="BA32" s="18">
        <f t="shared" si="13"/>
        <v>0.86150042323625775</v>
      </c>
      <c r="BB32" s="18">
        <f t="shared" si="13"/>
        <v>0.97135523208719798</v>
      </c>
      <c r="BC32" s="18">
        <f t="shared" si="13"/>
        <v>0.98974243860014344</v>
      </c>
      <c r="BD32" s="18">
        <f t="shared" si="13"/>
        <v>0.89424575738246115</v>
      </c>
      <c r="BE32" s="18">
        <f t="shared" si="13"/>
        <v>0.99719843336194447</v>
      </c>
      <c r="BF32" s="18">
        <f t="shared" si="13"/>
        <v>0.98600230399311695</v>
      </c>
      <c r="BG32" s="18">
        <f t="shared" si="10"/>
        <v>0.99724737093363969</v>
      </c>
      <c r="BH32" s="18">
        <f t="shared" si="10"/>
        <v>0.92420427050220832</v>
      </c>
      <c r="BI32" s="18">
        <f t="shared" si="10"/>
        <v>0.79354066614716967</v>
      </c>
      <c r="BJ32" s="18">
        <f t="shared" si="10"/>
        <v>0.95132291423662518</v>
      </c>
      <c r="BK32" s="18">
        <f t="shared" si="10"/>
        <v>0.97018591582028313</v>
      </c>
      <c r="BL32" s="18">
        <f t="shared" si="10"/>
        <v>0.93644648857569734</v>
      </c>
      <c r="BM32" s="18">
        <f t="shared" si="10"/>
        <v>0.98603702502395085</v>
      </c>
      <c r="BN32" s="18">
        <f t="shared" si="10"/>
        <v>0.72489280557862845</v>
      </c>
      <c r="BO32" s="18">
        <f t="shared" si="10"/>
        <v>0.82375906836593993</v>
      </c>
      <c r="BP32" s="18">
        <f t="shared" si="10"/>
        <v>0.70248210952688184</v>
      </c>
      <c r="BQ32" s="18">
        <f t="shared" si="10"/>
        <v>0.93407655165410797</v>
      </c>
      <c r="BR32" s="18">
        <f t="shared" si="10"/>
        <v>0.9825566437950255</v>
      </c>
      <c r="BS32" s="18">
        <f t="shared" si="10"/>
        <v>0.79526912917025627</v>
      </c>
      <c r="BT32" s="18">
        <f t="shared" si="10"/>
        <v>0.9527007076924654</v>
      </c>
      <c r="BU32" s="18">
        <f t="shared" si="8"/>
        <v>0.66577229934679982</v>
      </c>
      <c r="BV32" s="18">
        <f t="shared" si="5"/>
        <v>0.97760168805316405</v>
      </c>
      <c r="BW32" s="18">
        <f t="shared" si="5"/>
        <v>0.72033165508888475</v>
      </c>
      <c r="BX32" s="18">
        <f t="shared" si="5"/>
        <v>0.98784549556892898</v>
      </c>
      <c r="BY32" s="18">
        <f t="shared" si="5"/>
        <v>0.86354929025223359</v>
      </c>
      <c r="BZ32" s="18">
        <f t="shared" si="5"/>
        <v>0.98067506268987548</v>
      </c>
      <c r="CA32" s="18">
        <f t="shared" si="5"/>
        <v>0.99921957246728399</v>
      </c>
      <c r="CB32" s="18">
        <f t="shared" si="5"/>
        <v>0.9922031470967777</v>
      </c>
      <c r="CC32" s="18">
        <f t="shared" si="5"/>
        <v>0.99067587738782648</v>
      </c>
      <c r="CD32" s="18">
        <f t="shared" si="5"/>
        <v>0.62979506667035634</v>
      </c>
    </row>
    <row r="33" spans="1:82" x14ac:dyDescent="0.3">
      <c r="A33" s="7" t="str">
        <v>Stephens, Jackson</v>
      </c>
      <c r="B33">
        <f>_xlfn.XLOOKUP($A33,braves_19_25__2[player_name], braves_19_25__2[release_pos_z])</f>
        <v>6.17</v>
      </c>
      <c r="C33">
        <f>_xlfn.XLOOKUP($A33,braves_19_25__2[player_name], braves_19_25__2[release_pos_x])*2.5</f>
        <v>-2.0749999999999997</v>
      </c>
      <c r="D33">
        <f>_xlfn.XLOOKUP($A33,braves_19_25__2[player_name], braves_19_25__2[release_extension])</f>
        <v>5.74</v>
      </c>
      <c r="E33">
        <f>COS(RADIANS(AVERAGE(_xlfn.XLOOKUP($A33,braves_19_25__2[player_name],braves_19_25__2[arm_angle]))))*4</f>
        <v>2.8966874457498699</v>
      </c>
      <c r="F33">
        <f>SIN(RADIANS(AVERAGE(_xlfn.XLOOKUP($A33,braves_19_25__2[player_name],braves_19_25__2[arm_angle]))))*4</f>
        <v>2.7584781749426792</v>
      </c>
      <c r="G33">
        <f t="shared" si="2"/>
        <v>9.5562610366188725</v>
      </c>
      <c r="I33" s="7" t="str">
        <v>Stephens, Jackson</v>
      </c>
      <c r="J33" s="18">
        <f t="shared" si="11"/>
        <v>0.9191446974055264</v>
      </c>
      <c r="K33" s="18">
        <f t="shared" si="9"/>
        <v>0.93060088892345161</v>
      </c>
      <c r="L33" s="18">
        <f t="shared" si="9"/>
        <v>0.95430154767178965</v>
      </c>
      <c r="M33" s="18">
        <f t="shared" si="9"/>
        <v>0.99577028039805193</v>
      </c>
      <c r="N33" s="18">
        <f t="shared" si="9"/>
        <v>0.69410804761756684</v>
      </c>
      <c r="O33" s="18">
        <f t="shared" si="9"/>
        <v>0.97550316926699365</v>
      </c>
      <c r="P33" s="18">
        <f t="shared" si="9"/>
        <v>0.82626344932400841</v>
      </c>
      <c r="Q33" s="18">
        <f t="shared" si="9"/>
        <v>0.95997714234271225</v>
      </c>
      <c r="R33" s="18">
        <f t="shared" si="9"/>
        <v>0.92923327488928531</v>
      </c>
      <c r="S33" s="18">
        <f t="shared" si="9"/>
        <v>0.95724288037058858</v>
      </c>
      <c r="T33" s="18">
        <f t="shared" si="9"/>
        <v>0.9672467686656564</v>
      </c>
      <c r="U33" s="18">
        <f t="shared" si="9"/>
        <v>0.9662839716333459</v>
      </c>
      <c r="V33" s="18">
        <f t="shared" si="9"/>
        <v>0.93708409070182286</v>
      </c>
      <c r="W33" s="18">
        <f t="shared" si="9"/>
        <v>0.89048584328613134</v>
      </c>
      <c r="X33" s="18">
        <f t="shared" si="9"/>
        <v>0.93621397994281375</v>
      </c>
      <c r="Y33" s="18">
        <f t="shared" si="9"/>
        <v>0.98053798587220964</v>
      </c>
      <c r="Z33" s="18">
        <f t="shared" si="9"/>
        <v>0.87447134833784324</v>
      </c>
      <c r="AA33" s="18">
        <f t="shared" si="12"/>
        <v>0.89984417138188688</v>
      </c>
      <c r="AB33" s="18">
        <f t="shared" si="12"/>
        <v>0.95512991442938378</v>
      </c>
      <c r="AC33" s="18">
        <f t="shared" si="12"/>
        <v>0.97444620347716637</v>
      </c>
      <c r="AD33" s="18">
        <f t="shared" si="12"/>
        <v>0.87622441309119503</v>
      </c>
      <c r="AE33" s="18">
        <f t="shared" si="12"/>
        <v>0.94068468863250043</v>
      </c>
      <c r="AF33" s="18">
        <f t="shared" si="12"/>
        <v>0.98635912709077567</v>
      </c>
      <c r="AG33" s="18">
        <f t="shared" si="12"/>
        <v>0.95494553485378264</v>
      </c>
      <c r="AH33" s="18">
        <f t="shared" si="12"/>
        <v>0.9281839457241875</v>
      </c>
      <c r="AI33" s="18">
        <f t="shared" si="12"/>
        <v>0.89958649210525854</v>
      </c>
      <c r="AJ33" s="18">
        <f t="shared" si="12"/>
        <v>0.96618274749833832</v>
      </c>
      <c r="AK33" s="18">
        <f t="shared" si="12"/>
        <v>0.71810723475837168</v>
      </c>
      <c r="AL33" s="18">
        <f t="shared" si="12"/>
        <v>0.8249311692540976</v>
      </c>
      <c r="AM33" s="18">
        <f t="shared" si="12"/>
        <v>0.95966134989671059</v>
      </c>
      <c r="AN33" s="18">
        <f t="shared" si="12"/>
        <v>0.99999999999999989</v>
      </c>
      <c r="AO33" s="18">
        <f t="shared" si="12"/>
        <v>0.92564779295036403</v>
      </c>
      <c r="AP33" s="18">
        <f t="shared" si="12"/>
        <v>0.92806778397080458</v>
      </c>
      <c r="AQ33" s="18">
        <f t="shared" si="13"/>
        <v>0.91396599417250857</v>
      </c>
      <c r="AR33" s="18">
        <f t="shared" si="13"/>
        <v>0.96565668871077837</v>
      </c>
      <c r="AS33" s="18">
        <f t="shared" si="13"/>
        <v>0.81237386358501396</v>
      </c>
      <c r="AT33" s="18">
        <f t="shared" si="13"/>
        <v>0.98793890870269152</v>
      </c>
      <c r="AU33" s="18">
        <f t="shared" si="13"/>
        <v>0.9817102602290253</v>
      </c>
      <c r="AV33" s="18">
        <f t="shared" si="13"/>
        <v>0.97906329949399751</v>
      </c>
      <c r="AW33" s="18">
        <f t="shared" si="13"/>
        <v>0.97811123345414708</v>
      </c>
      <c r="AX33" s="18">
        <f t="shared" si="13"/>
        <v>0.99503456440010418</v>
      </c>
      <c r="AY33" s="18">
        <f t="shared" si="13"/>
        <v>0.71372389540593983</v>
      </c>
      <c r="AZ33" s="18">
        <f t="shared" si="13"/>
        <v>0.88335221486994486</v>
      </c>
      <c r="BA33" s="18">
        <f t="shared" si="13"/>
        <v>0.94700087019359602</v>
      </c>
      <c r="BB33" s="18">
        <f t="shared" si="13"/>
        <v>0.99747185903623481</v>
      </c>
      <c r="BC33" s="18">
        <f t="shared" si="13"/>
        <v>0.94931522598568785</v>
      </c>
      <c r="BD33" s="18">
        <f t="shared" si="13"/>
        <v>0.78107899328668762</v>
      </c>
      <c r="BE33" s="18">
        <f t="shared" si="13"/>
        <v>0.96109239194362917</v>
      </c>
      <c r="BF33" s="18">
        <f t="shared" si="13"/>
        <v>0.92566692752334279</v>
      </c>
      <c r="BG33" s="18">
        <f t="shared" si="10"/>
        <v>0.96520542325115266</v>
      </c>
      <c r="BH33" s="18">
        <f t="shared" si="10"/>
        <v>0.99164526917277895</v>
      </c>
      <c r="BI33" s="18">
        <f t="shared" si="10"/>
        <v>0.88756795938598088</v>
      </c>
      <c r="BJ33" s="18">
        <f t="shared" si="10"/>
        <v>0.99887792963364419</v>
      </c>
      <c r="BK33" s="18">
        <f t="shared" si="10"/>
        <v>0.99841892962500567</v>
      </c>
      <c r="BL33" s="18">
        <f t="shared" si="10"/>
        <v>0.9951981741996776</v>
      </c>
      <c r="BM33" s="18">
        <f t="shared" si="10"/>
        <v>0.98979329572016217</v>
      </c>
      <c r="BN33" s="18">
        <f t="shared" si="10"/>
        <v>0.81471339091805217</v>
      </c>
      <c r="BO33" s="18">
        <f t="shared" si="10"/>
        <v>0.91728995443538663</v>
      </c>
      <c r="BP33" s="18">
        <f t="shared" si="10"/>
        <v>0.78846486575190633</v>
      </c>
      <c r="BQ33" s="18">
        <f t="shared" si="10"/>
        <v>0.99453939663619328</v>
      </c>
      <c r="BR33" s="18">
        <f t="shared" si="10"/>
        <v>0.90231734500466376</v>
      </c>
      <c r="BS33" s="18">
        <f t="shared" si="10"/>
        <v>0.88507304260692499</v>
      </c>
      <c r="BT33" s="18">
        <f t="shared" si="10"/>
        <v>0.99902340713742099</v>
      </c>
      <c r="BU33" s="18">
        <f t="shared" si="8"/>
        <v>0.7541973096347987</v>
      </c>
      <c r="BV33" s="18">
        <f t="shared" si="5"/>
        <v>0.90837593593001642</v>
      </c>
      <c r="BW33" s="18">
        <f t="shared" si="5"/>
        <v>0.80861986821058618</v>
      </c>
      <c r="BX33" s="18">
        <f t="shared" si="5"/>
        <v>0.91954324674221832</v>
      </c>
      <c r="BY33" s="18">
        <f t="shared" si="5"/>
        <v>0.95647560815853627</v>
      </c>
      <c r="BZ33" s="18">
        <f t="shared" si="5"/>
        <v>0.99080544137566373</v>
      </c>
      <c r="CA33" s="18">
        <f t="shared" si="5"/>
        <v>0.96834572699858368</v>
      </c>
      <c r="CB33" s="18">
        <f t="shared" si="5"/>
        <v>0.98538477623451748</v>
      </c>
      <c r="CC33" s="18">
        <f t="shared" si="5"/>
        <v>0.98320844316067502</v>
      </c>
      <c r="CD33" s="18">
        <f t="shared" si="5"/>
        <v>0.71375789123949307</v>
      </c>
    </row>
    <row r="34" spans="1:82" x14ac:dyDescent="0.3">
      <c r="A34" s="7" t="str">
        <v>Martin, Chris</v>
      </c>
      <c r="B34">
        <f>_xlfn.XLOOKUP($A34,braves_19_25__2[player_name], braves_19_25__2[release_pos_z])</f>
        <v>6.27</v>
      </c>
      <c r="C34">
        <f>_xlfn.XLOOKUP($A34,braves_19_25__2[player_name], braves_19_25__2[release_pos_x])*2.5</f>
        <v>-6.8000000000000007</v>
      </c>
      <c r="D34">
        <f>_xlfn.XLOOKUP($A34,braves_19_25__2[player_name], braves_19_25__2[release_extension])</f>
        <v>6.47</v>
      </c>
      <c r="E34">
        <f>COS(RADIANS(AVERAGE(_xlfn.XLOOKUP($A34,braves_19_25__2[player_name],braves_19_25__2[arm_angle]))))*4</f>
        <v>2.8627709348149435</v>
      </c>
      <c r="F34">
        <f>SIN(RADIANS(AVERAGE(_xlfn.XLOOKUP($A34,braves_19_25__2[player_name],braves_19_25__2[arm_angle]))))*4</f>
        <v>2.7936611417240234</v>
      </c>
      <c r="G34">
        <f t="shared" si="2"/>
        <v>11.975550091749438</v>
      </c>
      <c r="I34" s="7" t="str">
        <v>Martin, Chris</v>
      </c>
      <c r="J34" s="18">
        <f t="shared" si="11"/>
        <v>0.76491571080227239</v>
      </c>
      <c r="K34" s="18">
        <f t="shared" si="9"/>
        <v>0.98795481774582017</v>
      </c>
      <c r="L34" s="18">
        <f t="shared" si="9"/>
        <v>0.99560373201432473</v>
      </c>
      <c r="M34" s="18">
        <f t="shared" si="9"/>
        <v>0.94928538174644672</v>
      </c>
      <c r="N34" s="18">
        <f t="shared" si="9"/>
        <v>0.56425572938122392</v>
      </c>
      <c r="O34" s="18">
        <f t="shared" si="9"/>
        <v>0.96578027196878913</v>
      </c>
      <c r="P34" s="18">
        <f t="shared" si="9"/>
        <v>0.67865428900111202</v>
      </c>
      <c r="Q34" s="18">
        <f t="shared" si="9"/>
        <v>0.98333775222378583</v>
      </c>
      <c r="R34" s="18">
        <f t="shared" si="9"/>
        <v>0.99364553532879796</v>
      </c>
      <c r="S34" s="18">
        <f t="shared" si="9"/>
        <v>0.99203445192833684</v>
      </c>
      <c r="T34" s="18">
        <f t="shared" si="9"/>
        <v>0.9694117714705659</v>
      </c>
      <c r="U34" s="18">
        <f t="shared" si="9"/>
        <v>0.98577130706020766</v>
      </c>
      <c r="V34" s="18">
        <f t="shared" si="9"/>
        <v>0.99902082321942642</v>
      </c>
      <c r="W34" s="18">
        <f t="shared" si="9"/>
        <v>0.73631962499303816</v>
      </c>
      <c r="X34" s="18">
        <f t="shared" si="9"/>
        <v>0.99866725731511774</v>
      </c>
      <c r="Y34" s="18">
        <f t="shared" si="9"/>
        <v>0.97753412087473279</v>
      </c>
      <c r="Z34" s="18">
        <f t="shared" si="9"/>
        <v>0.72173494927783488</v>
      </c>
      <c r="AA34" s="18">
        <f t="shared" si="12"/>
        <v>0.74335709619697421</v>
      </c>
      <c r="AB34" s="18">
        <f t="shared" si="12"/>
        <v>0.9935091163728329</v>
      </c>
      <c r="AC34" s="18">
        <f t="shared" si="12"/>
        <v>0.98426943009826162</v>
      </c>
      <c r="AD34" s="18">
        <f t="shared" si="12"/>
        <v>0.72145918281643806</v>
      </c>
      <c r="AE34" s="18">
        <f t="shared" si="12"/>
        <v>0.99009761039142752</v>
      </c>
      <c r="AF34" s="18">
        <f t="shared" si="12"/>
        <v>0.97524638341727576</v>
      </c>
      <c r="AG34" s="18">
        <f t="shared" si="12"/>
        <v>0.98746583640032692</v>
      </c>
      <c r="AH34" s="18">
        <f t="shared" si="12"/>
        <v>0.99313065374330001</v>
      </c>
      <c r="AI34" s="18">
        <f t="shared" si="12"/>
        <v>0.74346546193995522</v>
      </c>
      <c r="AJ34" s="18">
        <f t="shared" si="12"/>
        <v>0.98902271039327394</v>
      </c>
      <c r="AK34" s="18">
        <f t="shared" si="12"/>
        <v>0.58491208947321771</v>
      </c>
      <c r="AL34" s="18">
        <f t="shared" si="12"/>
        <v>0.96883891387139609</v>
      </c>
      <c r="AM34" s="18">
        <f t="shared" si="12"/>
        <v>0.98986820269922349</v>
      </c>
      <c r="AN34" s="18">
        <f t="shared" si="12"/>
        <v>0.92564779295036403</v>
      </c>
      <c r="AO34" s="18">
        <f t="shared" si="12"/>
        <v>1</v>
      </c>
      <c r="AP34" s="18">
        <f t="shared" si="12"/>
        <v>0.99391110292079754</v>
      </c>
      <c r="AQ34" s="18">
        <f t="shared" si="13"/>
        <v>0.99823826607916577</v>
      </c>
      <c r="AR34" s="18">
        <f t="shared" si="13"/>
        <v>0.81509241527022358</v>
      </c>
      <c r="AS34" s="18">
        <f t="shared" si="13"/>
        <v>0.66660576104862168</v>
      </c>
      <c r="AT34" s="18">
        <f t="shared" si="13"/>
        <v>0.97102006256579021</v>
      </c>
      <c r="AU34" s="18">
        <f t="shared" si="13"/>
        <v>0.976780860385002</v>
      </c>
      <c r="AV34" s="18">
        <f t="shared" si="13"/>
        <v>0.97932740387550854</v>
      </c>
      <c r="AW34" s="18">
        <f t="shared" si="13"/>
        <v>0.93424456555651669</v>
      </c>
      <c r="AX34" s="18">
        <f t="shared" si="13"/>
        <v>0.9195796128952376</v>
      </c>
      <c r="AY34" s="18">
        <f t="shared" si="13"/>
        <v>0.57905788167044381</v>
      </c>
      <c r="AZ34" s="18">
        <f t="shared" si="13"/>
        <v>0.72933068675731372</v>
      </c>
      <c r="BA34" s="18">
        <f t="shared" si="13"/>
        <v>0.79439464061600007</v>
      </c>
      <c r="BB34" s="18">
        <f t="shared" si="13"/>
        <v>0.93795773435420837</v>
      </c>
      <c r="BC34" s="18">
        <f t="shared" si="13"/>
        <v>0.98357332910320561</v>
      </c>
      <c r="BD34" s="18">
        <f t="shared" si="13"/>
        <v>0.9070608771362616</v>
      </c>
      <c r="BE34" s="18">
        <f t="shared" si="13"/>
        <v>0.98759249638863833</v>
      </c>
      <c r="BF34" s="18">
        <f t="shared" si="13"/>
        <v>0.99644002300457357</v>
      </c>
      <c r="BG34" s="18">
        <f t="shared" si="10"/>
        <v>0.9854314735901808</v>
      </c>
      <c r="BH34" s="18">
        <f t="shared" si="10"/>
        <v>0.87657310668785504</v>
      </c>
      <c r="BI34" s="18">
        <f t="shared" si="10"/>
        <v>0.73455547761018736</v>
      </c>
      <c r="BJ34" s="18">
        <f t="shared" si="10"/>
        <v>0.91583814911209338</v>
      </c>
      <c r="BK34" s="18">
        <f t="shared" si="10"/>
        <v>0.93951472270269332</v>
      </c>
      <c r="BL34" s="18">
        <f t="shared" si="10"/>
        <v>0.893949879846758</v>
      </c>
      <c r="BM34" s="18">
        <f t="shared" si="10"/>
        <v>0.95839883496230616</v>
      </c>
      <c r="BN34" s="18">
        <f t="shared" si="10"/>
        <v>0.66691370262668626</v>
      </c>
      <c r="BO34" s="18">
        <f t="shared" si="10"/>
        <v>0.76247764979454447</v>
      </c>
      <c r="BP34" s="18">
        <f t="shared" si="10"/>
        <v>0.6441348979881123</v>
      </c>
      <c r="BQ34" s="18">
        <f t="shared" si="10"/>
        <v>0.89026839543872549</v>
      </c>
      <c r="BR34" s="18">
        <f t="shared" si="10"/>
        <v>0.9965035756994256</v>
      </c>
      <c r="BS34" s="18">
        <f t="shared" si="10"/>
        <v>0.73260450715910885</v>
      </c>
      <c r="BT34" s="18">
        <f t="shared" si="10"/>
        <v>0.92091562536238458</v>
      </c>
      <c r="BU34" s="18">
        <f t="shared" si="8"/>
        <v>0.61190760103334008</v>
      </c>
      <c r="BV34" s="18">
        <f t="shared" si="5"/>
        <v>0.98573866800995669</v>
      </c>
      <c r="BW34" s="18">
        <f t="shared" si="5"/>
        <v>0.66175065662754184</v>
      </c>
      <c r="BX34" s="18">
        <f t="shared" si="5"/>
        <v>0.98902953433265628</v>
      </c>
      <c r="BY34" s="18">
        <f t="shared" si="5"/>
        <v>0.80133156870639732</v>
      </c>
      <c r="BZ34" s="18">
        <f t="shared" si="5"/>
        <v>0.95018034267353713</v>
      </c>
      <c r="CA34" s="18">
        <f t="shared" si="5"/>
        <v>0.98690044529216081</v>
      </c>
      <c r="CB34" s="18">
        <f t="shared" si="5"/>
        <v>0.97302085042738751</v>
      </c>
      <c r="CC34" s="18">
        <f t="shared" si="5"/>
        <v>0.97088738594578805</v>
      </c>
      <c r="CD34" s="18">
        <f t="shared" si="5"/>
        <v>0.5766931829678098</v>
      </c>
    </row>
    <row r="35" spans="1:82" x14ac:dyDescent="0.3">
      <c r="A35" s="7" t="str">
        <v>Yates, Kirby</v>
      </c>
      <c r="B35">
        <f>_xlfn.XLOOKUP($A35,braves_19_25__2[player_name], braves_19_25__2[release_pos_z])</f>
        <v>5.47</v>
      </c>
      <c r="C35">
        <f>_xlfn.XLOOKUP($A35,braves_19_25__2[player_name], braves_19_25__2[release_pos_x])*2.5</f>
        <v>-5.6749999999999998</v>
      </c>
      <c r="D35">
        <f>_xlfn.XLOOKUP($A35,braves_19_25__2[player_name], braves_19_25__2[release_extension])</f>
        <v>5.2</v>
      </c>
      <c r="E35">
        <f>COS(RADIANS(AVERAGE(_xlfn.XLOOKUP($A35,braves_19_25__2[player_name],braves_19_25__2[arm_angle]))))*4</f>
        <v>3.4500546768290299</v>
      </c>
      <c r="F35">
        <f>SIN(RADIANS(AVERAGE(_xlfn.XLOOKUP($A35,braves_19_25__2[player_name],braves_19_25__2[arm_angle]))))*4</f>
        <v>2.024135056484655</v>
      </c>
      <c r="G35">
        <f t="shared" si="2"/>
        <v>10.255073134795285</v>
      </c>
      <c r="I35" s="7" t="str">
        <v>Yates, Kirby</v>
      </c>
      <c r="J35" s="18">
        <f t="shared" si="11"/>
        <v>0.76231720750687526</v>
      </c>
      <c r="K35" s="18">
        <f t="shared" si="9"/>
        <v>0.99477154543213864</v>
      </c>
      <c r="L35" s="18">
        <f t="shared" si="9"/>
        <v>0.99432313905973779</v>
      </c>
      <c r="M35" s="18">
        <f t="shared" si="9"/>
        <v>0.94458697172162587</v>
      </c>
      <c r="N35" s="18">
        <f t="shared" si="9"/>
        <v>0.58119710606210062</v>
      </c>
      <c r="O35" s="18">
        <f t="shared" si="9"/>
        <v>0.94916607212263804</v>
      </c>
      <c r="P35" s="18">
        <f t="shared" si="9"/>
        <v>0.68374377962392907</v>
      </c>
      <c r="Q35" s="18">
        <f t="shared" si="9"/>
        <v>0.98834377847488908</v>
      </c>
      <c r="R35" s="18">
        <f t="shared" si="9"/>
        <v>0.99129293139651686</v>
      </c>
      <c r="S35" s="18">
        <f t="shared" si="9"/>
        <v>0.994575934944262</v>
      </c>
      <c r="T35" s="18">
        <f t="shared" si="9"/>
        <v>0.97782332752208823</v>
      </c>
      <c r="U35" s="18">
        <f t="shared" si="9"/>
        <v>0.98943492303005121</v>
      </c>
      <c r="V35" s="18">
        <f t="shared" si="9"/>
        <v>0.99064380763027537</v>
      </c>
      <c r="W35" s="18">
        <f t="shared" si="9"/>
        <v>0.7378766114780918</v>
      </c>
      <c r="X35" s="18">
        <f t="shared" si="9"/>
        <v>0.99765962466740998</v>
      </c>
      <c r="Y35" s="18">
        <f t="shared" si="9"/>
        <v>0.98143938015295429</v>
      </c>
      <c r="Z35" s="18">
        <f t="shared" si="9"/>
        <v>0.72179176013322122</v>
      </c>
      <c r="AA35" s="18">
        <f t="shared" si="12"/>
        <v>0.74835406157715589</v>
      </c>
      <c r="AB35" s="18">
        <f t="shared" si="12"/>
        <v>0.99612047247114954</v>
      </c>
      <c r="AC35" s="18">
        <f t="shared" si="12"/>
        <v>0.98152922588942193</v>
      </c>
      <c r="AD35" s="18">
        <f t="shared" si="12"/>
        <v>0.72192214646838693</v>
      </c>
      <c r="AE35" s="18">
        <f t="shared" si="12"/>
        <v>0.99289640217146002</v>
      </c>
      <c r="AF35" s="18">
        <f t="shared" si="12"/>
        <v>0.97401020789823878</v>
      </c>
      <c r="AG35" s="18">
        <f t="shared" si="12"/>
        <v>0.98735954479695365</v>
      </c>
      <c r="AH35" s="18">
        <f t="shared" si="12"/>
        <v>0.99123496192507365</v>
      </c>
      <c r="AI35" s="18">
        <f t="shared" si="12"/>
        <v>0.74489049796263762</v>
      </c>
      <c r="AJ35" s="18">
        <f t="shared" si="12"/>
        <v>0.99021843777986984</v>
      </c>
      <c r="AK35" s="18">
        <f t="shared" si="12"/>
        <v>0.60489758446873532</v>
      </c>
      <c r="AL35" s="18">
        <f t="shared" si="12"/>
        <v>0.97316529953410724</v>
      </c>
      <c r="AM35" s="18">
        <f t="shared" si="12"/>
        <v>0.98331783397481431</v>
      </c>
      <c r="AN35" s="18">
        <f t="shared" si="12"/>
        <v>0.92806778397080458</v>
      </c>
      <c r="AO35" s="18">
        <f t="shared" si="12"/>
        <v>0.99391110292079754</v>
      </c>
      <c r="AP35" s="18">
        <f t="shared" si="12"/>
        <v>0.99999999999999989</v>
      </c>
      <c r="AQ35" s="18">
        <f t="shared" si="13"/>
        <v>0.99354654975318335</v>
      </c>
      <c r="AR35" s="18">
        <f t="shared" si="13"/>
        <v>0.8132107439929086</v>
      </c>
      <c r="AS35" s="18">
        <f t="shared" si="13"/>
        <v>0.6689851834756112</v>
      </c>
      <c r="AT35" s="18">
        <f t="shared" si="13"/>
        <v>0.97221408527501363</v>
      </c>
      <c r="AU35" s="18">
        <f t="shared" si="13"/>
        <v>0.98153111788603786</v>
      </c>
      <c r="AV35" s="18">
        <f t="shared" si="13"/>
        <v>0.98120207472067578</v>
      </c>
      <c r="AW35" s="18">
        <f t="shared" si="13"/>
        <v>0.91408654528760047</v>
      </c>
      <c r="AX35" s="18">
        <f t="shared" si="13"/>
        <v>0.91166094886266713</v>
      </c>
      <c r="AY35" s="18">
        <f t="shared" si="13"/>
        <v>0.58351329975767741</v>
      </c>
      <c r="AZ35" s="18">
        <f t="shared" si="13"/>
        <v>0.73682696628985933</v>
      </c>
      <c r="BA35" s="18">
        <f t="shared" si="13"/>
        <v>0.79398708930246331</v>
      </c>
      <c r="BB35" s="18">
        <f t="shared" si="13"/>
        <v>0.94156828179506635</v>
      </c>
      <c r="BC35" s="18">
        <f t="shared" si="13"/>
        <v>0.99075502535252646</v>
      </c>
      <c r="BD35" s="18">
        <f t="shared" si="13"/>
        <v>0.91952624717784126</v>
      </c>
      <c r="BE35" s="18">
        <f t="shared" si="13"/>
        <v>0.98835306289474401</v>
      </c>
      <c r="BF35" s="18">
        <f t="shared" si="13"/>
        <v>0.98309198988455326</v>
      </c>
      <c r="BG35" s="18">
        <f t="shared" si="10"/>
        <v>0.986922135434671</v>
      </c>
      <c r="BH35" s="18">
        <f t="shared" si="10"/>
        <v>0.87397740661495948</v>
      </c>
      <c r="BI35" s="18">
        <f t="shared" si="10"/>
        <v>0.72637159390428918</v>
      </c>
      <c r="BJ35" s="18">
        <f t="shared" si="10"/>
        <v>0.91591306572291264</v>
      </c>
      <c r="BK35" s="18">
        <f t="shared" si="10"/>
        <v>0.93709621734405046</v>
      </c>
      <c r="BL35" s="18">
        <f t="shared" si="10"/>
        <v>0.89092827957075627</v>
      </c>
      <c r="BM35" s="18">
        <f t="shared" si="10"/>
        <v>0.95947328256408104</v>
      </c>
      <c r="BN35" s="18">
        <f t="shared" si="10"/>
        <v>0.67616797203133427</v>
      </c>
      <c r="BO35" s="18">
        <f t="shared" si="10"/>
        <v>0.75917762831572366</v>
      </c>
      <c r="BP35" s="18">
        <f t="shared" si="10"/>
        <v>0.64691157352533324</v>
      </c>
      <c r="BQ35" s="18">
        <f t="shared" si="10"/>
        <v>0.88751226596240407</v>
      </c>
      <c r="BR35" s="18">
        <f t="shared" si="10"/>
        <v>0.9938764401785648</v>
      </c>
      <c r="BS35" s="18">
        <f t="shared" si="10"/>
        <v>0.7436414563622249</v>
      </c>
      <c r="BT35" s="18">
        <f t="shared" si="10"/>
        <v>0.92328965310404032</v>
      </c>
      <c r="BU35" s="18">
        <f t="shared" si="8"/>
        <v>0.62352886018108422</v>
      </c>
      <c r="BV35" s="18">
        <f t="shared" si="5"/>
        <v>0.99319720059920724</v>
      </c>
      <c r="BW35" s="18">
        <f t="shared" si="5"/>
        <v>0.6669538556238942</v>
      </c>
      <c r="BX35" s="18">
        <f t="shared" si="5"/>
        <v>0.99125496759973797</v>
      </c>
      <c r="BY35" s="18">
        <f t="shared" si="5"/>
        <v>0.79931911960992286</v>
      </c>
      <c r="BZ35" s="18">
        <f t="shared" si="5"/>
        <v>0.95355950727938577</v>
      </c>
      <c r="CA35" s="18">
        <f t="shared" si="5"/>
        <v>0.98152057511086765</v>
      </c>
      <c r="CB35" s="18">
        <f t="shared" si="5"/>
        <v>0.97371245114588534</v>
      </c>
      <c r="CC35" s="18">
        <f t="shared" si="5"/>
        <v>0.96136158035072339</v>
      </c>
      <c r="CD35" s="18">
        <f t="shared" si="5"/>
        <v>0.58050900229829705</v>
      </c>
    </row>
    <row r="36" spans="1:82" x14ac:dyDescent="0.3">
      <c r="A36" s="7" t="str">
        <v>Wilson, Bryse</v>
      </c>
      <c r="B36">
        <f>_xlfn.XLOOKUP($A36,braves_19_25__2[player_name], braves_19_25__2[release_pos_z])</f>
        <v>5.51</v>
      </c>
      <c r="C36">
        <f>_xlfn.XLOOKUP($A36,braves_19_25__2[player_name], braves_19_25__2[release_pos_x])*2.5</f>
        <v>-6.7750000000000004</v>
      </c>
      <c r="D36">
        <f>_xlfn.XLOOKUP($A36,braves_19_25__2[player_name], braves_19_25__2[release_extension])</f>
        <v>6.45</v>
      </c>
      <c r="E36">
        <f>COS(RADIANS(AVERAGE(_xlfn.XLOOKUP($A36,braves_19_25__2[player_name],braves_19_25__2[arm_angle]))))*4</f>
        <v>3.0461532301469472</v>
      </c>
      <c r="F36">
        <f>SIN(RADIANS(AVERAGE(_xlfn.XLOOKUP($A36,braves_19_25__2[player_name],braves_19_25__2[arm_angle]))))*4</f>
        <v>2.5924796042525236</v>
      </c>
      <c r="G36">
        <f t="shared" si="2"/>
        <v>11.569927614293876</v>
      </c>
      <c r="I36" s="7" t="str">
        <v>Wilson, Bryse</v>
      </c>
      <c r="J36" s="18">
        <f t="shared" si="11"/>
        <v>0.74979058756409545</v>
      </c>
      <c r="K36" s="18">
        <f t="shared" si="9"/>
        <v>0.99037625578054589</v>
      </c>
      <c r="L36" s="18">
        <f t="shared" si="9"/>
        <v>0.99289172132672365</v>
      </c>
      <c r="M36" s="18">
        <f t="shared" si="9"/>
        <v>0.93746927905548438</v>
      </c>
      <c r="N36" s="18">
        <f t="shared" si="9"/>
        <v>0.56051545271369307</v>
      </c>
      <c r="O36" s="18">
        <f t="shared" si="9"/>
        <v>0.95693683839406896</v>
      </c>
      <c r="P36" s="18">
        <f t="shared" si="9"/>
        <v>0.66746911755090077</v>
      </c>
      <c r="Q36" s="18">
        <f t="shared" si="9"/>
        <v>0.98315885960475025</v>
      </c>
      <c r="R36" s="18">
        <f t="shared" si="9"/>
        <v>0.99673762313357694</v>
      </c>
      <c r="S36" s="18">
        <f t="shared" si="9"/>
        <v>0.98652555909246598</v>
      </c>
      <c r="T36" s="18">
        <f t="shared" si="9"/>
        <v>0.96992783957204309</v>
      </c>
      <c r="U36" s="18">
        <f t="shared" si="9"/>
        <v>0.98431566574810758</v>
      </c>
      <c r="V36" s="18">
        <f t="shared" si="9"/>
        <v>0.99560894867318028</v>
      </c>
      <c r="W36" s="18">
        <f t="shared" si="9"/>
        <v>0.72071267313964327</v>
      </c>
      <c r="X36" s="18">
        <f t="shared" si="9"/>
        <v>0.99705353686426923</v>
      </c>
      <c r="Y36" s="18">
        <f t="shared" si="9"/>
        <v>0.9734986686144701</v>
      </c>
      <c r="Z36" s="18">
        <f t="shared" si="9"/>
        <v>0.70638834812116547</v>
      </c>
      <c r="AA36" s="18">
        <f t="shared" si="12"/>
        <v>0.72674674334438427</v>
      </c>
      <c r="AB36" s="18">
        <f t="shared" si="12"/>
        <v>0.99064220061704367</v>
      </c>
      <c r="AC36" s="18">
        <f t="shared" si="12"/>
        <v>0.98067478712011102</v>
      </c>
      <c r="AD36" s="18">
        <f t="shared" si="12"/>
        <v>0.70347520111718453</v>
      </c>
      <c r="AE36" s="18">
        <f t="shared" si="12"/>
        <v>0.99216123166081049</v>
      </c>
      <c r="AF36" s="18">
        <f t="shared" si="12"/>
        <v>0.9679331871296416</v>
      </c>
      <c r="AG36" s="18">
        <f t="shared" si="12"/>
        <v>0.98828087013139376</v>
      </c>
      <c r="AH36" s="18">
        <f t="shared" si="12"/>
        <v>0.99597288551235785</v>
      </c>
      <c r="AI36" s="18">
        <f t="shared" si="12"/>
        <v>0.72576681063862969</v>
      </c>
      <c r="AJ36" s="18">
        <f t="shared" si="12"/>
        <v>0.98659899720668165</v>
      </c>
      <c r="AK36" s="18">
        <f t="shared" si="12"/>
        <v>0.58038605089766337</v>
      </c>
      <c r="AL36" s="18">
        <f t="shared" si="12"/>
        <v>0.97673407522554911</v>
      </c>
      <c r="AM36" s="18">
        <f t="shared" si="12"/>
        <v>0.9884523424556354</v>
      </c>
      <c r="AN36" s="18">
        <f t="shared" si="12"/>
        <v>0.91396599417250857</v>
      </c>
      <c r="AO36" s="18">
        <f t="shared" si="12"/>
        <v>0.99823826607916577</v>
      </c>
      <c r="AP36" s="18">
        <f t="shared" si="12"/>
        <v>0.99354654975318335</v>
      </c>
      <c r="AQ36" s="18">
        <f t="shared" si="13"/>
        <v>1.0000000000000002</v>
      </c>
      <c r="AR36" s="18">
        <f t="shared" si="13"/>
        <v>0.80217525788982202</v>
      </c>
      <c r="AS36" s="18">
        <f t="shared" si="13"/>
        <v>0.6549459268815474</v>
      </c>
      <c r="AT36" s="18">
        <f t="shared" si="13"/>
        <v>0.96507506830630407</v>
      </c>
      <c r="AU36" s="18">
        <f t="shared" si="13"/>
        <v>0.96990671453044863</v>
      </c>
      <c r="AV36" s="18">
        <f t="shared" si="13"/>
        <v>0.9757297147427002</v>
      </c>
      <c r="AW36" s="18">
        <f t="shared" si="13"/>
        <v>0.9203752871483426</v>
      </c>
      <c r="AX36" s="18">
        <f t="shared" si="13"/>
        <v>0.90730216363870464</v>
      </c>
      <c r="AY36" s="18">
        <f t="shared" si="13"/>
        <v>0.57045718893150188</v>
      </c>
      <c r="AZ36" s="18">
        <f t="shared" si="13"/>
        <v>0.7153657601379334</v>
      </c>
      <c r="BA36" s="18">
        <f t="shared" si="13"/>
        <v>0.78245096074310949</v>
      </c>
      <c r="BB36" s="18">
        <f t="shared" si="13"/>
        <v>0.93002790951642189</v>
      </c>
      <c r="BC36" s="18">
        <f t="shared" si="13"/>
        <v>0.98477422443313956</v>
      </c>
      <c r="BD36" s="18">
        <f t="shared" si="13"/>
        <v>0.92291762070550976</v>
      </c>
      <c r="BE36" s="18">
        <f t="shared" si="13"/>
        <v>0.98688942300139937</v>
      </c>
      <c r="BF36" s="18">
        <f t="shared" si="13"/>
        <v>0.99143779669114418</v>
      </c>
      <c r="BG36" s="18">
        <f t="shared" si="10"/>
        <v>0.98497006909416995</v>
      </c>
      <c r="BH36" s="18">
        <f t="shared" si="10"/>
        <v>0.86118457909895763</v>
      </c>
      <c r="BI36" s="18">
        <f t="shared" si="10"/>
        <v>0.71605186364661511</v>
      </c>
      <c r="BJ36" s="18">
        <f t="shared" si="10"/>
        <v>0.9022703191971293</v>
      </c>
      <c r="BK36" s="18">
        <f t="shared" si="10"/>
        <v>0.92839848298018102</v>
      </c>
      <c r="BL36" s="18">
        <f t="shared" si="10"/>
        <v>0.87875701046454935</v>
      </c>
      <c r="BM36" s="18">
        <f t="shared" si="10"/>
        <v>0.95342394962383303</v>
      </c>
      <c r="BN36" s="18">
        <f t="shared" si="10"/>
        <v>0.65530482749414354</v>
      </c>
      <c r="BO36" s="18">
        <f t="shared" si="10"/>
        <v>0.74587201741872211</v>
      </c>
      <c r="BP36" s="18">
        <f t="shared" si="10"/>
        <v>0.63226454056420234</v>
      </c>
      <c r="BQ36" s="18">
        <f t="shared" si="10"/>
        <v>0.87503872810938588</v>
      </c>
      <c r="BR36" s="18">
        <f t="shared" si="10"/>
        <v>0.99879813853368349</v>
      </c>
      <c r="BS36" s="18">
        <f t="shared" si="10"/>
        <v>0.72215871312406532</v>
      </c>
      <c r="BT36" s="18">
        <f t="shared" si="10"/>
        <v>0.9068244973363494</v>
      </c>
      <c r="BU36" s="18">
        <f t="shared" si="8"/>
        <v>0.6006806048330755</v>
      </c>
      <c r="BV36" s="18">
        <f t="shared" si="5"/>
        <v>0.98991339449938665</v>
      </c>
      <c r="BW36" s="18">
        <f t="shared" si="5"/>
        <v>0.64980211722435754</v>
      </c>
      <c r="BX36" s="18">
        <f t="shared" si="5"/>
        <v>0.99394474690412316</v>
      </c>
      <c r="BY36" s="18">
        <f t="shared" si="5"/>
        <v>0.7849685242589971</v>
      </c>
      <c r="BZ36" s="18">
        <f t="shared" si="5"/>
        <v>0.94517225176735531</v>
      </c>
      <c r="CA36" s="18">
        <f t="shared" si="5"/>
        <v>0.98384873822341179</v>
      </c>
      <c r="CB36" s="18">
        <f t="shared" si="5"/>
        <v>0.96782928571130855</v>
      </c>
      <c r="CC36" s="18">
        <f t="shared" si="5"/>
        <v>0.96331530976284852</v>
      </c>
      <c r="CD36" s="18">
        <f t="shared" si="5"/>
        <v>0.56471418091191428</v>
      </c>
    </row>
    <row r="37" spans="1:82" x14ac:dyDescent="0.3">
      <c r="A37" s="7" t="str">
        <v>Wentz, Joey</v>
      </c>
      <c r="B37">
        <f>_xlfn.XLOOKUP($A37,braves_19_25__2[player_name], braves_19_25__2[release_pos_z])</f>
        <v>6.2</v>
      </c>
      <c r="C37">
        <f>_xlfn.XLOOKUP($A37,braves_19_25__2[player_name], braves_19_25__2[release_pos_x])*2.5</f>
        <v>0.77500000000000002</v>
      </c>
      <c r="D37">
        <f>_xlfn.XLOOKUP($A37,braves_19_25__2[player_name], braves_19_25__2[release_extension])</f>
        <v>7.17</v>
      </c>
      <c r="E37">
        <f>COS(RADIANS(AVERAGE(_xlfn.XLOOKUP($A37,braves_19_25__2[player_name],braves_19_25__2[arm_angle]))))*4</f>
        <v>2.6972095503348936</v>
      </c>
      <c r="F37">
        <f>SIN(RADIANS(AVERAGE(_xlfn.XLOOKUP($A37,braves_19_25__2[player_name],braves_19_25__2[arm_angle]))))*4</f>
        <v>2.9538213625035352</v>
      </c>
      <c r="G37">
        <f t="shared" si="2"/>
        <v>10.317437908705823</v>
      </c>
      <c r="I37" s="7" t="str">
        <v>Wentz, Joey</v>
      </c>
      <c r="J37" s="18">
        <f t="shared" si="11"/>
        <v>0.97053930649539788</v>
      </c>
      <c r="K37" s="18">
        <f t="shared" si="9"/>
        <v>0.83027853977154742</v>
      </c>
      <c r="L37" s="18">
        <f t="shared" si="9"/>
        <v>0.86003777653025781</v>
      </c>
      <c r="M37" s="18">
        <f t="shared" si="9"/>
        <v>0.9480062483662951</v>
      </c>
      <c r="N37" s="18">
        <f t="shared" si="9"/>
        <v>0.77632630301903105</v>
      </c>
      <c r="O37" s="18">
        <f t="shared" si="9"/>
        <v>0.92040257669722059</v>
      </c>
      <c r="P37" s="18">
        <f t="shared" si="9"/>
        <v>0.8944236277891463</v>
      </c>
      <c r="Q37" s="18">
        <f t="shared" si="9"/>
        <v>0.87931981587427521</v>
      </c>
      <c r="R37" s="18">
        <f t="shared" si="9"/>
        <v>0.83292547132863903</v>
      </c>
      <c r="S37" s="18">
        <f t="shared" si="9"/>
        <v>0.85706029107395143</v>
      </c>
      <c r="T37" s="18">
        <f t="shared" si="9"/>
        <v>0.89960337913693567</v>
      </c>
      <c r="U37" s="18">
        <f t="shared" si="9"/>
        <v>0.88498688641546941</v>
      </c>
      <c r="V37" s="18">
        <f t="shared" si="9"/>
        <v>0.83368948877335058</v>
      </c>
      <c r="W37" s="18">
        <f t="shared" si="9"/>
        <v>0.94537842090275748</v>
      </c>
      <c r="X37" s="18">
        <f t="shared" si="9"/>
        <v>0.82843221252164501</v>
      </c>
      <c r="Y37" s="18">
        <f t="shared" si="9"/>
        <v>0.90793787430142059</v>
      </c>
      <c r="Z37" s="18">
        <f t="shared" si="9"/>
        <v>0.9332947259645622</v>
      </c>
      <c r="AA37" s="18">
        <f t="shared" si="12"/>
        <v>0.94842538314923919</v>
      </c>
      <c r="AB37" s="18">
        <f t="shared" si="12"/>
        <v>0.85854966950512868</v>
      </c>
      <c r="AC37" s="18">
        <f t="shared" si="12"/>
        <v>0.90204600460663198</v>
      </c>
      <c r="AD37" s="18">
        <f t="shared" si="12"/>
        <v>0.92981654238360456</v>
      </c>
      <c r="AE37" s="18">
        <f t="shared" si="12"/>
        <v>0.84840700285500603</v>
      </c>
      <c r="AF37" s="18">
        <f t="shared" si="12"/>
        <v>0.91902802703727571</v>
      </c>
      <c r="AG37" s="18">
        <f t="shared" si="12"/>
        <v>0.8745229404111966</v>
      </c>
      <c r="AH37" s="18">
        <f t="shared" si="12"/>
        <v>0.83180783326308139</v>
      </c>
      <c r="AI37" s="18">
        <f t="shared" si="12"/>
        <v>0.9490728964180758</v>
      </c>
      <c r="AJ37" s="18">
        <f t="shared" si="12"/>
        <v>0.88281211395851933</v>
      </c>
      <c r="AK37" s="18">
        <f t="shared" si="12"/>
        <v>0.7947797404972029</v>
      </c>
      <c r="AL37" s="18">
        <f t="shared" si="12"/>
        <v>0.68112352345231431</v>
      </c>
      <c r="AM37" s="18">
        <f t="shared" si="12"/>
        <v>0.88134970165653337</v>
      </c>
      <c r="AN37" s="18">
        <f t="shared" si="12"/>
        <v>0.96565668871077837</v>
      </c>
      <c r="AO37" s="18">
        <f t="shared" si="12"/>
        <v>0.81509241527022358</v>
      </c>
      <c r="AP37" s="18">
        <f t="shared" si="12"/>
        <v>0.8132107439929086</v>
      </c>
      <c r="AQ37" s="18">
        <f t="shared" si="13"/>
        <v>0.80217525788982202</v>
      </c>
      <c r="AR37" s="18">
        <f t="shared" si="13"/>
        <v>1</v>
      </c>
      <c r="AS37" s="18">
        <f t="shared" si="13"/>
        <v>0.88392442239102653</v>
      </c>
      <c r="AT37" s="18">
        <f t="shared" si="13"/>
        <v>0.9252047824768681</v>
      </c>
      <c r="AU37" s="18">
        <f t="shared" si="13"/>
        <v>0.90506448940643269</v>
      </c>
      <c r="AV37" s="18">
        <f t="shared" si="13"/>
        <v>0.90824086465035836</v>
      </c>
      <c r="AW37" s="18">
        <f t="shared" si="13"/>
        <v>0.94245253430961107</v>
      </c>
      <c r="AX37" s="18">
        <f t="shared" si="13"/>
        <v>0.97140216756335052</v>
      </c>
      <c r="AY37" s="18">
        <f t="shared" si="13"/>
        <v>0.79702398164917709</v>
      </c>
      <c r="AZ37" s="18">
        <f t="shared" si="13"/>
        <v>0.93776864901355739</v>
      </c>
      <c r="BA37" s="18">
        <f t="shared" si="13"/>
        <v>0.9921481915567868</v>
      </c>
      <c r="BB37" s="18">
        <f t="shared" si="13"/>
        <v>0.95979056171531796</v>
      </c>
      <c r="BC37" s="18">
        <f t="shared" si="13"/>
        <v>0.86210004897018455</v>
      </c>
      <c r="BD37" s="18">
        <f t="shared" si="13"/>
        <v>0.6701178892717774</v>
      </c>
      <c r="BE37" s="18">
        <f t="shared" si="13"/>
        <v>0.88069528480192161</v>
      </c>
      <c r="BF37" s="18">
        <f t="shared" si="13"/>
        <v>0.8176511324147967</v>
      </c>
      <c r="BG37" s="18">
        <f t="shared" si="10"/>
        <v>0.88714992728818631</v>
      </c>
      <c r="BH37" s="18">
        <f t="shared" si="10"/>
        <v>0.98578587002667606</v>
      </c>
      <c r="BI37" s="18">
        <f t="shared" si="10"/>
        <v>0.94325028727526172</v>
      </c>
      <c r="BJ37" s="18">
        <f t="shared" si="10"/>
        <v>0.96849757537813086</v>
      </c>
      <c r="BK37" s="18">
        <f t="shared" si="10"/>
        <v>0.95845927942578402</v>
      </c>
      <c r="BL37" s="18">
        <f t="shared" si="10"/>
        <v>0.97996436575579604</v>
      </c>
      <c r="BM37" s="18">
        <f t="shared" si="10"/>
        <v>0.94134660618291954</v>
      </c>
      <c r="BN37" s="18">
        <f t="shared" si="10"/>
        <v>0.8806861601795265</v>
      </c>
      <c r="BO37" s="18">
        <f t="shared" si="10"/>
        <v>0.96756593794856172</v>
      </c>
      <c r="BP37" s="18">
        <f t="shared" si="10"/>
        <v>0.86132967796077953</v>
      </c>
      <c r="BQ37" s="18">
        <f t="shared" si="10"/>
        <v>0.9820523514898164</v>
      </c>
      <c r="BR37" s="18">
        <f t="shared" si="10"/>
        <v>0.78438772642420529</v>
      </c>
      <c r="BS37" s="18">
        <f t="shared" si="10"/>
        <v>0.94082390654274373</v>
      </c>
      <c r="BT37" s="18">
        <f t="shared" si="10"/>
        <v>0.96270304039567567</v>
      </c>
      <c r="BU37" s="18">
        <f t="shared" si="8"/>
        <v>0.82498018879231916</v>
      </c>
      <c r="BV37" s="18">
        <f t="shared" si="5"/>
        <v>0.79813205985656632</v>
      </c>
      <c r="BW37" s="18">
        <f t="shared" si="5"/>
        <v>0.87742741162406113</v>
      </c>
      <c r="BX37" s="18">
        <f t="shared" si="5"/>
        <v>0.82000800143780139</v>
      </c>
      <c r="BY37" s="18">
        <f t="shared" si="5"/>
        <v>0.99340802610025059</v>
      </c>
      <c r="BZ37" s="18">
        <f t="shared" si="5"/>
        <v>0.94720558086286499</v>
      </c>
      <c r="CA37" s="18">
        <f t="shared" si="5"/>
        <v>0.89447491732144635</v>
      </c>
      <c r="CB37" s="18">
        <f t="shared" si="5"/>
        <v>0.92240754509862488</v>
      </c>
      <c r="CC37" s="18">
        <f t="shared" si="5"/>
        <v>0.92384485631283098</v>
      </c>
      <c r="CD37" s="18">
        <f t="shared" si="5"/>
        <v>0.79241867792425036</v>
      </c>
    </row>
    <row r="38" spans="1:82" x14ac:dyDescent="0.3">
      <c r="A38" s="7" t="str">
        <v>Dodd, Dylan</v>
      </c>
      <c r="B38">
        <f>_xlfn.XLOOKUP($A38,braves_19_25__2[player_name], braves_19_25__2[release_pos_z])</f>
        <v>5.92</v>
      </c>
      <c r="C38">
        <f>_xlfn.XLOOKUP($A38,braves_19_25__2[player_name], braves_19_25__2[release_pos_x])*2.5</f>
        <v>6.1</v>
      </c>
      <c r="D38">
        <f>_xlfn.XLOOKUP($A38,braves_19_25__2[player_name], braves_19_25__2[release_extension])</f>
        <v>6.59</v>
      </c>
      <c r="E38">
        <f>COS(RADIANS(AVERAGE(_xlfn.XLOOKUP($A38,braves_19_25__2[player_name],braves_19_25__2[arm_angle]))))*4</f>
        <v>2.867642430601931</v>
      </c>
      <c r="F38">
        <f>SIN(RADIANS(AVERAGE(_xlfn.XLOOKUP($A38,braves_19_25__2[player_name],braves_19_25__2[arm_angle]))))*4</f>
        <v>2.7886604114182583</v>
      </c>
      <c r="G38">
        <f t="shared" si="2"/>
        <v>11.475386703723757</v>
      </c>
      <c r="I38" s="7" t="str">
        <v>Dodd, Dylan</v>
      </c>
      <c r="J38" s="18">
        <f t="shared" si="11"/>
        <v>0.9671146588262961</v>
      </c>
      <c r="K38" s="18">
        <f t="shared" si="9"/>
        <v>0.68382506446235181</v>
      </c>
      <c r="L38" s="18">
        <f t="shared" si="9"/>
        <v>0.70910711034936103</v>
      </c>
      <c r="M38" s="18">
        <f t="shared" si="9"/>
        <v>0.79262592778652385</v>
      </c>
      <c r="N38" s="18">
        <f t="shared" si="9"/>
        <v>0.96572745852435637</v>
      </c>
      <c r="O38" s="18">
        <f t="shared" si="9"/>
        <v>0.76228047498282825</v>
      </c>
      <c r="P38" s="18">
        <f t="shared" si="9"/>
        <v>0.99934182294477636</v>
      </c>
      <c r="Q38" s="18">
        <f t="shared" si="9"/>
        <v>0.72846332362344701</v>
      </c>
      <c r="R38" s="18">
        <f t="shared" si="9"/>
        <v>0.68326533712160109</v>
      </c>
      <c r="S38" s="18">
        <f t="shared" si="9"/>
        <v>0.7085115928110165</v>
      </c>
      <c r="T38" s="18">
        <f t="shared" si="9"/>
        <v>0.74873955304228357</v>
      </c>
      <c r="U38" s="18">
        <f t="shared" si="9"/>
        <v>0.73364588683994114</v>
      </c>
      <c r="V38" s="18">
        <f t="shared" si="9"/>
        <v>0.68315110171858573</v>
      </c>
      <c r="W38" s="18">
        <f t="shared" si="9"/>
        <v>0.98514287018644464</v>
      </c>
      <c r="X38" s="18">
        <f t="shared" si="9"/>
        <v>0.6803988799963423</v>
      </c>
      <c r="Y38" s="18">
        <f t="shared" si="9"/>
        <v>0.75584375638751589</v>
      </c>
      <c r="Z38" s="18">
        <f t="shared" si="9"/>
        <v>0.99041608686327665</v>
      </c>
      <c r="AA38" s="18">
        <f t="shared" si="12"/>
        <v>0.97915008653210522</v>
      </c>
      <c r="AB38" s="18">
        <f t="shared" si="12"/>
        <v>0.70914805451720386</v>
      </c>
      <c r="AC38" s="18">
        <f t="shared" si="12"/>
        <v>0.7475864863937034</v>
      </c>
      <c r="AD38" s="18">
        <f t="shared" si="12"/>
        <v>0.98565522431603569</v>
      </c>
      <c r="AE38" s="18">
        <f t="shared" si="12"/>
        <v>0.69904556118820838</v>
      </c>
      <c r="AF38" s="18">
        <f t="shared" si="12"/>
        <v>0.76479912655887361</v>
      </c>
      <c r="AG38" s="18">
        <f t="shared" si="12"/>
        <v>0.72222940343836661</v>
      </c>
      <c r="AH38" s="18">
        <f t="shared" si="12"/>
        <v>0.68219910216853397</v>
      </c>
      <c r="AI38" s="18">
        <f t="shared" si="12"/>
        <v>0.97794063491736893</v>
      </c>
      <c r="AJ38" s="18">
        <f t="shared" si="12"/>
        <v>0.73089778453869525</v>
      </c>
      <c r="AK38" s="18">
        <f t="shared" si="12"/>
        <v>0.96657980266895416</v>
      </c>
      <c r="AL38" s="18">
        <f t="shared" si="12"/>
        <v>0.54842593794811867</v>
      </c>
      <c r="AM38" s="18">
        <f t="shared" si="12"/>
        <v>0.72695398699615243</v>
      </c>
      <c r="AN38" s="18">
        <f t="shared" si="12"/>
        <v>0.81237386358501396</v>
      </c>
      <c r="AO38" s="18">
        <f t="shared" si="12"/>
        <v>0.66660576104862168</v>
      </c>
      <c r="AP38" s="18">
        <f t="shared" si="12"/>
        <v>0.6689851834756112</v>
      </c>
      <c r="AQ38" s="18">
        <f t="shared" si="13"/>
        <v>0.6549459268815474</v>
      </c>
      <c r="AR38" s="18">
        <f t="shared" si="13"/>
        <v>0.88392442239102653</v>
      </c>
      <c r="AS38" s="18">
        <f t="shared" si="13"/>
        <v>1</v>
      </c>
      <c r="AT38" s="18">
        <f t="shared" si="13"/>
        <v>0.77116858105995789</v>
      </c>
      <c r="AU38" s="18">
        <f t="shared" si="13"/>
        <v>0.75376266289873728</v>
      </c>
      <c r="AV38" s="18">
        <f t="shared" si="13"/>
        <v>0.75504954551656023</v>
      </c>
      <c r="AW38" s="18">
        <f t="shared" si="13"/>
        <v>0.78399434695180792</v>
      </c>
      <c r="AX38" s="18">
        <f t="shared" si="13"/>
        <v>0.8148953791514324</v>
      </c>
      <c r="AY38" s="18">
        <f t="shared" si="13"/>
        <v>0.98633832695246715</v>
      </c>
      <c r="AZ38" s="18">
        <f t="shared" si="13"/>
        <v>0.98734114750925883</v>
      </c>
      <c r="BA38" s="18">
        <f t="shared" si="13"/>
        <v>0.9341802379359917</v>
      </c>
      <c r="BB38" s="18">
        <f t="shared" si="13"/>
        <v>0.8056992403876887</v>
      </c>
      <c r="BC38" s="18">
        <f t="shared" si="13"/>
        <v>0.71323589339667504</v>
      </c>
      <c r="BD38" s="18">
        <f t="shared" si="13"/>
        <v>0.54191465947560069</v>
      </c>
      <c r="BE38" s="18">
        <f t="shared" si="13"/>
        <v>0.72834409512573928</v>
      </c>
      <c r="BF38" s="18">
        <f t="shared" si="13"/>
        <v>0.667713461107171</v>
      </c>
      <c r="BG38" s="18">
        <f t="shared" si="10"/>
        <v>0.73491085479935003</v>
      </c>
      <c r="BH38" s="18">
        <f t="shared" si="10"/>
        <v>0.83304968733749707</v>
      </c>
      <c r="BI38" s="18">
        <f t="shared" si="10"/>
        <v>0.97508391708237319</v>
      </c>
      <c r="BJ38" s="18">
        <f t="shared" si="10"/>
        <v>0.81547405743312851</v>
      </c>
      <c r="BK38" s="18">
        <f t="shared" si="10"/>
        <v>0.8034095165876266</v>
      </c>
      <c r="BL38" s="18">
        <f t="shared" si="10"/>
        <v>0.82635669051164806</v>
      </c>
      <c r="BM38" s="18">
        <f t="shared" si="10"/>
        <v>0.78610082755279964</v>
      </c>
      <c r="BN38" s="18">
        <f t="shared" si="10"/>
        <v>0.9977853258899787</v>
      </c>
      <c r="BO38" s="18">
        <f t="shared" si="10"/>
        <v>0.96713895583001641</v>
      </c>
      <c r="BP38" s="18">
        <f t="shared" si="10"/>
        <v>0.99871947741620648</v>
      </c>
      <c r="BQ38" s="18">
        <f t="shared" si="10"/>
        <v>0.8284098613458164</v>
      </c>
      <c r="BR38" s="18">
        <f t="shared" si="10"/>
        <v>0.63917902477801769</v>
      </c>
      <c r="BS38" s="18">
        <f t="shared" si="10"/>
        <v>0.98374932618750432</v>
      </c>
      <c r="BT38" s="18">
        <f t="shared" si="10"/>
        <v>0.81041737360154664</v>
      </c>
      <c r="BU38" s="18">
        <f t="shared" si="8"/>
        <v>0.99043852103101082</v>
      </c>
      <c r="BV38" s="18">
        <f t="shared" si="5"/>
        <v>0.65465699951283485</v>
      </c>
      <c r="BW38" s="18">
        <f t="shared" si="5"/>
        <v>0.99940268434978252</v>
      </c>
      <c r="BX38" s="18">
        <f t="shared" si="5"/>
        <v>0.67278536369070863</v>
      </c>
      <c r="BY38" s="18">
        <f t="shared" si="5"/>
        <v>0.92102740675339345</v>
      </c>
      <c r="BZ38" s="18">
        <f t="shared" si="5"/>
        <v>0.79257155426785908</v>
      </c>
      <c r="CA38" s="18">
        <f t="shared" si="5"/>
        <v>0.73947779292124405</v>
      </c>
      <c r="CB38" s="18">
        <f t="shared" si="5"/>
        <v>0.76801401156931781</v>
      </c>
      <c r="CC38" s="18">
        <f t="shared" si="5"/>
        <v>0.76721457978277641</v>
      </c>
      <c r="CD38" s="18">
        <f t="shared" si="5"/>
        <v>0.98540065330916549</v>
      </c>
    </row>
    <row r="39" spans="1:82" x14ac:dyDescent="0.3">
      <c r="A39" s="7" t="str">
        <v>Hernández, Daysbel</v>
      </c>
      <c r="B39">
        <f>_xlfn.XLOOKUP($A39,braves_19_25__2[player_name], braves_19_25__2[release_pos_z])</f>
        <v>5.88</v>
      </c>
      <c r="C39">
        <f>_xlfn.XLOOKUP($A39,braves_19_25__2[player_name], braves_19_25__2[release_pos_x])*2.5</f>
        <v>-3.5749999999999997</v>
      </c>
      <c r="D39">
        <f>_xlfn.XLOOKUP($A39,braves_19_25__2[player_name], braves_19_25__2[release_extension])</f>
        <v>6.07</v>
      </c>
      <c r="E39">
        <f>COS(RADIANS(AVERAGE(_xlfn.XLOOKUP($A39,braves_19_25__2[player_name],braves_19_25__2[arm_angle]))))*4</f>
        <v>3.0731340943740935</v>
      </c>
      <c r="F39">
        <f>SIN(RADIANS(AVERAGE(_xlfn.XLOOKUP($A39,braves_19_25__2[player_name],braves_19_25__2[arm_angle]))))*4</f>
        <v>2.5604387979398218</v>
      </c>
      <c r="G39">
        <f t="shared" si="2"/>
        <v>10.009991258737443</v>
      </c>
      <c r="I39" s="7" t="str">
        <v>Hernández, Daysbel</v>
      </c>
      <c r="J39" s="18">
        <f t="shared" si="11"/>
        <v>0.87428577715576883</v>
      </c>
      <c r="K39" s="18">
        <f t="shared" si="9"/>
        <v>0.97462591581155966</v>
      </c>
      <c r="L39" s="18">
        <f t="shared" si="9"/>
        <v>0.98841710125456039</v>
      </c>
      <c r="M39" s="18">
        <f t="shared" si="9"/>
        <v>0.99283227662257334</v>
      </c>
      <c r="N39" s="18">
        <f t="shared" si="9"/>
        <v>0.66379651816525598</v>
      </c>
      <c r="O39" s="18">
        <f t="shared" si="9"/>
        <v>0.98637288756692387</v>
      </c>
      <c r="P39" s="18">
        <f t="shared" si="9"/>
        <v>0.78515816994691134</v>
      </c>
      <c r="Q39" s="18">
        <f t="shared" si="9"/>
        <v>0.99058479150556067</v>
      </c>
      <c r="R39" s="18">
        <f t="shared" si="9"/>
        <v>0.975088475259968</v>
      </c>
      <c r="S39" s="18">
        <f t="shared" si="9"/>
        <v>0.98724039958059429</v>
      </c>
      <c r="T39" s="18">
        <f t="shared" si="9"/>
        <v>0.9912108885268095</v>
      </c>
      <c r="U39" s="18">
        <f t="shared" si="9"/>
        <v>0.99420816074460017</v>
      </c>
      <c r="V39" s="18">
        <f t="shared" si="9"/>
        <v>0.97690269505449923</v>
      </c>
      <c r="W39" s="18">
        <f t="shared" si="9"/>
        <v>0.84521398085111155</v>
      </c>
      <c r="X39" s="18">
        <f t="shared" si="9"/>
        <v>0.97799131249105964</v>
      </c>
      <c r="Y39" s="18">
        <f t="shared" si="9"/>
        <v>0.99864393567550291</v>
      </c>
      <c r="Z39" s="18">
        <f t="shared" si="9"/>
        <v>0.82926602292627916</v>
      </c>
      <c r="AA39" s="18">
        <f t="shared" si="12"/>
        <v>0.85345250492940428</v>
      </c>
      <c r="AB39" s="18">
        <f t="shared" si="12"/>
        <v>0.98839630944814283</v>
      </c>
      <c r="AC39" s="18">
        <f t="shared" si="12"/>
        <v>0.99713721299523017</v>
      </c>
      <c r="AD39" s="18">
        <f t="shared" si="12"/>
        <v>0.82842175489614911</v>
      </c>
      <c r="AE39" s="18">
        <f t="shared" si="12"/>
        <v>0.98140720027498052</v>
      </c>
      <c r="AF39" s="18">
        <f t="shared" si="12"/>
        <v>0.99927616785766815</v>
      </c>
      <c r="AG39" s="18">
        <f t="shared" si="12"/>
        <v>0.98884488121961822</v>
      </c>
      <c r="AH39" s="18">
        <f t="shared" si="12"/>
        <v>0.97436542337644538</v>
      </c>
      <c r="AI39" s="18">
        <f t="shared" si="12"/>
        <v>0.85224556839514543</v>
      </c>
      <c r="AJ39" s="18">
        <f t="shared" si="12"/>
        <v>0.99438784981591544</v>
      </c>
      <c r="AK39" s="18">
        <f t="shared" si="12"/>
        <v>0.6870047541550115</v>
      </c>
      <c r="AL39" s="18">
        <f t="shared" si="12"/>
        <v>0.9009979409169786</v>
      </c>
      <c r="AM39" s="18">
        <f t="shared" si="12"/>
        <v>0.99045241349773572</v>
      </c>
      <c r="AN39" s="18">
        <f t="shared" si="12"/>
        <v>0.98793890870269152</v>
      </c>
      <c r="AO39" s="18">
        <f t="shared" si="12"/>
        <v>0.97102006256579021</v>
      </c>
      <c r="AP39" s="18">
        <f t="shared" si="12"/>
        <v>0.97221408527501363</v>
      </c>
      <c r="AQ39" s="18">
        <f t="shared" si="13"/>
        <v>0.96507506830630407</v>
      </c>
      <c r="AR39" s="18">
        <f t="shared" si="13"/>
        <v>0.9252047824768681</v>
      </c>
      <c r="AS39" s="18">
        <f t="shared" si="13"/>
        <v>0.77116858105995789</v>
      </c>
      <c r="AT39" s="18">
        <f t="shared" si="13"/>
        <v>0.99999999999999989</v>
      </c>
      <c r="AU39" s="18">
        <f t="shared" si="13"/>
        <v>0.99754870250162087</v>
      </c>
      <c r="AV39" s="18">
        <f t="shared" si="13"/>
        <v>0.99871304900146696</v>
      </c>
      <c r="AW39" s="18">
        <f t="shared" si="13"/>
        <v>0.97336107480254253</v>
      </c>
      <c r="AX39" s="18">
        <f t="shared" si="13"/>
        <v>0.98128662699560076</v>
      </c>
      <c r="AY39" s="18">
        <f t="shared" si="13"/>
        <v>0.67658356011095711</v>
      </c>
      <c r="AZ39" s="18">
        <f t="shared" si="13"/>
        <v>0.83976721028352064</v>
      </c>
      <c r="BA39" s="18">
        <f t="shared" si="13"/>
        <v>0.90588442056245622</v>
      </c>
      <c r="BB39" s="18">
        <f t="shared" si="13"/>
        <v>0.99358637064310018</v>
      </c>
      <c r="BC39" s="18">
        <f t="shared" si="13"/>
        <v>0.98474887004394496</v>
      </c>
      <c r="BD39" s="18">
        <f t="shared" si="13"/>
        <v>0.85814451481581722</v>
      </c>
      <c r="BE39" s="18">
        <f t="shared" si="13"/>
        <v>0.99198728618258036</v>
      </c>
      <c r="BF39" s="18">
        <f t="shared" si="13"/>
        <v>0.96670924401944691</v>
      </c>
      <c r="BG39" s="18">
        <f t="shared" si="10"/>
        <v>0.99376080031850544</v>
      </c>
      <c r="BH39" s="18">
        <f t="shared" si="10"/>
        <v>0.96201651907334007</v>
      </c>
      <c r="BI39" s="18">
        <f t="shared" si="10"/>
        <v>0.83946026733001156</v>
      </c>
      <c r="BJ39" s="18">
        <f t="shared" si="10"/>
        <v>0.98194340714538941</v>
      </c>
      <c r="BK39" s="18">
        <f t="shared" si="10"/>
        <v>0.99172408137731161</v>
      </c>
      <c r="BL39" s="18">
        <f t="shared" si="10"/>
        <v>0.97071849959670864</v>
      </c>
      <c r="BM39" s="18">
        <f t="shared" si="10"/>
        <v>0.99780570778408906</v>
      </c>
      <c r="BN39" s="18">
        <f t="shared" si="10"/>
        <v>0.7734709232798449</v>
      </c>
      <c r="BO39" s="18">
        <f t="shared" si="10"/>
        <v>0.87114740771424171</v>
      </c>
      <c r="BP39" s="18">
        <f t="shared" si="10"/>
        <v>0.74686163816976059</v>
      </c>
      <c r="BQ39" s="18">
        <f t="shared" si="10"/>
        <v>0.96916326886864745</v>
      </c>
      <c r="BR39" s="18">
        <f t="shared" si="10"/>
        <v>0.95758064699039813</v>
      </c>
      <c r="BS39" s="18">
        <f t="shared" si="10"/>
        <v>0.84483844946336883</v>
      </c>
      <c r="BT39" s="18">
        <f t="shared" si="10"/>
        <v>0.98393502057085369</v>
      </c>
      <c r="BU39" s="18">
        <f t="shared" si="8"/>
        <v>0.71412377987763087</v>
      </c>
      <c r="BV39" s="18">
        <f t="shared" si="5"/>
        <v>0.96041947114536175</v>
      </c>
      <c r="BW39" s="18">
        <f t="shared" si="5"/>
        <v>0.76673767730506093</v>
      </c>
      <c r="BX39" s="18">
        <f t="shared" si="5"/>
        <v>0.96883150766159321</v>
      </c>
      <c r="BY39" s="18">
        <f t="shared" si="5"/>
        <v>0.91149629225192341</v>
      </c>
      <c r="BZ39" s="18">
        <f t="shared" si="5"/>
        <v>0.99584458729508496</v>
      </c>
      <c r="CA39" s="18">
        <f t="shared" si="5"/>
        <v>0.99436177577083629</v>
      </c>
      <c r="CB39" s="18">
        <f t="shared" si="5"/>
        <v>0.99971202126069314</v>
      </c>
      <c r="CC39" s="18">
        <f t="shared" si="5"/>
        <v>0.99452722386974823</v>
      </c>
      <c r="CD39" s="18">
        <f t="shared" si="5"/>
        <v>0.67321792193040286</v>
      </c>
    </row>
    <row r="40" spans="1:82" x14ac:dyDescent="0.3">
      <c r="A40" s="7" t="str">
        <v>Greene, Shane</v>
      </c>
      <c r="B40">
        <f>_xlfn.XLOOKUP($A40,braves_19_25__2[player_name], braves_19_25__2[release_pos_z])</f>
        <v>6.2</v>
      </c>
      <c r="C40">
        <f>_xlfn.XLOOKUP($A40,braves_19_25__2[player_name], braves_19_25__2[release_pos_x])*2.5</f>
        <v>-3.95</v>
      </c>
      <c r="D40">
        <f>_xlfn.XLOOKUP($A40,braves_19_25__2[player_name], braves_19_25__2[release_extension])</f>
        <v>5.64</v>
      </c>
      <c r="E40">
        <f>COS(RADIANS(AVERAGE(_xlfn.XLOOKUP($A40,braves_19_25__2[player_name],braves_19_25__2[arm_angle]))))*4</f>
        <v>3.2401665617831843</v>
      </c>
      <c r="F40">
        <f>SIN(RADIANS(AVERAGE(_xlfn.XLOOKUP($A40,braves_19_25__2[player_name],braves_19_25__2[arm_angle]))))*4</f>
        <v>2.345489426943157</v>
      </c>
      <c r="G40">
        <f t="shared" si="2"/>
        <v>10.092180141079528</v>
      </c>
      <c r="I40" s="7" t="str">
        <v>Greene, Shane</v>
      </c>
      <c r="J40" s="18">
        <f t="shared" si="11"/>
        <v>0.85547348372154641</v>
      </c>
      <c r="K40" s="18">
        <f t="shared" si="9"/>
        <v>0.98029402920867026</v>
      </c>
      <c r="L40" s="18">
        <f t="shared" si="9"/>
        <v>0.99178616164963163</v>
      </c>
      <c r="M40" s="18">
        <f t="shared" si="9"/>
        <v>0.98780710304688435</v>
      </c>
      <c r="N40" s="18">
        <f t="shared" si="9"/>
        <v>0.65007720449463346</v>
      </c>
      <c r="O40" s="18">
        <f t="shared" si="9"/>
        <v>0.97863736752015307</v>
      </c>
      <c r="P40" s="18">
        <f t="shared" si="9"/>
        <v>0.76830098891838927</v>
      </c>
      <c r="Q40" s="18">
        <f t="shared" si="9"/>
        <v>0.99176764112167803</v>
      </c>
      <c r="R40" s="18">
        <f t="shared" si="9"/>
        <v>0.97640334903892378</v>
      </c>
      <c r="S40" s="18">
        <f t="shared" si="9"/>
        <v>0.99417114272243134</v>
      </c>
      <c r="T40" s="18">
        <f t="shared" si="9"/>
        <v>0.98980342684621836</v>
      </c>
      <c r="U40" s="18">
        <f t="shared" si="9"/>
        <v>0.99512865866724476</v>
      </c>
      <c r="V40" s="18">
        <f t="shared" si="9"/>
        <v>0.98083306078998056</v>
      </c>
      <c r="W40" s="18">
        <f t="shared" si="9"/>
        <v>0.82929577051685943</v>
      </c>
      <c r="X40" s="18">
        <f t="shared" si="9"/>
        <v>0.98415349243997252</v>
      </c>
      <c r="Y40" s="18">
        <f t="shared" si="9"/>
        <v>0.99816054987182412</v>
      </c>
      <c r="Z40" s="18">
        <f t="shared" si="9"/>
        <v>0.81261524114771222</v>
      </c>
      <c r="AA40" s="18">
        <f t="shared" si="12"/>
        <v>0.83985963791143003</v>
      </c>
      <c r="AB40" s="18">
        <f t="shared" si="12"/>
        <v>0.99345934628055688</v>
      </c>
      <c r="AC40" s="18">
        <f t="shared" si="12"/>
        <v>0.99503827784373178</v>
      </c>
      <c r="AD40" s="18">
        <f t="shared" si="12"/>
        <v>0.8141745014447076</v>
      </c>
      <c r="AE40" s="18">
        <f t="shared" si="12"/>
        <v>0.98383711959789411</v>
      </c>
      <c r="AF40" s="18">
        <f t="shared" si="12"/>
        <v>0.99788160316772545</v>
      </c>
      <c r="AG40" s="18">
        <f t="shared" si="12"/>
        <v>0.98794059110442456</v>
      </c>
      <c r="AH40" s="18">
        <f t="shared" si="12"/>
        <v>0.97632322978586561</v>
      </c>
      <c r="AI40" s="18">
        <f t="shared" si="12"/>
        <v>0.83788256479246381</v>
      </c>
      <c r="AJ40" s="18">
        <f t="shared" si="12"/>
        <v>0.99551942024041862</v>
      </c>
      <c r="AK40" s="18">
        <f t="shared" si="12"/>
        <v>0.67497233434303172</v>
      </c>
      <c r="AL40" s="18">
        <f t="shared" si="12"/>
        <v>0.91562083808564398</v>
      </c>
      <c r="AM40" s="18">
        <f t="shared" si="12"/>
        <v>0.9878210901669674</v>
      </c>
      <c r="AN40" s="18">
        <f t="shared" si="12"/>
        <v>0.9817102602290253</v>
      </c>
      <c r="AO40" s="18">
        <f t="shared" si="12"/>
        <v>0.976780860385002</v>
      </c>
      <c r="AP40" s="18">
        <f t="shared" si="12"/>
        <v>0.98153111788603786</v>
      </c>
      <c r="AQ40" s="18">
        <f t="shared" si="13"/>
        <v>0.96990671453044863</v>
      </c>
      <c r="AR40" s="18">
        <f t="shared" si="13"/>
        <v>0.90506448940643269</v>
      </c>
      <c r="AS40" s="18">
        <f t="shared" si="13"/>
        <v>0.75376266289873728</v>
      </c>
      <c r="AT40" s="18">
        <f t="shared" si="13"/>
        <v>0.99754870250162087</v>
      </c>
      <c r="AU40" s="18">
        <f t="shared" si="13"/>
        <v>1.0000000000000002</v>
      </c>
      <c r="AV40" s="18">
        <f t="shared" si="13"/>
        <v>0.99735601412276553</v>
      </c>
      <c r="AW40" s="18">
        <f t="shared" si="13"/>
        <v>0.96277868474493233</v>
      </c>
      <c r="AX40" s="18">
        <f t="shared" si="13"/>
        <v>0.97001802533661652</v>
      </c>
      <c r="AY40" s="18">
        <f t="shared" si="13"/>
        <v>0.65981371171255065</v>
      </c>
      <c r="AZ40" s="18">
        <f t="shared" si="13"/>
        <v>0.8254938491144882</v>
      </c>
      <c r="BA40" s="18">
        <f t="shared" si="13"/>
        <v>0.88527168322699235</v>
      </c>
      <c r="BB40" s="18">
        <f t="shared" si="13"/>
        <v>0.98695946626559772</v>
      </c>
      <c r="BC40" s="18">
        <f t="shared" si="13"/>
        <v>0.98769749767603654</v>
      </c>
      <c r="BD40" s="18">
        <f t="shared" si="13"/>
        <v>0.86690105876447654</v>
      </c>
      <c r="BE40" s="18">
        <f t="shared" si="13"/>
        <v>0.99194125165597913</v>
      </c>
      <c r="BF40" s="18">
        <f t="shared" si="13"/>
        <v>0.97112572654288032</v>
      </c>
      <c r="BG40" s="18">
        <f t="shared" si="10"/>
        <v>0.99267112354904241</v>
      </c>
      <c r="BH40" s="18">
        <f t="shared" si="10"/>
        <v>0.94977174993496394</v>
      </c>
      <c r="BI40" s="18">
        <f t="shared" si="10"/>
        <v>0.82135293302059442</v>
      </c>
      <c r="BJ40" s="18">
        <f t="shared" si="10"/>
        <v>0.97476611224116094</v>
      </c>
      <c r="BK40" s="18">
        <f t="shared" si="10"/>
        <v>0.98504521535230349</v>
      </c>
      <c r="BL40" s="18">
        <f t="shared" si="10"/>
        <v>0.96043730291818163</v>
      </c>
      <c r="BM40" s="18">
        <f t="shared" si="10"/>
        <v>0.99190745655990764</v>
      </c>
      <c r="BN40" s="18">
        <f t="shared" si="10"/>
        <v>0.75929757605436798</v>
      </c>
      <c r="BO40" s="18">
        <f t="shared" si="10"/>
        <v>0.85332829203228233</v>
      </c>
      <c r="BP40" s="18">
        <f t="shared" si="10"/>
        <v>0.7302129216334019</v>
      </c>
      <c r="BQ40" s="18">
        <f t="shared" si="10"/>
        <v>0.95857863165547585</v>
      </c>
      <c r="BR40" s="18">
        <f t="shared" si="10"/>
        <v>0.96484008070051042</v>
      </c>
      <c r="BS40" s="18">
        <f t="shared" si="10"/>
        <v>0.82927037650822355</v>
      </c>
      <c r="BT40" s="18">
        <f t="shared" si="10"/>
        <v>0.97939022558991717</v>
      </c>
      <c r="BU40" s="18">
        <f t="shared" si="8"/>
        <v>0.70217007330270587</v>
      </c>
      <c r="BV40" s="18">
        <f t="shared" si="5"/>
        <v>0.96833758510308932</v>
      </c>
      <c r="BW40" s="18">
        <f t="shared" si="5"/>
        <v>0.75089524827276655</v>
      </c>
      <c r="BX40" s="18">
        <f t="shared" si="5"/>
        <v>0.97176878647100173</v>
      </c>
      <c r="BY40" s="18">
        <f t="shared" si="5"/>
        <v>0.89385450913337028</v>
      </c>
      <c r="BZ40" s="18">
        <f t="shared" si="5"/>
        <v>0.98962053353357748</v>
      </c>
      <c r="CA40" s="18">
        <f t="shared" si="5"/>
        <v>0.99192084660032176</v>
      </c>
      <c r="CB40" s="18">
        <f t="shared" si="5"/>
        <v>0.99710658528404161</v>
      </c>
      <c r="CC40" s="18">
        <f t="shared" si="5"/>
        <v>0.98875768686425691</v>
      </c>
      <c r="CD40" s="18">
        <f t="shared" si="5"/>
        <v>0.65896065041170082</v>
      </c>
    </row>
    <row r="41" spans="1:82" x14ac:dyDescent="0.3">
      <c r="A41" s="7" t="str">
        <v>Webb, Jacob</v>
      </c>
      <c r="B41">
        <f>_xlfn.XLOOKUP($A41,braves_19_25__2[player_name], braves_19_25__2[release_pos_z])</f>
        <v>5.62</v>
      </c>
      <c r="C41">
        <f>_xlfn.XLOOKUP($A41,braves_19_25__2[player_name], braves_19_25__2[release_pos_x])*2.5</f>
        <v>-3.9750000000000001</v>
      </c>
      <c r="D41">
        <f>_xlfn.XLOOKUP($A41,braves_19_25__2[player_name], braves_19_25__2[release_extension])</f>
        <v>6.08</v>
      </c>
      <c r="E41">
        <f>COS(RADIANS(AVERAGE(_xlfn.XLOOKUP($A41,braves_19_25__2[player_name],braves_19_25__2[arm_angle]))))*4</f>
        <v>3.1818939234195835</v>
      </c>
      <c r="F41">
        <f>SIN(RADIANS(AVERAGE(_xlfn.XLOOKUP($A41,braves_19_25__2[player_name],braves_19_25__2[arm_angle]))))*4</f>
        <v>2.423953601062844</v>
      </c>
      <c r="G41">
        <f t="shared" si="2"/>
        <v>10.017555839624753</v>
      </c>
      <c r="I41" s="7" t="str">
        <v>Webb, Jacob</v>
      </c>
      <c r="J41" s="18">
        <f t="shared" si="11"/>
        <v>0.85583693103672154</v>
      </c>
      <c r="K41" s="18">
        <f t="shared" si="9"/>
        <v>0.98413230627664117</v>
      </c>
      <c r="L41" s="18">
        <f t="shared" si="9"/>
        <v>0.99368729112486986</v>
      </c>
      <c r="M41" s="18">
        <f t="shared" si="9"/>
        <v>0.98597958738643221</v>
      </c>
      <c r="N41" s="18">
        <f t="shared" si="9"/>
        <v>0.65343650483794646</v>
      </c>
      <c r="O41" s="18">
        <f t="shared" si="9"/>
        <v>0.98315488475544366</v>
      </c>
      <c r="P41" s="18">
        <f t="shared" si="9"/>
        <v>0.76927547270306673</v>
      </c>
      <c r="Q41" s="18">
        <f t="shared" si="9"/>
        <v>0.99574497500413905</v>
      </c>
      <c r="R41" s="18">
        <f t="shared" si="9"/>
        <v>0.98465487779441452</v>
      </c>
      <c r="S41" s="18">
        <f t="shared" si="9"/>
        <v>0.99109783209774105</v>
      </c>
      <c r="T41" s="18">
        <f t="shared" si="9"/>
        <v>0.99488478113088019</v>
      </c>
      <c r="U41" s="18">
        <f t="shared" si="9"/>
        <v>0.99829860552829675</v>
      </c>
      <c r="V41" s="18">
        <f t="shared" si="9"/>
        <v>0.98321067171435428</v>
      </c>
      <c r="W41" s="18">
        <f t="shared" si="9"/>
        <v>0.82692157026648228</v>
      </c>
      <c r="X41" s="18">
        <f t="shared" si="9"/>
        <v>0.98563045158764062</v>
      </c>
      <c r="Y41" s="18">
        <f t="shared" si="9"/>
        <v>0.99955340081812083</v>
      </c>
      <c r="Z41" s="18">
        <f t="shared" ref="Z41:AO56" si="14">(
   INDEX($B$3:$B$75, MATCH(Z$2,_xlfn.ANCHORARRAY( $A$3), 0)) *
   INDEX($B$3:$B$75, MATCH($I41,_xlfn.ANCHORARRAY( $A$3), 0))
 +
   (
     INDEX($C$3:$C$75, MATCH(Z$2,_xlfn.ANCHORARRAY( $A$3), 0)) *
     INDEX($C$3:$C$75, MATCH($I41,_xlfn.ANCHORARRAY( $A$3), 0))
   ) *
   IF(
       SIGN(INDEX($C$3:$C$75, MATCH(Z$2,_xlfn.ANCHORARRAY( $A$3), 0)))
       =
       SIGN(INDEX($C$3:$C$75, MATCH($I41,_xlfn.ANCHORARRAY( $A$3), 0))),
       1,
       0.1
   )
 +
   INDEX($D$3:$D$75, MATCH(Z$2,_xlfn.ANCHORARRAY( $A$3), 0)) *
   INDEX($D$3:$D$75, MATCH($I41,_xlfn.ANCHORARRAY( $A$3), 0)) + INDEX($E$3:$E$75,MATCH(Z$2,_xlfn.ANCHORARRAY($A$3),0)) * INDEX($E$3:$E$75,MATCH($I41,_xlfn.ANCHORARRAY($A$3),0)) + INDEX($F$3:$F$75,MATCH(Z$2,_xlfn.ANCHORARRAY($A$3),0)) * INDEX($F$3:$F$75,MATCH($I41,_xlfn.ANCHORARRAY($A$3),0)))
/
(
   SQRT(
       INDEX($B$3:$B$75, MATCH(Z$2,_xlfn.ANCHORARRAY( $A$3), 0))^2 +
       INDEX($C$3:$C$75, MATCH(Z$2,_xlfn.ANCHORARRAY( $A$3), 0))^2 +
       INDEX($D$3:$D$75, MATCH(Z$2,_xlfn.ANCHORARRAY( $A$3), 0))^2 + INDEX($E$3:$E$75,MATCH(Z$2,_xlfn.ANCHORARRAY($A$3),0))^2 + INDEX($F$3:$F$75,MATCH(Z$2,_xlfn.ANCHORARRAY($A$3),0))^2   )
   *
   SQRT(
       INDEX($B$3:$B$75, MATCH($I41,_xlfn.ANCHORARRAY( $A$3), 0))^2 +
       INDEX($C$3:$C$75, MATCH($I41,_xlfn.ANCHORARRAY( $A$3), 0))^2 +
       INDEX($D$3:$D$75, MATCH($I41,_xlfn.ANCHORARRAY( $A$3), 0))^2 + INDEX($E$3:$E$75,MATCH($I41,_xlfn.ANCHORARRAY($A$3),0))^2 + INDEX($F$3:$F$75,MATCH($I41,_xlfn.ANCHORARRAY($A$3),0))^2
   )
)</f>
        <v>0.81100547080721541</v>
      </c>
      <c r="AA41" s="18">
        <f t="shared" si="14"/>
        <v>0.83484949612122727</v>
      </c>
      <c r="AB41" s="18">
        <f t="shared" si="14"/>
        <v>0.99364660064694088</v>
      </c>
      <c r="AC41" s="18">
        <f t="shared" si="14"/>
        <v>0.99897825743904922</v>
      </c>
      <c r="AD41" s="18">
        <f t="shared" si="14"/>
        <v>0.8089816151987449</v>
      </c>
      <c r="AE41" s="18">
        <f t="shared" si="14"/>
        <v>0.98966536379662584</v>
      </c>
      <c r="AF41" s="18">
        <f t="shared" si="14"/>
        <v>0.99781943823613795</v>
      </c>
      <c r="AG41" s="18">
        <f t="shared" si="14"/>
        <v>0.99478574642633755</v>
      </c>
      <c r="AH41" s="18">
        <f t="shared" si="14"/>
        <v>0.98400301112015154</v>
      </c>
      <c r="AI41" s="18">
        <f t="shared" si="14"/>
        <v>0.83295962387975364</v>
      </c>
      <c r="AJ41" s="18">
        <f t="shared" si="14"/>
        <v>0.99822000429595303</v>
      </c>
      <c r="AK41" s="18">
        <f t="shared" si="14"/>
        <v>0.67638521695231135</v>
      </c>
      <c r="AL41" s="18">
        <f t="shared" si="14"/>
        <v>0.92044817926844191</v>
      </c>
      <c r="AM41" s="18">
        <f t="shared" si="14"/>
        <v>0.99471618914855275</v>
      </c>
      <c r="AN41" s="18">
        <f t="shared" si="14"/>
        <v>0.97906329949399751</v>
      </c>
      <c r="AO41" s="18">
        <f t="shared" si="14"/>
        <v>0.97932740387550854</v>
      </c>
      <c r="AP41" s="18">
        <f t="shared" si="12"/>
        <v>0.98120207472067578</v>
      </c>
      <c r="AQ41" s="18">
        <f t="shared" si="13"/>
        <v>0.9757297147427002</v>
      </c>
      <c r="AR41" s="18">
        <f t="shared" si="13"/>
        <v>0.90824086465035836</v>
      </c>
      <c r="AS41" s="18">
        <f t="shared" si="13"/>
        <v>0.75504954551656023</v>
      </c>
      <c r="AT41" s="18">
        <f t="shared" si="13"/>
        <v>0.99871304900146696</v>
      </c>
      <c r="AU41" s="18">
        <f t="shared" si="13"/>
        <v>0.99735601412276553</v>
      </c>
      <c r="AV41" s="18">
        <f t="shared" si="13"/>
        <v>1</v>
      </c>
      <c r="AW41" s="18">
        <f t="shared" si="13"/>
        <v>0.9647291016594669</v>
      </c>
      <c r="AX41" s="18">
        <f t="shared" si="13"/>
        <v>0.97121506205940344</v>
      </c>
      <c r="AY41" s="18">
        <f t="shared" si="13"/>
        <v>0.66262194916817085</v>
      </c>
      <c r="AZ41" s="18">
        <f t="shared" si="13"/>
        <v>0.82263416595664163</v>
      </c>
      <c r="BA41" s="18">
        <f t="shared" si="13"/>
        <v>0.88908383516418565</v>
      </c>
      <c r="BB41" s="18">
        <f t="shared" si="13"/>
        <v>0.98771424361529836</v>
      </c>
      <c r="BC41" s="18">
        <f t="shared" si="13"/>
        <v>0.99165053447318319</v>
      </c>
      <c r="BD41" s="18">
        <f t="shared" si="13"/>
        <v>0.88000271815547815</v>
      </c>
      <c r="BE41" s="18">
        <f t="shared" si="13"/>
        <v>0.99686018510906971</v>
      </c>
      <c r="BF41" s="18">
        <f t="shared" si="13"/>
        <v>0.97278363663996437</v>
      </c>
      <c r="BG41" s="18">
        <f t="shared" si="10"/>
        <v>0.99807875484097197</v>
      </c>
      <c r="BH41" s="18">
        <f t="shared" si="10"/>
        <v>0.94739468877490929</v>
      </c>
      <c r="BI41" s="18">
        <f t="shared" si="10"/>
        <v>0.81926234444780976</v>
      </c>
      <c r="BJ41" s="18">
        <f t="shared" si="10"/>
        <v>0.97125174195742492</v>
      </c>
      <c r="BK41" s="18">
        <f t="shared" si="10"/>
        <v>0.98411622451699643</v>
      </c>
      <c r="BL41" s="18">
        <f t="shared" si="10"/>
        <v>0.95749114536248603</v>
      </c>
      <c r="BM41" s="18">
        <f t="shared" si="10"/>
        <v>0.995584393232397</v>
      </c>
      <c r="BN41" s="18">
        <f t="shared" si="10"/>
        <v>0.75777055980549146</v>
      </c>
      <c r="BO41" s="18">
        <f t="shared" si="10"/>
        <v>0.85203494065839624</v>
      </c>
      <c r="BP41" s="18">
        <f t="shared" si="10"/>
        <v>0.73070734637357904</v>
      </c>
      <c r="BQ41" s="18">
        <f t="shared" si="10"/>
        <v>0.9557028178552498</v>
      </c>
      <c r="BR41" s="18">
        <f t="shared" si="10"/>
        <v>0.9696294964083132</v>
      </c>
      <c r="BS41" s="18">
        <f t="shared" si="10"/>
        <v>0.82948886056097448</v>
      </c>
      <c r="BT41" s="18">
        <f t="shared" si="10"/>
        <v>0.97378639172221026</v>
      </c>
      <c r="BU41" s="18">
        <f t="shared" ref="BU41:BW57" si="15">(
   INDEX($B$3:$B$75, MATCH(BU$2,_xlfn.ANCHORARRAY( $A$3), 0)) *
   INDEX($B$3:$B$75, MATCH($I41,_xlfn.ANCHORARRAY( $A$3), 0))
 +
   (
     INDEX($C$3:$C$75, MATCH(BU$2,_xlfn.ANCHORARRAY( $A$3), 0)) *
     INDEX($C$3:$C$75, MATCH($I41,_xlfn.ANCHORARRAY( $A$3), 0))
   ) *
   IF(
       SIGN(INDEX($C$3:$C$75, MATCH(BU$2,_xlfn.ANCHORARRAY( $A$3), 0)))
       =
       SIGN(INDEX($C$3:$C$75, MATCH($I41,_xlfn.ANCHORARRAY( $A$3), 0))),
       1,
       0.1
   )
 +
   INDEX($D$3:$D$75, MATCH(BU$2,_xlfn.ANCHORARRAY( $A$3), 0)) *
   INDEX($D$3:$D$75, MATCH($I41,_xlfn.ANCHORARRAY( $A$3), 0)) + INDEX($E$3:$E$75,MATCH(BU$2,_xlfn.ANCHORARRAY($A$3),0)) * INDEX($E$3:$E$75,MATCH($I41,_xlfn.ANCHORARRAY($A$3),0)) + INDEX($F$3:$F$75,MATCH(BU$2,_xlfn.ANCHORARRAY($A$3),0)) * INDEX($F$3:$F$75,MATCH($I41,_xlfn.ANCHORARRAY($A$3),0)))
/
(
   SQRT(
       INDEX($B$3:$B$75, MATCH(BU$2,_xlfn.ANCHORARRAY( $A$3), 0))^2 +
       INDEX($C$3:$C$75, MATCH(BU$2,_xlfn.ANCHORARRAY( $A$3), 0))^2 +
       INDEX($D$3:$D$75, MATCH(BU$2,_xlfn.ANCHORARRAY( $A$3), 0))^2 + INDEX($E$3:$E$75,MATCH(BU$2,_xlfn.ANCHORARRAY($A$3),0))^2 + INDEX($F$3:$F$75,MATCH(BU$2,_xlfn.ANCHORARRAY($A$3),0))^2   )
   *
   SQRT(
       INDEX($B$3:$B$75, MATCH($I41,_xlfn.ANCHORARRAY( $A$3), 0))^2 +
       INDEX($C$3:$C$75, MATCH($I41,_xlfn.ANCHORARRAY( $A$3), 0))^2 +
       INDEX($D$3:$D$75, MATCH($I41,_xlfn.ANCHORARRAY( $A$3), 0))^2 + INDEX($E$3:$E$75,MATCH($I41,_xlfn.ANCHORARRAY($A$3),0))^2 + INDEX($F$3:$F$75,MATCH($I41,_xlfn.ANCHORARRAY($A$3),0))^2
   )
)</f>
        <v>0.69917422883102565</v>
      </c>
      <c r="BV41" s="18">
        <f t="shared" si="15"/>
        <v>0.97254886165829291</v>
      </c>
      <c r="BW41" s="18">
        <f t="shared" si="15"/>
        <v>0.75057196969031803</v>
      </c>
      <c r="BX41" s="18">
        <f t="shared" si="5"/>
        <v>0.97998921687952223</v>
      </c>
      <c r="BY41" s="18">
        <f t="shared" si="5"/>
        <v>0.89268439504220565</v>
      </c>
      <c r="BZ41" s="18">
        <f t="shared" si="5"/>
        <v>0.99294886747332567</v>
      </c>
      <c r="CA41" s="18">
        <f t="shared" si="5"/>
        <v>0.99706275098136654</v>
      </c>
      <c r="CB41" s="18">
        <f t="shared" si="5"/>
        <v>0.99915726402537652</v>
      </c>
      <c r="CC41" s="18">
        <f t="shared" si="5"/>
        <v>0.99208565912036839</v>
      </c>
      <c r="CD41" s="18">
        <f t="shared" si="5"/>
        <v>0.65766131805508199</v>
      </c>
    </row>
    <row r="42" spans="1:82" x14ac:dyDescent="0.3">
      <c r="A42" s="7" t="str">
        <v>Jansen, Kenley</v>
      </c>
      <c r="B42">
        <f>_xlfn.XLOOKUP($A42,braves_19_25__2[player_name], braves_19_25__2[release_pos_z])</f>
        <v>6.72</v>
      </c>
      <c r="C42">
        <f>_xlfn.XLOOKUP($A42,braves_19_25__2[player_name], braves_19_25__2[release_pos_x])*2.5</f>
        <v>-3</v>
      </c>
      <c r="D42">
        <f>_xlfn.XLOOKUP($A42,braves_19_25__2[player_name], braves_19_25__2[release_extension])</f>
        <v>6.89</v>
      </c>
      <c r="E42">
        <f>COS(RADIANS(AVERAGE(_xlfn.XLOOKUP($A42,braves_19_25__2[player_name],braves_19_25__2[arm_angle]))))*4</f>
        <v>1.2692186256203684</v>
      </c>
      <c r="F42">
        <f>SIN(RADIANS(AVERAGE(_xlfn.XLOOKUP($A42,braves_19_25__2[player_name],braves_19_25__2[arm_angle]))))*4</f>
        <v>3.7932946208247973</v>
      </c>
      <c r="G42">
        <f t="shared" si="2"/>
        <v>10.845759540023003</v>
      </c>
      <c r="I42" s="7" t="str">
        <v>Jansen, Kenley</v>
      </c>
      <c r="J42" s="18">
        <f t="shared" si="11"/>
        <v>0.89832510642228702</v>
      </c>
      <c r="K42" s="18">
        <f t="shared" si="11"/>
        <v>0.91288799151902578</v>
      </c>
      <c r="L42" s="18">
        <f t="shared" si="11"/>
        <v>0.95041022186858903</v>
      </c>
      <c r="M42" s="18">
        <f t="shared" si="11"/>
        <v>0.98974930867340738</v>
      </c>
      <c r="N42" s="18">
        <f t="shared" si="11"/>
        <v>0.64052052885542277</v>
      </c>
      <c r="O42" s="18">
        <f t="shared" si="11"/>
        <v>0.99388696017717926</v>
      </c>
      <c r="P42" s="18">
        <f t="shared" si="11"/>
        <v>0.79267795293352217</v>
      </c>
      <c r="Q42" s="18">
        <f t="shared" si="11"/>
        <v>0.94179846621191587</v>
      </c>
      <c r="R42" s="18">
        <f t="shared" si="11"/>
        <v>0.92833409626257946</v>
      </c>
      <c r="S42" s="18">
        <f t="shared" si="11"/>
        <v>0.94693409851005439</v>
      </c>
      <c r="T42" s="18">
        <f t="shared" si="11"/>
        <v>0.94027227075137443</v>
      </c>
      <c r="U42" s="18">
        <f t="shared" si="11"/>
        <v>0.95057181620670106</v>
      </c>
      <c r="V42" s="18">
        <f t="shared" si="11"/>
        <v>0.94859068084663134</v>
      </c>
      <c r="W42" s="18">
        <f t="shared" si="11"/>
        <v>0.86284739495999974</v>
      </c>
      <c r="X42" s="18">
        <f t="shared" si="11"/>
        <v>0.93441620343697618</v>
      </c>
      <c r="Y42" s="18">
        <f t="shared" si="11"/>
        <v>0.96256046682660856</v>
      </c>
      <c r="Z42" s="18">
        <f t="shared" si="14"/>
        <v>0.84981313320703766</v>
      </c>
      <c r="AA42" s="18">
        <f t="shared" si="14"/>
        <v>0.86620373684280716</v>
      </c>
      <c r="AB42" s="18">
        <f t="shared" si="14"/>
        <v>0.94417697852617866</v>
      </c>
      <c r="AC42" s="18">
        <f t="shared" si="14"/>
        <v>0.96928598716566561</v>
      </c>
      <c r="AD42" s="18">
        <f t="shared" si="14"/>
        <v>0.8515262262910458</v>
      </c>
      <c r="AE42" s="18">
        <f t="shared" si="14"/>
        <v>0.92906317433732544</v>
      </c>
      <c r="AF42" s="18">
        <f t="shared" si="14"/>
        <v>0.97719638301812495</v>
      </c>
      <c r="AG42" s="18">
        <f t="shared" si="14"/>
        <v>0.94657902064119803</v>
      </c>
      <c r="AH42" s="18">
        <f t="shared" si="14"/>
        <v>0.92647925329986991</v>
      </c>
      <c r="AI42" s="18">
        <f t="shared" si="14"/>
        <v>0.87257996659677539</v>
      </c>
      <c r="AJ42" s="18">
        <f t="shared" si="14"/>
        <v>0.95550976005274235</v>
      </c>
      <c r="AK42" s="18">
        <f t="shared" si="14"/>
        <v>0.65868516625895079</v>
      </c>
      <c r="AL42" s="18">
        <f t="shared" si="14"/>
        <v>0.82155208747667097</v>
      </c>
      <c r="AM42" s="18">
        <f t="shared" si="14"/>
        <v>0.96308035320569374</v>
      </c>
      <c r="AN42" s="18">
        <f t="shared" si="14"/>
        <v>0.97811123345414708</v>
      </c>
      <c r="AO42" s="18">
        <f t="shared" si="14"/>
        <v>0.93424456555651669</v>
      </c>
      <c r="AP42" s="18">
        <f t="shared" si="12"/>
        <v>0.91408654528760047</v>
      </c>
      <c r="AQ42" s="18">
        <f t="shared" si="13"/>
        <v>0.9203752871483426</v>
      </c>
      <c r="AR42" s="18">
        <f t="shared" si="13"/>
        <v>0.94245253430961107</v>
      </c>
      <c r="AS42" s="18">
        <f t="shared" si="13"/>
        <v>0.78399434695180792</v>
      </c>
      <c r="AT42" s="18">
        <f t="shared" si="13"/>
        <v>0.97336107480254253</v>
      </c>
      <c r="AU42" s="18">
        <f t="shared" si="13"/>
        <v>0.96277868474493233</v>
      </c>
      <c r="AV42" s="18">
        <f t="shared" si="13"/>
        <v>0.9647291016594669</v>
      </c>
      <c r="AW42" s="18">
        <f t="shared" si="13"/>
        <v>1</v>
      </c>
      <c r="AX42" s="18">
        <f t="shared" si="13"/>
        <v>0.99121151532790608</v>
      </c>
      <c r="AY42" s="18">
        <f t="shared" si="13"/>
        <v>0.68329413016517004</v>
      </c>
      <c r="AZ42" s="18">
        <f t="shared" si="13"/>
        <v>0.84485163457497814</v>
      </c>
      <c r="BA42" s="18">
        <f t="shared" si="13"/>
        <v>0.92108234208367568</v>
      </c>
      <c r="BB42" s="18">
        <f t="shared" si="13"/>
        <v>0.97396296645819525</v>
      </c>
      <c r="BC42" s="18">
        <f t="shared" si="13"/>
        <v>0.92832226550278107</v>
      </c>
      <c r="BD42" s="18">
        <f t="shared" si="13"/>
        <v>0.75805481230523886</v>
      </c>
      <c r="BE42" s="18">
        <f t="shared" si="13"/>
        <v>0.95092038925261191</v>
      </c>
      <c r="BF42" s="18">
        <f t="shared" ref="BF42:BU58" si="16">(
   INDEX($B$3:$B$75, MATCH(BF$2,_xlfn.ANCHORARRAY( $A$3), 0)) *
   INDEX($B$3:$B$75, MATCH($I42,_xlfn.ANCHORARRAY( $A$3), 0))
 +
   (
     INDEX($C$3:$C$75, MATCH(BF$2,_xlfn.ANCHORARRAY( $A$3), 0)) *
     INDEX($C$3:$C$75, MATCH($I42,_xlfn.ANCHORARRAY( $A$3), 0))
   ) *
   IF(
       SIGN(INDEX($C$3:$C$75, MATCH(BF$2,_xlfn.ANCHORARRAY( $A$3), 0)))
       =
       SIGN(INDEX($C$3:$C$75, MATCH($I42,_xlfn.ANCHORARRAY( $A$3), 0))),
       1,
       0.1
   )
 +
   INDEX($D$3:$D$75, MATCH(BF$2,_xlfn.ANCHORARRAY( $A$3), 0)) *
   INDEX($D$3:$D$75, MATCH($I42,_xlfn.ANCHORARRAY( $A$3), 0)) + INDEX($E$3:$E$75,MATCH(BF$2,_xlfn.ANCHORARRAY($A$3),0)) * INDEX($E$3:$E$75,MATCH($I42,_xlfn.ANCHORARRAY($A$3),0)) + INDEX($F$3:$F$75,MATCH(BF$2,_xlfn.ANCHORARRAY($A$3),0)) * INDEX($F$3:$F$75,MATCH($I42,_xlfn.ANCHORARRAY($A$3),0)))
/
(
   SQRT(
       INDEX($B$3:$B$75, MATCH(BF$2,_xlfn.ANCHORARRAY( $A$3), 0))^2 +
       INDEX($C$3:$C$75, MATCH(BF$2,_xlfn.ANCHORARRAY( $A$3), 0))^2 +
       INDEX($D$3:$D$75, MATCH(BF$2,_xlfn.ANCHORARRAY( $A$3), 0))^2 + INDEX($E$3:$E$75,MATCH(BF$2,_xlfn.ANCHORARRAY($A$3),0))^2 + INDEX($F$3:$F$75,MATCH(BF$2,_xlfn.ANCHORARRAY($A$3),0))^2   )
   *
   SQRT(
       INDEX($B$3:$B$75, MATCH($I42,_xlfn.ANCHORARRAY( $A$3), 0))^2 +
       INDEX($C$3:$C$75, MATCH($I42,_xlfn.ANCHORARRAY( $A$3), 0))^2 +
       INDEX($D$3:$D$75, MATCH($I42,_xlfn.ANCHORARRAY( $A$3), 0))^2 + INDEX($E$3:$E$75,MATCH($I42,_xlfn.ANCHORARRAY($A$3),0))^2 + INDEX($F$3:$F$75,MATCH($I42,_xlfn.ANCHORARRAY($A$3),0))^2
   )
)</f>
        <v>0.9476460788870078</v>
      </c>
      <c r="BG42" s="18">
        <f t="shared" si="16"/>
        <v>0.95311882734639541</v>
      </c>
      <c r="BH42" s="18">
        <f t="shared" si="16"/>
        <v>0.97482086884556607</v>
      </c>
      <c r="BI42" s="18">
        <f t="shared" si="16"/>
        <v>0.87821836128484654</v>
      </c>
      <c r="BJ42" s="18">
        <f t="shared" si="16"/>
        <v>0.98079827441356271</v>
      </c>
      <c r="BK42" s="18">
        <f t="shared" si="16"/>
        <v>0.98670481626127016</v>
      </c>
      <c r="BL42" s="18">
        <f t="shared" si="16"/>
        <v>0.98065099050495963</v>
      </c>
      <c r="BM42" s="18">
        <f t="shared" si="16"/>
        <v>0.97309940390220406</v>
      </c>
      <c r="BN42" s="18">
        <f t="shared" si="16"/>
        <v>0.7740618247523986</v>
      </c>
      <c r="BO42" s="18">
        <f t="shared" si="16"/>
        <v>0.89810068971811174</v>
      </c>
      <c r="BP42" s="18">
        <f t="shared" si="16"/>
        <v>0.76008847102546229</v>
      </c>
      <c r="BQ42" s="18">
        <f t="shared" si="16"/>
        <v>0.97907064020255208</v>
      </c>
      <c r="BR42" s="18">
        <f t="shared" si="16"/>
        <v>0.90610558923423579</v>
      </c>
      <c r="BS42" s="18">
        <f t="shared" si="16"/>
        <v>0.83940774006009999</v>
      </c>
      <c r="BT42" s="18">
        <f t="shared" si="16"/>
        <v>0.97755969953312927</v>
      </c>
      <c r="BU42" s="18">
        <f t="shared" si="16"/>
        <v>0.71066974313893927</v>
      </c>
      <c r="BV42" s="18">
        <f t="shared" si="15"/>
        <v>0.89159922586541474</v>
      </c>
      <c r="BW42" s="18">
        <f t="shared" si="15"/>
        <v>0.77547056588379193</v>
      </c>
      <c r="BX42" s="18">
        <f t="shared" si="5"/>
        <v>0.91069919043975012</v>
      </c>
      <c r="BY42" s="18">
        <f t="shared" si="5"/>
        <v>0.93435919457803152</v>
      </c>
      <c r="BZ42" s="18">
        <f t="shared" si="5"/>
        <v>0.9689117103657926</v>
      </c>
      <c r="CA42" s="18">
        <f t="shared" si="5"/>
        <v>0.96862108555609705</v>
      </c>
      <c r="CB42" s="18">
        <f t="shared" si="5"/>
        <v>0.97188961796193518</v>
      </c>
      <c r="CC42" s="18">
        <f t="shared" si="5"/>
        <v>0.98858306138541507</v>
      </c>
      <c r="CD42" s="18">
        <f t="shared" si="5"/>
        <v>0.68534627218035582</v>
      </c>
    </row>
    <row r="43" spans="1:82" x14ac:dyDescent="0.3">
      <c r="A43" s="7" t="str">
        <v>Waldrep, Hurston</v>
      </c>
      <c r="B43">
        <f>_xlfn.XLOOKUP($A43,braves_19_25__2[player_name], braves_19_25__2[release_pos_z])</f>
        <v>6.21</v>
      </c>
      <c r="C43">
        <f>_xlfn.XLOOKUP($A43,braves_19_25__2[player_name], braves_19_25__2[release_pos_x])*2.5</f>
        <v>-2.0499999999999998</v>
      </c>
      <c r="D43">
        <f>_xlfn.XLOOKUP($A43,braves_19_25__2[player_name], braves_19_25__2[release_extension])</f>
        <v>6.41</v>
      </c>
      <c r="E43">
        <f>COS(RADIANS(AVERAGE(_xlfn.XLOOKUP($A43,braves_19_25__2[player_name],braves_19_25__2[arm_angle]))))*4</f>
        <v>2.2656249476993313</v>
      </c>
      <c r="F43">
        <f>SIN(RADIANS(AVERAGE(_xlfn.XLOOKUP($A43,braves_19_25__2[player_name],braves_19_25__2[arm_angle]))))*4</f>
        <v>3.2965047544880628</v>
      </c>
      <c r="G43">
        <f t="shared" si="2"/>
        <v>9.9927323590697661</v>
      </c>
      <c r="I43" s="7" t="str">
        <v>Waldrep, Hurston</v>
      </c>
      <c r="J43" s="18">
        <f t="shared" si="11"/>
        <v>0.92542204661521854</v>
      </c>
      <c r="K43" s="18">
        <f t="shared" si="11"/>
        <v>0.91505319930833562</v>
      </c>
      <c r="L43" s="18">
        <f t="shared" si="11"/>
        <v>0.94606815911876962</v>
      </c>
      <c r="M43" s="18">
        <f t="shared" si="11"/>
        <v>0.99505987308205457</v>
      </c>
      <c r="N43" s="18">
        <f t="shared" si="11"/>
        <v>0.68428207264900298</v>
      </c>
      <c r="O43" s="18">
        <f t="shared" si="11"/>
        <v>0.98431856892782432</v>
      </c>
      <c r="P43" s="18">
        <f t="shared" si="11"/>
        <v>0.82653072518815507</v>
      </c>
      <c r="Q43" s="18">
        <f t="shared" si="11"/>
        <v>0.94816758299163961</v>
      </c>
      <c r="R43" s="18">
        <f t="shared" si="11"/>
        <v>0.92252053839804427</v>
      </c>
      <c r="S43" s="18">
        <f t="shared" si="11"/>
        <v>0.94474007709626318</v>
      </c>
      <c r="T43" s="18">
        <f t="shared" si="11"/>
        <v>0.95444814471252559</v>
      </c>
      <c r="U43" s="18">
        <f t="shared" si="11"/>
        <v>0.95582069851274443</v>
      </c>
      <c r="V43" s="18">
        <f t="shared" si="11"/>
        <v>0.93367896006600726</v>
      </c>
      <c r="W43" s="18">
        <f t="shared" si="11"/>
        <v>0.89247179093651663</v>
      </c>
      <c r="X43" s="18">
        <f t="shared" si="11"/>
        <v>0.92640902641076417</v>
      </c>
      <c r="Y43" s="18">
        <f t="shared" si="11"/>
        <v>0.97097658609848669</v>
      </c>
      <c r="Z43" s="18">
        <f t="shared" si="14"/>
        <v>0.87806536148714331</v>
      </c>
      <c r="AA43" s="18">
        <f t="shared" si="14"/>
        <v>0.89823631492999079</v>
      </c>
      <c r="AB43" s="18">
        <f t="shared" si="14"/>
        <v>0.94331600539192029</v>
      </c>
      <c r="AC43" s="18">
        <f t="shared" si="14"/>
        <v>0.97014502017516746</v>
      </c>
      <c r="AD43" s="18">
        <f t="shared" si="14"/>
        <v>0.87846657754342228</v>
      </c>
      <c r="AE43" s="18">
        <f t="shared" si="14"/>
        <v>0.92970331751277135</v>
      </c>
      <c r="AF43" s="18">
        <f t="shared" si="14"/>
        <v>0.98092031496245691</v>
      </c>
      <c r="AG43" s="18">
        <f t="shared" si="14"/>
        <v>0.94781539928608682</v>
      </c>
      <c r="AH43" s="18">
        <f t="shared" si="14"/>
        <v>0.9206822296257664</v>
      </c>
      <c r="AI43" s="18">
        <f t="shared" si="14"/>
        <v>0.90095710497629289</v>
      </c>
      <c r="AJ43" s="18">
        <f t="shared" si="14"/>
        <v>0.95738973003585393</v>
      </c>
      <c r="AK43" s="18">
        <f t="shared" si="14"/>
        <v>0.70505903701670414</v>
      </c>
      <c r="AL43" s="18">
        <f t="shared" si="14"/>
        <v>0.80645953514161517</v>
      </c>
      <c r="AM43" s="18">
        <f t="shared" si="14"/>
        <v>0.95820810156126424</v>
      </c>
      <c r="AN43" s="18">
        <f t="shared" si="14"/>
        <v>0.99503456440010418</v>
      </c>
      <c r="AO43" s="18">
        <f t="shared" si="14"/>
        <v>0.9195796128952376</v>
      </c>
      <c r="AP43" s="18">
        <f t="shared" si="12"/>
        <v>0.91166094886266713</v>
      </c>
      <c r="AQ43" s="18">
        <f t="shared" ref="AQ43:BF71" si="17">(
   INDEX($B$3:$B$75, MATCH(AQ$2,_xlfn.ANCHORARRAY( $A$3), 0)) *
   INDEX($B$3:$B$75, MATCH($I43,_xlfn.ANCHORARRAY( $A$3), 0))
 +
   (
     INDEX($C$3:$C$75, MATCH(AQ$2,_xlfn.ANCHORARRAY( $A$3), 0)) *
     INDEX($C$3:$C$75, MATCH($I43,_xlfn.ANCHORARRAY( $A$3), 0))
   ) *
   IF(
       SIGN(INDEX($C$3:$C$75, MATCH(AQ$2,_xlfn.ANCHORARRAY( $A$3), 0)))
       =
       SIGN(INDEX($C$3:$C$75, MATCH($I43,_xlfn.ANCHORARRAY( $A$3), 0))),
       1,
       0.1
   )
 +
   INDEX($D$3:$D$75, MATCH(AQ$2,_xlfn.ANCHORARRAY( $A$3), 0)) *
   INDEX($D$3:$D$75, MATCH($I43,_xlfn.ANCHORARRAY( $A$3), 0)) + INDEX($E$3:$E$75,MATCH(AQ$2,_xlfn.ANCHORARRAY($A$3),0)) * INDEX($E$3:$E$75,MATCH($I43,_xlfn.ANCHORARRAY($A$3),0)) + INDEX($F$3:$F$75,MATCH(AQ$2,_xlfn.ANCHORARRAY($A$3),0)) * INDEX($F$3:$F$75,MATCH($I43,_xlfn.ANCHORARRAY($A$3),0)))
/
(
   SQRT(
       INDEX($B$3:$B$75, MATCH(AQ$2,_xlfn.ANCHORARRAY( $A$3), 0))^2 +
       INDEX($C$3:$C$75, MATCH(AQ$2,_xlfn.ANCHORARRAY( $A$3), 0))^2 +
       INDEX($D$3:$D$75, MATCH(AQ$2,_xlfn.ANCHORARRAY( $A$3), 0))^2 + INDEX($E$3:$E$75,MATCH(AQ$2,_xlfn.ANCHORARRAY($A$3),0))^2 + INDEX($F$3:$F$75,MATCH(AQ$2,_xlfn.ANCHORARRAY($A$3),0))^2   )
   *
   SQRT(
       INDEX($B$3:$B$75, MATCH($I43,_xlfn.ANCHORARRAY( $A$3), 0))^2 +
       INDEX($C$3:$C$75, MATCH($I43,_xlfn.ANCHORARRAY( $A$3), 0))^2 +
       INDEX($D$3:$D$75, MATCH($I43,_xlfn.ANCHORARRAY( $A$3), 0))^2 + INDEX($E$3:$E$75,MATCH($I43,_xlfn.ANCHORARRAY($A$3),0))^2 + INDEX($F$3:$F$75,MATCH($I43,_xlfn.ANCHORARRAY($A$3),0))^2
   )
)</f>
        <v>0.90730216363870464</v>
      </c>
      <c r="AR43" s="18">
        <f t="shared" si="17"/>
        <v>0.97140216756335052</v>
      </c>
      <c r="AS43" s="18">
        <f t="shared" si="17"/>
        <v>0.8148953791514324</v>
      </c>
      <c r="AT43" s="18">
        <f t="shared" si="17"/>
        <v>0.98128662699560076</v>
      </c>
      <c r="AU43" s="18">
        <f t="shared" si="17"/>
        <v>0.97001802533661652</v>
      </c>
      <c r="AV43" s="18">
        <f t="shared" si="17"/>
        <v>0.97121506205940344</v>
      </c>
      <c r="AW43" s="18">
        <f t="shared" si="17"/>
        <v>0.99121151532790608</v>
      </c>
      <c r="AX43" s="18">
        <f t="shared" si="17"/>
        <v>1</v>
      </c>
      <c r="AY43" s="18">
        <f t="shared" si="17"/>
        <v>0.71496969562003776</v>
      </c>
      <c r="AZ43" s="18">
        <f t="shared" si="17"/>
        <v>0.88019288708716958</v>
      </c>
      <c r="BA43" s="18">
        <f t="shared" si="17"/>
        <v>0.95222294000402619</v>
      </c>
      <c r="BB43" s="18">
        <f t="shared" si="17"/>
        <v>0.99149551460943863</v>
      </c>
      <c r="BC43" s="18">
        <f t="shared" si="17"/>
        <v>0.93497607215900247</v>
      </c>
      <c r="BD43" s="18">
        <f t="shared" si="17"/>
        <v>0.75890474928995577</v>
      </c>
      <c r="BE43" s="18">
        <f t="shared" si="17"/>
        <v>0.95297841847169429</v>
      </c>
      <c r="BF43" s="18">
        <f t="shared" si="17"/>
        <v>0.92569044442496529</v>
      </c>
      <c r="BG43" s="18">
        <f t="shared" si="16"/>
        <v>0.95733359794095318</v>
      </c>
      <c r="BH43" s="18">
        <f t="shared" si="16"/>
        <v>0.99379086338333467</v>
      </c>
      <c r="BI43" s="18">
        <f t="shared" si="16"/>
        <v>0.89788784309004643</v>
      </c>
      <c r="BJ43" s="18">
        <f t="shared" si="16"/>
        <v>0.99633892083558895</v>
      </c>
      <c r="BK43" s="18">
        <f t="shared" si="16"/>
        <v>0.99702537721552209</v>
      </c>
      <c r="BL43" s="18">
        <f t="shared" si="16"/>
        <v>0.996472660287126</v>
      </c>
      <c r="BM43" s="18">
        <f t="shared" si="16"/>
        <v>0.98484958814579449</v>
      </c>
      <c r="BN43" s="18">
        <f t="shared" si="16"/>
        <v>0.8106908354999095</v>
      </c>
      <c r="BO43" s="18">
        <f t="shared" si="16"/>
        <v>0.92360685351260285</v>
      </c>
      <c r="BP43" s="18">
        <f t="shared" si="16"/>
        <v>0.79062669091182813</v>
      </c>
      <c r="BQ43" s="18">
        <f t="shared" si="16"/>
        <v>0.99571099947828356</v>
      </c>
      <c r="BR43" s="18">
        <f t="shared" si="16"/>
        <v>0.89276142658910163</v>
      </c>
      <c r="BS43" s="18">
        <f t="shared" si="16"/>
        <v>0.87989213555710977</v>
      </c>
      <c r="BT43" s="18">
        <f t="shared" si="16"/>
        <v>0.99335663281579023</v>
      </c>
      <c r="BU43" s="18">
        <f t="shared" si="16"/>
        <v>0.74770686283207288</v>
      </c>
      <c r="BV43" s="18">
        <f t="shared" si="15"/>
        <v>0.89109962609708171</v>
      </c>
      <c r="BW43" s="18">
        <f t="shared" si="15"/>
        <v>0.80850744343691583</v>
      </c>
      <c r="BX43" s="18">
        <f t="shared" si="5"/>
        <v>0.90861634594712681</v>
      </c>
      <c r="BY43" s="18">
        <f t="shared" si="5"/>
        <v>0.96142227787515755</v>
      </c>
      <c r="BZ43" s="18">
        <f t="shared" si="5"/>
        <v>0.98440002838413432</v>
      </c>
      <c r="CA43" s="18">
        <f t="shared" si="5"/>
        <v>0.96594661801704185</v>
      </c>
      <c r="CB43" s="18">
        <f t="shared" si="5"/>
        <v>0.9790091617681238</v>
      </c>
      <c r="CC43" s="18">
        <f t="shared" si="5"/>
        <v>0.98604342357232311</v>
      </c>
      <c r="CD43" s="18">
        <f t="shared" si="5"/>
        <v>0.71439787877623229</v>
      </c>
    </row>
    <row r="44" spans="1:82" x14ac:dyDescent="0.3">
      <c r="A44" s="7" t="str">
        <v>Dayton, Grant</v>
      </c>
      <c r="B44">
        <f>_xlfn.XLOOKUP($A44,braves_19_25__2[player_name], braves_19_25__2[release_pos_z])</f>
        <v>5.5</v>
      </c>
      <c r="C44">
        <f>_xlfn.XLOOKUP($A44,braves_19_25__2[player_name], braves_19_25__2[release_pos_x])*2.5</f>
        <v>8.35</v>
      </c>
      <c r="D44">
        <f>_xlfn.XLOOKUP($A44,braves_19_25__2[player_name], braves_19_25__2[release_extension])</f>
        <v>6.65</v>
      </c>
      <c r="E44">
        <f>COS(RADIANS(AVERAGE(_xlfn.XLOOKUP($A44,braves_19_25__2[player_name],braves_19_25__2[arm_angle]))))*4</f>
        <v>3.0997779548167181</v>
      </c>
      <c r="F44">
        <f>SIN(RADIANS(AVERAGE(_xlfn.XLOOKUP($A44,braves_19_25__2[player_name],braves_19_25__2[arm_angle]))))*4</f>
        <v>2.5281172106594036</v>
      </c>
      <c r="G44">
        <f t="shared" si="2"/>
        <v>12.656816345353203</v>
      </c>
      <c r="I44" s="7" t="str">
        <v>Dayton, Grant</v>
      </c>
      <c r="J44" s="18">
        <f t="shared" si="11"/>
        <v>0.91222556155578216</v>
      </c>
      <c r="K44" s="18">
        <f t="shared" si="11"/>
        <v>0.60017393537161834</v>
      </c>
      <c r="L44" s="18">
        <f t="shared" si="11"/>
        <v>0.61910852886390211</v>
      </c>
      <c r="M44" s="18">
        <f t="shared" si="11"/>
        <v>0.69332868297425176</v>
      </c>
      <c r="N44" s="18">
        <f t="shared" si="11"/>
        <v>0.98490587252062856</v>
      </c>
      <c r="O44" s="18">
        <f t="shared" si="11"/>
        <v>0.6648288467407345</v>
      </c>
      <c r="P44" s="18">
        <f t="shared" si="11"/>
        <v>0.98214175864762143</v>
      </c>
      <c r="Q44" s="18">
        <f t="shared" si="11"/>
        <v>0.64040133976380753</v>
      </c>
      <c r="R44" s="18">
        <f t="shared" si="11"/>
        <v>0.5985610539510291</v>
      </c>
      <c r="S44" s="18">
        <f t="shared" si="11"/>
        <v>0.61718215996064307</v>
      </c>
      <c r="T44" s="18">
        <f t="shared" si="11"/>
        <v>0.66078531746307645</v>
      </c>
      <c r="U44" s="18">
        <f t="shared" si="11"/>
        <v>0.64385742075601138</v>
      </c>
      <c r="V44" s="18">
        <f t="shared" si="11"/>
        <v>0.59330267449358198</v>
      </c>
      <c r="W44" s="18">
        <f t="shared" si="11"/>
        <v>0.94379374652204073</v>
      </c>
      <c r="X44" s="18">
        <f t="shared" si="11"/>
        <v>0.59257332574602073</v>
      </c>
      <c r="Y44" s="18">
        <f t="shared" si="11"/>
        <v>0.6631623703154107</v>
      </c>
      <c r="Z44" s="18">
        <f t="shared" si="14"/>
        <v>0.95468843628768596</v>
      </c>
      <c r="AA44" s="18">
        <f t="shared" si="14"/>
        <v>0.93420562814256924</v>
      </c>
      <c r="AB44" s="18">
        <f t="shared" si="14"/>
        <v>0.6195178309219761</v>
      </c>
      <c r="AC44" s="18">
        <f t="shared" si="14"/>
        <v>0.65502560484002392</v>
      </c>
      <c r="AD44" s="18">
        <f t="shared" si="14"/>
        <v>0.94774979940324233</v>
      </c>
      <c r="AE44" s="18">
        <f t="shared" si="14"/>
        <v>0.61360499020425452</v>
      </c>
      <c r="AF44" s="18">
        <f t="shared" si="14"/>
        <v>0.6693058915769029</v>
      </c>
      <c r="AG44" s="18">
        <f t="shared" si="14"/>
        <v>0.63435544860813975</v>
      </c>
      <c r="AH44" s="18">
        <f t="shared" si="14"/>
        <v>0.59771687066584622</v>
      </c>
      <c r="AI44" s="18">
        <f t="shared" si="14"/>
        <v>0.93168237399483234</v>
      </c>
      <c r="AJ44" s="18">
        <f t="shared" si="14"/>
        <v>0.64025295085163558</v>
      </c>
      <c r="AK44" s="18">
        <f t="shared" si="14"/>
        <v>0.97941847128073811</v>
      </c>
      <c r="AL44" s="18">
        <f t="shared" si="14"/>
        <v>0.47723260004258167</v>
      </c>
      <c r="AM44" s="18">
        <f t="shared" si="14"/>
        <v>0.63637111118030054</v>
      </c>
      <c r="AN44" s="18">
        <f t="shared" si="14"/>
        <v>0.71372389540593983</v>
      </c>
      <c r="AO44" s="18">
        <f t="shared" si="14"/>
        <v>0.57905788167044381</v>
      </c>
      <c r="AP44" s="18">
        <f t="shared" si="12"/>
        <v>0.58351329975767741</v>
      </c>
      <c r="AQ44" s="18">
        <f t="shared" si="17"/>
        <v>0.57045718893150188</v>
      </c>
      <c r="AR44" s="18">
        <f t="shared" si="17"/>
        <v>0.79702398164917709</v>
      </c>
      <c r="AS44" s="18">
        <f t="shared" si="17"/>
        <v>0.98633832695246715</v>
      </c>
      <c r="AT44" s="18">
        <f t="shared" si="17"/>
        <v>0.67658356011095711</v>
      </c>
      <c r="AU44" s="18">
        <f t="shared" si="17"/>
        <v>0.65981371171255065</v>
      </c>
      <c r="AV44" s="18">
        <f t="shared" si="17"/>
        <v>0.66262194916817085</v>
      </c>
      <c r="AW44" s="18">
        <f t="shared" si="17"/>
        <v>0.68329413016517004</v>
      </c>
      <c r="AX44" s="18">
        <f t="shared" si="17"/>
        <v>0.71496969562003776</v>
      </c>
      <c r="AY44" s="18">
        <f t="shared" si="17"/>
        <v>0.99999999999999978</v>
      </c>
      <c r="AZ44" s="18">
        <f t="shared" si="17"/>
        <v>0.95045270378215541</v>
      </c>
      <c r="BA44" s="18">
        <f t="shared" si="17"/>
        <v>0.86481730027051484</v>
      </c>
      <c r="BB44" s="18">
        <f t="shared" si="17"/>
        <v>0.7095740639052619</v>
      </c>
      <c r="BC44" s="18">
        <f t="shared" si="17"/>
        <v>0.62723917535992291</v>
      </c>
      <c r="BD44" s="18">
        <f t="shared" si="17"/>
        <v>0.48137820637275952</v>
      </c>
      <c r="BE44" s="18">
        <f t="shared" si="17"/>
        <v>0.63921895555938502</v>
      </c>
      <c r="BF44" s="18">
        <f t="shared" si="17"/>
        <v>0.57731802398501797</v>
      </c>
      <c r="BG44" s="18">
        <f t="shared" si="16"/>
        <v>0.64534957729891473</v>
      </c>
      <c r="BH44" s="18">
        <f t="shared" si="16"/>
        <v>0.73252302459472252</v>
      </c>
      <c r="BI44" s="18">
        <f t="shared" si="16"/>
        <v>0.9291958857428827</v>
      </c>
      <c r="BJ44" s="18">
        <f t="shared" si="16"/>
        <v>0.7154428209650292</v>
      </c>
      <c r="BK44" s="18">
        <f t="shared" si="16"/>
        <v>0.70448156246478189</v>
      </c>
      <c r="BL44" s="18">
        <f t="shared" si="16"/>
        <v>0.7256012588356423</v>
      </c>
      <c r="BM44" s="18">
        <f t="shared" si="16"/>
        <v>0.69204569756905532</v>
      </c>
      <c r="BN44" s="18">
        <f t="shared" si="16"/>
        <v>0.98457137482581247</v>
      </c>
      <c r="BO44" s="18">
        <f t="shared" si="16"/>
        <v>0.91229711267788738</v>
      </c>
      <c r="BP44" s="18">
        <f t="shared" si="16"/>
        <v>0.99182041894981432</v>
      </c>
      <c r="BQ44" s="18">
        <f t="shared" si="16"/>
        <v>0.72785298462747017</v>
      </c>
      <c r="BR44" s="18">
        <f t="shared" si="16"/>
        <v>0.55658134069094611</v>
      </c>
      <c r="BS44" s="18">
        <f t="shared" si="16"/>
        <v>0.94721729610426464</v>
      </c>
      <c r="BT44" s="18">
        <f t="shared" si="16"/>
        <v>0.71060844329890505</v>
      </c>
      <c r="BU44" s="18">
        <f t="shared" si="16"/>
        <v>0.99414575556922002</v>
      </c>
      <c r="BV44" s="18">
        <f t="shared" si="15"/>
        <v>0.57418438058990939</v>
      </c>
      <c r="BW44" s="18">
        <f t="shared" si="15"/>
        <v>0.98725323433806711</v>
      </c>
      <c r="BX44" s="18">
        <f t="shared" si="5"/>
        <v>0.59071148310238897</v>
      </c>
      <c r="BY44" s="18">
        <f t="shared" si="5"/>
        <v>0.84441202703619911</v>
      </c>
      <c r="BZ44" s="18">
        <f t="shared" si="5"/>
        <v>0.69879242305416045</v>
      </c>
      <c r="CA44" s="18">
        <f t="shared" si="5"/>
        <v>0.64752661897954922</v>
      </c>
      <c r="CB44" s="18">
        <f t="shared" si="5"/>
        <v>0.67413107392272054</v>
      </c>
      <c r="CC44" s="18">
        <f t="shared" si="5"/>
        <v>0.67054308377919614</v>
      </c>
      <c r="CD44" s="18">
        <f t="shared" si="5"/>
        <v>0.99783588320627403</v>
      </c>
    </row>
    <row r="45" spans="1:82" x14ac:dyDescent="0.3">
      <c r="A45" s="7" t="str">
        <v>Muller, Kyle</v>
      </c>
      <c r="B45">
        <f>_xlfn.XLOOKUP($A45,braves_19_25__2[player_name], braves_19_25__2[release_pos_z])</f>
        <v>6.37</v>
      </c>
      <c r="C45">
        <f>_xlfn.XLOOKUP($A45,braves_19_25__2[player_name], braves_19_25__2[release_pos_x])*2.5</f>
        <v>4.3</v>
      </c>
      <c r="D45">
        <f>_xlfn.XLOOKUP($A45,braves_19_25__2[player_name], braves_19_25__2[release_extension])</f>
        <v>6.21</v>
      </c>
      <c r="E45">
        <f>COS(RADIANS(AVERAGE(_xlfn.XLOOKUP($A45,braves_19_25__2[player_name],braves_19_25__2[arm_angle]))))*4</f>
        <v>3.1434275727016074</v>
      </c>
      <c r="F45">
        <f>SIN(RADIANS(AVERAGE(_xlfn.XLOOKUP($A45,braves_19_25__2[player_name],braves_19_25__2[arm_angle]))))*4</f>
        <v>2.4736335814302168</v>
      </c>
      <c r="G45">
        <f t="shared" si="2"/>
        <v>10.659784237966544</v>
      </c>
      <c r="I45" s="7" t="str">
        <v>Muller, Kyle</v>
      </c>
      <c r="J45" s="18">
        <f t="shared" si="11"/>
        <v>0.98922918038073326</v>
      </c>
      <c r="K45" s="18">
        <f t="shared" si="11"/>
        <v>0.75054668294408033</v>
      </c>
      <c r="L45" s="18">
        <f t="shared" si="11"/>
        <v>0.77525908391948273</v>
      </c>
      <c r="M45" s="18">
        <f t="shared" si="11"/>
        <v>0.86113768523845136</v>
      </c>
      <c r="N45" s="18">
        <f t="shared" si="11"/>
        <v>0.9348519952292591</v>
      </c>
      <c r="O45" s="18">
        <f t="shared" si="11"/>
        <v>0.82275915737114691</v>
      </c>
      <c r="P45" s="18">
        <f t="shared" si="11"/>
        <v>0.99129472960535303</v>
      </c>
      <c r="Q45" s="18">
        <f t="shared" si="11"/>
        <v>0.79597824101226444</v>
      </c>
      <c r="R45" s="18">
        <f t="shared" si="11"/>
        <v>0.74412712192347863</v>
      </c>
      <c r="S45" s="18">
        <f t="shared" si="11"/>
        <v>0.7785661189603913</v>
      </c>
      <c r="T45" s="18">
        <f t="shared" si="11"/>
        <v>0.81671938202255534</v>
      </c>
      <c r="U45" s="18">
        <f t="shared" si="11"/>
        <v>0.80101511079748811</v>
      </c>
      <c r="V45" s="18">
        <f t="shared" si="11"/>
        <v>0.74579089876763305</v>
      </c>
      <c r="W45" s="18">
        <f t="shared" si="11"/>
        <v>0.99799474486338691</v>
      </c>
      <c r="X45" s="18">
        <f t="shared" si="11"/>
        <v>0.74566982516761438</v>
      </c>
      <c r="Y45" s="18">
        <f t="shared" si="11"/>
        <v>0.82446731193995204</v>
      </c>
      <c r="Z45" s="18">
        <f t="shared" si="14"/>
        <v>0.99676970480204086</v>
      </c>
      <c r="AA45" s="18">
        <f t="shared" si="14"/>
        <v>0.99775482936007354</v>
      </c>
      <c r="AB45" s="18">
        <f t="shared" si="14"/>
        <v>0.77745300476745083</v>
      </c>
      <c r="AC45" s="18">
        <f t="shared" si="14"/>
        <v>0.8130090897111053</v>
      </c>
      <c r="AD45" s="18">
        <f t="shared" si="14"/>
        <v>0.99484532487313648</v>
      </c>
      <c r="AE45" s="18">
        <f t="shared" si="14"/>
        <v>0.76376540976931329</v>
      </c>
      <c r="AF45" s="18">
        <f t="shared" si="14"/>
        <v>0.83335761691114807</v>
      </c>
      <c r="AG45" s="18">
        <f t="shared" si="14"/>
        <v>0.78612977023265407</v>
      </c>
      <c r="AH45" s="18">
        <f t="shared" si="14"/>
        <v>0.74386929672340607</v>
      </c>
      <c r="AI45" s="18">
        <f t="shared" si="14"/>
        <v>0.99562376537442721</v>
      </c>
      <c r="AJ45" s="18">
        <f t="shared" si="14"/>
        <v>0.79780945807385761</v>
      </c>
      <c r="AK45" s="18">
        <f t="shared" si="14"/>
        <v>0.94385545183110464</v>
      </c>
      <c r="AL45" s="18">
        <f t="shared" si="14"/>
        <v>0.60795098955466564</v>
      </c>
      <c r="AM45" s="18">
        <f t="shared" si="14"/>
        <v>0.7887552545525317</v>
      </c>
      <c r="AN45" s="18">
        <f t="shared" si="14"/>
        <v>0.88335221486994486</v>
      </c>
      <c r="AO45" s="18">
        <f t="shared" si="14"/>
        <v>0.72933068675731372</v>
      </c>
      <c r="AP45" s="18">
        <f t="shared" si="12"/>
        <v>0.73682696628985933</v>
      </c>
      <c r="AQ45" s="18">
        <f t="shared" si="17"/>
        <v>0.7153657601379334</v>
      </c>
      <c r="AR45" s="18">
        <f t="shared" si="17"/>
        <v>0.93776864901355739</v>
      </c>
      <c r="AS45" s="18">
        <f t="shared" si="17"/>
        <v>0.98734114750925883</v>
      </c>
      <c r="AT45" s="18">
        <f t="shared" si="17"/>
        <v>0.83976721028352064</v>
      </c>
      <c r="AU45" s="18">
        <f t="shared" si="17"/>
        <v>0.8254938491144882</v>
      </c>
      <c r="AV45" s="18">
        <f t="shared" si="17"/>
        <v>0.82263416595664163</v>
      </c>
      <c r="AW45" s="18">
        <f t="shared" si="17"/>
        <v>0.84485163457497814</v>
      </c>
      <c r="AX45" s="18">
        <f t="shared" si="17"/>
        <v>0.88019288708716958</v>
      </c>
      <c r="AY45" s="18">
        <f t="shared" si="17"/>
        <v>0.95045270378215541</v>
      </c>
      <c r="AZ45" s="18">
        <f t="shared" si="17"/>
        <v>1.0000000000000002</v>
      </c>
      <c r="BA45" s="18">
        <f t="shared" si="17"/>
        <v>0.97101914307212056</v>
      </c>
      <c r="BB45" s="18">
        <f t="shared" si="17"/>
        <v>0.87541851510024149</v>
      </c>
      <c r="BC45" s="18">
        <f t="shared" si="17"/>
        <v>0.78093448229267581</v>
      </c>
      <c r="BD45" s="18">
        <f t="shared" si="17"/>
        <v>0.59842402070723</v>
      </c>
      <c r="BE45" s="18">
        <f t="shared" si="17"/>
        <v>0.79395998206494944</v>
      </c>
      <c r="BF45" s="18">
        <f t="shared" si="17"/>
        <v>0.72843859871729733</v>
      </c>
      <c r="BG45" s="18">
        <f t="shared" si="16"/>
        <v>0.80006458267353697</v>
      </c>
      <c r="BH45" s="18">
        <f t="shared" si="16"/>
        <v>0.90117099732402528</v>
      </c>
      <c r="BI45" s="18">
        <f t="shared" si="16"/>
        <v>0.98584883214108154</v>
      </c>
      <c r="BJ45" s="18">
        <f t="shared" si="16"/>
        <v>0.88569282133902161</v>
      </c>
      <c r="BK45" s="18">
        <f t="shared" si="16"/>
        <v>0.87194342354711052</v>
      </c>
      <c r="BL45" s="18">
        <f t="shared" si="16"/>
        <v>0.8952503788237669</v>
      </c>
      <c r="BM45" s="18">
        <f t="shared" si="16"/>
        <v>0.85356016750162156</v>
      </c>
      <c r="BN45" s="18">
        <f t="shared" si="16"/>
        <v>0.98941705433499127</v>
      </c>
      <c r="BO45" s="18">
        <f t="shared" si="16"/>
        <v>0.98925428800781634</v>
      </c>
      <c r="BP45" s="18">
        <f t="shared" si="16"/>
        <v>0.97989879797373713</v>
      </c>
      <c r="BQ45" s="18">
        <f t="shared" si="16"/>
        <v>0.89750418070143012</v>
      </c>
      <c r="BR45" s="18">
        <f t="shared" si="16"/>
        <v>0.70066145673539471</v>
      </c>
      <c r="BS45" s="18">
        <f t="shared" si="16"/>
        <v>0.99763610660949031</v>
      </c>
      <c r="BT45" s="18">
        <f t="shared" si="16"/>
        <v>0.88302619195757037</v>
      </c>
      <c r="BU45" s="18">
        <f t="shared" si="16"/>
        <v>0.96895921721788769</v>
      </c>
      <c r="BV45" s="18">
        <f t="shared" si="15"/>
        <v>0.72031395230235884</v>
      </c>
      <c r="BW45" s="18">
        <f t="shared" si="15"/>
        <v>0.98690910687317823</v>
      </c>
      <c r="BX45" s="18">
        <f t="shared" si="5"/>
        <v>0.73472665551754046</v>
      </c>
      <c r="BY45" s="18">
        <f t="shared" si="5"/>
        <v>0.96490389685245637</v>
      </c>
      <c r="BZ45" s="18">
        <f t="shared" si="5"/>
        <v>0.86100438852078542</v>
      </c>
      <c r="CA45" s="18">
        <f t="shared" si="5"/>
        <v>0.80337061593230752</v>
      </c>
      <c r="CB45" s="18">
        <f t="shared" si="5"/>
        <v>0.83612561447371325</v>
      </c>
      <c r="CC45" s="18">
        <f t="shared" si="5"/>
        <v>0.83068672081907668</v>
      </c>
      <c r="CD45" s="18">
        <f t="shared" si="5"/>
        <v>0.95083665336362866</v>
      </c>
    </row>
    <row r="46" spans="1:82" x14ac:dyDescent="0.3">
      <c r="A46" s="7" t="str">
        <v>Shuster, Jared</v>
      </c>
      <c r="B46">
        <f>_xlfn.XLOOKUP($A46,braves_19_25__2[player_name], braves_19_25__2[release_pos_z])</f>
        <v>5.67</v>
      </c>
      <c r="C46">
        <f>_xlfn.XLOOKUP($A46,braves_19_25__2[player_name], braves_19_25__2[release_pos_x])*2.5</f>
        <v>1.925</v>
      </c>
      <c r="D46">
        <f>_xlfn.XLOOKUP($A46,braves_19_25__2[player_name], braves_19_25__2[release_extension])</f>
        <v>6.7</v>
      </c>
      <c r="E46">
        <f>COS(RADIANS(AVERAGE(_xlfn.XLOOKUP($A46,braves_19_25__2[player_name],braves_19_25__2[arm_angle]))))*4</f>
        <v>2.7228834758356713</v>
      </c>
      <c r="F46">
        <f>SIN(RADIANS(AVERAGE(_xlfn.XLOOKUP($A46,braves_19_25__2[player_name],braves_19_25__2[arm_angle]))))*4</f>
        <v>2.9301715951495151</v>
      </c>
      <c r="G46">
        <f t="shared" si="2"/>
        <v>9.8358794726247023</v>
      </c>
      <c r="I46" s="7" t="str">
        <v>Shuster, Jared</v>
      </c>
      <c r="J46" s="18">
        <f t="shared" si="11"/>
        <v>0.99145814044177227</v>
      </c>
      <c r="K46" s="18">
        <f t="shared" si="11"/>
        <v>0.81056048759367549</v>
      </c>
      <c r="L46" s="18">
        <f t="shared" si="11"/>
        <v>0.83977011683801817</v>
      </c>
      <c r="M46" s="18">
        <f t="shared" si="11"/>
        <v>0.92810748200404969</v>
      </c>
      <c r="N46" s="18">
        <f t="shared" si="11"/>
        <v>0.84267535838970931</v>
      </c>
      <c r="O46" s="18">
        <f t="shared" si="11"/>
        <v>0.89965563879905397</v>
      </c>
      <c r="P46" s="18">
        <f t="shared" si="11"/>
        <v>0.94226046983572154</v>
      </c>
      <c r="Q46" s="18">
        <f t="shared" si="11"/>
        <v>0.85966623239636408</v>
      </c>
      <c r="R46" s="18">
        <f t="shared" si="11"/>
        <v>0.81347176212137751</v>
      </c>
      <c r="S46" s="18">
        <f t="shared" si="11"/>
        <v>0.83682089344056465</v>
      </c>
      <c r="T46" s="18">
        <f t="shared" si="11"/>
        <v>0.88098028921511851</v>
      </c>
      <c r="U46" s="18">
        <f t="shared" si="11"/>
        <v>0.8657944200775668</v>
      </c>
      <c r="V46" s="18">
        <f t="shared" si="11"/>
        <v>0.81285057445443043</v>
      </c>
      <c r="W46" s="18">
        <f t="shared" si="11"/>
        <v>0.97628467725894685</v>
      </c>
      <c r="X46" s="18">
        <f t="shared" si="11"/>
        <v>0.80842374771734116</v>
      </c>
      <c r="Y46" s="18">
        <f t="shared" si="11"/>
        <v>0.88933434490229712</v>
      </c>
      <c r="Z46" s="18">
        <f t="shared" si="14"/>
        <v>0.96876450806107461</v>
      </c>
      <c r="AA46" s="18">
        <f t="shared" si="14"/>
        <v>0.97677893581559305</v>
      </c>
      <c r="AB46" s="18">
        <f t="shared" si="14"/>
        <v>0.83854582787547327</v>
      </c>
      <c r="AC46" s="18">
        <f t="shared" si="14"/>
        <v>0.8822299986996418</v>
      </c>
      <c r="AD46" s="18">
        <f t="shared" si="14"/>
        <v>0.96426581620962581</v>
      </c>
      <c r="AE46" s="18">
        <f t="shared" si="14"/>
        <v>0.82879729281467385</v>
      </c>
      <c r="AF46" s="18">
        <f t="shared" si="14"/>
        <v>0.89911555742573612</v>
      </c>
      <c r="AG46" s="18">
        <f t="shared" si="14"/>
        <v>0.85491768158171599</v>
      </c>
      <c r="AH46" s="18">
        <f t="shared" si="14"/>
        <v>0.81177096824564854</v>
      </c>
      <c r="AI46" s="18">
        <f t="shared" si="14"/>
        <v>0.97681507532755063</v>
      </c>
      <c r="AJ46" s="18">
        <f t="shared" si="14"/>
        <v>0.86321578234177643</v>
      </c>
      <c r="AK46" s="18">
        <f t="shared" si="14"/>
        <v>0.85644058071300466</v>
      </c>
      <c r="AL46" s="18">
        <f t="shared" si="14"/>
        <v>0.66136244974762837</v>
      </c>
      <c r="AM46" s="18">
        <f t="shared" si="14"/>
        <v>0.86150042323625775</v>
      </c>
      <c r="AN46" s="18">
        <f t="shared" si="14"/>
        <v>0.94700087019359602</v>
      </c>
      <c r="AO46" s="18">
        <f t="shared" si="14"/>
        <v>0.79439464061600007</v>
      </c>
      <c r="AP46" s="18">
        <f t="shared" si="12"/>
        <v>0.79398708930246331</v>
      </c>
      <c r="AQ46" s="18">
        <f t="shared" si="17"/>
        <v>0.78245096074310949</v>
      </c>
      <c r="AR46" s="18">
        <f t="shared" si="17"/>
        <v>0.9921481915567868</v>
      </c>
      <c r="AS46" s="18">
        <f t="shared" si="17"/>
        <v>0.9341802379359917</v>
      </c>
      <c r="AT46" s="18">
        <f t="shared" si="17"/>
        <v>0.90588442056245622</v>
      </c>
      <c r="AU46" s="18">
        <f t="shared" si="17"/>
        <v>0.88527168322699235</v>
      </c>
      <c r="AV46" s="18">
        <f t="shared" si="17"/>
        <v>0.88908383516418565</v>
      </c>
      <c r="AW46" s="18">
        <f t="shared" si="17"/>
        <v>0.92108234208367568</v>
      </c>
      <c r="AX46" s="18">
        <f t="shared" si="17"/>
        <v>0.95222294000402619</v>
      </c>
      <c r="AY46" s="18">
        <f t="shared" si="17"/>
        <v>0.86481730027051484</v>
      </c>
      <c r="AZ46" s="18">
        <f t="shared" si="17"/>
        <v>0.97101914307212056</v>
      </c>
      <c r="BA46" s="18">
        <f t="shared" si="17"/>
        <v>1</v>
      </c>
      <c r="BB46" s="18">
        <f t="shared" si="17"/>
        <v>0.94118313149100186</v>
      </c>
      <c r="BC46" s="18">
        <f t="shared" si="17"/>
        <v>0.84257131089330761</v>
      </c>
      <c r="BD46" s="18">
        <f t="shared" si="17"/>
        <v>0.65033854771950239</v>
      </c>
      <c r="BE46" s="18">
        <f t="shared" si="17"/>
        <v>0.86087098590553335</v>
      </c>
      <c r="BF46" s="18">
        <f t="shared" si="17"/>
        <v>0.79636995604581295</v>
      </c>
      <c r="BG46" s="18">
        <f t="shared" si="16"/>
        <v>0.86834889380371316</v>
      </c>
      <c r="BH46" s="18">
        <f t="shared" si="16"/>
        <v>0.96754330469820515</v>
      </c>
      <c r="BI46" s="18">
        <f t="shared" si="16"/>
        <v>0.97214008982188671</v>
      </c>
      <c r="BJ46" s="18">
        <f t="shared" si="16"/>
        <v>0.95008216279477342</v>
      </c>
      <c r="BK46" s="18">
        <f t="shared" si="16"/>
        <v>0.93937943441194682</v>
      </c>
      <c r="BL46" s="18">
        <f t="shared" si="16"/>
        <v>0.96106849732476085</v>
      </c>
      <c r="BM46" s="18">
        <f t="shared" si="16"/>
        <v>0.92208488506513253</v>
      </c>
      <c r="BN46" s="18">
        <f t="shared" si="16"/>
        <v>0.93082968797018883</v>
      </c>
      <c r="BO46" s="18">
        <f t="shared" si="16"/>
        <v>0.98870264173843325</v>
      </c>
      <c r="BP46" s="18">
        <f t="shared" si="16"/>
        <v>0.91688315102449136</v>
      </c>
      <c r="BQ46" s="18">
        <f t="shared" si="16"/>
        <v>0.96292896640341863</v>
      </c>
      <c r="BR46" s="18">
        <f t="shared" si="16"/>
        <v>0.76408299856805773</v>
      </c>
      <c r="BS46" s="18">
        <f t="shared" si="16"/>
        <v>0.97326886519371536</v>
      </c>
      <c r="BT46" s="18">
        <f t="shared" si="16"/>
        <v>0.94356457329330301</v>
      </c>
      <c r="BU46" s="18">
        <f t="shared" si="16"/>
        <v>0.88610232667393285</v>
      </c>
      <c r="BV46" s="18">
        <f t="shared" si="15"/>
        <v>0.77831080639956673</v>
      </c>
      <c r="BW46" s="18">
        <f t="shared" si="15"/>
        <v>0.92923350080865508</v>
      </c>
      <c r="BX46" s="18">
        <f t="shared" si="5"/>
        <v>0.80081088990563898</v>
      </c>
      <c r="BY46" s="18">
        <f t="shared" si="5"/>
        <v>0.99626324992635118</v>
      </c>
      <c r="BZ46" s="18">
        <f t="shared" si="5"/>
        <v>0.92813225133819488</v>
      </c>
      <c r="CA46" s="18">
        <f t="shared" si="5"/>
        <v>0.87413560285947811</v>
      </c>
      <c r="CB46" s="18">
        <f t="shared" ref="BX46:CD75" si="18">(
   INDEX($B$3:$B$75, MATCH(CB$2,_xlfn.ANCHORARRAY( $A$3), 0)) *
   INDEX($B$3:$B$75, MATCH($I46,_xlfn.ANCHORARRAY( $A$3), 0))
 +
   (
     INDEX($C$3:$C$75, MATCH(CB$2,_xlfn.ANCHORARRAY( $A$3), 0)) *
     INDEX($C$3:$C$75, MATCH($I46,_xlfn.ANCHORARRAY( $A$3), 0))
   ) *
   IF(
       SIGN(INDEX($C$3:$C$75, MATCH(CB$2,_xlfn.ANCHORARRAY( $A$3), 0)))
       =
       SIGN(INDEX($C$3:$C$75, MATCH($I46,_xlfn.ANCHORARRAY( $A$3), 0))),
       1,
       0.1
   )
 +
   INDEX($D$3:$D$75, MATCH(CB$2,_xlfn.ANCHORARRAY( $A$3), 0)) *
   INDEX($D$3:$D$75, MATCH($I46,_xlfn.ANCHORARRAY( $A$3), 0)) + INDEX($E$3:$E$75,MATCH(CB$2,_xlfn.ANCHORARRAY($A$3),0)) * INDEX($E$3:$E$75,MATCH($I46,_xlfn.ANCHORARRAY($A$3),0)) + INDEX($F$3:$F$75,MATCH(CB$2,_xlfn.ANCHORARRAY($A$3),0)) * INDEX($F$3:$F$75,MATCH($I46,_xlfn.ANCHORARRAY($A$3),0)))
/
(
   SQRT(
       INDEX($B$3:$B$75, MATCH(CB$2,_xlfn.ANCHORARRAY( $A$3), 0))^2 +
       INDEX($C$3:$C$75, MATCH(CB$2,_xlfn.ANCHORARRAY( $A$3), 0))^2 +
       INDEX($D$3:$D$75, MATCH(CB$2,_xlfn.ANCHORARRAY( $A$3), 0))^2 + INDEX($E$3:$E$75,MATCH(CB$2,_xlfn.ANCHORARRAY($A$3),0))^2 + INDEX($F$3:$F$75,MATCH(CB$2,_xlfn.ANCHORARRAY($A$3),0))^2   )
   *
   SQRT(
       INDEX($B$3:$B$75, MATCH($I46,_xlfn.ANCHORARRAY( $A$3), 0))^2 +
       INDEX($C$3:$C$75, MATCH($I46,_xlfn.ANCHORARRAY( $A$3), 0))^2 +
       INDEX($D$3:$D$75, MATCH($I46,_xlfn.ANCHORARRAY( $A$3), 0))^2 + INDEX($E$3:$E$75,MATCH($I46,_xlfn.ANCHORARRAY($A$3),0))^2 + INDEX($F$3:$F$75,MATCH($I46,_xlfn.ANCHORARRAY($A$3),0))^2
   )
)</f>
        <v>0.90274109720753815</v>
      </c>
      <c r="CC46" s="18">
        <f t="shared" si="18"/>
        <v>0.90410914703922041</v>
      </c>
      <c r="CD46" s="18">
        <f t="shared" si="18"/>
        <v>0.86032930010345443</v>
      </c>
    </row>
    <row r="47" spans="1:82" x14ac:dyDescent="0.3">
      <c r="A47" s="7" t="str">
        <v>Odorizzi, Jake</v>
      </c>
      <c r="B47">
        <f>_xlfn.XLOOKUP($A47,braves_19_25__2[player_name], braves_19_25__2[release_pos_z])</f>
        <v>5.89</v>
      </c>
      <c r="C47">
        <f>_xlfn.XLOOKUP($A47,braves_19_25__2[player_name], braves_19_25__2[release_pos_x])*2.5</f>
        <v>-2.4249999999999998</v>
      </c>
      <c r="D47">
        <f>_xlfn.XLOOKUP($A47,braves_19_25__2[player_name], braves_19_25__2[release_extension])</f>
        <v>6.14</v>
      </c>
      <c r="E47">
        <f>COS(RADIANS(AVERAGE(_xlfn.XLOOKUP($A47,braves_19_25__2[player_name],braves_19_25__2[arm_angle]))))*4</f>
        <v>3.1347738293033593</v>
      </c>
      <c r="F47">
        <f>SIN(RADIANS(AVERAGE(_xlfn.XLOOKUP($A47,braves_19_25__2[player_name],braves_19_25__2[arm_angle]))))*4</f>
        <v>2.4845911211132412</v>
      </c>
      <c r="G47">
        <f t="shared" si="2"/>
        <v>9.7093936473911686</v>
      </c>
      <c r="I47" s="7" t="str">
        <v>Odorizzi, Jake</v>
      </c>
      <c r="J47" s="18">
        <f t="shared" si="11"/>
        <v>0.90917486893867883</v>
      </c>
      <c r="K47" s="18">
        <f t="shared" si="11"/>
        <v>0.94861856674381217</v>
      </c>
      <c r="L47" s="18">
        <f t="shared" si="11"/>
        <v>0.96517974728099643</v>
      </c>
      <c r="M47" s="18">
        <f t="shared" si="11"/>
        <v>0.99378702166330568</v>
      </c>
      <c r="N47" s="18">
        <f t="shared" si="11"/>
        <v>0.69808851369065728</v>
      </c>
      <c r="O47" s="18">
        <f t="shared" si="11"/>
        <v>0.97747730982231207</v>
      </c>
      <c r="P47" s="18">
        <f t="shared" si="11"/>
        <v>0.82006265980127491</v>
      </c>
      <c r="Q47" s="18">
        <f t="shared" si="11"/>
        <v>0.97418664361622198</v>
      </c>
      <c r="R47" s="18">
        <f t="shared" si="11"/>
        <v>0.94698114363519292</v>
      </c>
      <c r="S47" s="18">
        <f t="shared" si="11"/>
        <v>0.96463820308513304</v>
      </c>
      <c r="T47" s="18">
        <f t="shared" si="11"/>
        <v>0.9815227081498844</v>
      </c>
      <c r="U47" s="18">
        <f t="shared" si="11"/>
        <v>0.97802834939630634</v>
      </c>
      <c r="V47" s="18">
        <f t="shared" si="11"/>
        <v>0.94710299594983538</v>
      </c>
      <c r="W47" s="18">
        <f t="shared" si="11"/>
        <v>0.88029269596789528</v>
      </c>
      <c r="X47" s="18">
        <f t="shared" si="11"/>
        <v>0.94830444888603083</v>
      </c>
      <c r="Y47" s="18">
        <f t="shared" si="11"/>
        <v>0.98809561809323443</v>
      </c>
      <c r="Z47" s="18">
        <f t="shared" si="14"/>
        <v>0.86401886248134308</v>
      </c>
      <c r="AA47" s="18">
        <f t="shared" si="14"/>
        <v>0.88859189527820637</v>
      </c>
      <c r="AB47" s="18">
        <f t="shared" si="14"/>
        <v>0.96582851097211608</v>
      </c>
      <c r="AC47" s="18">
        <f t="shared" si="14"/>
        <v>0.98348205928414889</v>
      </c>
      <c r="AD47" s="18">
        <f t="shared" si="14"/>
        <v>0.86273723476639419</v>
      </c>
      <c r="AE47" s="18">
        <f t="shared" si="14"/>
        <v>0.95768496602683351</v>
      </c>
      <c r="AF47" s="18">
        <f t="shared" si="14"/>
        <v>0.99063316479300123</v>
      </c>
      <c r="AG47" s="18">
        <f t="shared" si="14"/>
        <v>0.9699736250491976</v>
      </c>
      <c r="AH47" s="18">
        <f t="shared" si="14"/>
        <v>0.94636373017555153</v>
      </c>
      <c r="AI47" s="18">
        <f t="shared" si="14"/>
        <v>0.88700149030501962</v>
      </c>
      <c r="AJ47" s="18">
        <f t="shared" si="14"/>
        <v>0.97686604867713023</v>
      </c>
      <c r="AK47" s="18">
        <f t="shared" si="14"/>
        <v>0.7219316971432479</v>
      </c>
      <c r="AL47" s="18">
        <f t="shared" si="14"/>
        <v>0.85063445012395078</v>
      </c>
      <c r="AM47" s="18">
        <f t="shared" si="14"/>
        <v>0.97135523208719798</v>
      </c>
      <c r="AN47" s="18">
        <f t="shared" si="14"/>
        <v>0.99747185903623481</v>
      </c>
      <c r="AO47" s="18">
        <f t="shared" si="14"/>
        <v>0.93795773435420837</v>
      </c>
      <c r="AP47" s="18">
        <f t="shared" si="12"/>
        <v>0.94156828179506635</v>
      </c>
      <c r="AQ47" s="18">
        <f t="shared" si="17"/>
        <v>0.93002790951642189</v>
      </c>
      <c r="AR47" s="18">
        <f t="shared" si="17"/>
        <v>0.95979056171531796</v>
      </c>
      <c r="AS47" s="18">
        <f t="shared" si="17"/>
        <v>0.8056992403876887</v>
      </c>
      <c r="AT47" s="18">
        <f t="shared" si="17"/>
        <v>0.99358637064310018</v>
      </c>
      <c r="AU47" s="18">
        <f t="shared" si="17"/>
        <v>0.98695946626559772</v>
      </c>
      <c r="AV47" s="18">
        <f t="shared" si="17"/>
        <v>0.98771424361529836</v>
      </c>
      <c r="AW47" s="18">
        <f t="shared" si="17"/>
        <v>0.97396296645819525</v>
      </c>
      <c r="AX47" s="18">
        <f t="shared" si="17"/>
        <v>0.99149551460943863</v>
      </c>
      <c r="AY47" s="18">
        <f t="shared" si="17"/>
        <v>0.7095740639052619</v>
      </c>
      <c r="AZ47" s="18">
        <f t="shared" si="17"/>
        <v>0.87541851510024149</v>
      </c>
      <c r="BA47" s="18">
        <f t="shared" si="17"/>
        <v>0.94118313149100186</v>
      </c>
      <c r="BB47" s="18">
        <f t="shared" si="17"/>
        <v>1.0000000000000002</v>
      </c>
      <c r="BC47" s="18">
        <f t="shared" si="17"/>
        <v>0.96546246189330798</v>
      </c>
      <c r="BD47" s="18">
        <f t="shared" si="17"/>
        <v>0.81898319910622175</v>
      </c>
      <c r="BE47" s="18">
        <f t="shared" si="17"/>
        <v>0.97438725101271695</v>
      </c>
      <c r="BF47" s="18">
        <f t="shared" si="17"/>
        <v>0.93367859805581865</v>
      </c>
      <c r="BG47" s="18">
        <f t="shared" si="16"/>
        <v>0.97763038585329731</v>
      </c>
      <c r="BH47" s="18">
        <f t="shared" si="16"/>
        <v>0.98354434049912642</v>
      </c>
      <c r="BI47" s="18">
        <f t="shared" si="16"/>
        <v>0.87311495211383094</v>
      </c>
      <c r="BJ47" s="18">
        <f t="shared" si="16"/>
        <v>0.99336055966418779</v>
      </c>
      <c r="BK47" s="18">
        <f t="shared" si="16"/>
        <v>0.99664792135694835</v>
      </c>
      <c r="BL47" s="18">
        <f t="shared" si="16"/>
        <v>0.98798430580517504</v>
      </c>
      <c r="BM47" s="18">
        <f t="shared" si="16"/>
        <v>0.99678028063091317</v>
      </c>
      <c r="BN47" s="18">
        <f t="shared" si="16"/>
        <v>0.80842475383597312</v>
      </c>
      <c r="BO47" s="18">
        <f t="shared" si="16"/>
        <v>0.90582229820512961</v>
      </c>
      <c r="BP47" s="18">
        <f t="shared" si="16"/>
        <v>0.78076130997363669</v>
      </c>
      <c r="BQ47" s="18">
        <f t="shared" si="16"/>
        <v>0.98761420298474567</v>
      </c>
      <c r="BR47" s="18">
        <f t="shared" si="16"/>
        <v>0.92004961665112306</v>
      </c>
      <c r="BS47" s="18">
        <f t="shared" si="16"/>
        <v>0.88108470204793898</v>
      </c>
      <c r="BT47" s="18">
        <f t="shared" si="16"/>
        <v>0.99385249093644912</v>
      </c>
      <c r="BU47" s="18">
        <f t="shared" si="16"/>
        <v>0.74809929430586986</v>
      </c>
      <c r="BV47" s="18">
        <f t="shared" si="15"/>
        <v>0.92903469772110292</v>
      </c>
      <c r="BW47" s="18">
        <f t="shared" si="15"/>
        <v>0.80116128001242592</v>
      </c>
      <c r="BX47" s="18">
        <f t="shared" si="18"/>
        <v>0.93991945205598304</v>
      </c>
      <c r="BY47" s="18">
        <f t="shared" si="18"/>
        <v>0.94608843324955882</v>
      </c>
      <c r="BZ47" s="18">
        <f t="shared" si="18"/>
        <v>0.99778328068066613</v>
      </c>
      <c r="CA47" s="18">
        <f t="shared" si="18"/>
        <v>0.9785301454218438</v>
      </c>
      <c r="CB47" s="18">
        <f t="shared" si="18"/>
        <v>0.99243309943473579</v>
      </c>
      <c r="CC47" s="18">
        <f t="shared" si="18"/>
        <v>0.98622199952239908</v>
      </c>
      <c r="CD47" s="18">
        <f t="shared" si="18"/>
        <v>0.70565080109087919</v>
      </c>
    </row>
    <row r="48" spans="1:82" x14ac:dyDescent="0.3">
      <c r="A48" s="7" t="str">
        <v>De Los Santos, Enyel</v>
      </c>
      <c r="B48">
        <f>_xlfn.XLOOKUP($A48,braves_19_25__2[player_name], braves_19_25__2[release_pos_z])</f>
        <v>5.45</v>
      </c>
      <c r="C48">
        <f>_xlfn.XLOOKUP($A48,braves_19_25__2[player_name], braves_19_25__2[release_pos_x])*2.5</f>
        <v>-4.9249999999999998</v>
      </c>
      <c r="D48">
        <f>_xlfn.XLOOKUP($A48,braves_19_25__2[player_name], braves_19_25__2[release_extension])</f>
        <v>6.3</v>
      </c>
      <c r="E48">
        <f>COS(RADIANS(AVERAGE(_xlfn.XLOOKUP($A48,braves_19_25__2[player_name],braves_19_25__2[arm_angle]))))*4</f>
        <v>3.6792859892869507</v>
      </c>
      <c r="F48">
        <f>SIN(RADIANS(AVERAGE(_xlfn.XLOOKUP($A48,braves_19_25__2[player_name],braves_19_25__2[arm_angle]))))*4</f>
        <v>1.5693484664142459</v>
      </c>
      <c r="G48">
        <f t="shared" si="2"/>
        <v>10.471300062551927</v>
      </c>
      <c r="I48" s="7" t="str">
        <v>De Los Santos, Enyel</v>
      </c>
      <c r="J48" s="18">
        <f t="shared" si="11"/>
        <v>0.80516473295092228</v>
      </c>
      <c r="K48" s="18">
        <f t="shared" si="11"/>
        <v>0.99808462059523628</v>
      </c>
      <c r="L48" s="18">
        <f t="shared" si="11"/>
        <v>0.99344453323553084</v>
      </c>
      <c r="M48" s="18">
        <f t="shared" si="11"/>
        <v>0.95785411514391561</v>
      </c>
      <c r="N48" s="18">
        <f t="shared" si="11"/>
        <v>0.63547317262523217</v>
      </c>
      <c r="O48" s="18">
        <f t="shared" si="11"/>
        <v>0.95824090798187977</v>
      </c>
      <c r="P48" s="18">
        <f t="shared" si="11"/>
        <v>0.72836844935527945</v>
      </c>
      <c r="Q48" s="18">
        <f t="shared" si="11"/>
        <v>0.99921206450720201</v>
      </c>
      <c r="R48" s="18">
        <f t="shared" si="11"/>
        <v>0.99319695322514978</v>
      </c>
      <c r="S48" s="18">
        <f t="shared" si="11"/>
        <v>0.98887405045506582</v>
      </c>
      <c r="T48" s="18">
        <f t="shared" si="11"/>
        <v>0.9960148125666568</v>
      </c>
      <c r="U48" s="18">
        <f t="shared" si="11"/>
        <v>0.99707596131015275</v>
      </c>
      <c r="V48" s="18">
        <f t="shared" si="11"/>
        <v>0.98196405047091107</v>
      </c>
      <c r="W48" s="18">
        <f t="shared" si="11"/>
        <v>0.77969815666017872</v>
      </c>
      <c r="X48" s="18">
        <f t="shared" si="11"/>
        <v>0.98980253010416019</v>
      </c>
      <c r="Y48" s="18">
        <f t="shared" si="11"/>
        <v>0.99009649824257573</v>
      </c>
      <c r="Z48" s="18">
        <f t="shared" si="14"/>
        <v>0.76276573553332527</v>
      </c>
      <c r="AA48" s="18">
        <f t="shared" si="14"/>
        <v>0.78810300113062115</v>
      </c>
      <c r="AB48" s="18">
        <f t="shared" si="14"/>
        <v>0.99484446739972021</v>
      </c>
      <c r="AC48" s="18">
        <f t="shared" si="14"/>
        <v>0.99053325856160301</v>
      </c>
      <c r="AD48" s="18">
        <f t="shared" si="14"/>
        <v>0.758362860833104</v>
      </c>
      <c r="AE48" s="18">
        <f t="shared" si="14"/>
        <v>0.99852143996929366</v>
      </c>
      <c r="AF48" s="18">
        <f t="shared" si="14"/>
        <v>0.98270653922448314</v>
      </c>
      <c r="AG48" s="18">
        <f t="shared" si="14"/>
        <v>0.99716927786089071</v>
      </c>
      <c r="AH48" s="18">
        <f t="shared" si="14"/>
        <v>0.99424346948541198</v>
      </c>
      <c r="AI48" s="18">
        <f t="shared" si="14"/>
        <v>0.78333413875653068</v>
      </c>
      <c r="AJ48" s="18">
        <f t="shared" si="14"/>
        <v>0.99547008867418452</v>
      </c>
      <c r="AK48" s="18">
        <f t="shared" si="14"/>
        <v>0.65965939837943743</v>
      </c>
      <c r="AL48" s="18">
        <f t="shared" si="14"/>
        <v>0.95604871332814656</v>
      </c>
      <c r="AM48" s="18">
        <f t="shared" si="14"/>
        <v>0.98974243860014344</v>
      </c>
      <c r="AN48" s="18">
        <f t="shared" si="14"/>
        <v>0.94931522598568785</v>
      </c>
      <c r="AO48" s="18">
        <f t="shared" si="14"/>
        <v>0.98357332910320561</v>
      </c>
      <c r="AP48" s="18">
        <f t="shared" si="12"/>
        <v>0.99075502535252646</v>
      </c>
      <c r="AQ48" s="18">
        <f t="shared" si="17"/>
        <v>0.98477422443313956</v>
      </c>
      <c r="AR48" s="18">
        <f t="shared" si="17"/>
        <v>0.86210004897018455</v>
      </c>
      <c r="AS48" s="18">
        <f t="shared" si="17"/>
        <v>0.71323589339667504</v>
      </c>
      <c r="AT48" s="18">
        <f t="shared" si="17"/>
        <v>0.98474887004394496</v>
      </c>
      <c r="AU48" s="18">
        <f t="shared" si="17"/>
        <v>0.98769749767603654</v>
      </c>
      <c r="AV48" s="18">
        <f t="shared" si="17"/>
        <v>0.99165053447318319</v>
      </c>
      <c r="AW48" s="18">
        <f t="shared" si="17"/>
        <v>0.92832226550278107</v>
      </c>
      <c r="AX48" s="18">
        <f t="shared" si="17"/>
        <v>0.93497607215900247</v>
      </c>
      <c r="AY48" s="18">
        <f t="shared" si="17"/>
        <v>0.62723917535992291</v>
      </c>
      <c r="AZ48" s="18">
        <f t="shared" si="17"/>
        <v>0.78093448229267581</v>
      </c>
      <c r="BA48" s="18">
        <f t="shared" si="17"/>
        <v>0.84257131089330761</v>
      </c>
      <c r="BB48" s="18">
        <f t="shared" si="17"/>
        <v>0.96546246189330798</v>
      </c>
      <c r="BC48" s="18">
        <f t="shared" si="17"/>
        <v>1</v>
      </c>
      <c r="BD48" s="18">
        <f t="shared" si="17"/>
        <v>0.93236232460250057</v>
      </c>
      <c r="BE48" s="18">
        <f t="shared" si="17"/>
        <v>0.99740282089723176</v>
      </c>
      <c r="BF48" s="18">
        <f t="shared" si="17"/>
        <v>0.96881792018700175</v>
      </c>
      <c r="BG48" s="18">
        <f t="shared" si="16"/>
        <v>0.99571762749323245</v>
      </c>
      <c r="BH48" s="18">
        <f t="shared" si="16"/>
        <v>0.90392173485107863</v>
      </c>
      <c r="BI48" s="18">
        <f t="shared" si="16"/>
        <v>0.76280284423226141</v>
      </c>
      <c r="BJ48" s="18">
        <f t="shared" si="16"/>
        <v>0.93578360958318685</v>
      </c>
      <c r="BK48" s="18">
        <f t="shared" si="16"/>
        <v>0.95471701836162737</v>
      </c>
      <c r="BL48" s="18">
        <f t="shared" si="16"/>
        <v>0.91712869552810239</v>
      </c>
      <c r="BM48" s="18">
        <f t="shared" si="16"/>
        <v>0.98088371716802869</v>
      </c>
      <c r="BN48" s="18">
        <f t="shared" si="16"/>
        <v>0.71988540830184922</v>
      </c>
      <c r="BO48" s="18">
        <f t="shared" si="16"/>
        <v>0.80017306901160168</v>
      </c>
      <c r="BP48" s="18">
        <f t="shared" si="16"/>
        <v>0.68822646174317903</v>
      </c>
      <c r="BQ48" s="18">
        <f t="shared" si="16"/>
        <v>0.91578789356597745</v>
      </c>
      <c r="BR48" s="18">
        <f t="shared" si="16"/>
        <v>0.98422198750457246</v>
      </c>
      <c r="BS48" s="18">
        <f t="shared" si="16"/>
        <v>0.79253324614012866</v>
      </c>
      <c r="BT48" s="18">
        <f t="shared" si="16"/>
        <v>0.94177073535533606</v>
      </c>
      <c r="BU48" s="18">
        <f t="shared" si="16"/>
        <v>0.66513218572432198</v>
      </c>
      <c r="BV48" s="18">
        <f t="shared" si="15"/>
        <v>0.99313113130385111</v>
      </c>
      <c r="BW48" s="18">
        <f t="shared" si="15"/>
        <v>0.70895672370541163</v>
      </c>
      <c r="BX48" s="18">
        <f t="shared" si="18"/>
        <v>0.99460836308591016</v>
      </c>
      <c r="BY48" s="18">
        <f t="shared" si="18"/>
        <v>0.84202639774641463</v>
      </c>
      <c r="BZ48" s="18">
        <f t="shared" si="18"/>
        <v>0.97819969267392548</v>
      </c>
      <c r="CA48" s="18">
        <f t="shared" si="18"/>
        <v>0.99024853126077128</v>
      </c>
      <c r="CB48" s="18">
        <f t="shared" si="18"/>
        <v>0.98744109249596601</v>
      </c>
      <c r="CC48" s="18">
        <f t="shared" si="18"/>
        <v>0.97035192106678791</v>
      </c>
      <c r="CD48" s="18">
        <f t="shared" si="18"/>
        <v>0.61858791390146073</v>
      </c>
    </row>
    <row r="49" spans="1:82" x14ac:dyDescent="0.3">
      <c r="A49" s="7" t="str">
        <v>O'Day, Darren</v>
      </c>
      <c r="B49">
        <f>_xlfn.XLOOKUP($A49,braves_19_25__2[player_name], braves_19_25__2[release_pos_z])</f>
        <v>3.48</v>
      </c>
      <c r="C49">
        <f>_xlfn.XLOOKUP($A49,braves_19_25__2[player_name], braves_19_25__2[release_pos_x])*2.5</f>
        <v>-6.7</v>
      </c>
      <c r="D49">
        <f>_xlfn.XLOOKUP($A49,braves_19_25__2[player_name], braves_19_25__2[release_extension])</f>
        <v>6.57</v>
      </c>
      <c r="E49">
        <f>COS(RADIANS(AVERAGE(_xlfn.XLOOKUP($A49,braves_19_25__2[player_name],braves_19_25__2[arm_angle]))))*4</f>
        <v>3.7820743023972674</v>
      </c>
      <c r="F49">
        <f>SIN(RADIANS(AVERAGE(_xlfn.XLOOKUP($A49,braves_19_25__2[player_name],braves_19_25__2[arm_angle]))))*4</f>
        <v>-1.3022726178286268</v>
      </c>
      <c r="G49">
        <f t="shared" si="2"/>
        <v>10.778000742252711</v>
      </c>
      <c r="I49" s="7" t="str">
        <v>O'Day, Darren</v>
      </c>
      <c r="J49" s="18">
        <f t="shared" si="11"/>
        <v>0.60235713658865542</v>
      </c>
      <c r="K49" s="18">
        <f t="shared" si="11"/>
        <v>0.94486402010562798</v>
      </c>
      <c r="L49" s="18">
        <f t="shared" si="11"/>
        <v>0.90287790693833758</v>
      </c>
      <c r="M49" s="18">
        <f t="shared" si="11"/>
        <v>0.79595794943142706</v>
      </c>
      <c r="N49" s="18">
        <f t="shared" si="11"/>
        <v>0.53477471519813302</v>
      </c>
      <c r="O49" s="18">
        <f t="shared" si="11"/>
        <v>0.81505629540510371</v>
      </c>
      <c r="P49" s="18">
        <f t="shared" si="11"/>
        <v>0.55635305607697594</v>
      </c>
      <c r="Q49" s="18">
        <f t="shared" si="11"/>
        <v>0.9196526642736621</v>
      </c>
      <c r="R49" s="18">
        <f t="shared" si="11"/>
        <v>0.93242959025194039</v>
      </c>
      <c r="S49" s="18">
        <f t="shared" si="11"/>
        <v>0.88647349819303978</v>
      </c>
      <c r="T49" s="18">
        <f t="shared" si="11"/>
        <v>0.91070369668068452</v>
      </c>
      <c r="U49" s="18">
        <f t="shared" si="11"/>
        <v>0.90348585460951014</v>
      </c>
      <c r="V49" s="18">
        <f t="shared" si="11"/>
        <v>0.89185274076962007</v>
      </c>
      <c r="W49" s="18">
        <f t="shared" si="11"/>
        <v>0.584837626203771</v>
      </c>
      <c r="X49" s="18">
        <f t="shared" si="11"/>
        <v>0.90936692264058783</v>
      </c>
      <c r="Y49" s="18">
        <f t="shared" si="11"/>
        <v>0.87273128569669423</v>
      </c>
      <c r="Z49" s="18">
        <f t="shared" si="14"/>
        <v>0.56754505057474303</v>
      </c>
      <c r="AA49" s="18">
        <f t="shared" si="14"/>
        <v>0.58958010598636101</v>
      </c>
      <c r="AB49" s="18">
        <f t="shared" si="14"/>
        <v>0.90472326855944096</v>
      </c>
      <c r="AC49" s="18">
        <f t="shared" si="14"/>
        <v>0.88199106258556581</v>
      </c>
      <c r="AD49" s="18">
        <f t="shared" si="14"/>
        <v>0.55324823593368688</v>
      </c>
      <c r="AE49" s="18">
        <f t="shared" si="14"/>
        <v>0.93497617609975081</v>
      </c>
      <c r="AF49" s="18">
        <f t="shared" si="14"/>
        <v>0.85277782790612966</v>
      </c>
      <c r="AG49" s="18">
        <f t="shared" si="14"/>
        <v>0.91901250333475881</v>
      </c>
      <c r="AH49" s="18">
        <f t="shared" si="14"/>
        <v>0.93821138978240137</v>
      </c>
      <c r="AI49" s="18">
        <f t="shared" si="14"/>
        <v>0.57899512696854616</v>
      </c>
      <c r="AJ49" s="18">
        <f t="shared" si="14"/>
        <v>0.89828044821643027</v>
      </c>
      <c r="AK49" s="18">
        <f t="shared" si="14"/>
        <v>0.55759947984789282</v>
      </c>
      <c r="AL49" s="18">
        <f t="shared" si="14"/>
        <v>0.96398962453100112</v>
      </c>
      <c r="AM49" s="18">
        <f t="shared" si="14"/>
        <v>0.89424575738246115</v>
      </c>
      <c r="AN49" s="18">
        <f t="shared" si="14"/>
        <v>0.78107899328668762</v>
      </c>
      <c r="AO49" s="18">
        <f t="shared" si="14"/>
        <v>0.9070608771362616</v>
      </c>
      <c r="AP49" s="18">
        <f t="shared" si="12"/>
        <v>0.91952624717784126</v>
      </c>
      <c r="AQ49" s="18">
        <f t="shared" si="17"/>
        <v>0.92291762070550976</v>
      </c>
      <c r="AR49" s="18">
        <f t="shared" si="17"/>
        <v>0.6701178892717774</v>
      </c>
      <c r="AS49" s="18">
        <f t="shared" si="17"/>
        <v>0.54191465947560069</v>
      </c>
      <c r="AT49" s="18">
        <f t="shared" si="17"/>
        <v>0.85814451481581722</v>
      </c>
      <c r="AU49" s="18">
        <f t="shared" si="17"/>
        <v>0.86690105876447654</v>
      </c>
      <c r="AV49" s="18">
        <f t="shared" si="17"/>
        <v>0.88000271815547815</v>
      </c>
      <c r="AW49" s="18">
        <f t="shared" si="17"/>
        <v>0.75805481230523886</v>
      </c>
      <c r="AX49" s="18">
        <f t="shared" si="17"/>
        <v>0.75890474928995577</v>
      </c>
      <c r="AY49" s="18">
        <f t="shared" si="17"/>
        <v>0.48137820637275952</v>
      </c>
      <c r="AZ49" s="18">
        <f t="shared" si="17"/>
        <v>0.59842402070723</v>
      </c>
      <c r="BA49" s="18">
        <f t="shared" si="17"/>
        <v>0.65033854771950239</v>
      </c>
      <c r="BB49" s="18">
        <f t="shared" si="17"/>
        <v>0.81898319910622175</v>
      </c>
      <c r="BC49" s="18">
        <f t="shared" si="17"/>
        <v>0.93236232460250057</v>
      </c>
      <c r="BD49" s="18">
        <f t="shared" si="17"/>
        <v>1</v>
      </c>
      <c r="BE49" s="18">
        <f t="shared" si="17"/>
        <v>0.91222926106595514</v>
      </c>
      <c r="BF49" s="18">
        <f t="shared" si="17"/>
        <v>0.87318589360348953</v>
      </c>
      <c r="BG49" s="18">
        <f t="shared" si="16"/>
        <v>0.90179044493909866</v>
      </c>
      <c r="BH49" s="18">
        <f t="shared" si="16"/>
        <v>0.70700823814524394</v>
      </c>
      <c r="BI49" s="18">
        <f t="shared" si="16"/>
        <v>0.54771211743519743</v>
      </c>
      <c r="BJ49" s="18">
        <f t="shared" si="16"/>
        <v>0.75298820744750372</v>
      </c>
      <c r="BK49" s="18">
        <f t="shared" si="16"/>
        <v>0.78975442877387481</v>
      </c>
      <c r="BL49" s="18">
        <f t="shared" si="16"/>
        <v>0.72671222522030132</v>
      </c>
      <c r="BM49" s="18">
        <f t="shared" si="16"/>
        <v>0.85694013508881894</v>
      </c>
      <c r="BN49" s="18">
        <f t="shared" si="16"/>
        <v>0.55314147284506754</v>
      </c>
      <c r="BO49" s="18">
        <f t="shared" si="16"/>
        <v>0.59354394061396964</v>
      </c>
      <c r="BP49" s="18">
        <f t="shared" si="16"/>
        <v>0.51553775765198295</v>
      </c>
      <c r="BQ49" s="18">
        <f t="shared" si="16"/>
        <v>0.7274346092264512</v>
      </c>
      <c r="BR49" s="18">
        <f t="shared" si="16"/>
        <v>0.93634632228985903</v>
      </c>
      <c r="BS49" s="18">
        <f t="shared" si="16"/>
        <v>0.623177847282121</v>
      </c>
      <c r="BT49" s="18">
        <f t="shared" si="16"/>
        <v>0.76549807330538144</v>
      </c>
      <c r="BU49" s="18">
        <f t="shared" si="16"/>
        <v>0.51151912569237445</v>
      </c>
      <c r="BV49" s="18">
        <f t="shared" si="15"/>
        <v>0.95803224955904753</v>
      </c>
      <c r="BW49" s="18">
        <f t="shared" si="15"/>
        <v>0.53508387920316591</v>
      </c>
      <c r="BX49" s="18">
        <f t="shared" si="18"/>
        <v>0.94862170552768554</v>
      </c>
      <c r="BY49" s="18">
        <f t="shared" si="18"/>
        <v>0.63483315313417732</v>
      </c>
      <c r="BZ49" s="18">
        <f t="shared" si="18"/>
        <v>0.85380460745099807</v>
      </c>
      <c r="CA49" s="18">
        <f t="shared" si="18"/>
        <v>0.88874111063145389</v>
      </c>
      <c r="CB49" s="18">
        <f t="shared" si="18"/>
        <v>0.86829134050454715</v>
      </c>
      <c r="CC49" s="18">
        <f t="shared" si="18"/>
        <v>0.82967902186119813</v>
      </c>
      <c r="CD49" s="18">
        <f t="shared" si="18"/>
        <v>0.45954125204109308</v>
      </c>
    </row>
    <row r="50" spans="1:82" x14ac:dyDescent="0.3">
      <c r="A50" s="7" t="str">
        <v>Winans, Allan</v>
      </c>
      <c r="B50">
        <f>_xlfn.XLOOKUP($A50,braves_19_25__2[player_name], braves_19_25__2[release_pos_z])</f>
        <v>5.76</v>
      </c>
      <c r="C50">
        <f>_xlfn.XLOOKUP($A50,braves_19_25__2[player_name], braves_19_25__2[release_pos_x])*2.5</f>
        <v>-4.95</v>
      </c>
      <c r="D50">
        <f>_xlfn.XLOOKUP($A50,braves_19_25__2[player_name], braves_19_25__2[release_extension])</f>
        <v>6.75</v>
      </c>
      <c r="E50">
        <f>COS(RADIANS(AVERAGE(_xlfn.XLOOKUP($A50,braves_19_25__2[player_name],braves_19_25__2[arm_angle]))))*4</f>
        <v>3.3470572538358465</v>
      </c>
      <c r="F50">
        <f>SIN(RADIANS(AVERAGE(_xlfn.XLOOKUP($A50,braves_19_25__2[player_name],braves_19_25__2[arm_angle]))))*4</f>
        <v>2.1902528939702011</v>
      </c>
      <c r="G50">
        <f t="shared" si="2"/>
        <v>10.919826005939838</v>
      </c>
      <c r="I50" s="7" t="str">
        <v>Winans, Allan</v>
      </c>
      <c r="J50" s="18">
        <f t="shared" si="11"/>
        <v>0.8254634920283157</v>
      </c>
      <c r="K50" s="18">
        <f t="shared" si="11"/>
        <v>0.99375130570475467</v>
      </c>
      <c r="L50" s="18">
        <f t="shared" si="11"/>
        <v>0.99707041634759896</v>
      </c>
      <c r="M50" s="18">
        <f t="shared" si="11"/>
        <v>0.97187073824323833</v>
      </c>
      <c r="N50" s="18">
        <f t="shared" si="11"/>
        <v>0.63634677419847885</v>
      </c>
      <c r="O50" s="18">
        <f t="shared" si="11"/>
        <v>0.97600788516512837</v>
      </c>
      <c r="P50" s="18">
        <f t="shared" si="11"/>
        <v>0.74222817018490561</v>
      </c>
      <c r="Q50" s="18">
        <f t="shared" si="11"/>
        <v>0.99909963050632</v>
      </c>
      <c r="R50" s="18">
        <f t="shared" si="11"/>
        <v>0.9945701897717143</v>
      </c>
      <c r="S50" s="18">
        <f t="shared" si="11"/>
        <v>0.99154626269917734</v>
      </c>
      <c r="T50" s="18">
        <f t="shared" si="11"/>
        <v>0.99545750887433915</v>
      </c>
      <c r="U50" s="18">
        <f t="shared" si="11"/>
        <v>0.99922229380915717</v>
      </c>
      <c r="V50" s="18">
        <f t="shared" si="11"/>
        <v>0.98870578673898324</v>
      </c>
      <c r="W50" s="18">
        <f t="shared" si="11"/>
        <v>0.79693539239090005</v>
      </c>
      <c r="X50" s="18">
        <f t="shared" si="11"/>
        <v>0.99193795616947156</v>
      </c>
      <c r="Y50" s="18">
        <f t="shared" si="11"/>
        <v>0.99497432004935182</v>
      </c>
      <c r="Z50" s="18">
        <f t="shared" si="14"/>
        <v>0.78097650061777601</v>
      </c>
      <c r="AA50" s="18">
        <f t="shared" si="14"/>
        <v>0.80380026086443956</v>
      </c>
      <c r="AB50" s="18">
        <f t="shared" si="14"/>
        <v>0.99644089622945886</v>
      </c>
      <c r="AC50" s="18">
        <f t="shared" si="14"/>
        <v>0.99753291864176341</v>
      </c>
      <c r="AD50" s="18">
        <f t="shared" si="14"/>
        <v>0.77706421615463506</v>
      </c>
      <c r="AE50" s="18">
        <f t="shared" si="14"/>
        <v>0.99759391028192812</v>
      </c>
      <c r="AF50" s="18">
        <f t="shared" si="14"/>
        <v>0.99119052863979862</v>
      </c>
      <c r="AG50" s="18">
        <f t="shared" si="14"/>
        <v>0.99957637938691435</v>
      </c>
      <c r="AH50" s="18">
        <f t="shared" si="14"/>
        <v>0.99469472735402709</v>
      </c>
      <c r="AI50" s="18">
        <f t="shared" si="14"/>
        <v>0.8013538048505231</v>
      </c>
      <c r="AJ50" s="18">
        <f t="shared" si="14"/>
        <v>0.99905128534041454</v>
      </c>
      <c r="AK50" s="18">
        <f t="shared" si="14"/>
        <v>0.658847867050254</v>
      </c>
      <c r="AL50" s="18">
        <f t="shared" si="14"/>
        <v>0.94533599917713351</v>
      </c>
      <c r="AM50" s="18">
        <f t="shared" si="14"/>
        <v>0.99719843336194447</v>
      </c>
      <c r="AN50" s="18">
        <f t="shared" si="14"/>
        <v>0.96109239194362917</v>
      </c>
      <c r="AO50" s="18">
        <f t="shared" si="14"/>
        <v>0.98759249638863833</v>
      </c>
      <c r="AP50" s="18">
        <f t="shared" si="12"/>
        <v>0.98835306289474401</v>
      </c>
      <c r="AQ50" s="18">
        <f t="shared" si="17"/>
        <v>0.98688942300139937</v>
      </c>
      <c r="AR50" s="18">
        <f t="shared" si="17"/>
        <v>0.88069528480192161</v>
      </c>
      <c r="AS50" s="18">
        <f t="shared" si="17"/>
        <v>0.72834409512573928</v>
      </c>
      <c r="AT50" s="18">
        <f t="shared" si="17"/>
        <v>0.99198728618258036</v>
      </c>
      <c r="AU50" s="18">
        <f t="shared" si="17"/>
        <v>0.99194125165597913</v>
      </c>
      <c r="AV50" s="18">
        <f t="shared" si="17"/>
        <v>0.99686018510906971</v>
      </c>
      <c r="AW50" s="18">
        <f t="shared" si="17"/>
        <v>0.95092038925261191</v>
      </c>
      <c r="AX50" s="18">
        <f t="shared" si="17"/>
        <v>0.95297841847169429</v>
      </c>
      <c r="AY50" s="18">
        <f t="shared" si="17"/>
        <v>0.63921895555938502</v>
      </c>
      <c r="AZ50" s="18">
        <f t="shared" si="17"/>
        <v>0.79395998206494944</v>
      </c>
      <c r="BA50" s="18">
        <f t="shared" si="17"/>
        <v>0.86087098590553335</v>
      </c>
      <c r="BB50" s="18">
        <f t="shared" si="17"/>
        <v>0.97438725101271695</v>
      </c>
      <c r="BC50" s="18">
        <f t="shared" si="17"/>
        <v>0.99740282089723176</v>
      </c>
      <c r="BD50" s="18">
        <f t="shared" si="17"/>
        <v>0.91222926106595514</v>
      </c>
      <c r="BE50" s="18">
        <f t="shared" si="17"/>
        <v>1.0000000000000002</v>
      </c>
      <c r="BF50" s="18">
        <f t="shared" si="17"/>
        <v>0.97835517213358736</v>
      </c>
      <c r="BG50" s="18">
        <f t="shared" si="16"/>
        <v>0.99925066427349785</v>
      </c>
      <c r="BH50" s="18">
        <f t="shared" si="16"/>
        <v>0.92202713930520741</v>
      </c>
      <c r="BI50" s="18">
        <f t="shared" si="16"/>
        <v>0.78698292013956372</v>
      </c>
      <c r="BJ50" s="18">
        <f t="shared" si="16"/>
        <v>0.95040757841219903</v>
      </c>
      <c r="BK50" s="18">
        <f t="shared" si="16"/>
        <v>0.96837117987426602</v>
      </c>
      <c r="BL50" s="18">
        <f t="shared" si="16"/>
        <v>0.93433704878118418</v>
      </c>
      <c r="BM50" s="18">
        <f t="shared" si="16"/>
        <v>0.98833804400577374</v>
      </c>
      <c r="BN50" s="18">
        <f t="shared" si="16"/>
        <v>0.73091680005767279</v>
      </c>
      <c r="BO50" s="18">
        <f t="shared" si="16"/>
        <v>0.82100343347923144</v>
      </c>
      <c r="BP50" s="18">
        <f t="shared" si="16"/>
        <v>0.70342226157105259</v>
      </c>
      <c r="BQ50" s="18">
        <f t="shared" si="16"/>
        <v>0.93264425017141372</v>
      </c>
      <c r="BR50" s="18">
        <f t="shared" si="16"/>
        <v>0.98345935858881373</v>
      </c>
      <c r="BS50" s="18">
        <f t="shared" si="16"/>
        <v>0.80281940297922105</v>
      </c>
      <c r="BT50" s="18">
        <f t="shared" si="16"/>
        <v>0.95413424347448839</v>
      </c>
      <c r="BU50" s="18">
        <f t="shared" si="16"/>
        <v>0.67368049932396001</v>
      </c>
      <c r="BV50" s="18">
        <f t="shared" si="15"/>
        <v>0.98627599254316256</v>
      </c>
      <c r="BW50" s="18">
        <f t="shared" si="15"/>
        <v>0.72294423900170945</v>
      </c>
      <c r="BX50" s="18">
        <f t="shared" si="18"/>
        <v>0.99210867782799672</v>
      </c>
      <c r="BY50" s="18">
        <f t="shared" si="18"/>
        <v>0.86203077847351606</v>
      </c>
      <c r="BZ50" s="18">
        <f t="shared" si="18"/>
        <v>0.98470558680083531</v>
      </c>
      <c r="CA50" s="18">
        <f t="shared" si="18"/>
        <v>0.99766992499998408</v>
      </c>
      <c r="CB50" s="18">
        <f t="shared" si="18"/>
        <v>0.99406162018013267</v>
      </c>
      <c r="CC50" s="18">
        <f t="shared" si="18"/>
        <v>0.98447019069356412</v>
      </c>
      <c r="CD50" s="18">
        <f t="shared" si="18"/>
        <v>0.63186875875598747</v>
      </c>
    </row>
    <row r="51" spans="1:82" x14ac:dyDescent="0.3">
      <c r="A51" s="7" t="str">
        <v>Melancon, Mark</v>
      </c>
      <c r="B51">
        <f>_xlfn.XLOOKUP($A51,braves_19_25__2[player_name], braves_19_25__2[release_pos_z])</f>
        <v>6.48</v>
      </c>
      <c r="C51">
        <f>_xlfn.XLOOKUP($A51,braves_19_25__2[player_name], braves_19_25__2[release_pos_x])*2.5</f>
        <v>-6.6749999999999998</v>
      </c>
      <c r="D51">
        <f>_xlfn.XLOOKUP($A51,braves_19_25__2[player_name], braves_19_25__2[release_extension])</f>
        <v>6.32</v>
      </c>
      <c r="E51">
        <f>COS(RADIANS(AVERAGE(_xlfn.XLOOKUP($A51,braves_19_25__2[player_name],braves_19_25__2[arm_angle]))))*4</f>
        <v>2.1078231819867099</v>
      </c>
      <c r="F51">
        <f>SIN(RADIANS(AVERAGE(_xlfn.XLOOKUP($A51,braves_19_25__2[player_name],braves_19_25__2[arm_angle]))))*4</f>
        <v>3.3995707719474559</v>
      </c>
      <c r="G51">
        <f t="shared" si="2"/>
        <v>11.936851553068758</v>
      </c>
      <c r="I51" s="7" t="str">
        <v>Melancon, Mark</v>
      </c>
      <c r="J51" s="18">
        <f t="shared" si="11"/>
        <v>0.77119910109492429</v>
      </c>
      <c r="K51" s="18">
        <f t="shared" si="11"/>
        <v>0.97247759268091016</v>
      </c>
      <c r="L51" s="18">
        <f t="shared" si="11"/>
        <v>0.98981956089443901</v>
      </c>
      <c r="M51" s="18">
        <f t="shared" si="11"/>
        <v>0.95322185306070317</v>
      </c>
      <c r="N51" s="18">
        <f t="shared" si="11"/>
        <v>0.54896825568119434</v>
      </c>
      <c r="O51" s="18">
        <f t="shared" si="11"/>
        <v>0.97369369589949428</v>
      </c>
      <c r="P51" s="18">
        <f t="shared" si="11"/>
        <v>0.67805666824742505</v>
      </c>
      <c r="Q51" s="18">
        <f t="shared" si="11"/>
        <v>0.9709972514794275</v>
      </c>
      <c r="R51" s="18">
        <f t="shared" si="11"/>
        <v>0.98366056783294187</v>
      </c>
      <c r="S51" s="18">
        <f t="shared" si="11"/>
        <v>0.98690402383627507</v>
      </c>
      <c r="T51" s="18">
        <f t="shared" si="11"/>
        <v>0.95483393707428565</v>
      </c>
      <c r="U51" s="18">
        <f t="shared" si="11"/>
        <v>0.97629380990117609</v>
      </c>
      <c r="V51" s="18">
        <f t="shared" si="11"/>
        <v>0.99817377762866655</v>
      </c>
      <c r="W51" s="18">
        <f t="shared" si="11"/>
        <v>0.74037931471753904</v>
      </c>
      <c r="X51" s="18">
        <f t="shared" si="11"/>
        <v>0.9924711388388241</v>
      </c>
      <c r="Y51" s="18">
        <f t="shared" si="11"/>
        <v>0.97091538741116257</v>
      </c>
      <c r="Z51" s="18">
        <f t="shared" si="14"/>
        <v>0.72691824420926854</v>
      </c>
      <c r="AA51" s="18">
        <f t="shared" si="14"/>
        <v>0.74643209583491799</v>
      </c>
      <c r="AB51" s="18">
        <f t="shared" si="14"/>
        <v>0.98578736044597604</v>
      </c>
      <c r="AC51" s="18">
        <f t="shared" si="14"/>
        <v>0.97994961263694114</v>
      </c>
      <c r="AD51" s="18">
        <f t="shared" si="14"/>
        <v>0.72874122188582624</v>
      </c>
      <c r="AE51" s="18">
        <f t="shared" si="14"/>
        <v>0.9774486557525347</v>
      </c>
      <c r="AF51" s="18">
        <f t="shared" si="14"/>
        <v>0.97336922186182262</v>
      </c>
      <c r="AG51" s="18">
        <f t="shared" si="14"/>
        <v>0.97750191359694572</v>
      </c>
      <c r="AH51" s="18">
        <f t="shared" si="14"/>
        <v>0.98232985058328537</v>
      </c>
      <c r="AI51" s="18">
        <f t="shared" si="14"/>
        <v>0.74943634031373951</v>
      </c>
      <c r="AJ51" s="18">
        <f t="shared" si="14"/>
        <v>0.98172824130465886</v>
      </c>
      <c r="AK51" s="18">
        <f t="shared" si="14"/>
        <v>0.56795034601083405</v>
      </c>
      <c r="AL51" s="18">
        <f t="shared" si="14"/>
        <v>0.95062011164103399</v>
      </c>
      <c r="AM51" s="18">
        <f t="shared" si="14"/>
        <v>0.98600230399311695</v>
      </c>
      <c r="AN51" s="18">
        <f t="shared" si="14"/>
        <v>0.92566692752334279</v>
      </c>
      <c r="AO51" s="18">
        <f t="shared" si="14"/>
        <v>0.99644002300457357</v>
      </c>
      <c r="AP51" s="18">
        <f t="shared" si="12"/>
        <v>0.98309198988455326</v>
      </c>
      <c r="AQ51" s="18">
        <f t="shared" si="17"/>
        <v>0.99143779669114418</v>
      </c>
      <c r="AR51" s="18">
        <f t="shared" si="17"/>
        <v>0.8176511324147967</v>
      </c>
      <c r="AS51" s="18">
        <f t="shared" si="17"/>
        <v>0.667713461107171</v>
      </c>
      <c r="AT51" s="18">
        <f t="shared" si="17"/>
        <v>0.96670924401944691</v>
      </c>
      <c r="AU51" s="18">
        <f t="shared" si="17"/>
        <v>0.97112572654288032</v>
      </c>
      <c r="AV51" s="18">
        <f t="shared" si="17"/>
        <v>0.97278363663996437</v>
      </c>
      <c r="AW51" s="18">
        <f t="shared" si="17"/>
        <v>0.9476460788870078</v>
      </c>
      <c r="AX51" s="18">
        <f t="shared" si="17"/>
        <v>0.92569044442496529</v>
      </c>
      <c r="AY51" s="18">
        <f t="shared" si="17"/>
        <v>0.57731802398501797</v>
      </c>
      <c r="AZ51" s="18">
        <f t="shared" si="17"/>
        <v>0.72843859871729733</v>
      </c>
      <c r="BA51" s="18">
        <f t="shared" si="17"/>
        <v>0.79636995604581295</v>
      </c>
      <c r="BB51" s="18">
        <f t="shared" si="17"/>
        <v>0.93367859805581865</v>
      </c>
      <c r="BC51" s="18">
        <f t="shared" si="17"/>
        <v>0.96881792018700175</v>
      </c>
      <c r="BD51" s="18">
        <f t="shared" si="17"/>
        <v>0.87318589360348953</v>
      </c>
      <c r="BE51" s="18">
        <f t="shared" si="17"/>
        <v>0.97835517213358736</v>
      </c>
      <c r="BF51" s="18">
        <f t="shared" si="17"/>
        <v>1.0000000000000002</v>
      </c>
      <c r="BG51" s="18">
        <f t="shared" si="16"/>
        <v>0.97671478353627517</v>
      </c>
      <c r="BH51" s="18">
        <f t="shared" si="16"/>
        <v>0.88244796058828101</v>
      </c>
      <c r="BI51" s="18">
        <f t="shared" si="16"/>
        <v>0.74724825366361003</v>
      </c>
      <c r="BJ51" s="18">
        <f t="shared" si="16"/>
        <v>0.91935805054898667</v>
      </c>
      <c r="BK51" s="18">
        <f t="shared" si="16"/>
        <v>0.9419099448494771</v>
      </c>
      <c r="BL51" s="18">
        <f t="shared" si="16"/>
        <v>0.89962817423163155</v>
      </c>
      <c r="BM51" s="18">
        <f t="shared" si="16"/>
        <v>0.9525134347223202</v>
      </c>
      <c r="BN51" s="18">
        <f t="shared" si="16"/>
        <v>0.66404885249565804</v>
      </c>
      <c r="BO51" s="18">
        <f t="shared" si="16"/>
        <v>0.77018008600638399</v>
      </c>
      <c r="BP51" s="18">
        <f t="shared" si="16"/>
        <v>0.6460383770458229</v>
      </c>
      <c r="BQ51" s="18">
        <f t="shared" si="16"/>
        <v>0.89535448463215594</v>
      </c>
      <c r="BR51" s="18">
        <f t="shared" si="16"/>
        <v>0.98725685255908446</v>
      </c>
      <c r="BS51" s="18">
        <f t="shared" si="16"/>
        <v>0.72693812323128582</v>
      </c>
      <c r="BT51" s="18">
        <f t="shared" si="16"/>
        <v>0.9228325764091112</v>
      </c>
      <c r="BU51" s="18">
        <f t="shared" si="16"/>
        <v>0.60762259998186874</v>
      </c>
      <c r="BV51" s="18">
        <f t="shared" si="15"/>
        <v>0.96823809353389789</v>
      </c>
      <c r="BW51" s="18">
        <f t="shared" si="15"/>
        <v>0.66213628539402491</v>
      </c>
      <c r="BX51" s="18">
        <f t="shared" si="18"/>
        <v>0.97460105686090981</v>
      </c>
      <c r="BY51" s="18">
        <f t="shared" si="18"/>
        <v>0.80746620184561158</v>
      </c>
      <c r="BZ51" s="18">
        <f t="shared" si="18"/>
        <v>0.94279430911078388</v>
      </c>
      <c r="CA51" s="18">
        <f t="shared" si="18"/>
        <v>0.98311499322462126</v>
      </c>
      <c r="CB51" s="18">
        <f t="shared" si="18"/>
        <v>0.96782840024635264</v>
      </c>
      <c r="CC51" s="18">
        <f t="shared" si="18"/>
        <v>0.97449212156484222</v>
      </c>
      <c r="CD51" s="18">
        <f t="shared" si="18"/>
        <v>0.57830521742214702</v>
      </c>
    </row>
    <row r="52" spans="1:82" x14ac:dyDescent="0.3">
      <c r="A52" s="7" t="str">
        <v>Montero, Rafael</v>
      </c>
      <c r="B52">
        <f>_xlfn.XLOOKUP($A52,braves_19_25__2[player_name], braves_19_25__2[release_pos_z])</f>
        <v>5.22</v>
      </c>
      <c r="C52">
        <f>_xlfn.XLOOKUP($A52,braves_19_25__2[player_name], braves_19_25__2[release_pos_x])*2.5</f>
        <v>-4.4249999999999998</v>
      </c>
      <c r="D52">
        <f>_xlfn.XLOOKUP($A52,braves_19_25__2[player_name], braves_19_25__2[release_extension])</f>
        <v>6.19</v>
      </c>
      <c r="E52">
        <f>COS(RADIANS(AVERAGE(_xlfn.XLOOKUP($A52,braves_19_25__2[player_name],braves_19_25__2[arm_angle]))))*4</f>
        <v>3.2524030441881107</v>
      </c>
      <c r="F52">
        <f>SIN(RADIANS(AVERAGE(_xlfn.XLOOKUP($A52,braves_19_25__2[player_name],braves_19_25__2[arm_angle]))))*4</f>
        <v>2.3284918806291577</v>
      </c>
      <c r="G52">
        <f t="shared" si="2"/>
        <v>10.057093267937809</v>
      </c>
      <c r="I52" s="7" t="str">
        <v>Montero, Rafael</v>
      </c>
      <c r="J52" s="18">
        <f t="shared" si="11"/>
        <v>0.83290410736832909</v>
      </c>
      <c r="K52" s="18">
        <f t="shared" si="11"/>
        <v>0.99103661226282147</v>
      </c>
      <c r="L52" s="18">
        <f t="shared" si="11"/>
        <v>0.99608192146158436</v>
      </c>
      <c r="M52" s="18">
        <f t="shared" si="11"/>
        <v>0.97478448429760833</v>
      </c>
      <c r="N52" s="18">
        <f t="shared" si="11"/>
        <v>0.63939251248349172</v>
      </c>
      <c r="O52" s="18">
        <f t="shared" si="11"/>
        <v>0.9776914803227561</v>
      </c>
      <c r="P52" s="18">
        <f t="shared" si="11"/>
        <v>0.74916543698347571</v>
      </c>
      <c r="Q52" s="18">
        <f t="shared" si="11"/>
        <v>0.99803631611507215</v>
      </c>
      <c r="R52" s="18">
        <f t="shared" si="11"/>
        <v>0.99299039241363996</v>
      </c>
      <c r="S52" s="18">
        <f t="shared" si="11"/>
        <v>0.99086050981847507</v>
      </c>
      <c r="T52" s="18">
        <f t="shared" si="11"/>
        <v>0.99563317716838518</v>
      </c>
      <c r="U52" s="18">
        <f t="shared" si="11"/>
        <v>0.99941003557306918</v>
      </c>
      <c r="V52" s="18">
        <f t="shared" si="11"/>
        <v>0.98723050356242181</v>
      </c>
      <c r="W52" s="18">
        <f t="shared" si="11"/>
        <v>0.80349494283411527</v>
      </c>
      <c r="X52" s="18">
        <f t="shared" si="11"/>
        <v>0.99055627484999831</v>
      </c>
      <c r="Y52" s="18">
        <f t="shared" si="11"/>
        <v>0.99693126669550913</v>
      </c>
      <c r="Z52" s="18">
        <f t="shared" si="14"/>
        <v>0.78791898620724854</v>
      </c>
      <c r="AA52" s="18">
        <f t="shared" si="14"/>
        <v>0.81039141610974141</v>
      </c>
      <c r="AB52" s="18">
        <f t="shared" si="14"/>
        <v>0.99550360726616205</v>
      </c>
      <c r="AC52" s="18">
        <f t="shared" si="14"/>
        <v>0.99811391719918952</v>
      </c>
      <c r="AD52" s="18">
        <f t="shared" si="14"/>
        <v>0.78392858630053119</v>
      </c>
      <c r="AE52" s="18">
        <f t="shared" si="14"/>
        <v>0.99580714870481946</v>
      </c>
      <c r="AF52" s="18">
        <f t="shared" si="14"/>
        <v>0.99256824431918012</v>
      </c>
      <c r="AG52" s="18">
        <f t="shared" si="14"/>
        <v>0.99875226902252412</v>
      </c>
      <c r="AH52" s="18">
        <f t="shared" si="14"/>
        <v>0.9922329768664494</v>
      </c>
      <c r="AI52" s="18">
        <f t="shared" si="14"/>
        <v>0.80796512255483688</v>
      </c>
      <c r="AJ52" s="18">
        <f t="shared" si="14"/>
        <v>0.9990858551585009</v>
      </c>
      <c r="AK52" s="18">
        <f t="shared" si="14"/>
        <v>0.66142060150012316</v>
      </c>
      <c r="AL52" s="18">
        <f t="shared" si="14"/>
        <v>0.93862839804314946</v>
      </c>
      <c r="AM52" s="18">
        <f t="shared" si="14"/>
        <v>0.99724737093363969</v>
      </c>
      <c r="AN52" s="18">
        <f t="shared" si="14"/>
        <v>0.96520542325115266</v>
      </c>
      <c r="AO52" s="18">
        <f t="shared" si="14"/>
        <v>0.9854314735901808</v>
      </c>
      <c r="AP52" s="18">
        <f t="shared" si="12"/>
        <v>0.986922135434671</v>
      </c>
      <c r="AQ52" s="18">
        <f t="shared" si="17"/>
        <v>0.98497006909416995</v>
      </c>
      <c r="AR52" s="18">
        <f t="shared" si="17"/>
        <v>0.88714992728818631</v>
      </c>
      <c r="AS52" s="18">
        <f t="shared" si="17"/>
        <v>0.73491085479935003</v>
      </c>
      <c r="AT52" s="18">
        <f t="shared" si="17"/>
        <v>0.99376080031850544</v>
      </c>
      <c r="AU52" s="18">
        <f t="shared" si="17"/>
        <v>0.99267112354904241</v>
      </c>
      <c r="AV52" s="18">
        <f t="shared" si="17"/>
        <v>0.99807875484097197</v>
      </c>
      <c r="AW52" s="18">
        <f t="shared" si="17"/>
        <v>0.95311882734639541</v>
      </c>
      <c r="AX52" s="18">
        <f t="shared" si="17"/>
        <v>0.95733359794095318</v>
      </c>
      <c r="AY52" s="18">
        <f t="shared" si="17"/>
        <v>0.64534957729891473</v>
      </c>
      <c r="AZ52" s="18">
        <f t="shared" si="17"/>
        <v>0.80006458267353697</v>
      </c>
      <c r="BA52" s="18">
        <f t="shared" si="17"/>
        <v>0.86834889380371316</v>
      </c>
      <c r="BB52" s="18">
        <f t="shared" si="17"/>
        <v>0.97763038585329731</v>
      </c>
      <c r="BC52" s="18">
        <f t="shared" si="17"/>
        <v>0.99571762749323245</v>
      </c>
      <c r="BD52" s="18">
        <f t="shared" si="17"/>
        <v>0.90179044493909866</v>
      </c>
      <c r="BE52" s="18">
        <f t="shared" si="17"/>
        <v>0.99925066427349785</v>
      </c>
      <c r="BF52" s="18">
        <f t="shared" si="17"/>
        <v>0.97671478353627517</v>
      </c>
      <c r="BG52" s="18">
        <f t="shared" si="16"/>
        <v>1.0000000000000002</v>
      </c>
      <c r="BH52" s="18">
        <f t="shared" si="16"/>
        <v>0.9277349148223063</v>
      </c>
      <c r="BI52" s="18">
        <f t="shared" si="16"/>
        <v>0.79439661834120956</v>
      </c>
      <c r="BJ52" s="18">
        <f t="shared" si="16"/>
        <v>0.95545071825527383</v>
      </c>
      <c r="BK52" s="18">
        <f t="shared" si="16"/>
        <v>0.97219195981113482</v>
      </c>
      <c r="BL52" s="18">
        <f t="shared" si="16"/>
        <v>0.93919822390142793</v>
      </c>
      <c r="BM52" s="18">
        <f t="shared" si="16"/>
        <v>0.99006600081064999</v>
      </c>
      <c r="BN52" s="18">
        <f t="shared" si="16"/>
        <v>0.73718536461929984</v>
      </c>
      <c r="BO52" s="18">
        <f t="shared" si="16"/>
        <v>0.82810078745836069</v>
      </c>
      <c r="BP52" s="18">
        <f t="shared" si="16"/>
        <v>0.71049204792878884</v>
      </c>
      <c r="BQ52" s="18">
        <f t="shared" si="16"/>
        <v>0.93713223747502017</v>
      </c>
      <c r="BR52" s="18">
        <f t="shared" si="16"/>
        <v>0.9800349733646353</v>
      </c>
      <c r="BS52" s="18">
        <f t="shared" si="16"/>
        <v>0.80924604442093817</v>
      </c>
      <c r="BT52" s="18">
        <f t="shared" si="16"/>
        <v>0.95799648926841408</v>
      </c>
      <c r="BU52" s="18">
        <f t="shared" si="16"/>
        <v>0.67919859377523506</v>
      </c>
      <c r="BV52" s="18">
        <f t="shared" si="15"/>
        <v>0.98234643191841675</v>
      </c>
      <c r="BW52" s="18">
        <f t="shared" si="15"/>
        <v>0.72998818846360669</v>
      </c>
      <c r="BX52" s="18">
        <f t="shared" si="18"/>
        <v>0.98979756620681514</v>
      </c>
      <c r="BY52" s="18">
        <f t="shared" si="18"/>
        <v>0.86886232493000493</v>
      </c>
      <c r="BZ52" s="18">
        <f t="shared" si="18"/>
        <v>0.98651265514997444</v>
      </c>
      <c r="CA52" s="18">
        <f t="shared" si="18"/>
        <v>0.99746232581265426</v>
      </c>
      <c r="CB52" s="18">
        <f t="shared" si="18"/>
        <v>0.99515314770474073</v>
      </c>
      <c r="CC52" s="18">
        <f t="shared" si="18"/>
        <v>0.98689752556733912</v>
      </c>
      <c r="CD52" s="18">
        <f t="shared" si="18"/>
        <v>0.63793829516605449</v>
      </c>
    </row>
    <row r="53" spans="1:82" x14ac:dyDescent="0.3">
      <c r="A53" s="7" t="str">
        <v>Sobotka, Chad</v>
      </c>
      <c r="B53">
        <f>_xlfn.XLOOKUP($A53,braves_19_25__2[player_name], braves_19_25__2[release_pos_z])</f>
        <v>6.39</v>
      </c>
      <c r="C53">
        <f>_xlfn.XLOOKUP($A53,braves_19_25__2[player_name], braves_19_25__2[release_pos_x])*2.5</f>
        <v>-1.0249999999999999</v>
      </c>
      <c r="D53">
        <f>_xlfn.XLOOKUP($A53,braves_19_25__2[player_name], braves_19_25__2[release_extension])</f>
        <v>6.04</v>
      </c>
      <c r="E53">
        <f>COS(RADIANS(AVERAGE(_xlfn.XLOOKUP($A53,braves_19_25__2[player_name],braves_19_25__2[arm_angle]))))*4</f>
        <v>2.468143500562995</v>
      </c>
      <c r="F53">
        <f>SIN(RADIANS(AVERAGE(_xlfn.XLOOKUP($A53,braves_19_25__2[player_name],braves_19_25__2[arm_angle]))))*4</f>
        <v>3.147740087845349</v>
      </c>
      <c r="G53">
        <f t="shared" si="2"/>
        <v>9.7141301720740802</v>
      </c>
      <c r="I53" s="7" t="str">
        <v>Sobotka, Chad</v>
      </c>
      <c r="J53" s="18">
        <f t="shared" si="11"/>
        <v>0.94249991179661208</v>
      </c>
      <c r="K53" s="18">
        <f t="shared" si="11"/>
        <v>0.87849625598886616</v>
      </c>
      <c r="L53" s="18">
        <f t="shared" si="11"/>
        <v>0.91200379140233556</v>
      </c>
      <c r="M53" s="18">
        <f t="shared" si="11"/>
        <v>0.98301002776352975</v>
      </c>
      <c r="N53" s="18">
        <f t="shared" si="11"/>
        <v>0.7036175025645458</v>
      </c>
      <c r="O53" s="18">
        <f t="shared" si="11"/>
        <v>0.95900087710280313</v>
      </c>
      <c r="P53" s="18">
        <f t="shared" si="11"/>
        <v>0.84541271237532456</v>
      </c>
      <c r="Q53" s="18">
        <f t="shared" si="11"/>
        <v>0.91921011817416332</v>
      </c>
      <c r="R53" s="18">
        <f t="shared" si="11"/>
        <v>0.88086830860429255</v>
      </c>
      <c r="S53" s="18">
        <f t="shared" si="11"/>
        <v>0.91457718425866075</v>
      </c>
      <c r="T53" s="18">
        <f t="shared" si="11"/>
        <v>0.93101285435952941</v>
      </c>
      <c r="U53" s="18">
        <f t="shared" si="11"/>
        <v>0.92757878828707441</v>
      </c>
      <c r="V53" s="18">
        <f t="shared" si="11"/>
        <v>0.89317957103586476</v>
      </c>
      <c r="W53" s="18">
        <f t="shared" si="11"/>
        <v>0.91197483564788939</v>
      </c>
      <c r="X53" s="18">
        <f t="shared" si="11"/>
        <v>0.88748139434145423</v>
      </c>
      <c r="Y53" s="18">
        <f t="shared" si="11"/>
        <v>0.94867396835089191</v>
      </c>
      <c r="Z53" s="18">
        <f t="shared" si="14"/>
        <v>0.8969997916151502</v>
      </c>
      <c r="AA53" s="18">
        <f t="shared" si="14"/>
        <v>0.91961361813467501</v>
      </c>
      <c r="AB53" s="18">
        <f t="shared" si="14"/>
        <v>0.91127726589684688</v>
      </c>
      <c r="AC53" s="18">
        <f t="shared" si="14"/>
        <v>0.94271744923487077</v>
      </c>
      <c r="AD53" s="18">
        <f t="shared" si="14"/>
        <v>0.89910980505100857</v>
      </c>
      <c r="AE53" s="18">
        <f t="shared" si="14"/>
        <v>0.8934746101378922</v>
      </c>
      <c r="AF53" s="18">
        <f t="shared" si="14"/>
        <v>0.96013980212792638</v>
      </c>
      <c r="AG53" s="18">
        <f t="shared" si="14"/>
        <v>0.91467061060777088</v>
      </c>
      <c r="AH53" s="18">
        <f t="shared" si="14"/>
        <v>0.8792858945126848</v>
      </c>
      <c r="AI53" s="18">
        <f t="shared" si="14"/>
        <v>0.92153061111677892</v>
      </c>
      <c r="AJ53" s="18">
        <f t="shared" si="14"/>
        <v>0.92796821538781082</v>
      </c>
      <c r="AK53" s="18">
        <f t="shared" si="14"/>
        <v>0.72595413129834363</v>
      </c>
      <c r="AL53" s="18">
        <f t="shared" si="14"/>
        <v>0.74947223003604369</v>
      </c>
      <c r="AM53" s="18">
        <f t="shared" si="14"/>
        <v>0.92420427050220832</v>
      </c>
      <c r="AN53" s="18">
        <f t="shared" si="14"/>
        <v>0.99164526917277895</v>
      </c>
      <c r="AO53" s="18">
        <f t="shared" si="14"/>
        <v>0.87657310668785504</v>
      </c>
      <c r="AP53" s="18">
        <f t="shared" si="12"/>
        <v>0.87397740661495948</v>
      </c>
      <c r="AQ53" s="18">
        <f t="shared" si="17"/>
        <v>0.86118457909895763</v>
      </c>
      <c r="AR53" s="18">
        <f t="shared" si="17"/>
        <v>0.98578587002667606</v>
      </c>
      <c r="AS53" s="18">
        <f t="shared" si="17"/>
        <v>0.83304968733749707</v>
      </c>
      <c r="AT53" s="18">
        <f t="shared" si="17"/>
        <v>0.96201651907334007</v>
      </c>
      <c r="AU53" s="18">
        <f t="shared" si="17"/>
        <v>0.94977174993496394</v>
      </c>
      <c r="AV53" s="18">
        <f t="shared" si="17"/>
        <v>0.94739468877490929</v>
      </c>
      <c r="AW53" s="18">
        <f t="shared" si="17"/>
        <v>0.97482086884556607</v>
      </c>
      <c r="AX53" s="18">
        <f t="shared" si="17"/>
        <v>0.99379086338333467</v>
      </c>
      <c r="AY53" s="18">
        <f t="shared" si="17"/>
        <v>0.73252302459472252</v>
      </c>
      <c r="AZ53" s="18">
        <f t="shared" si="17"/>
        <v>0.90117099732402528</v>
      </c>
      <c r="BA53" s="18">
        <f t="shared" si="17"/>
        <v>0.96754330469820515</v>
      </c>
      <c r="BB53" s="18">
        <f t="shared" si="17"/>
        <v>0.98354434049912642</v>
      </c>
      <c r="BC53" s="18">
        <f t="shared" si="17"/>
        <v>0.90392173485107863</v>
      </c>
      <c r="BD53" s="18">
        <f t="shared" si="17"/>
        <v>0.70700823814524394</v>
      </c>
      <c r="BE53" s="18">
        <f t="shared" si="17"/>
        <v>0.92202713930520741</v>
      </c>
      <c r="BF53" s="18">
        <f t="shared" si="17"/>
        <v>0.88244796058828101</v>
      </c>
      <c r="BG53" s="18">
        <f t="shared" si="16"/>
        <v>0.9277349148223063</v>
      </c>
      <c r="BH53" s="18">
        <f t="shared" si="16"/>
        <v>1.0000000000000002</v>
      </c>
      <c r="BI53" s="18">
        <f t="shared" si="16"/>
        <v>0.91510350200496327</v>
      </c>
      <c r="BJ53" s="18">
        <f t="shared" si="16"/>
        <v>0.99496183022131668</v>
      </c>
      <c r="BK53" s="18">
        <f t="shared" si="16"/>
        <v>0.98820315296901051</v>
      </c>
      <c r="BL53" s="18">
        <f t="shared" si="16"/>
        <v>0.99918490947319638</v>
      </c>
      <c r="BM53" s="18">
        <f t="shared" si="16"/>
        <v>0.96850280019701585</v>
      </c>
      <c r="BN53" s="18">
        <f t="shared" si="16"/>
        <v>0.83156235635840303</v>
      </c>
      <c r="BO53" s="18">
        <f t="shared" si="16"/>
        <v>0.94131039057941668</v>
      </c>
      <c r="BP53" s="18">
        <f t="shared" si="16"/>
        <v>0.80923892911621531</v>
      </c>
      <c r="BQ53" s="18">
        <f t="shared" si="16"/>
        <v>0.99929992572521942</v>
      </c>
      <c r="BR53" s="18">
        <f t="shared" si="16"/>
        <v>0.84522747654107278</v>
      </c>
      <c r="BS53" s="18">
        <f t="shared" si="16"/>
        <v>0.90009130817507788</v>
      </c>
      <c r="BT53" s="18">
        <f t="shared" si="16"/>
        <v>0.9919267549258014</v>
      </c>
      <c r="BU53" s="18">
        <f t="shared" si="16"/>
        <v>0.76957473290613898</v>
      </c>
      <c r="BV53" s="18">
        <f t="shared" si="15"/>
        <v>0.84998913523577202</v>
      </c>
      <c r="BW53" s="18">
        <f t="shared" si="15"/>
        <v>0.82803309958163762</v>
      </c>
      <c r="BX53" s="18">
        <f t="shared" si="18"/>
        <v>0.86683995759196153</v>
      </c>
      <c r="BY53" s="18">
        <f t="shared" si="18"/>
        <v>0.97852508948120975</v>
      </c>
      <c r="BZ53" s="18">
        <f t="shared" si="18"/>
        <v>0.97098221360269299</v>
      </c>
      <c r="CA53" s="18">
        <f t="shared" si="18"/>
        <v>0.93558871429645818</v>
      </c>
      <c r="CB53" s="18">
        <f t="shared" si="18"/>
        <v>0.95831244705720897</v>
      </c>
      <c r="CC53" s="18">
        <f t="shared" si="18"/>
        <v>0.96287035319233949</v>
      </c>
      <c r="CD53" s="18">
        <f t="shared" si="18"/>
        <v>0.73376077942824813</v>
      </c>
    </row>
    <row r="54" spans="1:82" x14ac:dyDescent="0.3">
      <c r="A54" s="7" t="str">
        <v>Davidson, Tucker</v>
      </c>
      <c r="B54">
        <f>_xlfn.XLOOKUP($A54,braves_19_25__2[player_name], braves_19_25__2[release_pos_z])</f>
        <v>6.32</v>
      </c>
      <c r="C54">
        <f>_xlfn.XLOOKUP($A54,braves_19_25__2[player_name], braves_19_25__2[release_pos_x])*2.5</f>
        <v>3.875</v>
      </c>
      <c r="D54">
        <f>_xlfn.XLOOKUP($A54,braves_19_25__2[player_name], braves_19_25__2[release_extension])</f>
        <v>6.02</v>
      </c>
      <c r="E54">
        <f>COS(RADIANS(AVERAGE(_xlfn.XLOOKUP($A54,braves_19_25__2[player_name],braves_19_25__2[arm_angle]))))*4</f>
        <v>1.8035101627577232</v>
      </c>
      <c r="F54">
        <f>SIN(RADIANS(AVERAGE(_xlfn.XLOOKUP($A54,braves_19_25__2[player_name],braves_19_25__2[arm_angle]))))*4</f>
        <v>3.5703432738085019</v>
      </c>
      <c r="G54">
        <f t="shared" si="2"/>
        <v>10.353667224708353</v>
      </c>
      <c r="I54" s="7" t="str">
        <v>Davidson, Tucker</v>
      </c>
      <c r="J54" s="18">
        <f t="shared" si="11"/>
        <v>0.99394150306659057</v>
      </c>
      <c r="K54" s="18">
        <f t="shared" si="11"/>
        <v>0.73180253704082932</v>
      </c>
      <c r="L54" s="18">
        <f t="shared" si="11"/>
        <v>0.77456645681713299</v>
      </c>
      <c r="M54" s="18">
        <f t="shared" si="11"/>
        <v>0.87457566360509598</v>
      </c>
      <c r="N54" s="18">
        <f t="shared" si="11"/>
        <v>0.88675310206853664</v>
      </c>
      <c r="O54" s="18">
        <f t="shared" si="11"/>
        <v>0.84810293184840935</v>
      </c>
      <c r="P54" s="18">
        <f t="shared" si="11"/>
        <v>0.97631031658428369</v>
      </c>
      <c r="Q54" s="18">
        <f t="shared" si="11"/>
        <v>0.78225404718270741</v>
      </c>
      <c r="R54" s="18">
        <f t="shared" si="11"/>
        <v>0.73863675409200691</v>
      </c>
      <c r="S54" s="18">
        <f t="shared" si="11"/>
        <v>0.77691109941795178</v>
      </c>
      <c r="T54" s="18">
        <f t="shared" si="11"/>
        <v>0.79825337075402003</v>
      </c>
      <c r="U54" s="18">
        <f t="shared" si="11"/>
        <v>0.79277145079169031</v>
      </c>
      <c r="V54" s="18">
        <f t="shared" si="11"/>
        <v>0.75587090313346483</v>
      </c>
      <c r="W54" s="18">
        <f t="shared" si="11"/>
        <v>0.99440206801927977</v>
      </c>
      <c r="X54" s="18">
        <f t="shared" si="11"/>
        <v>0.74491897341101987</v>
      </c>
      <c r="Y54" s="18">
        <f t="shared" si="11"/>
        <v>0.82047704875908756</v>
      </c>
      <c r="Z54" s="18">
        <f t="shared" si="14"/>
        <v>0.99476527044908691</v>
      </c>
      <c r="AA54" s="18">
        <f t="shared" si="14"/>
        <v>0.99172767845269827</v>
      </c>
      <c r="AB54" s="18">
        <f t="shared" si="14"/>
        <v>0.77212261876919863</v>
      </c>
      <c r="AC54" s="18">
        <f t="shared" si="14"/>
        <v>0.81485036317129422</v>
      </c>
      <c r="AD54" s="18">
        <f t="shared" si="14"/>
        <v>0.99555829395928375</v>
      </c>
      <c r="AE54" s="18">
        <f t="shared" si="14"/>
        <v>0.75127088933353825</v>
      </c>
      <c r="AF54" s="18">
        <f t="shared" si="14"/>
        <v>0.83754775892935929</v>
      </c>
      <c r="AG54" s="18">
        <f t="shared" si="14"/>
        <v>0.77875933377520801</v>
      </c>
      <c r="AH54" s="18">
        <f t="shared" si="14"/>
        <v>0.73632868882046465</v>
      </c>
      <c r="AI54" s="18">
        <f t="shared" si="14"/>
        <v>0.99540632526803896</v>
      </c>
      <c r="AJ54" s="18">
        <f t="shared" si="14"/>
        <v>0.7938144553611266</v>
      </c>
      <c r="AK54" s="18">
        <f t="shared" si="14"/>
        <v>0.89253248336145463</v>
      </c>
      <c r="AL54" s="18">
        <f t="shared" si="14"/>
        <v>0.58707767211293693</v>
      </c>
      <c r="AM54" s="18">
        <f t="shared" si="14"/>
        <v>0.79354066614716967</v>
      </c>
      <c r="AN54" s="18">
        <f t="shared" si="14"/>
        <v>0.88756795938598088</v>
      </c>
      <c r="AO54" s="18">
        <f t="shared" si="14"/>
        <v>0.73455547761018736</v>
      </c>
      <c r="AP54" s="18">
        <f t="shared" si="12"/>
        <v>0.72637159390428918</v>
      </c>
      <c r="AQ54" s="18">
        <f t="shared" si="17"/>
        <v>0.71605186364661511</v>
      </c>
      <c r="AR54" s="18">
        <f t="shared" si="17"/>
        <v>0.94325028727526172</v>
      </c>
      <c r="AS54" s="18">
        <f t="shared" si="17"/>
        <v>0.97508391708237319</v>
      </c>
      <c r="AT54" s="18">
        <f t="shared" si="17"/>
        <v>0.83946026733001156</v>
      </c>
      <c r="AU54" s="18">
        <f t="shared" si="17"/>
        <v>0.82135293302059442</v>
      </c>
      <c r="AV54" s="18">
        <f t="shared" si="17"/>
        <v>0.81926234444780976</v>
      </c>
      <c r="AW54" s="18">
        <f t="shared" si="17"/>
        <v>0.87821836128484654</v>
      </c>
      <c r="AX54" s="18">
        <f t="shared" si="17"/>
        <v>0.89788784309004643</v>
      </c>
      <c r="AY54" s="18">
        <f t="shared" si="17"/>
        <v>0.9291958857428827</v>
      </c>
      <c r="AZ54" s="18">
        <f t="shared" si="17"/>
        <v>0.98584883214108154</v>
      </c>
      <c r="BA54" s="18">
        <f t="shared" si="17"/>
        <v>0.97214008982188671</v>
      </c>
      <c r="BB54" s="18">
        <f t="shared" si="17"/>
        <v>0.87311495211383094</v>
      </c>
      <c r="BC54" s="18">
        <f t="shared" si="17"/>
        <v>0.76280284423226141</v>
      </c>
      <c r="BD54" s="18">
        <f t="shared" si="17"/>
        <v>0.54771211743519743</v>
      </c>
      <c r="BE54" s="18">
        <f t="shared" si="17"/>
        <v>0.78698292013956372</v>
      </c>
      <c r="BF54" s="18">
        <f t="shared" si="17"/>
        <v>0.74724825366361003</v>
      </c>
      <c r="BG54" s="18">
        <f t="shared" si="16"/>
        <v>0.79439661834120956</v>
      </c>
      <c r="BH54" s="18">
        <f t="shared" si="16"/>
        <v>0.91510350200496327</v>
      </c>
      <c r="BI54" s="18">
        <f t="shared" si="16"/>
        <v>1.0000000000000002</v>
      </c>
      <c r="BJ54" s="18">
        <f t="shared" si="16"/>
        <v>0.89620290883468279</v>
      </c>
      <c r="BK54" s="18">
        <f t="shared" si="16"/>
        <v>0.88228652654142892</v>
      </c>
      <c r="BL54" s="18">
        <f t="shared" si="16"/>
        <v>0.9091385983430772</v>
      </c>
      <c r="BM54" s="18">
        <f t="shared" si="16"/>
        <v>0.85036053029915726</v>
      </c>
      <c r="BN54" s="18">
        <f t="shared" si="16"/>
        <v>0.9681302694360312</v>
      </c>
      <c r="BO54" s="18">
        <f t="shared" si="16"/>
        <v>0.99579233610147888</v>
      </c>
      <c r="BP54" s="18">
        <f t="shared" si="16"/>
        <v>0.96782614422294821</v>
      </c>
      <c r="BQ54" s="18">
        <f t="shared" si="16"/>
        <v>0.90998164192118425</v>
      </c>
      <c r="BR54" s="18">
        <f t="shared" si="16"/>
        <v>0.69617284332449736</v>
      </c>
      <c r="BS54" s="18">
        <f t="shared" si="16"/>
        <v>0.97593150545978991</v>
      </c>
      <c r="BT54" s="18">
        <f t="shared" si="16"/>
        <v>0.88950469068725491</v>
      </c>
      <c r="BU54" s="18">
        <f t="shared" si="16"/>
        <v>0.94146554555524042</v>
      </c>
      <c r="BV54" s="18">
        <f t="shared" si="15"/>
        <v>0.69834260744002974</v>
      </c>
      <c r="BW54" s="18">
        <f t="shared" si="15"/>
        <v>0.97238371944136204</v>
      </c>
      <c r="BX54" s="18">
        <f t="shared" si="18"/>
        <v>0.72049187722395724</v>
      </c>
      <c r="BY54" s="18">
        <f t="shared" si="18"/>
        <v>0.97285275534428761</v>
      </c>
      <c r="BZ54" s="18">
        <f t="shared" si="18"/>
        <v>0.85423065903164608</v>
      </c>
      <c r="CA54" s="18">
        <f t="shared" si="18"/>
        <v>0.80696618575963952</v>
      </c>
      <c r="CB54" s="18">
        <f t="shared" si="18"/>
        <v>0.83448819198574542</v>
      </c>
      <c r="CC54" s="18">
        <f t="shared" si="18"/>
        <v>0.84720275594869165</v>
      </c>
      <c r="CD54" s="18">
        <f t="shared" si="18"/>
        <v>0.93421567110544357</v>
      </c>
    </row>
    <row r="55" spans="1:82" x14ac:dyDescent="0.3">
      <c r="A55" s="7" t="str">
        <v>Santana, Edgar</v>
      </c>
      <c r="B55">
        <f>_xlfn.XLOOKUP($A55,braves_19_25__2[player_name], braves_19_25__2[release_pos_z])</f>
        <v>6.12</v>
      </c>
      <c r="C55">
        <f>_xlfn.XLOOKUP($A55,braves_19_25__2[player_name], braves_19_25__2[release_pos_x])*2.5</f>
        <v>-1.825</v>
      </c>
      <c r="D55">
        <f>_xlfn.XLOOKUP($A55,braves_19_25__2[player_name], braves_19_25__2[release_extension])</f>
        <v>5.49</v>
      </c>
      <c r="E55">
        <f>COS(RADIANS(AVERAGE(_xlfn.XLOOKUP($A55,braves_19_25__2[player_name],braves_19_25__2[arm_angle]))))*4</f>
        <v>2.6400066718437469</v>
      </c>
      <c r="F55">
        <f>SIN(RADIANS(AVERAGE(_xlfn.XLOOKUP($A55,braves_19_25__2[player_name],braves_19_25__2[arm_angle]))))*4</f>
        <v>3.0050565340140447</v>
      </c>
      <c r="G55">
        <f t="shared" si="2"/>
        <v>9.3233644678302703</v>
      </c>
      <c r="I55" s="7" t="str">
        <v>Santana, Edgar</v>
      </c>
      <c r="J55" s="18">
        <f t="shared" si="11"/>
        <v>0.9246263362964311</v>
      </c>
      <c r="K55" s="18">
        <f t="shared" si="11"/>
        <v>0.91575543000650439</v>
      </c>
      <c r="L55" s="18">
        <f t="shared" si="11"/>
        <v>0.94490724490242806</v>
      </c>
      <c r="M55" s="18">
        <f t="shared" si="11"/>
        <v>0.99497343216450462</v>
      </c>
      <c r="N55" s="18">
        <f t="shared" si="11"/>
        <v>0.68863246969297331</v>
      </c>
      <c r="O55" s="18">
        <f t="shared" si="11"/>
        <v>0.9743091189671319</v>
      </c>
      <c r="P55" s="18">
        <f t="shared" si="11"/>
        <v>0.82877871791483271</v>
      </c>
      <c r="Q55" s="18">
        <f t="shared" si="11"/>
        <v>0.94801492602315229</v>
      </c>
      <c r="R55" s="18">
        <f t="shared" si="11"/>
        <v>0.91657231452984311</v>
      </c>
      <c r="S55" s="18">
        <f t="shared" si="11"/>
        <v>0.94892808421316088</v>
      </c>
      <c r="T55" s="18">
        <f t="shared" si="11"/>
        <v>0.95529455079297898</v>
      </c>
      <c r="U55" s="18">
        <f t="shared" si="11"/>
        <v>0.95621909765640989</v>
      </c>
      <c r="V55" s="18">
        <f t="shared" si="11"/>
        <v>0.92906015457418922</v>
      </c>
      <c r="W55" s="18">
        <f t="shared" si="11"/>
        <v>0.89507811559006767</v>
      </c>
      <c r="X55" s="18">
        <f t="shared" si="11"/>
        <v>0.92597439182602514</v>
      </c>
      <c r="Y55" s="18">
        <f t="shared" si="11"/>
        <v>0.97319641565119541</v>
      </c>
      <c r="Z55" s="18">
        <f t="shared" si="14"/>
        <v>0.87966602978220976</v>
      </c>
      <c r="AA55" s="18">
        <f t="shared" si="14"/>
        <v>0.90430294046302362</v>
      </c>
      <c r="AB55" s="18">
        <f t="shared" si="14"/>
        <v>0.94516686289489316</v>
      </c>
      <c r="AC55" s="18">
        <f t="shared" si="14"/>
        <v>0.96695817740240186</v>
      </c>
      <c r="AD55" s="18">
        <f t="shared" si="14"/>
        <v>0.88271101953898801</v>
      </c>
      <c r="AE55" s="18">
        <f t="shared" si="14"/>
        <v>0.92742455665655088</v>
      </c>
      <c r="AF55" s="18">
        <f t="shared" si="14"/>
        <v>0.98122143718462029</v>
      </c>
      <c r="AG55" s="18">
        <f t="shared" si="14"/>
        <v>0.94357164854410602</v>
      </c>
      <c r="AH55" s="18">
        <f t="shared" si="14"/>
        <v>0.91487183976046293</v>
      </c>
      <c r="AI55" s="18">
        <f t="shared" si="14"/>
        <v>0.90529582376540652</v>
      </c>
      <c r="AJ55" s="18">
        <f t="shared" si="14"/>
        <v>0.95695320668328432</v>
      </c>
      <c r="AK55" s="18">
        <f t="shared" si="14"/>
        <v>0.71188836224586394</v>
      </c>
      <c r="AL55" s="18">
        <f t="shared" si="14"/>
        <v>0.80514073654834739</v>
      </c>
      <c r="AM55" s="18">
        <f t="shared" si="14"/>
        <v>0.95132291423662518</v>
      </c>
      <c r="AN55" s="18">
        <f t="shared" si="14"/>
        <v>0.99887792963364419</v>
      </c>
      <c r="AO55" s="18">
        <f t="shared" si="14"/>
        <v>0.91583814911209338</v>
      </c>
      <c r="AP55" s="18">
        <f t="shared" si="12"/>
        <v>0.91591306572291264</v>
      </c>
      <c r="AQ55" s="18">
        <f t="shared" si="17"/>
        <v>0.9022703191971293</v>
      </c>
      <c r="AR55" s="18">
        <f t="shared" si="17"/>
        <v>0.96849757537813086</v>
      </c>
      <c r="AS55" s="18">
        <f t="shared" si="17"/>
        <v>0.81547405743312851</v>
      </c>
      <c r="AT55" s="18">
        <f t="shared" si="17"/>
        <v>0.98194340714538941</v>
      </c>
      <c r="AU55" s="18">
        <f t="shared" si="17"/>
        <v>0.97476611224116094</v>
      </c>
      <c r="AV55" s="18">
        <f t="shared" si="17"/>
        <v>0.97125174195742492</v>
      </c>
      <c r="AW55" s="18">
        <f t="shared" si="17"/>
        <v>0.98079827441356271</v>
      </c>
      <c r="AX55" s="18">
        <f t="shared" si="17"/>
        <v>0.99633892083558895</v>
      </c>
      <c r="AY55" s="18">
        <f t="shared" si="17"/>
        <v>0.7154428209650292</v>
      </c>
      <c r="AZ55" s="18">
        <f t="shared" si="17"/>
        <v>0.88569282133902161</v>
      </c>
      <c r="BA55" s="18">
        <f t="shared" si="17"/>
        <v>0.95008216279477342</v>
      </c>
      <c r="BB55" s="18">
        <f t="shared" si="17"/>
        <v>0.99336055966418779</v>
      </c>
      <c r="BC55" s="18">
        <f t="shared" si="17"/>
        <v>0.93578360958318685</v>
      </c>
      <c r="BD55" s="18">
        <f t="shared" si="17"/>
        <v>0.75298820744750372</v>
      </c>
      <c r="BE55" s="18">
        <f t="shared" si="17"/>
        <v>0.95040757841219903</v>
      </c>
      <c r="BF55" s="18">
        <f t="shared" si="17"/>
        <v>0.91935805054898667</v>
      </c>
      <c r="BG55" s="18">
        <f t="shared" si="16"/>
        <v>0.95545071825527383</v>
      </c>
      <c r="BH55" s="18">
        <f t="shared" si="16"/>
        <v>0.99496183022131668</v>
      </c>
      <c r="BI55" s="18">
        <f t="shared" si="16"/>
        <v>0.89620290883468279</v>
      </c>
      <c r="BJ55" s="18">
        <f t="shared" si="16"/>
        <v>0.99999999999999989</v>
      </c>
      <c r="BK55" s="18">
        <f t="shared" si="16"/>
        <v>0.99758131616807799</v>
      </c>
      <c r="BL55" s="18">
        <f t="shared" si="16"/>
        <v>0.99771343808830026</v>
      </c>
      <c r="BM55" s="18">
        <f t="shared" si="16"/>
        <v>0.98328126482743783</v>
      </c>
      <c r="BN55" s="18">
        <f t="shared" si="16"/>
        <v>0.81629674848793254</v>
      </c>
      <c r="BO55" s="18">
        <f t="shared" si="16"/>
        <v>0.92344855956388661</v>
      </c>
      <c r="BP55" s="18">
        <f t="shared" si="16"/>
        <v>0.79226675636486721</v>
      </c>
      <c r="BQ55" s="18">
        <f t="shared" si="16"/>
        <v>0.99674175955161637</v>
      </c>
      <c r="BR55" s="18">
        <f t="shared" si="16"/>
        <v>0.88883206928418002</v>
      </c>
      <c r="BS55" s="18">
        <f t="shared" si="16"/>
        <v>0.8850971783576933</v>
      </c>
      <c r="BT55" s="18">
        <f t="shared" si="16"/>
        <v>0.99904440542958706</v>
      </c>
      <c r="BU55" s="18">
        <f t="shared" si="16"/>
        <v>0.75516654152223595</v>
      </c>
      <c r="BV55" s="18">
        <f t="shared" si="15"/>
        <v>0.89164319473019116</v>
      </c>
      <c r="BW55" s="18">
        <f t="shared" si="15"/>
        <v>0.81180350229065923</v>
      </c>
      <c r="BX55" s="18">
        <f t="shared" si="18"/>
        <v>0.90456174083542029</v>
      </c>
      <c r="BY55" s="18">
        <f t="shared" si="18"/>
        <v>0.96163978001127504</v>
      </c>
      <c r="BZ55" s="18">
        <f t="shared" si="18"/>
        <v>0.98398374034870062</v>
      </c>
      <c r="CA55" s="18">
        <f t="shared" si="18"/>
        <v>0.96042946559010456</v>
      </c>
      <c r="CB55" s="18">
        <f t="shared" si="18"/>
        <v>0.97852668882257587</v>
      </c>
      <c r="CC55" s="18">
        <f t="shared" si="18"/>
        <v>0.98058288670383253</v>
      </c>
      <c r="CD55" s="18">
        <f t="shared" si="18"/>
        <v>0.71739353546504991</v>
      </c>
    </row>
    <row r="56" spans="1:82" x14ac:dyDescent="0.3">
      <c r="A56" s="7" t="str">
        <v>Vines, Darius</v>
      </c>
      <c r="B56">
        <f>_xlfn.XLOOKUP($A56,braves_19_25__2[player_name], braves_19_25__2[release_pos_z])</f>
        <v>6.13</v>
      </c>
      <c r="C56">
        <f>_xlfn.XLOOKUP($A56,braves_19_25__2[player_name], braves_19_25__2[release_pos_x])*2.5</f>
        <v>-2.4750000000000001</v>
      </c>
      <c r="D56">
        <f>_xlfn.XLOOKUP($A56,braves_19_25__2[player_name], braves_19_25__2[release_extension])</f>
        <v>5.92</v>
      </c>
      <c r="E56">
        <f>COS(RADIANS(AVERAGE(_xlfn.XLOOKUP($A56,braves_19_25__2[player_name],braves_19_25__2[arm_angle]))))*4</f>
        <v>2.6347578404747223</v>
      </c>
      <c r="F56">
        <f>SIN(RADIANS(AVERAGE(_xlfn.XLOOKUP($A56,braves_19_25__2[player_name],braves_19_25__2[arm_angle]))))*4</f>
        <v>3.0096596355828975</v>
      </c>
      <c r="G56">
        <f t="shared" si="2"/>
        <v>9.7339059477683474</v>
      </c>
      <c r="I56" s="7" t="str">
        <v>Vines, Darius</v>
      </c>
      <c r="J56" s="18">
        <f t="shared" si="11"/>
        <v>0.91196096908039959</v>
      </c>
      <c r="K56" s="18">
        <f t="shared" si="11"/>
        <v>0.93800777200549634</v>
      </c>
      <c r="L56" s="18">
        <f t="shared" si="11"/>
        <v>0.96369146457654209</v>
      </c>
      <c r="M56" s="18">
        <f t="shared" si="11"/>
        <v>0.99905962243604507</v>
      </c>
      <c r="N56" s="18">
        <f t="shared" si="11"/>
        <v>0.67967709874982152</v>
      </c>
      <c r="O56" s="18">
        <f t="shared" si="11"/>
        <v>0.98615977951645795</v>
      </c>
      <c r="P56" s="18">
        <f t="shared" si="11"/>
        <v>0.81638028622760073</v>
      </c>
      <c r="Q56" s="18">
        <f t="shared" si="11"/>
        <v>0.96531767292588644</v>
      </c>
      <c r="R56" s="18">
        <f t="shared" si="11"/>
        <v>0.94101357971077049</v>
      </c>
      <c r="S56" s="18">
        <f t="shared" si="11"/>
        <v>0.96475998446709355</v>
      </c>
      <c r="T56" s="18">
        <f t="shared" si="11"/>
        <v>0.96973518022982608</v>
      </c>
      <c r="U56" s="18">
        <f t="shared" si="11"/>
        <v>0.97221984532698624</v>
      </c>
      <c r="V56" s="18">
        <f t="shared" si="11"/>
        <v>0.9508018613061564</v>
      </c>
      <c r="W56" s="18">
        <f t="shared" si="11"/>
        <v>0.88135695670008984</v>
      </c>
      <c r="X56" s="18">
        <f t="shared" si="11"/>
        <v>0.94743847177521312</v>
      </c>
      <c r="Y56" s="18">
        <f t="shared" si="11"/>
        <v>0.98484146460420163</v>
      </c>
      <c r="Z56" s="18">
        <f t="shared" si="14"/>
        <v>0.86607982830676278</v>
      </c>
      <c r="AA56" s="18">
        <f t="shared" si="14"/>
        <v>0.88933511368257934</v>
      </c>
      <c r="AB56" s="18">
        <f t="shared" si="14"/>
        <v>0.96288151197237482</v>
      </c>
      <c r="AC56" s="18">
        <f t="shared" si="14"/>
        <v>0.98182435351136599</v>
      </c>
      <c r="AD56" s="18">
        <f t="shared" si="14"/>
        <v>0.86746128366852415</v>
      </c>
      <c r="AE56" s="18">
        <f t="shared" si="14"/>
        <v>0.94909630219396712</v>
      </c>
      <c r="AF56" s="18">
        <f t="shared" si="14"/>
        <v>0.99142987482367995</v>
      </c>
      <c r="AG56" s="18">
        <f t="shared" si="14"/>
        <v>0.96308572512108193</v>
      </c>
      <c r="AH56" s="18">
        <f t="shared" si="14"/>
        <v>0.93950781962948438</v>
      </c>
      <c r="AI56" s="18">
        <f t="shared" si="14"/>
        <v>0.89037168210027251</v>
      </c>
      <c r="AJ56" s="18">
        <f t="shared" si="14"/>
        <v>0.97326734501050516</v>
      </c>
      <c r="AK56" s="18">
        <f t="shared" si="14"/>
        <v>0.70220882871261803</v>
      </c>
      <c r="AL56" s="18">
        <f t="shared" si="14"/>
        <v>0.84000297602134089</v>
      </c>
      <c r="AM56" s="18">
        <f t="shared" si="14"/>
        <v>0.97018591582028313</v>
      </c>
      <c r="AN56" s="18">
        <f t="shared" si="14"/>
        <v>0.99841892962500567</v>
      </c>
      <c r="AO56" s="18">
        <f t="shared" ref="AO56:BD72" si="19">(
   INDEX($B$3:$B$75, MATCH(AO$2,_xlfn.ANCHORARRAY( $A$3), 0)) *
   INDEX($B$3:$B$75, MATCH($I56,_xlfn.ANCHORARRAY( $A$3), 0))
 +
   (
     INDEX($C$3:$C$75, MATCH(AO$2,_xlfn.ANCHORARRAY( $A$3), 0)) *
     INDEX($C$3:$C$75, MATCH($I56,_xlfn.ANCHORARRAY( $A$3), 0))
   ) *
   IF(
       SIGN(INDEX($C$3:$C$75, MATCH(AO$2,_xlfn.ANCHORARRAY( $A$3), 0)))
       =
       SIGN(INDEX($C$3:$C$75, MATCH($I56,_xlfn.ANCHORARRAY( $A$3), 0))),
       1,
       0.1
   )
 +
   INDEX($D$3:$D$75, MATCH(AO$2,_xlfn.ANCHORARRAY( $A$3), 0)) *
   INDEX($D$3:$D$75, MATCH($I56,_xlfn.ANCHORARRAY( $A$3), 0)) + INDEX($E$3:$E$75,MATCH(AO$2,_xlfn.ANCHORARRAY($A$3),0)) * INDEX($E$3:$E$75,MATCH($I56,_xlfn.ANCHORARRAY($A$3),0)) + INDEX($F$3:$F$75,MATCH(AO$2,_xlfn.ANCHORARRAY($A$3),0)) * INDEX($F$3:$F$75,MATCH($I56,_xlfn.ANCHORARRAY($A$3),0)))
/
(
   SQRT(
       INDEX($B$3:$B$75, MATCH(AO$2,_xlfn.ANCHORARRAY( $A$3), 0))^2 +
       INDEX($C$3:$C$75, MATCH(AO$2,_xlfn.ANCHORARRAY( $A$3), 0))^2 +
       INDEX($D$3:$D$75, MATCH(AO$2,_xlfn.ANCHORARRAY( $A$3), 0))^2 + INDEX($E$3:$E$75,MATCH(AO$2,_xlfn.ANCHORARRAY($A$3),0))^2 + INDEX($F$3:$F$75,MATCH(AO$2,_xlfn.ANCHORARRAY($A$3),0))^2   )
   *
   SQRT(
       INDEX($B$3:$B$75, MATCH($I56,_xlfn.ANCHORARRAY( $A$3), 0))^2 +
       INDEX($C$3:$C$75, MATCH($I56,_xlfn.ANCHORARRAY( $A$3), 0))^2 +
       INDEX($D$3:$D$75, MATCH($I56,_xlfn.ANCHORARRAY( $A$3), 0))^2 + INDEX($E$3:$E$75,MATCH($I56,_xlfn.ANCHORARRAY($A$3),0))^2 + INDEX($F$3:$F$75,MATCH($I56,_xlfn.ANCHORARRAY($A$3),0))^2
   )
)</f>
        <v>0.93951472270269332</v>
      </c>
      <c r="AP56" s="18">
        <f t="shared" si="19"/>
        <v>0.93709621734405046</v>
      </c>
      <c r="AQ56" s="18">
        <f t="shared" si="19"/>
        <v>0.92839848298018102</v>
      </c>
      <c r="AR56" s="18">
        <f t="shared" si="19"/>
        <v>0.95845927942578402</v>
      </c>
      <c r="AS56" s="18">
        <f t="shared" si="19"/>
        <v>0.8034095165876266</v>
      </c>
      <c r="AT56" s="18">
        <f t="shared" si="19"/>
        <v>0.99172408137731161</v>
      </c>
      <c r="AU56" s="18">
        <f t="shared" si="19"/>
        <v>0.98504521535230349</v>
      </c>
      <c r="AV56" s="18">
        <f t="shared" si="19"/>
        <v>0.98411622451699643</v>
      </c>
      <c r="AW56" s="18">
        <f t="shared" si="19"/>
        <v>0.98670481626127016</v>
      </c>
      <c r="AX56" s="18">
        <f t="shared" si="19"/>
        <v>0.99702537721552209</v>
      </c>
      <c r="AY56" s="18">
        <f t="shared" si="19"/>
        <v>0.70448156246478189</v>
      </c>
      <c r="AZ56" s="18">
        <f t="shared" si="19"/>
        <v>0.87194342354711052</v>
      </c>
      <c r="BA56" s="18">
        <f t="shared" si="19"/>
        <v>0.93937943441194682</v>
      </c>
      <c r="BB56" s="18">
        <f t="shared" si="19"/>
        <v>0.99664792135694835</v>
      </c>
      <c r="BC56" s="18">
        <f t="shared" si="19"/>
        <v>0.95471701836162737</v>
      </c>
      <c r="BD56" s="18">
        <f t="shared" si="19"/>
        <v>0.78975442877387481</v>
      </c>
      <c r="BE56" s="18">
        <f t="shared" si="17"/>
        <v>0.96837117987426602</v>
      </c>
      <c r="BF56" s="18">
        <f t="shared" si="17"/>
        <v>0.9419099448494771</v>
      </c>
      <c r="BG56" s="18">
        <f t="shared" si="16"/>
        <v>0.97219195981113482</v>
      </c>
      <c r="BH56" s="18">
        <f t="shared" si="16"/>
        <v>0.98820315296901051</v>
      </c>
      <c r="BI56" s="18">
        <f t="shared" si="16"/>
        <v>0.88228652654142892</v>
      </c>
      <c r="BJ56" s="18">
        <f t="shared" si="16"/>
        <v>0.99758131616807799</v>
      </c>
      <c r="BK56" s="18">
        <f t="shared" si="16"/>
        <v>0.99999999999999989</v>
      </c>
      <c r="BL56" s="18">
        <f t="shared" si="16"/>
        <v>0.99301691299570383</v>
      </c>
      <c r="BM56" s="18">
        <f t="shared" si="16"/>
        <v>0.99211927812590794</v>
      </c>
      <c r="BN56" s="18">
        <f t="shared" si="16"/>
        <v>0.80302994408807338</v>
      </c>
      <c r="BO56" s="18">
        <f t="shared" si="16"/>
        <v>0.91014745133559838</v>
      </c>
      <c r="BP56" s="18">
        <f t="shared" si="16"/>
        <v>0.77958036423263133</v>
      </c>
      <c r="BQ56" s="18">
        <f t="shared" si="16"/>
        <v>0.99180360409578883</v>
      </c>
      <c r="BR56" s="18">
        <f t="shared" si="16"/>
        <v>0.91639693390444343</v>
      </c>
      <c r="BS56" s="18">
        <f t="shared" si="16"/>
        <v>0.87271998523624716</v>
      </c>
      <c r="BT56" s="18">
        <f t="shared" si="16"/>
        <v>0.99696846396441019</v>
      </c>
      <c r="BU56" s="18">
        <f t="shared" si="16"/>
        <v>0.74163771035010106</v>
      </c>
      <c r="BV56" s="18">
        <f t="shared" si="15"/>
        <v>0.9170257827747611</v>
      </c>
      <c r="BW56" s="18">
        <f t="shared" si="15"/>
        <v>0.79872166050094395</v>
      </c>
      <c r="BX56" s="18">
        <f t="shared" si="18"/>
        <v>0.92990597527220342</v>
      </c>
      <c r="BY56" s="18">
        <f t="shared" si="18"/>
        <v>0.94895223081459645</v>
      </c>
      <c r="BZ56" s="18">
        <f t="shared" si="18"/>
        <v>0.99140983958130002</v>
      </c>
      <c r="CA56" s="18">
        <f t="shared" si="18"/>
        <v>0.97720541540108341</v>
      </c>
      <c r="CB56" s="18">
        <f t="shared" si="18"/>
        <v>0.98953379004885578</v>
      </c>
      <c r="CC56" s="18">
        <f t="shared" si="18"/>
        <v>0.9914498914988028</v>
      </c>
      <c r="CD56" s="18">
        <f t="shared" si="18"/>
        <v>0.70446947629153345</v>
      </c>
    </row>
    <row r="57" spans="1:82" x14ac:dyDescent="0.3">
      <c r="A57" s="7" t="str">
        <v>Anderson, Nick</v>
      </c>
      <c r="B57">
        <f>_xlfn.XLOOKUP($A57,braves_19_25__2[player_name], braves_19_25__2[release_pos_z])</f>
        <v>6.59</v>
      </c>
      <c r="C57">
        <f>_xlfn.XLOOKUP($A57,braves_19_25__2[player_name], braves_19_25__2[release_pos_x])*2.5</f>
        <v>-1.4249999999999998</v>
      </c>
      <c r="D57">
        <f>_xlfn.XLOOKUP($A57,braves_19_25__2[player_name], braves_19_25__2[release_extension])</f>
        <v>6.09</v>
      </c>
      <c r="E57">
        <f>COS(RADIANS(AVERAGE(_xlfn.XLOOKUP($A57,braves_19_25__2[player_name],braves_19_25__2[arm_angle]))))*4</f>
        <v>2.4736335814302168</v>
      </c>
      <c r="F57">
        <f>SIN(RADIANS(AVERAGE(_xlfn.XLOOKUP($A57,braves_19_25__2[player_name],braves_19_25__2[arm_angle]))))*4</f>
        <v>3.1434275727016074</v>
      </c>
      <c r="G57">
        <f t="shared" si="2"/>
        <v>9.9270753497694368</v>
      </c>
      <c r="I57" s="7" t="str">
        <v>Anderson, Nick</v>
      </c>
      <c r="J57" s="18">
        <f t="shared" ref="J57:Y72" si="20">(
   INDEX($B$3:$B$75, MATCH(J$2,_xlfn.ANCHORARRAY( $A$3), 0)) *
   INDEX($B$3:$B$75, MATCH($I57,_xlfn.ANCHORARRAY( $A$3), 0))
 +
   (
     INDEX($C$3:$C$75, MATCH(J$2,_xlfn.ANCHORARRAY( $A$3), 0)) *
     INDEX($C$3:$C$75, MATCH($I57,_xlfn.ANCHORARRAY( $A$3), 0))
   ) *
   IF(
       SIGN(INDEX($C$3:$C$75, MATCH(J$2,_xlfn.ANCHORARRAY( $A$3), 0)))
       =
       SIGN(INDEX($C$3:$C$75, MATCH($I57,_xlfn.ANCHORARRAY( $A$3), 0))),
       1,
       0.1
   )
 +
   INDEX($D$3:$D$75, MATCH(J$2,_xlfn.ANCHORARRAY( $A$3), 0)) *
   INDEX($D$3:$D$75, MATCH($I57,_xlfn.ANCHORARRAY( $A$3), 0)) + INDEX($E$3:$E$75,MATCH(J$2,_xlfn.ANCHORARRAY($A$3),0)) * INDEX($E$3:$E$75,MATCH($I57,_xlfn.ANCHORARRAY($A$3),0)) + INDEX($F$3:$F$75,MATCH(J$2,_xlfn.ANCHORARRAY($A$3),0)) * INDEX($F$3:$F$75,MATCH($I57,_xlfn.ANCHORARRAY($A$3),0)))
/
(
   SQRT(
       INDEX($B$3:$B$75, MATCH(J$2,_xlfn.ANCHORARRAY( $A$3), 0))^2 +
       INDEX($C$3:$C$75, MATCH(J$2,_xlfn.ANCHORARRAY( $A$3), 0))^2 +
       INDEX($D$3:$D$75, MATCH(J$2,_xlfn.ANCHORARRAY( $A$3), 0))^2 + INDEX($E$3:$E$75,MATCH(J$2,_xlfn.ANCHORARRAY($A$3),0))^2 + INDEX($F$3:$F$75,MATCH(J$2,_xlfn.ANCHORARRAY($A$3),0))^2   )
   *
   SQRT(
       INDEX($B$3:$B$75, MATCH($I57,_xlfn.ANCHORARRAY( $A$3), 0))^2 +
       INDEX($C$3:$C$75, MATCH($I57,_xlfn.ANCHORARRAY( $A$3), 0))^2 +
       INDEX($D$3:$D$75, MATCH($I57,_xlfn.ANCHORARRAY( $A$3), 0))^2 + INDEX($E$3:$E$75,MATCH($I57,_xlfn.ANCHORARRAY($A$3),0))^2 + INDEX($F$3:$F$75,MATCH($I57,_xlfn.ANCHORARRAY($A$3),0))^2
   )
)</f>
        <v>0.93624432937008606</v>
      </c>
      <c r="K57" s="18">
        <f t="shared" si="20"/>
        <v>0.8939503761740194</v>
      </c>
      <c r="L57" s="18">
        <f t="shared" si="20"/>
        <v>0.92634787268839669</v>
      </c>
      <c r="M57" s="18">
        <f t="shared" si="20"/>
        <v>0.98932753008695928</v>
      </c>
      <c r="N57" s="18">
        <f t="shared" si="20"/>
        <v>0.69711266549819106</v>
      </c>
      <c r="O57" s="18">
        <f t="shared" si="20"/>
        <v>0.96776097066441347</v>
      </c>
      <c r="P57" s="18">
        <f t="shared" si="20"/>
        <v>0.83869029168471909</v>
      </c>
      <c r="Q57" s="18">
        <f t="shared" si="20"/>
        <v>0.93138281381308785</v>
      </c>
      <c r="R57" s="18">
        <f t="shared" si="20"/>
        <v>0.89609384261053882</v>
      </c>
      <c r="S57" s="18">
        <f t="shared" si="20"/>
        <v>0.92920849579448184</v>
      </c>
      <c r="T57" s="18">
        <f t="shared" si="20"/>
        <v>0.94076935404059203</v>
      </c>
      <c r="U57" s="18">
        <f t="shared" si="20"/>
        <v>0.93946126403730845</v>
      </c>
      <c r="V57" s="18">
        <f t="shared" si="20"/>
        <v>0.90940962894158728</v>
      </c>
      <c r="W57" s="18">
        <f t="shared" si="20"/>
        <v>0.90601206758507591</v>
      </c>
      <c r="X57" s="18">
        <f t="shared" si="20"/>
        <v>0.90387120514059527</v>
      </c>
      <c r="Y57" s="18">
        <f t="shared" si="20"/>
        <v>0.9586083238951989</v>
      </c>
      <c r="Z57" s="18">
        <f t="shared" ref="Z57:AO75" si="21">(
   INDEX($B$3:$B$75, MATCH(Z$2,_xlfn.ANCHORARRAY( $A$3), 0)) *
   INDEX($B$3:$B$75, MATCH($I57,_xlfn.ANCHORARRAY( $A$3), 0))
 +
   (
     INDEX($C$3:$C$75, MATCH(Z$2,_xlfn.ANCHORARRAY( $A$3), 0)) *
     INDEX($C$3:$C$75, MATCH($I57,_xlfn.ANCHORARRAY( $A$3), 0))
   ) *
   IF(
       SIGN(INDEX($C$3:$C$75, MATCH(Z$2,_xlfn.ANCHORARRAY( $A$3), 0)))
       =
       SIGN(INDEX($C$3:$C$75, MATCH($I57,_xlfn.ANCHORARRAY( $A$3), 0))),
       1,
       0.1
   )
 +
   INDEX($D$3:$D$75, MATCH(Z$2,_xlfn.ANCHORARRAY( $A$3), 0)) *
   INDEX($D$3:$D$75, MATCH($I57,_xlfn.ANCHORARRAY( $A$3), 0)) + INDEX($E$3:$E$75,MATCH(Z$2,_xlfn.ANCHORARRAY($A$3),0)) * INDEX($E$3:$E$75,MATCH($I57,_xlfn.ANCHORARRAY($A$3),0)) + INDEX($F$3:$F$75,MATCH(Z$2,_xlfn.ANCHORARRAY($A$3),0)) * INDEX($F$3:$F$75,MATCH($I57,_xlfn.ANCHORARRAY($A$3),0)))
/
(
   SQRT(
       INDEX($B$3:$B$75, MATCH(Z$2,_xlfn.ANCHORARRAY( $A$3), 0))^2 +
       INDEX($C$3:$C$75, MATCH(Z$2,_xlfn.ANCHORARRAY( $A$3), 0))^2 +
       INDEX($D$3:$D$75, MATCH(Z$2,_xlfn.ANCHORARRAY( $A$3), 0))^2 + INDEX($E$3:$E$75,MATCH(Z$2,_xlfn.ANCHORARRAY($A$3),0))^2 + INDEX($F$3:$F$75,MATCH(Z$2,_xlfn.ANCHORARRAY($A$3),0))^2   )
   *
   SQRT(
       INDEX($B$3:$B$75, MATCH($I57,_xlfn.ANCHORARRAY( $A$3), 0))^2 +
       INDEX($C$3:$C$75, MATCH($I57,_xlfn.ANCHORARRAY( $A$3), 0))^2 +
       INDEX($D$3:$D$75, MATCH($I57,_xlfn.ANCHORARRAY( $A$3), 0))^2 + INDEX($E$3:$E$75,MATCH($I57,_xlfn.ANCHORARRAY($A$3),0))^2 + INDEX($F$3:$F$75,MATCH($I57,_xlfn.ANCHORARRAY($A$3),0))^2
   )
)</f>
        <v>0.89082447834506362</v>
      </c>
      <c r="AA57" s="18">
        <f t="shared" si="21"/>
        <v>0.91400670844401632</v>
      </c>
      <c r="AB57" s="18">
        <f t="shared" si="21"/>
        <v>0.9256394636680243</v>
      </c>
      <c r="AC57" s="18">
        <f t="shared" si="21"/>
        <v>0.95356912997322163</v>
      </c>
      <c r="AD57" s="18">
        <f t="shared" si="21"/>
        <v>0.8934513748142785</v>
      </c>
      <c r="AE57" s="18">
        <f t="shared" si="21"/>
        <v>0.90778161555417869</v>
      </c>
      <c r="AF57" s="18">
        <f t="shared" si="21"/>
        <v>0.96970314427185467</v>
      </c>
      <c r="AG57" s="18">
        <f t="shared" si="21"/>
        <v>0.9271567034349939</v>
      </c>
      <c r="AH57" s="18">
        <f t="shared" si="21"/>
        <v>0.89475754744495029</v>
      </c>
      <c r="AI57" s="18">
        <f t="shared" si="21"/>
        <v>0.91596126709509496</v>
      </c>
      <c r="AJ57" s="18">
        <f t="shared" si="21"/>
        <v>0.94030920218509539</v>
      </c>
      <c r="AK57" s="18">
        <f t="shared" si="21"/>
        <v>0.71978680417255692</v>
      </c>
      <c r="AL57" s="18">
        <f t="shared" si="21"/>
        <v>0.77270493735799994</v>
      </c>
      <c r="AM57" s="18">
        <f t="shared" si="21"/>
        <v>0.93644648857569734</v>
      </c>
      <c r="AN57" s="18">
        <f t="shared" si="21"/>
        <v>0.9951981741996776</v>
      </c>
      <c r="AO57" s="18">
        <f t="shared" si="21"/>
        <v>0.893949879846758</v>
      </c>
      <c r="AP57" s="18">
        <f t="shared" si="19"/>
        <v>0.89092827957075627</v>
      </c>
      <c r="AQ57" s="18">
        <f t="shared" si="19"/>
        <v>0.87875701046454935</v>
      </c>
      <c r="AR57" s="18">
        <f t="shared" si="19"/>
        <v>0.97996436575579604</v>
      </c>
      <c r="AS57" s="18">
        <f t="shared" si="19"/>
        <v>0.82635669051164806</v>
      </c>
      <c r="AT57" s="18">
        <f t="shared" si="19"/>
        <v>0.97071849959670864</v>
      </c>
      <c r="AU57" s="18">
        <f t="shared" si="19"/>
        <v>0.96043730291818163</v>
      </c>
      <c r="AV57" s="18">
        <f t="shared" si="19"/>
        <v>0.95749114536248603</v>
      </c>
      <c r="AW57" s="18">
        <f t="shared" si="19"/>
        <v>0.98065099050495963</v>
      </c>
      <c r="AX57" s="18">
        <f t="shared" si="19"/>
        <v>0.996472660287126</v>
      </c>
      <c r="AY57" s="18">
        <f t="shared" si="19"/>
        <v>0.7256012588356423</v>
      </c>
      <c r="AZ57" s="18">
        <f t="shared" si="19"/>
        <v>0.8952503788237669</v>
      </c>
      <c r="BA57" s="18">
        <f t="shared" si="19"/>
        <v>0.96106849732476085</v>
      </c>
      <c r="BB57" s="18">
        <f t="shared" si="19"/>
        <v>0.98798430580517504</v>
      </c>
      <c r="BC57" s="18">
        <f t="shared" si="19"/>
        <v>0.91712869552810239</v>
      </c>
      <c r="BD57" s="18">
        <f t="shared" si="19"/>
        <v>0.72671222522030132</v>
      </c>
      <c r="BE57" s="18">
        <f t="shared" si="17"/>
        <v>0.93433704878118418</v>
      </c>
      <c r="BF57" s="18">
        <f t="shared" si="17"/>
        <v>0.89962817423163155</v>
      </c>
      <c r="BG57" s="18">
        <f t="shared" si="16"/>
        <v>0.93919822390142793</v>
      </c>
      <c r="BH57" s="18">
        <f t="shared" si="16"/>
        <v>0.99918490947319638</v>
      </c>
      <c r="BI57" s="18">
        <f t="shared" si="16"/>
        <v>0.9091385983430772</v>
      </c>
      <c r="BJ57" s="18">
        <f t="shared" si="16"/>
        <v>0.99771343808830026</v>
      </c>
      <c r="BK57" s="18">
        <f t="shared" si="16"/>
        <v>0.99301691299570383</v>
      </c>
      <c r="BL57" s="18">
        <f t="shared" si="16"/>
        <v>1.0000000000000002</v>
      </c>
      <c r="BM57" s="18">
        <f t="shared" si="16"/>
        <v>0.97529206205550245</v>
      </c>
      <c r="BN57" s="18">
        <f t="shared" si="16"/>
        <v>0.82522581973522346</v>
      </c>
      <c r="BO57" s="18">
        <f t="shared" si="16"/>
        <v>0.93533929496714108</v>
      </c>
      <c r="BP57" s="18">
        <f t="shared" si="16"/>
        <v>0.80252458721596809</v>
      </c>
      <c r="BQ57" s="18">
        <f t="shared" si="16"/>
        <v>0.99983003878363019</v>
      </c>
      <c r="BR57" s="18">
        <f t="shared" si="16"/>
        <v>0.86401743360105598</v>
      </c>
      <c r="BS57" s="18">
        <f t="shared" si="16"/>
        <v>0.89369037485589242</v>
      </c>
      <c r="BT57" s="18">
        <f t="shared" si="16"/>
        <v>0.99569370290828974</v>
      </c>
      <c r="BU57" s="18">
        <f t="shared" si="16"/>
        <v>0.76347910742645952</v>
      </c>
      <c r="BV57" s="18">
        <f t="shared" si="15"/>
        <v>0.86726157605024401</v>
      </c>
      <c r="BW57" s="18">
        <f t="shared" si="15"/>
        <v>0.82143098405070492</v>
      </c>
      <c r="BX57" s="18">
        <f t="shared" si="18"/>
        <v>0.8825244575495953</v>
      </c>
      <c r="BY57" s="18">
        <f t="shared" si="18"/>
        <v>0.97294690281329332</v>
      </c>
      <c r="BZ57" s="18">
        <f t="shared" si="18"/>
        <v>0.97690143170905597</v>
      </c>
      <c r="CA57" s="18">
        <f t="shared" si="18"/>
        <v>0.94711847369446833</v>
      </c>
      <c r="CB57" s="18">
        <f t="shared" si="18"/>
        <v>0.96734860803177625</v>
      </c>
      <c r="CC57" s="18">
        <f t="shared" si="18"/>
        <v>0.9715589448667632</v>
      </c>
      <c r="CD57" s="18">
        <f t="shared" si="18"/>
        <v>0.72740655176048719</v>
      </c>
    </row>
    <row r="58" spans="1:82" x14ac:dyDescent="0.3">
      <c r="A58" s="7" t="str">
        <v>Fedde, Erick</v>
      </c>
      <c r="B58">
        <f>_xlfn.XLOOKUP($A58,braves_19_25__2[player_name], braves_19_25__2[release_pos_z])</f>
        <v>5.9</v>
      </c>
      <c r="C58">
        <f>_xlfn.XLOOKUP($A58,braves_19_25__2[player_name], braves_19_25__2[release_pos_x])*2.5</f>
        <v>-3.25</v>
      </c>
      <c r="D58">
        <f>_xlfn.XLOOKUP($A58,braves_19_25__2[player_name], braves_19_25__2[release_extension])</f>
        <v>6.71</v>
      </c>
      <c r="E58">
        <f>COS(RADIANS(AVERAGE(_xlfn.XLOOKUP($A58,braves_19_25__2[player_name],braves_19_25__2[arm_angle]))))*4</f>
        <v>3.1818939234195835</v>
      </c>
      <c r="F58">
        <f>SIN(RADIANS(AVERAGE(_xlfn.XLOOKUP($A58,braves_19_25__2[player_name],braves_19_25__2[arm_angle]))))*4</f>
        <v>2.423953601062844</v>
      </c>
      <c r="G58">
        <f t="shared" si="2"/>
        <v>10.314872757334431</v>
      </c>
      <c r="I58" s="7" t="str">
        <v>Fedde, Erick</v>
      </c>
      <c r="J58" s="18">
        <f t="shared" si="20"/>
        <v>0.88788365355142018</v>
      </c>
      <c r="K58" s="18">
        <f t="shared" si="20"/>
        <v>0.96798635198653016</v>
      </c>
      <c r="L58" s="18">
        <f t="shared" si="20"/>
        <v>0.97996273725118865</v>
      </c>
      <c r="M58" s="18">
        <f t="shared" si="20"/>
        <v>0.99113549497092501</v>
      </c>
      <c r="N58" s="18">
        <f t="shared" si="20"/>
        <v>0.68373196159526728</v>
      </c>
      <c r="O58" s="18">
        <f t="shared" si="20"/>
        <v>0.98356856579014873</v>
      </c>
      <c r="P58" s="18">
        <f t="shared" si="20"/>
        <v>0.80004623416786769</v>
      </c>
      <c r="Q58" s="18">
        <f t="shared" si="20"/>
        <v>0.98756088500675765</v>
      </c>
      <c r="R58" s="18">
        <f t="shared" si="20"/>
        <v>0.96849743781767894</v>
      </c>
      <c r="S58" s="18">
        <f t="shared" si="20"/>
        <v>0.97604663388435986</v>
      </c>
      <c r="T58" s="18">
        <f t="shared" si="20"/>
        <v>0.9916582883996341</v>
      </c>
      <c r="U58" s="18">
        <f t="shared" si="20"/>
        <v>0.98969615504144393</v>
      </c>
      <c r="V58" s="18">
        <f t="shared" si="20"/>
        <v>0.96513369268766003</v>
      </c>
      <c r="W58" s="18">
        <f t="shared" si="20"/>
        <v>0.85817018233565801</v>
      </c>
      <c r="X58" s="18">
        <f t="shared" si="20"/>
        <v>0.96626022252608368</v>
      </c>
      <c r="Y58" s="18">
        <f t="shared" si="20"/>
        <v>0.99454673050491238</v>
      </c>
      <c r="Z58" s="18">
        <f t="shared" si="21"/>
        <v>0.84208458495243421</v>
      </c>
      <c r="AA58" s="18">
        <f t="shared" si="21"/>
        <v>0.86505019847274689</v>
      </c>
      <c r="AB58" s="18">
        <f t="shared" si="21"/>
        <v>0.97948987829020329</v>
      </c>
      <c r="AC58" s="18">
        <f t="shared" si="21"/>
        <v>0.99356924505186262</v>
      </c>
      <c r="AD58" s="18">
        <f t="shared" si="21"/>
        <v>0.83884066211986152</v>
      </c>
      <c r="AE58" s="18">
        <f t="shared" si="21"/>
        <v>0.97614854504957738</v>
      </c>
      <c r="AF58" s="18">
        <f t="shared" si="21"/>
        <v>0.99526138706324963</v>
      </c>
      <c r="AG58" s="18">
        <f t="shared" si="21"/>
        <v>0.98574062508706595</v>
      </c>
      <c r="AH58" s="18">
        <f t="shared" si="21"/>
        <v>0.96819657931086556</v>
      </c>
      <c r="AI58" s="18">
        <f t="shared" si="21"/>
        <v>0.86338175877277634</v>
      </c>
      <c r="AJ58" s="18">
        <f t="shared" si="21"/>
        <v>0.98879970502595149</v>
      </c>
      <c r="AK58" s="18">
        <f t="shared" si="21"/>
        <v>0.70670176401024054</v>
      </c>
      <c r="AL58" s="18">
        <f t="shared" si="21"/>
        <v>0.88523939979487554</v>
      </c>
      <c r="AM58" s="18">
        <f t="shared" si="21"/>
        <v>0.98603702502395085</v>
      </c>
      <c r="AN58" s="18">
        <f t="shared" si="21"/>
        <v>0.98979329572016217</v>
      </c>
      <c r="AO58" s="18">
        <f t="shared" si="21"/>
        <v>0.95839883496230616</v>
      </c>
      <c r="AP58" s="18">
        <f t="shared" si="19"/>
        <v>0.95947328256408104</v>
      </c>
      <c r="AQ58" s="18">
        <f t="shared" si="19"/>
        <v>0.95342394962383303</v>
      </c>
      <c r="AR58" s="18">
        <f t="shared" si="19"/>
        <v>0.94134660618291954</v>
      </c>
      <c r="AS58" s="18">
        <f t="shared" si="19"/>
        <v>0.78610082755279964</v>
      </c>
      <c r="AT58" s="18">
        <f t="shared" si="19"/>
        <v>0.99780570778408906</v>
      </c>
      <c r="AU58" s="18">
        <f t="shared" si="19"/>
        <v>0.99190745655990764</v>
      </c>
      <c r="AV58" s="18">
        <f t="shared" si="19"/>
        <v>0.995584393232397</v>
      </c>
      <c r="AW58" s="18">
        <f t="shared" si="19"/>
        <v>0.97309940390220406</v>
      </c>
      <c r="AX58" s="18">
        <f t="shared" si="19"/>
        <v>0.98484958814579449</v>
      </c>
      <c r="AY58" s="18">
        <f t="shared" si="19"/>
        <v>0.69204569756905532</v>
      </c>
      <c r="AZ58" s="18">
        <f t="shared" si="19"/>
        <v>0.85356016750162156</v>
      </c>
      <c r="BA58" s="18">
        <f t="shared" si="19"/>
        <v>0.92208488506513253</v>
      </c>
      <c r="BB58" s="18">
        <f t="shared" si="19"/>
        <v>0.99678028063091317</v>
      </c>
      <c r="BC58" s="18">
        <f t="shared" si="19"/>
        <v>0.98088371716802869</v>
      </c>
      <c r="BD58" s="18">
        <f t="shared" si="19"/>
        <v>0.85694013508881894</v>
      </c>
      <c r="BE58" s="18">
        <f t="shared" si="17"/>
        <v>0.98833804400577374</v>
      </c>
      <c r="BF58" s="18">
        <f t="shared" si="17"/>
        <v>0.9525134347223202</v>
      </c>
      <c r="BG58" s="18">
        <f t="shared" si="16"/>
        <v>0.99006600081064999</v>
      </c>
      <c r="BH58" s="18">
        <f t="shared" si="16"/>
        <v>0.96850280019701585</v>
      </c>
      <c r="BI58" s="18">
        <f t="shared" si="16"/>
        <v>0.85036053029915726</v>
      </c>
      <c r="BJ58" s="18">
        <f t="shared" si="16"/>
        <v>0.98328126482743783</v>
      </c>
      <c r="BK58" s="18">
        <f t="shared" si="16"/>
        <v>0.99211927812590794</v>
      </c>
      <c r="BL58" s="18">
        <f t="shared" si="16"/>
        <v>0.97529206205550245</v>
      </c>
      <c r="BM58" s="18">
        <f t="shared" si="16"/>
        <v>1</v>
      </c>
      <c r="BN58" s="18">
        <f t="shared" si="16"/>
        <v>0.78765754483196204</v>
      </c>
      <c r="BO58" s="18">
        <f t="shared" si="16"/>
        <v>0.88379107843472515</v>
      </c>
      <c r="BP58" s="18">
        <f t="shared" si="16"/>
        <v>0.76056524356401678</v>
      </c>
      <c r="BQ58" s="18">
        <f t="shared" si="16"/>
        <v>0.97470469265701443</v>
      </c>
      <c r="BR58" s="18">
        <f t="shared" si="16"/>
        <v>0.94533883474560665</v>
      </c>
      <c r="BS58" s="18">
        <f t="shared" si="16"/>
        <v>0.86094103546885736</v>
      </c>
      <c r="BT58" s="18">
        <f t="shared" si="16"/>
        <v>0.98430180144526769</v>
      </c>
      <c r="BU58" s="18">
        <f t="shared" ref="BU58:BW75" si="22">(
   INDEX($B$3:$B$75, MATCH(BU$2,_xlfn.ANCHORARRAY( $A$3), 0)) *
   INDEX($B$3:$B$75, MATCH($I58,_xlfn.ANCHORARRAY( $A$3), 0))
 +
   (
     INDEX($C$3:$C$75, MATCH(BU$2,_xlfn.ANCHORARRAY( $A$3), 0)) *
     INDEX($C$3:$C$75, MATCH($I58,_xlfn.ANCHORARRAY( $A$3), 0))
   ) *
   IF(
       SIGN(INDEX($C$3:$C$75, MATCH(BU$2,_xlfn.ANCHORARRAY( $A$3), 0)))
       =
       SIGN(INDEX($C$3:$C$75, MATCH($I58,_xlfn.ANCHORARRAY( $A$3), 0))),
       1,
       0.1
   )
 +
   INDEX($D$3:$D$75, MATCH(BU$2,_xlfn.ANCHORARRAY( $A$3), 0)) *
   INDEX($D$3:$D$75, MATCH($I58,_xlfn.ANCHORARRAY( $A$3), 0)) + INDEX($E$3:$E$75,MATCH(BU$2,_xlfn.ANCHORARRAY($A$3),0)) * INDEX($E$3:$E$75,MATCH($I58,_xlfn.ANCHORARRAY($A$3),0)) + INDEX($F$3:$F$75,MATCH(BU$2,_xlfn.ANCHORARRAY($A$3),0)) * INDEX($F$3:$F$75,MATCH($I58,_xlfn.ANCHORARRAY($A$3),0)))
/
(
   SQRT(
       INDEX($B$3:$B$75, MATCH(BU$2,_xlfn.ANCHORARRAY( $A$3), 0))^2 +
       INDEX($C$3:$C$75, MATCH(BU$2,_xlfn.ANCHORARRAY( $A$3), 0))^2 +
       INDEX($D$3:$D$75, MATCH(BU$2,_xlfn.ANCHORARRAY( $A$3), 0))^2 + INDEX($E$3:$E$75,MATCH(BU$2,_xlfn.ANCHORARRAY($A$3),0))^2 + INDEX($F$3:$F$75,MATCH(BU$2,_xlfn.ANCHORARRAY($A$3),0))^2   )
   *
   SQRT(
       INDEX($B$3:$B$75, MATCH($I58,_xlfn.ANCHORARRAY( $A$3), 0))^2 +
       INDEX($C$3:$C$75, MATCH($I58,_xlfn.ANCHORARRAY( $A$3), 0))^2 +
       INDEX($D$3:$D$75, MATCH($I58,_xlfn.ANCHORARRAY( $A$3), 0))^2 + INDEX($E$3:$E$75,MATCH($I58,_xlfn.ANCHORARRAY($A$3),0))^2 + INDEX($F$3:$F$75,MATCH($I58,_xlfn.ANCHORARRAY($A$3),0))^2
   )
)</f>
        <v>0.72756656845073209</v>
      </c>
      <c r="BV58" s="18">
        <f t="shared" si="22"/>
        <v>0.95223009773387501</v>
      </c>
      <c r="BW58" s="18">
        <f t="shared" si="22"/>
        <v>0.7804515529329521</v>
      </c>
      <c r="BX58" s="18">
        <f t="shared" si="18"/>
        <v>0.96275615356476263</v>
      </c>
      <c r="BY58" s="18">
        <f t="shared" si="18"/>
        <v>0.92455980919339331</v>
      </c>
      <c r="BZ58" s="18">
        <f t="shared" si="18"/>
        <v>0.99947422512979045</v>
      </c>
      <c r="CA58" s="18">
        <f t="shared" si="18"/>
        <v>0.99082535090318857</v>
      </c>
      <c r="CB58" s="18">
        <f t="shared" si="18"/>
        <v>0.99812567359227344</v>
      </c>
      <c r="CC58" s="18">
        <f t="shared" si="18"/>
        <v>0.99130154784529745</v>
      </c>
      <c r="CD58" s="18">
        <f t="shared" si="18"/>
        <v>0.68578062318367194</v>
      </c>
    </row>
    <row r="59" spans="1:82" x14ac:dyDescent="0.3">
      <c r="A59" s="7" t="str">
        <v>Biddle, Jesse</v>
      </c>
      <c r="B59">
        <f>_xlfn.XLOOKUP($A59,braves_19_25__2[player_name], braves_19_25__2[release_pos_z])</f>
        <v>5.88</v>
      </c>
      <c r="C59">
        <f>_xlfn.XLOOKUP($A59,braves_19_25__2[player_name], braves_19_25__2[release_pos_x])*2.5</f>
        <v>5.8</v>
      </c>
      <c r="D59">
        <f>_xlfn.XLOOKUP($A59,braves_19_25__2[player_name], braves_19_25__2[release_extension])</f>
        <v>6.01</v>
      </c>
      <c r="E59">
        <f>COS(RADIANS(AVERAGE(_xlfn.XLOOKUP($A59,braves_19_25__2[player_name],braves_19_25__2[arm_angle]))))*4</f>
        <v>3.2645503603206412</v>
      </c>
      <c r="F59">
        <f>SIN(RADIANS(AVERAGE(_xlfn.XLOOKUP($A59,braves_19_25__2[player_name],braves_19_25__2[arm_angle]))))*4</f>
        <v>2.3114304975340212</v>
      </c>
      <c r="G59">
        <f t="shared" si="2"/>
        <v>10.969708291472475</v>
      </c>
      <c r="I59" s="7" t="str">
        <v>Biddle, Jesse</v>
      </c>
      <c r="J59" s="18">
        <f t="shared" si="20"/>
        <v>0.96292276420699718</v>
      </c>
      <c r="K59" s="18">
        <f t="shared" si="20"/>
        <v>0.69087506402674415</v>
      </c>
      <c r="L59" s="18">
        <f t="shared" si="20"/>
        <v>0.71145214561792014</v>
      </c>
      <c r="M59" s="18">
        <f t="shared" si="20"/>
        <v>0.79165589402916459</v>
      </c>
      <c r="N59" s="18">
        <f t="shared" si="20"/>
        <v>0.9717372652652867</v>
      </c>
      <c r="O59" s="18">
        <f t="shared" si="20"/>
        <v>0.75428217572080414</v>
      </c>
      <c r="P59" s="18">
        <f t="shared" si="20"/>
        <v>0.99861310566686534</v>
      </c>
      <c r="Q59" s="18">
        <f t="shared" si="20"/>
        <v>0.73361338832060363</v>
      </c>
      <c r="R59" s="18">
        <f t="shared" si="20"/>
        <v>0.68407035948491079</v>
      </c>
      <c r="S59" s="18">
        <f t="shared" si="20"/>
        <v>0.71382291952615551</v>
      </c>
      <c r="T59" s="18">
        <f t="shared" si="20"/>
        <v>0.75484276086399227</v>
      </c>
      <c r="U59" s="18">
        <f t="shared" si="20"/>
        <v>0.73777171658188878</v>
      </c>
      <c r="V59" s="18">
        <f t="shared" si="20"/>
        <v>0.68190233799427857</v>
      </c>
      <c r="W59" s="18">
        <f t="shared" si="20"/>
        <v>0.98379406585629592</v>
      </c>
      <c r="X59" s="18">
        <f t="shared" si="20"/>
        <v>0.68331146654751351</v>
      </c>
      <c r="Y59" s="18">
        <f t="shared" si="20"/>
        <v>0.75964034776077938</v>
      </c>
      <c r="Z59" s="18">
        <f t="shared" si="21"/>
        <v>0.98783084836613033</v>
      </c>
      <c r="AA59" s="18">
        <f t="shared" si="21"/>
        <v>0.98027904752611394</v>
      </c>
      <c r="AB59" s="18">
        <f t="shared" si="21"/>
        <v>0.71392272765627107</v>
      </c>
      <c r="AC59" s="18">
        <f t="shared" si="21"/>
        <v>0.74784717365212194</v>
      </c>
      <c r="AD59" s="18">
        <f t="shared" si="21"/>
        <v>0.98408135466662372</v>
      </c>
      <c r="AE59" s="18">
        <f t="shared" si="21"/>
        <v>0.70309930078670047</v>
      </c>
      <c r="AF59" s="18">
        <f t="shared" si="21"/>
        <v>0.76624701791855543</v>
      </c>
      <c r="AG59" s="18">
        <f t="shared" si="21"/>
        <v>0.72399693424236899</v>
      </c>
      <c r="AH59" s="18">
        <f t="shared" si="21"/>
        <v>0.68368948610537728</v>
      </c>
      <c r="AI59" s="18">
        <f t="shared" si="21"/>
        <v>0.97711494481982719</v>
      </c>
      <c r="AJ59" s="18">
        <f t="shared" si="21"/>
        <v>0.7338770672301792</v>
      </c>
      <c r="AK59" s="18">
        <f t="shared" si="21"/>
        <v>0.97494754167397746</v>
      </c>
      <c r="AL59" s="18">
        <f t="shared" si="21"/>
        <v>0.55601354773933875</v>
      </c>
      <c r="AM59" s="18">
        <f t="shared" si="21"/>
        <v>0.72489280557862845</v>
      </c>
      <c r="AN59" s="18">
        <f t="shared" si="21"/>
        <v>0.81471339091805217</v>
      </c>
      <c r="AO59" s="18">
        <f t="shared" si="21"/>
        <v>0.66691370262668626</v>
      </c>
      <c r="AP59" s="18">
        <f t="shared" si="19"/>
        <v>0.67616797203133427</v>
      </c>
      <c r="AQ59" s="18">
        <f t="shared" si="19"/>
        <v>0.65530482749414354</v>
      </c>
      <c r="AR59" s="18">
        <f t="shared" si="19"/>
        <v>0.8806861601795265</v>
      </c>
      <c r="AS59" s="18">
        <f t="shared" si="19"/>
        <v>0.9977853258899787</v>
      </c>
      <c r="AT59" s="18">
        <f t="shared" si="19"/>
        <v>0.7734709232798449</v>
      </c>
      <c r="AU59" s="18">
        <f t="shared" si="19"/>
        <v>0.75929757605436798</v>
      </c>
      <c r="AV59" s="18">
        <f t="shared" si="19"/>
        <v>0.75777055980549146</v>
      </c>
      <c r="AW59" s="18">
        <f t="shared" si="19"/>
        <v>0.7740618247523986</v>
      </c>
      <c r="AX59" s="18">
        <f t="shared" si="19"/>
        <v>0.8106908354999095</v>
      </c>
      <c r="AY59" s="18">
        <f t="shared" si="19"/>
        <v>0.98457137482581247</v>
      </c>
      <c r="AZ59" s="18">
        <f t="shared" si="19"/>
        <v>0.98941705433499127</v>
      </c>
      <c r="BA59" s="18">
        <f t="shared" si="19"/>
        <v>0.93082968797018883</v>
      </c>
      <c r="BB59" s="18">
        <f t="shared" si="19"/>
        <v>0.80842475383597312</v>
      </c>
      <c r="BC59" s="18">
        <f t="shared" si="19"/>
        <v>0.71988540830184922</v>
      </c>
      <c r="BD59" s="18">
        <f t="shared" si="19"/>
        <v>0.55314147284506754</v>
      </c>
      <c r="BE59" s="18">
        <f t="shared" si="17"/>
        <v>0.73091680005767279</v>
      </c>
      <c r="BF59" s="18">
        <f t="shared" si="17"/>
        <v>0.66404885249565804</v>
      </c>
      <c r="BG59" s="18">
        <f t="shared" ref="BG59:BV75" si="23">(
   INDEX($B$3:$B$75, MATCH(BG$2,_xlfn.ANCHORARRAY( $A$3), 0)) *
   INDEX($B$3:$B$75, MATCH($I59,_xlfn.ANCHORARRAY( $A$3), 0))
 +
   (
     INDEX($C$3:$C$75, MATCH(BG$2,_xlfn.ANCHORARRAY( $A$3), 0)) *
     INDEX($C$3:$C$75, MATCH($I59,_xlfn.ANCHORARRAY( $A$3), 0))
   ) *
   IF(
       SIGN(INDEX($C$3:$C$75, MATCH(BG$2,_xlfn.ANCHORARRAY( $A$3), 0)))
       =
       SIGN(INDEX($C$3:$C$75, MATCH($I59,_xlfn.ANCHORARRAY( $A$3), 0))),
       1,
       0.1
   )
 +
   INDEX($D$3:$D$75, MATCH(BG$2,_xlfn.ANCHORARRAY( $A$3), 0)) *
   INDEX($D$3:$D$75, MATCH($I59,_xlfn.ANCHORARRAY( $A$3), 0)) + INDEX($E$3:$E$75,MATCH(BG$2,_xlfn.ANCHORARRAY($A$3),0)) * INDEX($E$3:$E$75,MATCH($I59,_xlfn.ANCHORARRAY($A$3),0)) + INDEX($F$3:$F$75,MATCH(BG$2,_xlfn.ANCHORARRAY($A$3),0)) * INDEX($F$3:$F$75,MATCH($I59,_xlfn.ANCHORARRAY($A$3),0)))
/
(
   SQRT(
       INDEX($B$3:$B$75, MATCH(BG$2,_xlfn.ANCHORARRAY( $A$3), 0))^2 +
       INDEX($C$3:$C$75, MATCH(BG$2,_xlfn.ANCHORARRAY( $A$3), 0))^2 +
       INDEX($D$3:$D$75, MATCH(BG$2,_xlfn.ANCHORARRAY( $A$3), 0))^2 + INDEX($E$3:$E$75,MATCH(BG$2,_xlfn.ANCHORARRAY($A$3),0))^2 + INDEX($F$3:$F$75,MATCH(BG$2,_xlfn.ANCHORARRAY($A$3),0))^2   )
   *
   SQRT(
       INDEX($B$3:$B$75, MATCH($I59,_xlfn.ANCHORARRAY( $A$3), 0))^2 +
       INDEX($C$3:$C$75, MATCH($I59,_xlfn.ANCHORARRAY( $A$3), 0))^2 +
       INDEX($D$3:$D$75, MATCH($I59,_xlfn.ANCHORARRAY( $A$3), 0))^2 + INDEX($E$3:$E$75,MATCH($I59,_xlfn.ANCHORARRAY($A$3),0))^2 + INDEX($F$3:$F$75,MATCH($I59,_xlfn.ANCHORARRAY($A$3),0))^2
   )
)</f>
        <v>0.73718536461929984</v>
      </c>
      <c r="BH59" s="18">
        <f t="shared" si="23"/>
        <v>0.83156235635840303</v>
      </c>
      <c r="BI59" s="18">
        <f t="shared" si="23"/>
        <v>0.9681302694360312</v>
      </c>
      <c r="BJ59" s="18">
        <f t="shared" si="23"/>
        <v>0.81629674848793254</v>
      </c>
      <c r="BK59" s="18">
        <f t="shared" si="23"/>
        <v>0.80302994408807338</v>
      </c>
      <c r="BL59" s="18">
        <f t="shared" si="23"/>
        <v>0.82522581973522346</v>
      </c>
      <c r="BM59" s="18">
        <f t="shared" si="23"/>
        <v>0.78765754483196204</v>
      </c>
      <c r="BN59" s="18">
        <f t="shared" si="23"/>
        <v>1.0000000000000002</v>
      </c>
      <c r="BO59" s="18">
        <f t="shared" si="23"/>
        <v>0.96301528760565092</v>
      </c>
      <c r="BP59" s="18">
        <f t="shared" si="23"/>
        <v>0.99655697856503278</v>
      </c>
      <c r="BQ59" s="18">
        <f t="shared" si="23"/>
        <v>0.82750388142194753</v>
      </c>
      <c r="BR59" s="18">
        <f t="shared" si="23"/>
        <v>0.64149169774000592</v>
      </c>
      <c r="BS59" s="18">
        <f t="shared" si="23"/>
        <v>0.98703575077631334</v>
      </c>
      <c r="BT59" s="18">
        <f t="shared" si="23"/>
        <v>0.81340869663253312</v>
      </c>
      <c r="BU59" s="18">
        <f t="shared" si="23"/>
        <v>0.99417558194815192</v>
      </c>
      <c r="BV59" s="18">
        <f t="shared" si="23"/>
        <v>0.66257015578668599</v>
      </c>
      <c r="BW59" s="18">
        <f t="shared" si="22"/>
        <v>0.99884980160295134</v>
      </c>
      <c r="BX59" s="18">
        <f t="shared" si="18"/>
        <v>0.67637010307352585</v>
      </c>
      <c r="BY59" s="18">
        <f t="shared" si="18"/>
        <v>0.91818527268454064</v>
      </c>
      <c r="BZ59" s="18">
        <f t="shared" si="18"/>
        <v>0.79532363154553209</v>
      </c>
      <c r="CA59" s="18">
        <f t="shared" si="18"/>
        <v>0.73840985737938647</v>
      </c>
      <c r="CB59" s="18">
        <f t="shared" si="18"/>
        <v>0.77013963412585751</v>
      </c>
      <c r="CC59" s="18">
        <f t="shared" si="18"/>
        <v>0.76304553520028229</v>
      </c>
      <c r="CD59" s="18">
        <f t="shared" si="18"/>
        <v>0.98414527818469499</v>
      </c>
    </row>
    <row r="60" spans="1:82" x14ac:dyDescent="0.3">
      <c r="A60" s="7" t="str">
        <v>Cox, Austin</v>
      </c>
      <c r="B60">
        <f>_xlfn.XLOOKUP($A60,braves_19_25__2[player_name], braves_19_25__2[release_pos_z])</f>
        <v>6.38</v>
      </c>
      <c r="C60">
        <f>_xlfn.XLOOKUP($A60,braves_19_25__2[player_name], braves_19_25__2[release_pos_x])*2.5</f>
        <v>3.2250000000000001</v>
      </c>
      <c r="D60">
        <f>_xlfn.XLOOKUP($A60,braves_19_25__2[player_name], braves_19_25__2[release_extension])</f>
        <v>6.35</v>
      </c>
      <c r="E60">
        <f>COS(RADIANS(AVERAGE(_xlfn.XLOOKUP($A60,braves_19_25__2[player_name],braves_19_25__2[arm_angle]))))*4</f>
        <v>2.3228118228437591</v>
      </c>
      <c r="F60">
        <f>SIN(RADIANS(AVERAGE(_xlfn.XLOOKUP($A60,braves_19_25__2[player_name],braves_19_25__2[arm_angle]))))*4</f>
        <v>3.2564620734252769</v>
      </c>
      <c r="G60">
        <f t="shared" si="2"/>
        <v>10.364725032532219</v>
      </c>
      <c r="I60" s="7" t="str">
        <v>Cox, Austin</v>
      </c>
      <c r="J60" s="18">
        <f t="shared" si="20"/>
        <v>0.99960054045004965</v>
      </c>
      <c r="K60" s="18">
        <f t="shared" si="20"/>
        <v>0.76872647394351756</v>
      </c>
      <c r="L60" s="18">
        <f t="shared" si="20"/>
        <v>0.80540618555897758</v>
      </c>
      <c r="M60" s="18">
        <f t="shared" si="20"/>
        <v>0.90107145618786144</v>
      </c>
      <c r="N60" s="18">
        <f t="shared" si="20"/>
        <v>0.87977699995248559</v>
      </c>
      <c r="O60" s="18">
        <f t="shared" si="20"/>
        <v>0.87115549693246253</v>
      </c>
      <c r="P60" s="18">
        <f t="shared" si="20"/>
        <v>0.97127269101287028</v>
      </c>
      <c r="Q60" s="18">
        <f t="shared" si="20"/>
        <v>0.81843115673884104</v>
      </c>
      <c r="R60" s="18">
        <f t="shared" si="20"/>
        <v>0.77175271994397709</v>
      </c>
      <c r="S60" s="18">
        <f t="shared" si="20"/>
        <v>0.80703790494573358</v>
      </c>
      <c r="T60" s="18">
        <f t="shared" si="20"/>
        <v>0.83658743229350963</v>
      </c>
      <c r="U60" s="18">
        <f t="shared" si="20"/>
        <v>0.82694927548835861</v>
      </c>
      <c r="V60" s="18">
        <f t="shared" si="20"/>
        <v>0.78242590044822591</v>
      </c>
      <c r="W60" s="18">
        <f t="shared" si="20"/>
        <v>0.99555124373792625</v>
      </c>
      <c r="X60" s="18">
        <f t="shared" si="20"/>
        <v>0.77501902174585113</v>
      </c>
      <c r="Y60" s="18">
        <f t="shared" si="20"/>
        <v>0.85317383138581282</v>
      </c>
      <c r="Z60" s="18">
        <f t="shared" si="21"/>
        <v>0.99252187138869241</v>
      </c>
      <c r="AA60" s="18">
        <f t="shared" si="21"/>
        <v>0.99493695017779415</v>
      </c>
      <c r="AB60" s="18">
        <f t="shared" si="21"/>
        <v>0.80422783837769651</v>
      </c>
      <c r="AC60" s="18">
        <f t="shared" si="21"/>
        <v>0.8459541483593731</v>
      </c>
      <c r="AD60" s="18">
        <f t="shared" si="21"/>
        <v>0.99197205040155612</v>
      </c>
      <c r="AE60" s="18">
        <f t="shared" si="21"/>
        <v>0.78674841575995458</v>
      </c>
      <c r="AF60" s="18">
        <f t="shared" si="21"/>
        <v>0.86732799044026154</v>
      </c>
      <c r="AG60" s="18">
        <f t="shared" si="21"/>
        <v>0.81314077510386418</v>
      </c>
      <c r="AH60" s="18">
        <f t="shared" si="21"/>
        <v>0.77007516289147482</v>
      </c>
      <c r="AI60" s="18">
        <f t="shared" si="21"/>
        <v>0.9967332990159965</v>
      </c>
      <c r="AJ60" s="18">
        <f t="shared" si="21"/>
        <v>0.8263868187484269</v>
      </c>
      <c r="AK60" s="18">
        <f t="shared" si="21"/>
        <v>0.88948284047489923</v>
      </c>
      <c r="AL60" s="18">
        <f t="shared" si="21"/>
        <v>0.62148385429789343</v>
      </c>
      <c r="AM60" s="18">
        <f t="shared" si="21"/>
        <v>0.82375906836593993</v>
      </c>
      <c r="AN60" s="18">
        <f t="shared" si="21"/>
        <v>0.91728995443538663</v>
      </c>
      <c r="AO60" s="18">
        <f t="shared" si="21"/>
        <v>0.76247764979454447</v>
      </c>
      <c r="AP60" s="18">
        <f t="shared" si="19"/>
        <v>0.75917762831572366</v>
      </c>
      <c r="AQ60" s="18">
        <f t="shared" si="19"/>
        <v>0.74587201741872211</v>
      </c>
      <c r="AR60" s="18">
        <f t="shared" si="19"/>
        <v>0.96756593794856172</v>
      </c>
      <c r="AS60" s="18">
        <f t="shared" si="19"/>
        <v>0.96713895583001641</v>
      </c>
      <c r="AT60" s="18">
        <f t="shared" si="19"/>
        <v>0.87114740771424171</v>
      </c>
      <c r="AU60" s="18">
        <f t="shared" si="19"/>
        <v>0.85332829203228233</v>
      </c>
      <c r="AV60" s="18">
        <f t="shared" si="19"/>
        <v>0.85203494065839624</v>
      </c>
      <c r="AW60" s="18">
        <f t="shared" si="19"/>
        <v>0.89810068971811174</v>
      </c>
      <c r="AX60" s="18">
        <f t="shared" si="19"/>
        <v>0.92360685351260285</v>
      </c>
      <c r="AY60" s="18">
        <f t="shared" si="19"/>
        <v>0.91229711267788738</v>
      </c>
      <c r="AZ60" s="18">
        <f t="shared" si="19"/>
        <v>0.98925428800781634</v>
      </c>
      <c r="BA60" s="18">
        <f t="shared" si="19"/>
        <v>0.98870264173843325</v>
      </c>
      <c r="BB60" s="18">
        <f t="shared" si="19"/>
        <v>0.90582229820512961</v>
      </c>
      <c r="BC60" s="18">
        <f t="shared" si="19"/>
        <v>0.80017306901160168</v>
      </c>
      <c r="BD60" s="18">
        <f t="shared" si="19"/>
        <v>0.59354394061396964</v>
      </c>
      <c r="BE60" s="18">
        <f t="shared" si="17"/>
        <v>0.82100343347923144</v>
      </c>
      <c r="BF60" s="18">
        <f t="shared" si="17"/>
        <v>0.77018008600638399</v>
      </c>
      <c r="BG60" s="18">
        <f t="shared" si="23"/>
        <v>0.82810078745836069</v>
      </c>
      <c r="BH60" s="18">
        <f t="shared" si="23"/>
        <v>0.94131039057941668</v>
      </c>
      <c r="BI60" s="18">
        <f t="shared" si="23"/>
        <v>0.99579233610147888</v>
      </c>
      <c r="BJ60" s="18">
        <f t="shared" si="23"/>
        <v>0.92344855956388661</v>
      </c>
      <c r="BK60" s="18">
        <f t="shared" si="23"/>
        <v>0.91014745133559838</v>
      </c>
      <c r="BL60" s="18">
        <f t="shared" si="23"/>
        <v>0.93533929496714108</v>
      </c>
      <c r="BM60" s="18">
        <f t="shared" si="23"/>
        <v>0.88379107843472515</v>
      </c>
      <c r="BN60" s="18">
        <f t="shared" si="23"/>
        <v>0.96301528760565092</v>
      </c>
      <c r="BO60" s="18">
        <f t="shared" si="23"/>
        <v>1</v>
      </c>
      <c r="BP60" s="18">
        <f t="shared" si="23"/>
        <v>0.95609682289407494</v>
      </c>
      <c r="BQ60" s="18">
        <f t="shared" si="23"/>
        <v>0.93672395702008493</v>
      </c>
      <c r="BR60" s="18">
        <f t="shared" si="23"/>
        <v>0.72727681382146636</v>
      </c>
      <c r="BS60" s="18">
        <f t="shared" si="23"/>
        <v>0.98375303870659447</v>
      </c>
      <c r="BT60" s="18">
        <f t="shared" si="23"/>
        <v>0.91776269794639087</v>
      </c>
      <c r="BU60" s="18">
        <f t="shared" si="23"/>
        <v>0.93018095789378352</v>
      </c>
      <c r="BV60" s="18">
        <f t="shared" si="23"/>
        <v>0.73577276003543435</v>
      </c>
      <c r="BW60" s="18">
        <f t="shared" si="22"/>
        <v>0.96409750316059706</v>
      </c>
      <c r="BX60" s="18">
        <f t="shared" si="18"/>
        <v>0.75639329322543247</v>
      </c>
      <c r="BY60" s="18">
        <f t="shared" si="18"/>
        <v>0.98846526926731859</v>
      </c>
      <c r="BZ60" s="18">
        <f t="shared" si="18"/>
        <v>0.88891088256400819</v>
      </c>
      <c r="CA60" s="18">
        <f t="shared" si="18"/>
        <v>0.8375623754171666</v>
      </c>
      <c r="CB60" s="18">
        <f t="shared" si="18"/>
        <v>0.86680209579937295</v>
      </c>
      <c r="CC60" s="18">
        <f t="shared" si="18"/>
        <v>0.8732623157406243</v>
      </c>
      <c r="CD60" s="18">
        <f t="shared" si="18"/>
        <v>0.91435799206078094</v>
      </c>
    </row>
    <row r="61" spans="1:82" x14ac:dyDescent="0.3">
      <c r="A61" s="7" t="str">
        <v>Erlin, Robbie</v>
      </c>
      <c r="B61">
        <f>_xlfn.XLOOKUP($A61,braves_19_25__2[player_name], braves_19_25__2[release_pos_z])</f>
        <v>5.7</v>
      </c>
      <c r="C61">
        <f>_xlfn.XLOOKUP($A61,braves_19_25__2[player_name], braves_19_25__2[release_pos_x])*2.5</f>
        <v>6.4249999999999998</v>
      </c>
      <c r="D61">
        <f>_xlfn.XLOOKUP($A61,braves_19_25__2[player_name], braves_19_25__2[release_extension])</f>
        <v>6.14</v>
      </c>
      <c r="E61">
        <f>COS(RADIANS(AVERAGE(_xlfn.XLOOKUP($A61,braves_19_25__2[player_name],braves_19_25__2[arm_angle]))))*4</f>
        <v>2.7986533620534617</v>
      </c>
      <c r="F61">
        <f>SIN(RADIANS(AVERAGE(_xlfn.XLOOKUP($A61,braves_19_25__2[player_name],braves_19_25__2[arm_angle]))))*4</f>
        <v>2.8578907185312135</v>
      </c>
      <c r="G61">
        <f t="shared" si="2"/>
        <v>11.29027125449163</v>
      </c>
      <c r="I61" s="7" t="str">
        <v>Erlin, Robbie</v>
      </c>
      <c r="J61" s="18">
        <f t="shared" si="20"/>
        <v>0.95556941730280165</v>
      </c>
      <c r="K61" s="18">
        <f t="shared" si="20"/>
        <v>0.65939448198068684</v>
      </c>
      <c r="L61" s="18">
        <f t="shared" si="20"/>
        <v>0.68559919291370863</v>
      </c>
      <c r="M61" s="18">
        <f t="shared" si="20"/>
        <v>0.76902016207916712</v>
      </c>
      <c r="N61" s="18">
        <f t="shared" si="20"/>
        <v>0.96874566875836532</v>
      </c>
      <c r="O61" s="18">
        <f t="shared" si="20"/>
        <v>0.73831845438530852</v>
      </c>
      <c r="P61" s="18">
        <f t="shared" si="20"/>
        <v>0.99704169671569232</v>
      </c>
      <c r="Q61" s="18">
        <f t="shared" si="20"/>
        <v>0.70333707274147794</v>
      </c>
      <c r="R61" s="18">
        <f t="shared" si="20"/>
        <v>0.65901426298820875</v>
      </c>
      <c r="S61" s="18">
        <f t="shared" si="20"/>
        <v>0.68613135749944099</v>
      </c>
      <c r="T61" s="18">
        <f t="shared" si="20"/>
        <v>0.72310417249218784</v>
      </c>
      <c r="U61" s="18">
        <f t="shared" si="20"/>
        <v>0.70933664144960851</v>
      </c>
      <c r="V61" s="18">
        <f t="shared" si="20"/>
        <v>0.66059612245678911</v>
      </c>
      <c r="W61" s="18">
        <f t="shared" si="20"/>
        <v>0.97736015003286458</v>
      </c>
      <c r="X61" s="18">
        <f t="shared" si="20"/>
        <v>0.65786301438268135</v>
      </c>
      <c r="Y61" s="18">
        <f t="shared" si="20"/>
        <v>0.73209722852604897</v>
      </c>
      <c r="Z61" s="18">
        <f t="shared" si="21"/>
        <v>0.98443911746520318</v>
      </c>
      <c r="AA61" s="18">
        <f t="shared" si="21"/>
        <v>0.97088718661578122</v>
      </c>
      <c r="AB61" s="18">
        <f t="shared" si="21"/>
        <v>0.68586186811927763</v>
      </c>
      <c r="AC61" s="18">
        <f t="shared" si="21"/>
        <v>0.72309537528140311</v>
      </c>
      <c r="AD61" s="18">
        <f t="shared" si="21"/>
        <v>0.98031027637515467</v>
      </c>
      <c r="AE61" s="18">
        <f t="shared" si="21"/>
        <v>0.67434151279277443</v>
      </c>
      <c r="AF61" s="18">
        <f t="shared" si="21"/>
        <v>0.74090862376642186</v>
      </c>
      <c r="AG61" s="18">
        <f t="shared" si="21"/>
        <v>0.69710666274367727</v>
      </c>
      <c r="AH61" s="18">
        <f t="shared" si="21"/>
        <v>0.65755681970785207</v>
      </c>
      <c r="AI61" s="18">
        <f t="shared" si="21"/>
        <v>0.96977072898219252</v>
      </c>
      <c r="AJ61" s="18">
        <f t="shared" si="21"/>
        <v>0.70683909518706189</v>
      </c>
      <c r="AK61" s="18">
        <f t="shared" si="21"/>
        <v>0.96775336220760644</v>
      </c>
      <c r="AL61" s="18">
        <f t="shared" si="21"/>
        <v>0.52661589934306441</v>
      </c>
      <c r="AM61" s="18">
        <f t="shared" si="21"/>
        <v>0.70248210952688184</v>
      </c>
      <c r="AN61" s="18">
        <f t="shared" si="21"/>
        <v>0.78846486575190633</v>
      </c>
      <c r="AO61" s="18">
        <f t="shared" si="21"/>
        <v>0.6441348979881123</v>
      </c>
      <c r="AP61" s="18">
        <f t="shared" si="19"/>
        <v>0.64691157352533324</v>
      </c>
      <c r="AQ61" s="18">
        <f t="shared" si="19"/>
        <v>0.63226454056420234</v>
      </c>
      <c r="AR61" s="18">
        <f t="shared" si="19"/>
        <v>0.86132967796077953</v>
      </c>
      <c r="AS61" s="18">
        <f t="shared" si="19"/>
        <v>0.99871947741620648</v>
      </c>
      <c r="AT61" s="18">
        <f t="shared" si="19"/>
        <v>0.74686163816976059</v>
      </c>
      <c r="AU61" s="18">
        <f t="shared" si="19"/>
        <v>0.7302129216334019</v>
      </c>
      <c r="AV61" s="18">
        <f t="shared" si="19"/>
        <v>0.73070734637357904</v>
      </c>
      <c r="AW61" s="18">
        <f t="shared" si="19"/>
        <v>0.76008847102546229</v>
      </c>
      <c r="AX61" s="18">
        <f t="shared" si="19"/>
        <v>0.79062669091182813</v>
      </c>
      <c r="AY61" s="18">
        <f t="shared" si="19"/>
        <v>0.99182041894981432</v>
      </c>
      <c r="AZ61" s="18">
        <f t="shared" si="19"/>
        <v>0.97989879797373713</v>
      </c>
      <c r="BA61" s="18">
        <f t="shared" si="19"/>
        <v>0.91688315102449136</v>
      </c>
      <c r="BB61" s="18">
        <f t="shared" si="19"/>
        <v>0.78076130997363669</v>
      </c>
      <c r="BC61" s="18">
        <f t="shared" si="19"/>
        <v>0.68822646174317903</v>
      </c>
      <c r="BD61" s="18">
        <f t="shared" si="19"/>
        <v>0.51553775765198295</v>
      </c>
      <c r="BE61" s="18">
        <f t="shared" si="17"/>
        <v>0.70342226157105259</v>
      </c>
      <c r="BF61" s="18">
        <f t="shared" si="17"/>
        <v>0.6460383770458229</v>
      </c>
      <c r="BG61" s="18">
        <f t="shared" si="23"/>
        <v>0.71049204792878884</v>
      </c>
      <c r="BH61" s="18">
        <f t="shared" si="23"/>
        <v>0.80923892911621531</v>
      </c>
      <c r="BI61" s="18">
        <f t="shared" si="23"/>
        <v>0.96782614422294821</v>
      </c>
      <c r="BJ61" s="18">
        <f t="shared" si="23"/>
        <v>0.79226675636486721</v>
      </c>
      <c r="BK61" s="18">
        <f t="shared" si="23"/>
        <v>0.77958036423263133</v>
      </c>
      <c r="BL61" s="18">
        <f t="shared" si="23"/>
        <v>0.80252458721596809</v>
      </c>
      <c r="BM61" s="18">
        <f t="shared" si="23"/>
        <v>0.76056524356401678</v>
      </c>
      <c r="BN61" s="18">
        <f t="shared" si="23"/>
        <v>0.99655697856503278</v>
      </c>
      <c r="BO61" s="18">
        <f t="shared" si="23"/>
        <v>0.95609682289407494</v>
      </c>
      <c r="BP61" s="18">
        <f t="shared" si="23"/>
        <v>0.99999999999999989</v>
      </c>
      <c r="BQ61" s="18">
        <f t="shared" si="23"/>
        <v>0.8042242800229753</v>
      </c>
      <c r="BR61" s="18">
        <f t="shared" si="23"/>
        <v>0.61631967550937827</v>
      </c>
      <c r="BS61" s="18">
        <f t="shared" si="23"/>
        <v>0.97497624168696451</v>
      </c>
      <c r="BT61" s="18">
        <f t="shared" si="23"/>
        <v>0.787074109636131</v>
      </c>
      <c r="BU61" s="18">
        <f t="shared" si="23"/>
        <v>0.9938332563419211</v>
      </c>
      <c r="BV61" s="18">
        <f t="shared" si="23"/>
        <v>0.63049336940835776</v>
      </c>
      <c r="BW61" s="18">
        <f t="shared" si="22"/>
        <v>0.99912093635992916</v>
      </c>
      <c r="BX61" s="18">
        <f t="shared" si="18"/>
        <v>0.64826510648002644</v>
      </c>
      <c r="BY61" s="18">
        <f t="shared" si="18"/>
        <v>0.90331470421617199</v>
      </c>
      <c r="BZ61" s="18">
        <f t="shared" si="18"/>
        <v>0.76676243941118005</v>
      </c>
      <c r="CA61" s="18">
        <f t="shared" si="18"/>
        <v>0.71468794386694712</v>
      </c>
      <c r="CB61" s="18">
        <f t="shared" si="18"/>
        <v>0.74324868541193634</v>
      </c>
      <c r="CC61" s="18">
        <f t="shared" si="18"/>
        <v>0.74347463422483984</v>
      </c>
      <c r="CD61" s="18">
        <f t="shared" si="18"/>
        <v>0.99214248701036356</v>
      </c>
    </row>
    <row r="62" spans="1:82" x14ac:dyDescent="0.3">
      <c r="A62" s="7" t="str">
        <v>Chirinos, Yonny</v>
      </c>
      <c r="B62">
        <f>_xlfn.XLOOKUP($A62,braves_19_25__2[player_name], braves_19_25__2[release_pos_z])</f>
        <v>6.81</v>
      </c>
      <c r="C62">
        <f>_xlfn.XLOOKUP($A62,braves_19_25__2[player_name], braves_19_25__2[release_pos_x])*2.5</f>
        <v>-1.375</v>
      </c>
      <c r="D62">
        <f>_xlfn.XLOOKUP($A62,braves_19_25__2[player_name], braves_19_25__2[release_extension])</f>
        <v>6.35</v>
      </c>
      <c r="E62">
        <f>COS(RADIANS(AVERAGE(_xlfn.XLOOKUP($A62,braves_19_25__2[player_name],braves_19_25__2[arm_angle]))))*4</f>
        <v>2.5335234905102006</v>
      </c>
      <c r="F62">
        <f>SIN(RADIANS(AVERAGE(_xlfn.XLOOKUP($A62,braves_19_25__2[player_name],braves_19_25__2[arm_angle]))))*4</f>
        <v>3.0953608389060245</v>
      </c>
      <c r="G62">
        <f t="shared" si="2"/>
        <v>10.226887356375839</v>
      </c>
      <c r="I62" s="7" t="str">
        <v>Chirinos, Yonny</v>
      </c>
      <c r="J62" s="18">
        <f t="shared" si="20"/>
        <v>0.9376811278815016</v>
      </c>
      <c r="K62" s="18">
        <f t="shared" si="20"/>
        <v>0.89210974399068799</v>
      </c>
      <c r="L62" s="18">
        <f t="shared" si="20"/>
        <v>0.92364466008010415</v>
      </c>
      <c r="M62" s="18">
        <f t="shared" si="20"/>
        <v>0.987791908288148</v>
      </c>
      <c r="N62" s="18">
        <f t="shared" si="20"/>
        <v>0.70142933219877623</v>
      </c>
      <c r="O62" s="18">
        <f t="shared" si="20"/>
        <v>0.96546758286180057</v>
      </c>
      <c r="P62" s="18">
        <f t="shared" si="20"/>
        <v>0.84071774612805394</v>
      </c>
      <c r="Q62" s="18">
        <f t="shared" si="20"/>
        <v>0.9300820883726193</v>
      </c>
      <c r="R62" s="18">
        <f t="shared" si="20"/>
        <v>0.89348200458009641</v>
      </c>
      <c r="S62" s="18">
        <f t="shared" si="20"/>
        <v>0.92619025571521763</v>
      </c>
      <c r="T62" s="18">
        <f t="shared" si="20"/>
        <v>0.94008628116170279</v>
      </c>
      <c r="U62" s="18">
        <f t="shared" si="20"/>
        <v>0.93752688837397558</v>
      </c>
      <c r="V62" s="18">
        <f t="shared" si="20"/>
        <v>0.9057707195200122</v>
      </c>
      <c r="W62" s="18">
        <f t="shared" si="20"/>
        <v>0.90779059947288132</v>
      </c>
      <c r="X62" s="18">
        <f t="shared" si="20"/>
        <v>0.90043051399753604</v>
      </c>
      <c r="Y62" s="18">
        <f t="shared" si="20"/>
        <v>0.95653873049686977</v>
      </c>
      <c r="Z62" s="18">
        <f t="shared" si="21"/>
        <v>0.8923988837194482</v>
      </c>
      <c r="AA62" s="18">
        <f t="shared" si="21"/>
        <v>0.91569323177294037</v>
      </c>
      <c r="AB62" s="18">
        <f t="shared" si="21"/>
        <v>0.92301726062569611</v>
      </c>
      <c r="AC62" s="18">
        <f t="shared" si="21"/>
        <v>0.95161542244845132</v>
      </c>
      <c r="AD62" s="18">
        <f t="shared" si="21"/>
        <v>0.89470837218716825</v>
      </c>
      <c r="AE62" s="18">
        <f t="shared" si="21"/>
        <v>0.90586034399867266</v>
      </c>
      <c r="AF62" s="18">
        <f t="shared" si="21"/>
        <v>0.96780906372458819</v>
      </c>
      <c r="AG62" s="18">
        <f t="shared" si="21"/>
        <v>0.92545257329558928</v>
      </c>
      <c r="AH62" s="18">
        <f t="shared" si="21"/>
        <v>0.89250981248757344</v>
      </c>
      <c r="AI62" s="18">
        <f t="shared" si="21"/>
        <v>0.91744852342233529</v>
      </c>
      <c r="AJ62" s="18">
        <f t="shared" si="21"/>
        <v>0.93811626345783694</v>
      </c>
      <c r="AK62" s="18">
        <f t="shared" si="21"/>
        <v>0.72434965787277961</v>
      </c>
      <c r="AL62" s="18">
        <f t="shared" si="21"/>
        <v>0.7692412976827705</v>
      </c>
      <c r="AM62" s="18">
        <f t="shared" si="21"/>
        <v>0.93407655165410797</v>
      </c>
      <c r="AN62" s="18">
        <f t="shared" si="21"/>
        <v>0.99453939663619328</v>
      </c>
      <c r="AO62" s="18">
        <f t="shared" si="21"/>
        <v>0.89026839543872549</v>
      </c>
      <c r="AP62" s="18">
        <f t="shared" si="19"/>
        <v>0.88751226596240407</v>
      </c>
      <c r="AQ62" s="18">
        <f t="shared" si="19"/>
        <v>0.87503872810938588</v>
      </c>
      <c r="AR62" s="18">
        <f t="shared" si="19"/>
        <v>0.9820523514898164</v>
      </c>
      <c r="AS62" s="18">
        <f t="shared" si="19"/>
        <v>0.8284098613458164</v>
      </c>
      <c r="AT62" s="18">
        <f t="shared" si="19"/>
        <v>0.96916326886864745</v>
      </c>
      <c r="AU62" s="18">
        <f t="shared" si="19"/>
        <v>0.95857863165547585</v>
      </c>
      <c r="AV62" s="18">
        <f t="shared" si="19"/>
        <v>0.9557028178552498</v>
      </c>
      <c r="AW62" s="18">
        <f t="shared" si="19"/>
        <v>0.97907064020255208</v>
      </c>
      <c r="AX62" s="18">
        <f t="shared" si="19"/>
        <v>0.99571099947828356</v>
      </c>
      <c r="AY62" s="18">
        <f t="shared" si="19"/>
        <v>0.72785298462747017</v>
      </c>
      <c r="AZ62" s="18">
        <f t="shared" si="19"/>
        <v>0.89750418070143012</v>
      </c>
      <c r="BA62" s="18">
        <f t="shared" si="19"/>
        <v>0.96292896640341863</v>
      </c>
      <c r="BB62" s="18">
        <f t="shared" si="19"/>
        <v>0.98761420298474567</v>
      </c>
      <c r="BC62" s="18">
        <f t="shared" si="19"/>
        <v>0.91578789356597745</v>
      </c>
      <c r="BD62" s="18">
        <f t="shared" si="19"/>
        <v>0.7274346092264512</v>
      </c>
      <c r="BE62" s="18">
        <f t="shared" si="17"/>
        <v>0.93264425017141372</v>
      </c>
      <c r="BF62" s="18">
        <f t="shared" si="17"/>
        <v>0.89535448463215594</v>
      </c>
      <c r="BG62" s="18">
        <f t="shared" si="23"/>
        <v>0.93713223747502017</v>
      </c>
      <c r="BH62" s="18">
        <f t="shared" si="23"/>
        <v>0.99929992572521942</v>
      </c>
      <c r="BI62" s="18">
        <f t="shared" si="23"/>
        <v>0.90998164192118425</v>
      </c>
      <c r="BJ62" s="18">
        <f t="shared" si="23"/>
        <v>0.99674175955161637</v>
      </c>
      <c r="BK62" s="18">
        <f t="shared" si="23"/>
        <v>0.99180360409578883</v>
      </c>
      <c r="BL62" s="18">
        <f t="shared" si="23"/>
        <v>0.99983003878363019</v>
      </c>
      <c r="BM62" s="18">
        <f t="shared" si="23"/>
        <v>0.97470469265701443</v>
      </c>
      <c r="BN62" s="18">
        <f t="shared" si="23"/>
        <v>0.82750388142194753</v>
      </c>
      <c r="BO62" s="18">
        <f t="shared" si="23"/>
        <v>0.93672395702008493</v>
      </c>
      <c r="BP62" s="18">
        <f t="shared" si="23"/>
        <v>0.8042242800229753</v>
      </c>
      <c r="BQ62" s="18">
        <f t="shared" si="23"/>
        <v>1</v>
      </c>
      <c r="BR62" s="18">
        <f t="shared" si="23"/>
        <v>0.86060386011356993</v>
      </c>
      <c r="BS62" s="18">
        <f t="shared" si="23"/>
        <v>0.89629534770156671</v>
      </c>
      <c r="BT62" s="18">
        <f t="shared" si="23"/>
        <v>0.99493992638528883</v>
      </c>
      <c r="BU62" s="18">
        <f t="shared" si="23"/>
        <v>0.76592080592476908</v>
      </c>
      <c r="BV62" s="18">
        <f t="shared" si="23"/>
        <v>0.86526801527914565</v>
      </c>
      <c r="BW62" s="18">
        <f t="shared" si="22"/>
        <v>0.8232409587316577</v>
      </c>
      <c r="BX62" s="18">
        <f t="shared" si="18"/>
        <v>0.88030215313877047</v>
      </c>
      <c r="BY62" s="18">
        <f t="shared" si="18"/>
        <v>0.97449539206002767</v>
      </c>
      <c r="BZ62" s="18">
        <f t="shared" si="18"/>
        <v>0.9767496202115149</v>
      </c>
      <c r="CA62" s="18">
        <f t="shared" si="18"/>
        <v>0.94520267375820421</v>
      </c>
      <c r="CB62" s="18">
        <f t="shared" si="18"/>
        <v>0.96602460445514138</v>
      </c>
      <c r="CC62" s="18">
        <f t="shared" si="18"/>
        <v>0.96921218514282381</v>
      </c>
      <c r="CD62" s="18">
        <f t="shared" si="18"/>
        <v>0.72922952104152894</v>
      </c>
    </row>
    <row r="63" spans="1:82" x14ac:dyDescent="0.3">
      <c r="A63" s="7" t="str">
        <v>Rodríguez, Richard</v>
      </c>
      <c r="B63">
        <f>_xlfn.XLOOKUP($A63,braves_19_25__2[player_name], braves_19_25__2[release_pos_z])</f>
        <v>5.92</v>
      </c>
      <c r="C63">
        <f>_xlfn.XLOOKUP($A63,braves_19_25__2[player_name], braves_19_25__2[release_pos_x])*2.5</f>
        <v>-7.5</v>
      </c>
      <c r="D63">
        <f>_xlfn.XLOOKUP($A63,braves_19_25__2[player_name], braves_19_25__2[release_extension])</f>
        <v>6.74</v>
      </c>
      <c r="E63">
        <f>COS(RADIANS(AVERAGE(_xlfn.XLOOKUP($A63,braves_19_25__2[player_name],braves_19_25__2[arm_angle]))))*4</f>
        <v>3.3083222970982473</v>
      </c>
      <c r="F63">
        <f>SIN(RADIANS(AVERAGE(_xlfn.XLOOKUP($A63,braves_19_25__2[player_name],braves_19_25__2[arm_angle]))))*4</f>
        <v>2.2483335114085223</v>
      </c>
      <c r="G63">
        <f t="shared" si="2"/>
        <v>12.358155202132721</v>
      </c>
      <c r="I63" s="7" t="str">
        <v>Rodríguez, Richard</v>
      </c>
      <c r="J63" s="18">
        <f t="shared" si="20"/>
        <v>0.73103959242623873</v>
      </c>
      <c r="K63" s="18">
        <f t="shared" si="20"/>
        <v>0.99170725574066088</v>
      </c>
      <c r="L63" s="18">
        <f t="shared" si="20"/>
        <v>0.98982398183890485</v>
      </c>
      <c r="M63" s="18">
        <f t="shared" si="20"/>
        <v>0.92625964815024187</v>
      </c>
      <c r="N63" s="18">
        <f t="shared" si="20"/>
        <v>0.55298387271849903</v>
      </c>
      <c r="O63" s="18">
        <f t="shared" si="20"/>
        <v>0.94535494612918658</v>
      </c>
      <c r="P63" s="18">
        <f t="shared" si="20"/>
        <v>0.65188950355410502</v>
      </c>
      <c r="Q63" s="18">
        <f t="shared" si="20"/>
        <v>0.98098908859642131</v>
      </c>
      <c r="R63" s="18">
        <f t="shared" si="20"/>
        <v>0.99491743288519574</v>
      </c>
      <c r="S63" s="18">
        <f t="shared" si="20"/>
        <v>0.9839249581744155</v>
      </c>
      <c r="T63" s="18">
        <f t="shared" si="20"/>
        <v>0.96656652433000045</v>
      </c>
      <c r="U63" s="18">
        <f t="shared" si="20"/>
        <v>0.98045064259686732</v>
      </c>
      <c r="V63" s="18">
        <f t="shared" si="20"/>
        <v>0.99210719885079257</v>
      </c>
      <c r="W63" s="18">
        <f t="shared" si="20"/>
        <v>0.70403356961348862</v>
      </c>
      <c r="X63" s="18">
        <f t="shared" si="20"/>
        <v>0.99535297813384982</v>
      </c>
      <c r="Y63" s="18">
        <f t="shared" si="20"/>
        <v>0.9670917179534948</v>
      </c>
      <c r="Z63" s="18">
        <f t="shared" si="21"/>
        <v>0.68910451925759875</v>
      </c>
      <c r="AA63" s="18">
        <f t="shared" si="21"/>
        <v>0.71079362920636324</v>
      </c>
      <c r="AB63" s="18">
        <f t="shared" si="21"/>
        <v>0.98840792958077406</v>
      </c>
      <c r="AC63" s="18">
        <f t="shared" si="21"/>
        <v>0.97439727155487188</v>
      </c>
      <c r="AD63" s="18">
        <f t="shared" si="21"/>
        <v>0.68632281219682423</v>
      </c>
      <c r="AE63" s="18">
        <f t="shared" si="21"/>
        <v>0.99121605348188535</v>
      </c>
      <c r="AF63" s="18">
        <f t="shared" si="21"/>
        <v>0.96045089643450887</v>
      </c>
      <c r="AG63" s="18">
        <f t="shared" si="21"/>
        <v>0.98494763928513329</v>
      </c>
      <c r="AH63" s="18">
        <f t="shared" si="21"/>
        <v>0.99513459943569416</v>
      </c>
      <c r="AI63" s="18">
        <f t="shared" si="21"/>
        <v>0.70891072937645994</v>
      </c>
      <c r="AJ63" s="18">
        <f t="shared" si="21"/>
        <v>0.98239455480851834</v>
      </c>
      <c r="AK63" s="18">
        <f t="shared" si="21"/>
        <v>0.57382880649329171</v>
      </c>
      <c r="AL63" s="18">
        <f t="shared" si="21"/>
        <v>0.98514615710615028</v>
      </c>
      <c r="AM63" s="18">
        <f t="shared" si="21"/>
        <v>0.9825566437950255</v>
      </c>
      <c r="AN63" s="18">
        <f t="shared" si="21"/>
        <v>0.90231734500466376</v>
      </c>
      <c r="AO63" s="18">
        <f t="shared" si="21"/>
        <v>0.9965035756994256</v>
      </c>
      <c r="AP63" s="18">
        <f t="shared" si="19"/>
        <v>0.9938764401785648</v>
      </c>
      <c r="AQ63" s="18">
        <f t="shared" si="19"/>
        <v>0.99879813853368349</v>
      </c>
      <c r="AR63" s="18">
        <f t="shared" si="19"/>
        <v>0.78438772642420529</v>
      </c>
      <c r="AS63" s="18">
        <f t="shared" si="19"/>
        <v>0.63917902477801769</v>
      </c>
      <c r="AT63" s="18">
        <f t="shared" si="19"/>
        <v>0.95758064699039813</v>
      </c>
      <c r="AU63" s="18">
        <f t="shared" si="19"/>
        <v>0.96484008070051042</v>
      </c>
      <c r="AV63" s="18">
        <f t="shared" si="19"/>
        <v>0.9696294964083132</v>
      </c>
      <c r="AW63" s="18">
        <f t="shared" si="19"/>
        <v>0.90610558923423579</v>
      </c>
      <c r="AX63" s="18">
        <f t="shared" si="19"/>
        <v>0.89276142658910163</v>
      </c>
      <c r="AY63" s="18">
        <f t="shared" si="19"/>
        <v>0.55658134069094611</v>
      </c>
      <c r="AZ63" s="18">
        <f t="shared" si="19"/>
        <v>0.70066145673539471</v>
      </c>
      <c r="BA63" s="18">
        <f t="shared" si="19"/>
        <v>0.76408299856805773</v>
      </c>
      <c r="BB63" s="18">
        <f t="shared" si="19"/>
        <v>0.92004961665112306</v>
      </c>
      <c r="BC63" s="18">
        <f t="shared" si="19"/>
        <v>0.98422198750457246</v>
      </c>
      <c r="BD63" s="18">
        <f t="shared" si="19"/>
        <v>0.93634632228985903</v>
      </c>
      <c r="BE63" s="18">
        <f t="shared" si="17"/>
        <v>0.98345935858881373</v>
      </c>
      <c r="BF63" s="18">
        <f t="shared" si="17"/>
        <v>0.98725685255908446</v>
      </c>
      <c r="BG63" s="18">
        <f t="shared" si="23"/>
        <v>0.9800349733646353</v>
      </c>
      <c r="BH63" s="18">
        <f t="shared" si="23"/>
        <v>0.84522747654107278</v>
      </c>
      <c r="BI63" s="18">
        <f t="shared" si="23"/>
        <v>0.69617284332449736</v>
      </c>
      <c r="BJ63" s="18">
        <f t="shared" si="23"/>
        <v>0.88883206928418002</v>
      </c>
      <c r="BK63" s="18">
        <f t="shared" si="23"/>
        <v>0.91639693390444343</v>
      </c>
      <c r="BL63" s="18">
        <f t="shared" si="23"/>
        <v>0.86401743360105598</v>
      </c>
      <c r="BM63" s="18">
        <f t="shared" si="23"/>
        <v>0.94533883474560665</v>
      </c>
      <c r="BN63" s="18">
        <f t="shared" si="23"/>
        <v>0.64149169774000592</v>
      </c>
      <c r="BO63" s="18">
        <f t="shared" si="23"/>
        <v>0.72727681382146636</v>
      </c>
      <c r="BP63" s="18">
        <f t="shared" si="23"/>
        <v>0.61631967550937827</v>
      </c>
      <c r="BQ63" s="18">
        <f t="shared" si="23"/>
        <v>0.86060386011356993</v>
      </c>
      <c r="BR63" s="18">
        <f t="shared" si="23"/>
        <v>0.99999999999999978</v>
      </c>
      <c r="BS63" s="18">
        <f t="shared" si="23"/>
        <v>0.7080538173471731</v>
      </c>
      <c r="BT63" s="18">
        <f t="shared" si="23"/>
        <v>0.89529697854206125</v>
      </c>
      <c r="BU63" s="18">
        <f t="shared" si="23"/>
        <v>0.58873786008560236</v>
      </c>
      <c r="BV63" s="18">
        <f t="shared" si="23"/>
        <v>0.99344943002710695</v>
      </c>
      <c r="BW63" s="18">
        <f t="shared" si="22"/>
        <v>0.63429226182243281</v>
      </c>
      <c r="BX63" s="18">
        <f t="shared" si="18"/>
        <v>0.99421819129584288</v>
      </c>
      <c r="BY63" s="18">
        <f t="shared" si="18"/>
        <v>0.76671791564330682</v>
      </c>
      <c r="BZ63" s="18">
        <f t="shared" si="18"/>
        <v>0.93723205976342749</v>
      </c>
      <c r="CA63" s="18">
        <f t="shared" si="18"/>
        <v>0.97801065300439483</v>
      </c>
      <c r="CB63" s="18">
        <f t="shared" si="18"/>
        <v>0.96103315664565081</v>
      </c>
      <c r="CC63" s="18">
        <f t="shared" si="18"/>
        <v>0.95268479416369534</v>
      </c>
      <c r="CD63" s="18">
        <f t="shared" si="18"/>
        <v>0.55069216940983234</v>
      </c>
    </row>
    <row r="64" spans="1:82" x14ac:dyDescent="0.3">
      <c r="A64" s="7" t="str">
        <v>Kerr, Ray</v>
      </c>
      <c r="B64">
        <f>_xlfn.XLOOKUP($A64,braves_19_25__2[player_name], braves_19_25__2[release_pos_z])</f>
        <v>5.62</v>
      </c>
      <c r="C64">
        <f>_xlfn.XLOOKUP($A64,braves_19_25__2[player_name], braves_19_25__2[release_pos_x])*2.5</f>
        <v>3.9000000000000004</v>
      </c>
      <c r="D64">
        <f>_xlfn.XLOOKUP($A64,braves_19_25__2[player_name], braves_19_25__2[release_extension])</f>
        <v>6.14</v>
      </c>
      <c r="E64">
        <f>COS(RADIANS(AVERAGE(_xlfn.XLOOKUP($A64,braves_19_25__2[player_name],braves_19_25__2[arm_angle]))))*4</f>
        <v>3.3884876855285486</v>
      </c>
      <c r="F64">
        <f>SIN(RADIANS(AVERAGE(_xlfn.XLOOKUP($A64,braves_19_25__2[player_name],braves_19_25__2[arm_angle]))))*4</f>
        <v>2.1255943180723316</v>
      </c>
      <c r="G64">
        <f t="shared" si="2"/>
        <v>10.024669570614286</v>
      </c>
      <c r="I64" s="7" t="str">
        <v>Kerr, Ray</v>
      </c>
      <c r="J64" s="18">
        <f t="shared" si="20"/>
        <v>0.98555516949636723</v>
      </c>
      <c r="K64" s="18">
        <f t="shared" si="20"/>
        <v>0.7620424994547762</v>
      </c>
      <c r="L64" s="18">
        <f t="shared" si="20"/>
        <v>0.78030416151604998</v>
      </c>
      <c r="M64" s="18">
        <f t="shared" si="20"/>
        <v>0.86016998484892149</v>
      </c>
      <c r="N64" s="18">
        <f t="shared" si="20"/>
        <v>0.9398212429396916</v>
      </c>
      <c r="O64" s="18">
        <f t="shared" si="20"/>
        <v>0.82151105367094723</v>
      </c>
      <c r="P64" s="18">
        <f t="shared" si="20"/>
        <v>0.98907938758649638</v>
      </c>
      <c r="Q64" s="18">
        <f t="shared" si="20"/>
        <v>0.80632860647541071</v>
      </c>
      <c r="R64" s="18">
        <f t="shared" si="20"/>
        <v>0.75437708675812887</v>
      </c>
      <c r="S64" s="18">
        <f t="shared" si="20"/>
        <v>0.78102954590345408</v>
      </c>
      <c r="T64" s="18">
        <f t="shared" si="20"/>
        <v>0.82952761083513382</v>
      </c>
      <c r="U64" s="18">
        <f t="shared" si="20"/>
        <v>0.80951670778612106</v>
      </c>
      <c r="V64" s="18">
        <f t="shared" si="20"/>
        <v>0.74756924200384089</v>
      </c>
      <c r="W64" s="18">
        <f t="shared" si="20"/>
        <v>0.99305270795742628</v>
      </c>
      <c r="X64" s="18">
        <f t="shared" si="20"/>
        <v>0.75044338607820049</v>
      </c>
      <c r="Y64" s="18">
        <f t="shared" si="20"/>
        <v>0.83099966262442082</v>
      </c>
      <c r="Z64" s="18">
        <f t="shared" si="21"/>
        <v>0.99104375876468165</v>
      </c>
      <c r="AA64" s="18">
        <f t="shared" si="21"/>
        <v>0.99255302132326984</v>
      </c>
      <c r="AB64" s="18">
        <f t="shared" si="21"/>
        <v>0.78297671353853737</v>
      </c>
      <c r="AC64" s="18">
        <f t="shared" si="21"/>
        <v>0.81879625957238811</v>
      </c>
      <c r="AD64" s="18">
        <f t="shared" si="21"/>
        <v>0.98619874557963239</v>
      </c>
      <c r="AE64" s="18">
        <f t="shared" si="21"/>
        <v>0.77470392470214844</v>
      </c>
      <c r="AF64" s="18">
        <f t="shared" si="21"/>
        <v>0.83615707195734279</v>
      </c>
      <c r="AG64" s="18">
        <f t="shared" si="21"/>
        <v>0.79625702219320194</v>
      </c>
      <c r="AH64" s="18">
        <f t="shared" si="21"/>
        <v>0.75415607327804635</v>
      </c>
      <c r="AI64" s="18">
        <f t="shared" si="21"/>
        <v>0.98865189669453835</v>
      </c>
      <c r="AJ64" s="18">
        <f t="shared" si="21"/>
        <v>0.80463499045489029</v>
      </c>
      <c r="AK64" s="18">
        <f t="shared" si="21"/>
        <v>0.94941042167084766</v>
      </c>
      <c r="AL64" s="18">
        <f t="shared" si="21"/>
        <v>0.61966820624060559</v>
      </c>
      <c r="AM64" s="18">
        <f t="shared" si="21"/>
        <v>0.79526912917025627</v>
      </c>
      <c r="AN64" s="18">
        <f t="shared" si="21"/>
        <v>0.88507304260692499</v>
      </c>
      <c r="AO64" s="18">
        <f t="shared" si="21"/>
        <v>0.73260450715910885</v>
      </c>
      <c r="AP64" s="18">
        <f t="shared" si="19"/>
        <v>0.7436414563622249</v>
      </c>
      <c r="AQ64" s="18">
        <f t="shared" si="19"/>
        <v>0.72215871312406532</v>
      </c>
      <c r="AR64" s="18">
        <f t="shared" si="19"/>
        <v>0.94082390654274373</v>
      </c>
      <c r="AS64" s="18">
        <f t="shared" si="19"/>
        <v>0.98374932618750432</v>
      </c>
      <c r="AT64" s="18">
        <f t="shared" si="19"/>
        <v>0.84483844946336883</v>
      </c>
      <c r="AU64" s="18">
        <f t="shared" si="19"/>
        <v>0.82927037650822355</v>
      </c>
      <c r="AV64" s="18">
        <f t="shared" si="19"/>
        <v>0.82948886056097448</v>
      </c>
      <c r="AW64" s="18">
        <f t="shared" si="19"/>
        <v>0.83940774006009999</v>
      </c>
      <c r="AX64" s="18">
        <f t="shared" si="19"/>
        <v>0.87989213555710977</v>
      </c>
      <c r="AY64" s="18">
        <f t="shared" si="19"/>
        <v>0.94721729610426464</v>
      </c>
      <c r="AZ64" s="18">
        <f t="shared" si="19"/>
        <v>0.99763610660949031</v>
      </c>
      <c r="BA64" s="18">
        <f t="shared" si="19"/>
        <v>0.97326886519371536</v>
      </c>
      <c r="BB64" s="18">
        <f t="shared" si="19"/>
        <v>0.88108470204793898</v>
      </c>
      <c r="BC64" s="18">
        <f t="shared" si="19"/>
        <v>0.79253324614012866</v>
      </c>
      <c r="BD64" s="18">
        <f t="shared" si="19"/>
        <v>0.623177847282121</v>
      </c>
      <c r="BE64" s="18">
        <f t="shared" si="17"/>
        <v>0.80281940297922105</v>
      </c>
      <c r="BF64" s="18">
        <f t="shared" si="17"/>
        <v>0.72693812323128582</v>
      </c>
      <c r="BG64" s="18">
        <f t="shared" si="23"/>
        <v>0.80924604442093817</v>
      </c>
      <c r="BH64" s="18">
        <f t="shared" si="23"/>
        <v>0.90009130817507788</v>
      </c>
      <c r="BI64" s="18">
        <f t="shared" si="23"/>
        <v>0.97593150545978991</v>
      </c>
      <c r="BJ64" s="18">
        <f t="shared" si="23"/>
        <v>0.8850971783576933</v>
      </c>
      <c r="BK64" s="18">
        <f t="shared" si="23"/>
        <v>0.87271998523624716</v>
      </c>
      <c r="BL64" s="18">
        <f t="shared" si="23"/>
        <v>0.89369037485589242</v>
      </c>
      <c r="BM64" s="18">
        <f t="shared" si="23"/>
        <v>0.86094103546885736</v>
      </c>
      <c r="BN64" s="18">
        <f t="shared" si="23"/>
        <v>0.98703575077631334</v>
      </c>
      <c r="BO64" s="18">
        <f t="shared" si="23"/>
        <v>0.98375303870659447</v>
      </c>
      <c r="BP64" s="18">
        <f t="shared" si="23"/>
        <v>0.97497624168696451</v>
      </c>
      <c r="BQ64" s="18">
        <f t="shared" si="23"/>
        <v>0.89629534770156671</v>
      </c>
      <c r="BR64" s="18">
        <f t="shared" si="23"/>
        <v>0.7080538173471731</v>
      </c>
      <c r="BS64" s="18">
        <f t="shared" si="23"/>
        <v>0.99999999999999989</v>
      </c>
      <c r="BT64" s="18">
        <f t="shared" si="23"/>
        <v>0.88214720996076634</v>
      </c>
      <c r="BU64" s="18">
        <f t="shared" si="23"/>
        <v>0.96529210029790957</v>
      </c>
      <c r="BV64" s="18">
        <f t="shared" si="23"/>
        <v>0.73274411522316585</v>
      </c>
      <c r="BW64" s="18">
        <f t="shared" si="22"/>
        <v>0.98302992063390404</v>
      </c>
      <c r="BX64" s="18">
        <f t="shared" si="18"/>
        <v>0.74754653218771183</v>
      </c>
      <c r="BY64" s="18">
        <f t="shared" si="18"/>
        <v>0.9625176134661555</v>
      </c>
      <c r="BZ64" s="18">
        <f t="shared" si="18"/>
        <v>0.86929306565265896</v>
      </c>
      <c r="CA64" s="18">
        <f t="shared" si="18"/>
        <v>0.80909084985686863</v>
      </c>
      <c r="CB64" s="18">
        <f t="shared" si="18"/>
        <v>0.84195603629724114</v>
      </c>
      <c r="CC64" s="18">
        <f t="shared" si="18"/>
        <v>0.83183589996847118</v>
      </c>
      <c r="CD64" s="18">
        <f t="shared" si="18"/>
        <v>0.94349653850251347</v>
      </c>
    </row>
    <row r="65" spans="1:82" x14ac:dyDescent="0.3">
      <c r="A65" s="7" t="str">
        <v>Kinley, Tyler</v>
      </c>
      <c r="B65">
        <f>_xlfn.XLOOKUP($A65,braves_19_25__2[player_name], braves_19_25__2[release_pos_z])</f>
        <v>6.59</v>
      </c>
      <c r="C65">
        <f>_xlfn.XLOOKUP($A65,braves_19_25__2[player_name], braves_19_25__2[release_pos_x])*2.5</f>
        <v>-2.0499999999999998</v>
      </c>
      <c r="D65">
        <f>_xlfn.XLOOKUP($A65,braves_19_25__2[player_name], braves_19_25__2[release_extension])</f>
        <v>5.58</v>
      </c>
      <c r="E65">
        <f>COS(RADIANS(AVERAGE(_xlfn.XLOOKUP($A65,braves_19_25__2[player_name],braves_19_25__2[arm_angle]))))*4</f>
        <v>2.823486282714724</v>
      </c>
      <c r="F65">
        <f>SIN(RADIANS(AVERAGE(_xlfn.XLOOKUP($A65,braves_19_25__2[player_name],braves_19_25__2[arm_angle]))))*4</f>
        <v>2.8333593508981152</v>
      </c>
      <c r="G65">
        <f t="shared" si="2"/>
        <v>9.7348343591455109</v>
      </c>
      <c r="I65" s="7" t="str">
        <v>Kinley, Tyler</v>
      </c>
      <c r="J65" s="18">
        <f t="shared" si="20"/>
        <v>0.91843829497881257</v>
      </c>
      <c r="K65" s="18">
        <f t="shared" si="20"/>
        <v>0.92293105397642061</v>
      </c>
      <c r="L65" s="18">
        <f t="shared" si="20"/>
        <v>0.94951379861556973</v>
      </c>
      <c r="M65" s="18">
        <f t="shared" si="20"/>
        <v>0.99509282487165429</v>
      </c>
      <c r="N65" s="18">
        <f t="shared" si="20"/>
        <v>0.6882351384915919</v>
      </c>
      <c r="O65" s="18">
        <f t="shared" si="20"/>
        <v>0.97229862217808882</v>
      </c>
      <c r="P65" s="18">
        <f t="shared" si="20"/>
        <v>0.82405689587832631</v>
      </c>
      <c r="Q65" s="18">
        <f t="shared" si="20"/>
        <v>0.95291683107059788</v>
      </c>
      <c r="R65" s="18">
        <f t="shared" si="20"/>
        <v>0.92028566750805285</v>
      </c>
      <c r="S65" s="18">
        <f t="shared" si="20"/>
        <v>0.95513493578484421</v>
      </c>
      <c r="T65" s="18">
        <f t="shared" si="20"/>
        <v>0.95919065699040551</v>
      </c>
      <c r="U65" s="18">
        <f t="shared" si="20"/>
        <v>0.96011552474655992</v>
      </c>
      <c r="V65" s="18">
        <f t="shared" si="20"/>
        <v>0.93299970172148727</v>
      </c>
      <c r="W65" s="18">
        <f t="shared" si="20"/>
        <v>0.89087250866565293</v>
      </c>
      <c r="X65" s="18">
        <f t="shared" si="20"/>
        <v>0.93147275171994581</v>
      </c>
      <c r="Y65" s="18">
        <f t="shared" si="20"/>
        <v>0.97583085273753734</v>
      </c>
      <c r="Z65" s="18">
        <f t="shared" si="21"/>
        <v>0.87469161928348726</v>
      </c>
      <c r="AA65" s="18">
        <f t="shared" si="21"/>
        <v>0.90136043890937256</v>
      </c>
      <c r="AB65" s="18">
        <f t="shared" si="21"/>
        <v>0.95083036111013075</v>
      </c>
      <c r="AC65" s="18">
        <f t="shared" si="21"/>
        <v>0.96896774273591979</v>
      </c>
      <c r="AD65" s="18">
        <f t="shared" si="21"/>
        <v>0.87872005014794485</v>
      </c>
      <c r="AE65" s="18">
        <f t="shared" si="21"/>
        <v>0.93253173609303863</v>
      </c>
      <c r="AF65" s="18">
        <f t="shared" si="21"/>
        <v>0.98347839156003003</v>
      </c>
      <c r="AG65" s="18">
        <f t="shared" si="21"/>
        <v>0.94683241674976837</v>
      </c>
      <c r="AH65" s="18">
        <f t="shared" si="21"/>
        <v>0.9194451187557352</v>
      </c>
      <c r="AI65" s="18">
        <f t="shared" si="21"/>
        <v>0.90165165348365683</v>
      </c>
      <c r="AJ65" s="18">
        <f t="shared" si="21"/>
        <v>0.96069226892862714</v>
      </c>
      <c r="AK65" s="18">
        <f t="shared" si="21"/>
        <v>0.71289257421732988</v>
      </c>
      <c r="AL65" s="18">
        <f t="shared" si="21"/>
        <v>0.81616479896681415</v>
      </c>
      <c r="AM65" s="18">
        <f t="shared" si="21"/>
        <v>0.9527007076924654</v>
      </c>
      <c r="AN65" s="18">
        <f t="shared" si="21"/>
        <v>0.99902340713742099</v>
      </c>
      <c r="AO65" s="18">
        <f t="shared" si="21"/>
        <v>0.92091562536238458</v>
      </c>
      <c r="AP65" s="18">
        <f t="shared" si="19"/>
        <v>0.92328965310404032</v>
      </c>
      <c r="AQ65" s="18">
        <f t="shared" si="19"/>
        <v>0.9068244973363494</v>
      </c>
      <c r="AR65" s="18">
        <f t="shared" si="19"/>
        <v>0.96270304039567567</v>
      </c>
      <c r="AS65" s="18">
        <f t="shared" si="19"/>
        <v>0.81041737360154664</v>
      </c>
      <c r="AT65" s="18">
        <f t="shared" si="19"/>
        <v>0.98393502057085369</v>
      </c>
      <c r="AU65" s="18">
        <f t="shared" si="19"/>
        <v>0.97939022558991717</v>
      </c>
      <c r="AV65" s="18">
        <f t="shared" si="19"/>
        <v>0.97378639172221026</v>
      </c>
      <c r="AW65" s="18">
        <f t="shared" si="19"/>
        <v>0.97755969953312927</v>
      </c>
      <c r="AX65" s="18">
        <f t="shared" si="19"/>
        <v>0.99335663281579023</v>
      </c>
      <c r="AY65" s="18">
        <f t="shared" si="19"/>
        <v>0.71060844329890505</v>
      </c>
      <c r="AZ65" s="18">
        <f t="shared" si="19"/>
        <v>0.88302619195757037</v>
      </c>
      <c r="BA65" s="18">
        <f t="shared" si="19"/>
        <v>0.94356457329330301</v>
      </c>
      <c r="BB65" s="18">
        <f t="shared" si="19"/>
        <v>0.99385249093644912</v>
      </c>
      <c r="BC65" s="18">
        <f t="shared" si="19"/>
        <v>0.94177073535533606</v>
      </c>
      <c r="BD65" s="18">
        <f t="shared" si="19"/>
        <v>0.76549807330538144</v>
      </c>
      <c r="BE65" s="18">
        <f t="shared" si="17"/>
        <v>0.95413424347448839</v>
      </c>
      <c r="BF65" s="18">
        <f t="shared" si="17"/>
        <v>0.9228325764091112</v>
      </c>
      <c r="BG65" s="18">
        <f t="shared" si="23"/>
        <v>0.95799648926841408</v>
      </c>
      <c r="BH65" s="18">
        <f t="shared" si="23"/>
        <v>0.9919267549258014</v>
      </c>
      <c r="BI65" s="18">
        <f t="shared" si="23"/>
        <v>0.88950469068725491</v>
      </c>
      <c r="BJ65" s="18">
        <f t="shared" si="23"/>
        <v>0.99904440542958706</v>
      </c>
      <c r="BK65" s="18">
        <f t="shared" si="23"/>
        <v>0.99696846396441019</v>
      </c>
      <c r="BL65" s="18">
        <f t="shared" si="23"/>
        <v>0.99569370290828974</v>
      </c>
      <c r="BM65" s="18">
        <f t="shared" si="23"/>
        <v>0.98430180144526769</v>
      </c>
      <c r="BN65" s="18">
        <f t="shared" si="23"/>
        <v>0.81340869663253312</v>
      </c>
      <c r="BO65" s="18">
        <f t="shared" si="23"/>
        <v>0.91776269794639087</v>
      </c>
      <c r="BP65" s="18">
        <f t="shared" si="23"/>
        <v>0.787074109636131</v>
      </c>
      <c r="BQ65" s="18">
        <f t="shared" si="23"/>
        <v>0.99493992638528883</v>
      </c>
      <c r="BR65" s="18">
        <f t="shared" si="23"/>
        <v>0.89529697854206125</v>
      </c>
      <c r="BS65" s="18">
        <f t="shared" si="23"/>
        <v>0.88214720996076634</v>
      </c>
      <c r="BT65" s="18">
        <f t="shared" si="23"/>
        <v>1</v>
      </c>
      <c r="BU65" s="18">
        <f t="shared" si="23"/>
        <v>0.7535295207756898</v>
      </c>
      <c r="BV65" s="18">
        <f t="shared" si="23"/>
        <v>0.9001160086686496</v>
      </c>
      <c r="BW65" s="18">
        <f t="shared" si="22"/>
        <v>0.8073041268690947</v>
      </c>
      <c r="BX65" s="18">
        <f t="shared" si="18"/>
        <v>0.909751294078742</v>
      </c>
      <c r="BY65" s="18">
        <f t="shared" si="18"/>
        <v>0.95649291870867914</v>
      </c>
      <c r="BZ65" s="18">
        <f t="shared" si="18"/>
        <v>0.98524490326632153</v>
      </c>
      <c r="CA65" s="18">
        <f t="shared" si="18"/>
        <v>0.96239032040171457</v>
      </c>
      <c r="CB65" s="18">
        <f t="shared" si="18"/>
        <v>0.98078611886606082</v>
      </c>
      <c r="CC65" s="18">
        <f t="shared" si="18"/>
        <v>0.97964722589537034</v>
      </c>
      <c r="CD65" s="18">
        <f t="shared" si="18"/>
        <v>0.71344874137896896</v>
      </c>
    </row>
    <row r="66" spans="1:82" x14ac:dyDescent="0.3">
      <c r="A66" s="7" t="str">
        <v>Hand, Brad</v>
      </c>
      <c r="B66">
        <f>_xlfn.XLOOKUP($A66,braves_19_25__2[player_name], braves_19_25__2[release_pos_z])</f>
        <v>6</v>
      </c>
      <c r="C66">
        <f>_xlfn.XLOOKUP($A66,braves_19_25__2[player_name], braves_19_25__2[release_pos_x])*2.5</f>
        <v>7.1999999999999993</v>
      </c>
      <c r="D66">
        <f>_xlfn.XLOOKUP($A66,braves_19_25__2[player_name], braves_19_25__2[release_extension])</f>
        <v>5.84</v>
      </c>
      <c r="E66">
        <f>COS(RADIANS(AVERAGE(_xlfn.XLOOKUP($A66,braves_19_25__2[player_name],braves_19_25__2[arm_angle]))))*4</f>
        <v>3.4358395877226577</v>
      </c>
      <c r="F66">
        <f>SIN(RADIANS(AVERAGE(_xlfn.XLOOKUP($A66,braves_19_25__2[player_name],braves_19_25__2[arm_angle]))))*4</f>
        <v>2.048171459482286</v>
      </c>
      <c r="G66">
        <f t="shared" si="2"/>
        <v>11.745024478475981</v>
      </c>
      <c r="I66" s="7" t="str">
        <v>Hand, Brad</v>
      </c>
      <c r="J66" s="18">
        <f t="shared" si="20"/>
        <v>0.92923509412847205</v>
      </c>
      <c r="K66" s="18">
        <f t="shared" si="20"/>
        <v>0.63777256095887125</v>
      </c>
      <c r="L66" s="18">
        <f t="shared" si="20"/>
        <v>0.65503236106521978</v>
      </c>
      <c r="M66" s="18">
        <f t="shared" si="20"/>
        <v>0.73058611768505266</v>
      </c>
      <c r="N66" s="18">
        <f t="shared" si="20"/>
        <v>0.98491631993282358</v>
      </c>
      <c r="O66" s="18">
        <f t="shared" si="20"/>
        <v>0.6917848863225956</v>
      </c>
      <c r="P66" s="18">
        <f t="shared" si="20"/>
        <v>0.98902589273001451</v>
      </c>
      <c r="Q66" s="18">
        <f t="shared" si="20"/>
        <v>0.67748918907796052</v>
      </c>
      <c r="R66" s="18">
        <f t="shared" si="20"/>
        <v>0.62820411810194821</v>
      </c>
      <c r="S66" s="18">
        <f t="shared" si="20"/>
        <v>0.6587051254197529</v>
      </c>
      <c r="T66" s="18">
        <f t="shared" si="20"/>
        <v>0.6980927478452984</v>
      </c>
      <c r="U66" s="18">
        <f t="shared" si="20"/>
        <v>0.68072109211218068</v>
      </c>
      <c r="V66" s="18">
        <f t="shared" si="20"/>
        <v>0.62545638065564724</v>
      </c>
      <c r="W66" s="18">
        <f t="shared" si="20"/>
        <v>0.96023379730795355</v>
      </c>
      <c r="X66" s="18">
        <f t="shared" si="20"/>
        <v>0.62845609009686187</v>
      </c>
      <c r="Y66" s="18">
        <f t="shared" si="20"/>
        <v>0.70129824319826728</v>
      </c>
      <c r="Z66" s="18">
        <f t="shared" si="21"/>
        <v>0.96751644994235153</v>
      </c>
      <c r="AA66" s="18">
        <f t="shared" si="21"/>
        <v>0.95553108023726063</v>
      </c>
      <c r="AB66" s="18">
        <f t="shared" si="21"/>
        <v>0.65846017179573457</v>
      </c>
      <c r="AC66" s="18">
        <f t="shared" si="21"/>
        <v>0.68872192577000613</v>
      </c>
      <c r="AD66" s="18">
        <f t="shared" si="21"/>
        <v>0.96398733819196469</v>
      </c>
      <c r="AE66" s="18">
        <f t="shared" si="21"/>
        <v>0.64788030061711199</v>
      </c>
      <c r="AF66" s="18">
        <f t="shared" si="21"/>
        <v>0.70695267544709584</v>
      </c>
      <c r="AG66" s="18">
        <f t="shared" si="21"/>
        <v>0.66669467996226595</v>
      </c>
      <c r="AH66" s="18">
        <f t="shared" si="21"/>
        <v>0.62836931131545126</v>
      </c>
      <c r="AI66" s="18">
        <f t="shared" si="21"/>
        <v>0.9515207172986645</v>
      </c>
      <c r="AJ66" s="18">
        <f t="shared" si="21"/>
        <v>0.67653840861849313</v>
      </c>
      <c r="AK66" s="18">
        <f t="shared" si="21"/>
        <v>0.98497052882953773</v>
      </c>
      <c r="AL66" s="18">
        <f t="shared" si="21"/>
        <v>0.51077277289018819</v>
      </c>
      <c r="AM66" s="18">
        <f t="shared" si="21"/>
        <v>0.66577229934679982</v>
      </c>
      <c r="AN66" s="18">
        <f t="shared" si="21"/>
        <v>0.7541973096347987</v>
      </c>
      <c r="AO66" s="18">
        <f t="shared" si="21"/>
        <v>0.61190760103334008</v>
      </c>
      <c r="AP66" s="18">
        <f t="shared" si="19"/>
        <v>0.62352886018108422</v>
      </c>
      <c r="AQ66" s="18">
        <f t="shared" si="19"/>
        <v>0.6006806048330755</v>
      </c>
      <c r="AR66" s="18">
        <f t="shared" si="19"/>
        <v>0.82498018879231916</v>
      </c>
      <c r="AS66" s="18">
        <f t="shared" si="19"/>
        <v>0.99043852103101082</v>
      </c>
      <c r="AT66" s="18">
        <f t="shared" si="19"/>
        <v>0.71412377987763087</v>
      </c>
      <c r="AU66" s="18">
        <f t="shared" si="19"/>
        <v>0.70217007330270587</v>
      </c>
      <c r="AV66" s="18">
        <f t="shared" si="19"/>
        <v>0.69917422883102565</v>
      </c>
      <c r="AW66" s="18">
        <f t="shared" si="19"/>
        <v>0.71066974313893927</v>
      </c>
      <c r="AX66" s="18">
        <f t="shared" si="19"/>
        <v>0.74770686283207288</v>
      </c>
      <c r="AY66" s="18">
        <f t="shared" si="19"/>
        <v>0.99414575556922002</v>
      </c>
      <c r="AZ66" s="18">
        <f t="shared" si="19"/>
        <v>0.96895921721788769</v>
      </c>
      <c r="BA66" s="18">
        <f t="shared" si="19"/>
        <v>0.88610232667393285</v>
      </c>
      <c r="BB66" s="18">
        <f t="shared" si="19"/>
        <v>0.74809929430586986</v>
      </c>
      <c r="BC66" s="18">
        <f t="shared" si="19"/>
        <v>0.66513218572432198</v>
      </c>
      <c r="BD66" s="18">
        <f t="shared" si="19"/>
        <v>0.51151912569237445</v>
      </c>
      <c r="BE66" s="18">
        <f t="shared" si="17"/>
        <v>0.67368049932396001</v>
      </c>
      <c r="BF66" s="18">
        <f t="shared" si="17"/>
        <v>0.60762259998186874</v>
      </c>
      <c r="BG66" s="18">
        <f t="shared" si="23"/>
        <v>0.67919859377523506</v>
      </c>
      <c r="BH66" s="18">
        <f t="shared" si="23"/>
        <v>0.76957473290613898</v>
      </c>
      <c r="BI66" s="18">
        <f t="shared" si="23"/>
        <v>0.94146554555524042</v>
      </c>
      <c r="BJ66" s="18">
        <f t="shared" si="23"/>
        <v>0.75516654152223595</v>
      </c>
      <c r="BK66" s="18">
        <f t="shared" si="23"/>
        <v>0.74163771035010106</v>
      </c>
      <c r="BL66" s="18">
        <f t="shared" si="23"/>
        <v>0.76347910742645952</v>
      </c>
      <c r="BM66" s="18">
        <f t="shared" si="23"/>
        <v>0.72756656845073209</v>
      </c>
      <c r="BN66" s="18">
        <f t="shared" si="23"/>
        <v>0.99417558194815192</v>
      </c>
      <c r="BO66" s="18">
        <f t="shared" si="23"/>
        <v>0.93018095789378352</v>
      </c>
      <c r="BP66" s="18">
        <f t="shared" si="23"/>
        <v>0.9938332563419211</v>
      </c>
      <c r="BQ66" s="18">
        <f t="shared" si="23"/>
        <v>0.76592080592476908</v>
      </c>
      <c r="BR66" s="18">
        <f t="shared" si="23"/>
        <v>0.58873786008560236</v>
      </c>
      <c r="BS66" s="18">
        <f t="shared" si="23"/>
        <v>0.96529210029790957</v>
      </c>
      <c r="BT66" s="18">
        <f t="shared" si="23"/>
        <v>0.7535295207756898</v>
      </c>
      <c r="BU66" s="18">
        <f t="shared" si="23"/>
        <v>0.99999999999999978</v>
      </c>
      <c r="BV66" s="18">
        <f t="shared" si="23"/>
        <v>0.61145278981165962</v>
      </c>
      <c r="BW66" s="18">
        <f t="shared" si="22"/>
        <v>0.99308878660146405</v>
      </c>
      <c r="BX66" s="18">
        <f t="shared" si="18"/>
        <v>0.6222447029315441</v>
      </c>
      <c r="BY66" s="18">
        <f t="shared" si="18"/>
        <v>0.87114249694454626</v>
      </c>
      <c r="BZ66" s="18">
        <f t="shared" si="18"/>
        <v>0.73554628424376634</v>
      </c>
      <c r="CA66" s="18">
        <f t="shared" si="18"/>
        <v>0.67927514310388659</v>
      </c>
      <c r="CB66" s="18">
        <f t="shared" si="18"/>
        <v>0.71095551321998329</v>
      </c>
      <c r="CC66" s="18">
        <f t="shared" si="18"/>
        <v>0.70138569970051834</v>
      </c>
      <c r="CD66" s="18">
        <f t="shared" si="18"/>
        <v>0.99481517698593558</v>
      </c>
    </row>
    <row r="67" spans="1:82" x14ac:dyDescent="0.3">
      <c r="A67" s="7" t="str">
        <v>Heller, Ben</v>
      </c>
      <c r="B67">
        <f>_xlfn.XLOOKUP($A67,braves_19_25__2[player_name], braves_19_25__2[release_pos_z])</f>
        <v>5.36</v>
      </c>
      <c r="C67">
        <f>_xlfn.XLOOKUP($A67,braves_19_25__2[player_name], braves_19_25__2[release_pos_x])*2.5</f>
        <v>-6.2749999999999995</v>
      </c>
      <c r="D67">
        <f>_xlfn.XLOOKUP($A67,braves_19_25__2[player_name], braves_19_25__2[release_extension])</f>
        <v>6.24</v>
      </c>
      <c r="E67">
        <f>COS(RADIANS(AVERAGE(_xlfn.XLOOKUP($A67,braves_19_25__2[player_name],braves_19_25__2[arm_angle]))))*4</f>
        <v>3.8127626711717881</v>
      </c>
      <c r="F67">
        <f>SIN(RADIANS(AVERAGE(_xlfn.XLOOKUP($A67,braves_19_25__2[player_name],braves_19_25__2[arm_angle]))))*4</f>
        <v>1.2094795630017781</v>
      </c>
      <c r="G67">
        <f t="shared" si="2"/>
        <v>11.092467038490581</v>
      </c>
      <c r="I67" s="7" t="str">
        <v>Heller, Ben</v>
      </c>
      <c r="J67" s="18">
        <f t="shared" si="20"/>
        <v>0.74079312850247647</v>
      </c>
      <c r="K67" s="18">
        <f t="shared" si="20"/>
        <v>0.99835931272666145</v>
      </c>
      <c r="L67" s="18">
        <f t="shared" si="20"/>
        <v>0.98648549311626654</v>
      </c>
      <c r="M67" s="18">
        <f t="shared" si="20"/>
        <v>0.92358560741600282</v>
      </c>
      <c r="N67" s="18">
        <f t="shared" si="20"/>
        <v>0.58798842535855778</v>
      </c>
      <c r="O67" s="18">
        <f t="shared" si="20"/>
        <v>0.93193193603059976</v>
      </c>
      <c r="P67" s="18">
        <f t="shared" si="20"/>
        <v>0.66950766500185444</v>
      </c>
      <c r="Q67" s="18">
        <f t="shared" si="20"/>
        <v>0.98836485960633735</v>
      </c>
      <c r="R67" s="18">
        <f t="shared" si="20"/>
        <v>0.9926625974679697</v>
      </c>
      <c r="S67" s="18">
        <f t="shared" si="20"/>
        <v>0.98119047936450854</v>
      </c>
      <c r="T67" s="18">
        <f t="shared" si="20"/>
        <v>0.97930750799509791</v>
      </c>
      <c r="U67" s="18">
        <f t="shared" si="20"/>
        <v>0.9843452773590422</v>
      </c>
      <c r="V67" s="18">
        <f t="shared" si="20"/>
        <v>0.97967763775888383</v>
      </c>
      <c r="W67" s="18">
        <f t="shared" si="20"/>
        <v>0.71736619108060473</v>
      </c>
      <c r="X67" s="18">
        <f t="shared" si="20"/>
        <v>0.98937429676139432</v>
      </c>
      <c r="Y67" s="18">
        <f t="shared" si="20"/>
        <v>0.97034833460216807</v>
      </c>
      <c r="Z67" s="18">
        <f t="shared" si="21"/>
        <v>0.70061188681999476</v>
      </c>
      <c r="AA67" s="18">
        <f t="shared" si="21"/>
        <v>0.72591625245182634</v>
      </c>
      <c r="AB67" s="18">
        <f t="shared" si="21"/>
        <v>0.98804494609596016</v>
      </c>
      <c r="AC67" s="18">
        <f t="shared" si="21"/>
        <v>0.97328855640823275</v>
      </c>
      <c r="AD67" s="18">
        <f t="shared" si="21"/>
        <v>0.69601903135293353</v>
      </c>
      <c r="AE67" s="18">
        <f t="shared" si="21"/>
        <v>0.994977245787384</v>
      </c>
      <c r="AF67" s="18">
        <f t="shared" si="21"/>
        <v>0.95973430363369949</v>
      </c>
      <c r="AG67" s="18">
        <f t="shared" si="21"/>
        <v>0.98752655987395255</v>
      </c>
      <c r="AH67" s="18">
        <f t="shared" si="21"/>
        <v>0.99433802827046736</v>
      </c>
      <c r="AI67" s="18">
        <f t="shared" si="21"/>
        <v>0.72043911546889761</v>
      </c>
      <c r="AJ67" s="18">
        <f t="shared" si="21"/>
        <v>0.98322226795360046</v>
      </c>
      <c r="AK67" s="18">
        <f t="shared" si="21"/>
        <v>0.61177984797762641</v>
      </c>
      <c r="AL67" s="18">
        <f t="shared" si="21"/>
        <v>0.98346040242551458</v>
      </c>
      <c r="AM67" s="18">
        <f t="shared" si="21"/>
        <v>0.97760168805316405</v>
      </c>
      <c r="AN67" s="18">
        <f t="shared" si="21"/>
        <v>0.90837593593001642</v>
      </c>
      <c r="AO67" s="18">
        <f t="shared" si="21"/>
        <v>0.98573866800995669</v>
      </c>
      <c r="AP67" s="18">
        <f t="shared" si="19"/>
        <v>0.99319720059920724</v>
      </c>
      <c r="AQ67" s="18">
        <f t="shared" si="19"/>
        <v>0.98991339449938665</v>
      </c>
      <c r="AR67" s="18">
        <f t="shared" si="19"/>
        <v>0.79813205985656632</v>
      </c>
      <c r="AS67" s="18">
        <f t="shared" si="19"/>
        <v>0.65465699951283485</v>
      </c>
      <c r="AT67" s="18">
        <f t="shared" si="19"/>
        <v>0.96041947114536175</v>
      </c>
      <c r="AU67" s="18">
        <f t="shared" si="19"/>
        <v>0.96833758510308932</v>
      </c>
      <c r="AV67" s="18">
        <f t="shared" si="19"/>
        <v>0.97254886165829291</v>
      </c>
      <c r="AW67" s="18">
        <f t="shared" si="19"/>
        <v>0.89159922586541474</v>
      </c>
      <c r="AX67" s="18">
        <f t="shared" si="19"/>
        <v>0.89109962609708171</v>
      </c>
      <c r="AY67" s="18">
        <f t="shared" si="19"/>
        <v>0.57418438058990939</v>
      </c>
      <c r="AZ67" s="18">
        <f t="shared" si="19"/>
        <v>0.72031395230235884</v>
      </c>
      <c r="BA67" s="18">
        <f t="shared" si="19"/>
        <v>0.77831080639956673</v>
      </c>
      <c r="BB67" s="18">
        <f t="shared" si="19"/>
        <v>0.92903469772110292</v>
      </c>
      <c r="BC67" s="18">
        <f t="shared" si="19"/>
        <v>0.99313113130385111</v>
      </c>
      <c r="BD67" s="18">
        <f t="shared" si="19"/>
        <v>0.95803224955904753</v>
      </c>
      <c r="BE67" s="18">
        <f t="shared" si="17"/>
        <v>0.98627599254316256</v>
      </c>
      <c r="BF67" s="18">
        <f t="shared" si="17"/>
        <v>0.96823809353389789</v>
      </c>
      <c r="BG67" s="18">
        <f t="shared" si="23"/>
        <v>0.98234643191841675</v>
      </c>
      <c r="BH67" s="18">
        <f t="shared" si="23"/>
        <v>0.84998913523577202</v>
      </c>
      <c r="BI67" s="18">
        <f t="shared" si="23"/>
        <v>0.69834260744002974</v>
      </c>
      <c r="BJ67" s="18">
        <f t="shared" si="23"/>
        <v>0.89164319473019116</v>
      </c>
      <c r="BK67" s="18">
        <f t="shared" si="23"/>
        <v>0.9170257827747611</v>
      </c>
      <c r="BL67" s="18">
        <f t="shared" si="23"/>
        <v>0.86726157605024401</v>
      </c>
      <c r="BM67" s="18">
        <f t="shared" si="23"/>
        <v>0.95223009773387501</v>
      </c>
      <c r="BN67" s="18">
        <f t="shared" si="23"/>
        <v>0.66257015578668599</v>
      </c>
      <c r="BO67" s="18">
        <f t="shared" si="23"/>
        <v>0.73577276003543435</v>
      </c>
      <c r="BP67" s="18">
        <f t="shared" si="23"/>
        <v>0.63049336940835776</v>
      </c>
      <c r="BQ67" s="18">
        <f t="shared" si="23"/>
        <v>0.86526801527914565</v>
      </c>
      <c r="BR67" s="18">
        <f t="shared" si="23"/>
        <v>0.99344943002710695</v>
      </c>
      <c r="BS67" s="18">
        <f t="shared" si="23"/>
        <v>0.73274411522316585</v>
      </c>
      <c r="BT67" s="18">
        <f t="shared" si="23"/>
        <v>0.9001160086686496</v>
      </c>
      <c r="BU67" s="18">
        <f t="shared" si="23"/>
        <v>0.61145278981165962</v>
      </c>
      <c r="BV67" s="18">
        <f t="shared" si="23"/>
        <v>1</v>
      </c>
      <c r="BW67" s="18">
        <f t="shared" si="22"/>
        <v>0.65074088225589066</v>
      </c>
      <c r="BX67" s="18">
        <f t="shared" si="18"/>
        <v>0.99697440795501635</v>
      </c>
      <c r="BY67" s="18">
        <f t="shared" si="18"/>
        <v>0.77714616926106206</v>
      </c>
      <c r="BZ67" s="18">
        <f t="shared" si="18"/>
        <v>0.94744973975861135</v>
      </c>
      <c r="CA67" s="18">
        <f t="shared" si="18"/>
        <v>0.97516087142363927</v>
      </c>
      <c r="CB67" s="18">
        <f t="shared" si="18"/>
        <v>0.96449439703327389</v>
      </c>
      <c r="CC67" s="18">
        <f t="shared" si="18"/>
        <v>0.94459272695397434</v>
      </c>
      <c r="CD67" s="18">
        <f t="shared" si="18"/>
        <v>0.5650749929785398</v>
      </c>
    </row>
    <row r="68" spans="1:82" x14ac:dyDescent="0.3">
      <c r="A68" s="7" t="str">
        <v>Suarez, José</v>
      </c>
      <c r="B68">
        <f>_xlfn.XLOOKUP($A68,braves_19_25__2[player_name], braves_19_25__2[release_pos_z])</f>
        <v>5.71</v>
      </c>
      <c r="C68">
        <f>_xlfn.XLOOKUP($A68,braves_19_25__2[player_name], braves_19_25__2[release_pos_x])*2.5</f>
        <v>5.8999999999999995</v>
      </c>
      <c r="D68">
        <f>_xlfn.XLOOKUP($A68,braves_19_25__2[player_name], braves_19_25__2[release_extension])</f>
        <v>6</v>
      </c>
      <c r="E68">
        <f>COS(RADIANS(AVERAGE(_xlfn.XLOOKUP($A68,braves_19_25__2[player_name],braves_19_25__2[arm_angle]))))*4</f>
        <v>2.9585243799144392</v>
      </c>
      <c r="F68">
        <f>SIN(RADIANS(AVERAGE(_xlfn.XLOOKUP($A68,braves_19_25__2[player_name],braves_19_25__2[arm_angle]))))*4</f>
        <v>2.6920500540390933</v>
      </c>
      <c r="G68">
        <f t="shared" ref="G68:G75" si="24">SQRT(SUMSQ(B68:F68))</f>
        <v>10.927675873670484</v>
      </c>
      <c r="I68" s="7" t="str">
        <v>Suarez, José</v>
      </c>
      <c r="J68" s="18">
        <f t="shared" si="20"/>
        <v>0.96381847679195576</v>
      </c>
      <c r="K68" s="18">
        <f t="shared" si="20"/>
        <v>0.67980278374069503</v>
      </c>
      <c r="L68" s="18">
        <f t="shared" si="20"/>
        <v>0.70463688637645883</v>
      </c>
      <c r="M68" s="18">
        <f t="shared" si="20"/>
        <v>0.78779735410760987</v>
      </c>
      <c r="N68" s="18">
        <f t="shared" si="20"/>
        <v>0.96709731874423344</v>
      </c>
      <c r="O68" s="18">
        <f t="shared" si="20"/>
        <v>0.75432351214499438</v>
      </c>
      <c r="P68" s="18">
        <f t="shared" si="20"/>
        <v>0.99913141521924875</v>
      </c>
      <c r="Q68" s="18">
        <f t="shared" si="20"/>
        <v>0.72376361077469309</v>
      </c>
      <c r="R68" s="18">
        <f t="shared" si="20"/>
        <v>0.67727103113508791</v>
      </c>
      <c r="S68" s="18">
        <f t="shared" si="20"/>
        <v>0.7060418881411844</v>
      </c>
      <c r="T68" s="18">
        <f t="shared" si="20"/>
        <v>0.74417172361435213</v>
      </c>
      <c r="U68" s="18">
        <f t="shared" si="20"/>
        <v>0.72942748765215615</v>
      </c>
      <c r="V68" s="18">
        <f t="shared" si="20"/>
        <v>0.67789702547415687</v>
      </c>
      <c r="W68" s="18">
        <f t="shared" si="20"/>
        <v>0.98369444409916718</v>
      </c>
      <c r="X68" s="18">
        <f t="shared" si="20"/>
        <v>0.67661818714106403</v>
      </c>
      <c r="Y68" s="18">
        <f t="shared" si="20"/>
        <v>0.75229861325484826</v>
      </c>
      <c r="Z68" s="18">
        <f t="shared" si="21"/>
        <v>0.98908823816631963</v>
      </c>
      <c r="AA68" s="18">
        <f t="shared" si="21"/>
        <v>0.97874497285904849</v>
      </c>
      <c r="AB68" s="18">
        <f t="shared" si="21"/>
        <v>0.70572221008142932</v>
      </c>
      <c r="AC68" s="18">
        <f t="shared" si="21"/>
        <v>0.74201054288256973</v>
      </c>
      <c r="AD68" s="18">
        <f t="shared" si="21"/>
        <v>0.98530207062537123</v>
      </c>
      <c r="AE68" s="18">
        <f t="shared" si="21"/>
        <v>0.69397174074153489</v>
      </c>
      <c r="AF68" s="18">
        <f t="shared" si="21"/>
        <v>0.76034397603012815</v>
      </c>
      <c r="AG68" s="18">
        <f t="shared" si="21"/>
        <v>0.71629691610122781</v>
      </c>
      <c r="AH68" s="18">
        <f t="shared" si="21"/>
        <v>0.67604586250395604</v>
      </c>
      <c r="AI68" s="18">
        <f t="shared" si="21"/>
        <v>0.97696067607145831</v>
      </c>
      <c r="AJ68" s="18">
        <f t="shared" si="21"/>
        <v>0.72646168287666213</v>
      </c>
      <c r="AK68" s="18">
        <f t="shared" si="21"/>
        <v>0.96828552656071765</v>
      </c>
      <c r="AL68" s="18">
        <f t="shared" si="21"/>
        <v>0.54487494191626673</v>
      </c>
      <c r="AM68" s="18">
        <f t="shared" si="21"/>
        <v>0.72033165508888475</v>
      </c>
      <c r="AN68" s="18">
        <f t="shared" si="21"/>
        <v>0.80861986821058618</v>
      </c>
      <c r="AO68" s="18">
        <f t="shared" si="21"/>
        <v>0.66175065662754184</v>
      </c>
      <c r="AP68" s="18">
        <f t="shared" si="19"/>
        <v>0.6669538556238942</v>
      </c>
      <c r="AQ68" s="18">
        <f t="shared" si="19"/>
        <v>0.64980211722435754</v>
      </c>
      <c r="AR68" s="18">
        <f t="shared" si="19"/>
        <v>0.87742741162406113</v>
      </c>
      <c r="AS68" s="18">
        <f t="shared" si="19"/>
        <v>0.99940268434978252</v>
      </c>
      <c r="AT68" s="18">
        <f t="shared" si="19"/>
        <v>0.76673767730506093</v>
      </c>
      <c r="AU68" s="18">
        <f t="shared" si="19"/>
        <v>0.75089524827276655</v>
      </c>
      <c r="AV68" s="18">
        <f t="shared" si="19"/>
        <v>0.75057196969031803</v>
      </c>
      <c r="AW68" s="18">
        <f t="shared" si="19"/>
        <v>0.77547056588379193</v>
      </c>
      <c r="AX68" s="18">
        <f t="shared" si="19"/>
        <v>0.80850744343691583</v>
      </c>
      <c r="AY68" s="18">
        <f t="shared" si="19"/>
        <v>0.98725323433806711</v>
      </c>
      <c r="AZ68" s="18">
        <f t="shared" si="19"/>
        <v>0.98690910687317823</v>
      </c>
      <c r="BA68" s="18">
        <f t="shared" si="19"/>
        <v>0.92923350080865508</v>
      </c>
      <c r="BB68" s="18">
        <f t="shared" si="19"/>
        <v>0.80116128001242592</v>
      </c>
      <c r="BC68" s="18">
        <f t="shared" si="19"/>
        <v>0.70895672370541163</v>
      </c>
      <c r="BD68" s="18">
        <f t="shared" si="19"/>
        <v>0.53508387920316591</v>
      </c>
      <c r="BE68" s="18">
        <f t="shared" si="17"/>
        <v>0.72294423900170945</v>
      </c>
      <c r="BF68" s="18">
        <f t="shared" si="17"/>
        <v>0.66213628539402491</v>
      </c>
      <c r="BG68" s="18">
        <f t="shared" si="23"/>
        <v>0.72998818846360669</v>
      </c>
      <c r="BH68" s="18">
        <f t="shared" si="23"/>
        <v>0.82803309958163762</v>
      </c>
      <c r="BI68" s="18">
        <f t="shared" si="23"/>
        <v>0.97238371944136204</v>
      </c>
      <c r="BJ68" s="18">
        <f t="shared" si="23"/>
        <v>0.81180350229065923</v>
      </c>
      <c r="BK68" s="18">
        <f t="shared" si="23"/>
        <v>0.79872166050094395</v>
      </c>
      <c r="BL68" s="18">
        <f t="shared" si="23"/>
        <v>0.82143098405070492</v>
      </c>
      <c r="BM68" s="18">
        <f t="shared" si="23"/>
        <v>0.7804515529329521</v>
      </c>
      <c r="BN68" s="18">
        <f t="shared" si="23"/>
        <v>0.99884980160295134</v>
      </c>
      <c r="BO68" s="18">
        <f t="shared" si="23"/>
        <v>0.96409750316059706</v>
      </c>
      <c r="BP68" s="18">
        <f t="shared" si="23"/>
        <v>0.99912093635992916</v>
      </c>
      <c r="BQ68" s="18">
        <f t="shared" si="23"/>
        <v>0.8232409587316577</v>
      </c>
      <c r="BR68" s="18">
        <f t="shared" si="23"/>
        <v>0.63429226182243281</v>
      </c>
      <c r="BS68" s="18">
        <f t="shared" si="23"/>
        <v>0.98302992063390404</v>
      </c>
      <c r="BT68" s="18">
        <f t="shared" si="23"/>
        <v>0.8073041268690947</v>
      </c>
      <c r="BU68" s="18">
        <f t="shared" si="23"/>
        <v>0.99308878660146405</v>
      </c>
      <c r="BV68" s="18">
        <f t="shared" si="23"/>
        <v>0.65074088225589066</v>
      </c>
      <c r="BW68" s="18">
        <f t="shared" si="22"/>
        <v>1.0000000000000002</v>
      </c>
      <c r="BX68" s="18">
        <f t="shared" si="18"/>
        <v>0.6673579088268855</v>
      </c>
      <c r="BY68" s="18">
        <f t="shared" si="18"/>
        <v>0.91662409613235751</v>
      </c>
      <c r="BZ68" s="18">
        <f t="shared" si="18"/>
        <v>0.78714329980117348</v>
      </c>
      <c r="CA68" s="18">
        <f t="shared" si="18"/>
        <v>0.73304844664368962</v>
      </c>
      <c r="CB68" s="18">
        <f t="shared" si="18"/>
        <v>0.76306540935958644</v>
      </c>
      <c r="CC68" s="18">
        <f t="shared" si="18"/>
        <v>0.76094989066294305</v>
      </c>
      <c r="CD68" s="18">
        <f t="shared" si="18"/>
        <v>0.98737556214045497</v>
      </c>
    </row>
    <row r="69" spans="1:82" x14ac:dyDescent="0.3">
      <c r="A69" s="7" t="str">
        <v>Fuentes, Didier</v>
      </c>
      <c r="B69">
        <f>_xlfn.XLOOKUP($A69,braves_19_25__2[player_name], braves_19_25__2[release_pos_z])</f>
        <v>5.05</v>
      </c>
      <c r="C69">
        <f>_xlfn.XLOOKUP($A69,braves_19_25__2[player_name], braves_19_25__2[release_pos_x])*2.5</f>
        <v>-6.05</v>
      </c>
      <c r="D69">
        <f>_xlfn.XLOOKUP($A69,braves_19_25__2[player_name], braves_19_25__2[release_extension])</f>
        <v>6.72</v>
      </c>
      <c r="E69">
        <f>COS(RADIANS(AVERAGE(_xlfn.XLOOKUP($A69,braves_19_25__2[player_name],braves_19_25__2[arm_angle]))))*4</f>
        <v>3.5859457215337622</v>
      </c>
      <c r="F69">
        <f>SIN(RADIANS(AVERAGE(_xlfn.XLOOKUP($A69,braves_19_25__2[player_name],braves_19_25__2[arm_angle]))))*4</f>
        <v>1.7722847632967189</v>
      </c>
      <c r="G69">
        <f t="shared" si="24"/>
        <v>11.102405144832357</v>
      </c>
      <c r="I69" s="7" t="str">
        <v>Fuentes, Didier</v>
      </c>
      <c r="J69" s="18">
        <f t="shared" si="20"/>
        <v>0.76226819593280704</v>
      </c>
      <c r="K69" s="18">
        <f t="shared" si="20"/>
        <v>0.99766470178762445</v>
      </c>
      <c r="L69" s="18">
        <f t="shared" si="20"/>
        <v>0.99051046078799376</v>
      </c>
      <c r="M69" s="18">
        <f t="shared" si="20"/>
        <v>0.9354331914873496</v>
      </c>
      <c r="N69" s="18">
        <f t="shared" si="20"/>
        <v>0.59679977032301035</v>
      </c>
      <c r="O69" s="18">
        <f t="shared" si="20"/>
        <v>0.94862931826542818</v>
      </c>
      <c r="P69" s="18">
        <f t="shared" si="20"/>
        <v>0.68689620665860462</v>
      </c>
      <c r="Q69" s="18">
        <f t="shared" si="20"/>
        <v>0.99191390048205619</v>
      </c>
      <c r="R69" s="18">
        <f t="shared" si="20"/>
        <v>0.99849005291140425</v>
      </c>
      <c r="S69" s="18">
        <f t="shared" si="20"/>
        <v>0.98174628632010441</v>
      </c>
      <c r="T69" s="18">
        <f t="shared" si="20"/>
        <v>0.98433988881895373</v>
      </c>
      <c r="U69" s="18">
        <f t="shared" si="20"/>
        <v>0.98933426056695639</v>
      </c>
      <c r="V69" s="18">
        <f t="shared" si="20"/>
        <v>0.985127243117361</v>
      </c>
      <c r="W69" s="18">
        <f t="shared" si="20"/>
        <v>0.73483639380013155</v>
      </c>
      <c r="X69" s="18">
        <f t="shared" si="20"/>
        <v>0.99146993548603968</v>
      </c>
      <c r="Y69" s="18">
        <f t="shared" si="20"/>
        <v>0.97715322727248599</v>
      </c>
      <c r="Z69" s="18">
        <f t="shared" si="21"/>
        <v>0.71923245137541658</v>
      </c>
      <c r="AA69" s="18">
        <f t="shared" si="21"/>
        <v>0.74085858931240312</v>
      </c>
      <c r="AB69" s="18">
        <f t="shared" si="21"/>
        <v>0.9898399100702886</v>
      </c>
      <c r="AC69" s="18">
        <f t="shared" si="21"/>
        <v>0.98214080527322911</v>
      </c>
      <c r="AD69" s="18">
        <f t="shared" si="21"/>
        <v>0.71267286996981749</v>
      </c>
      <c r="AE69" s="18">
        <f t="shared" si="21"/>
        <v>0.99820589257739689</v>
      </c>
      <c r="AF69" s="18">
        <f t="shared" si="21"/>
        <v>0.96781057653211178</v>
      </c>
      <c r="AG69" s="18">
        <f t="shared" si="21"/>
        <v>0.99427421856263742</v>
      </c>
      <c r="AH69" s="18">
        <f t="shared" si="21"/>
        <v>0.99889331056404629</v>
      </c>
      <c r="AI69" s="18">
        <f t="shared" si="21"/>
        <v>0.73684450248500855</v>
      </c>
      <c r="AJ69" s="18">
        <f t="shared" si="21"/>
        <v>0.98863472045396672</v>
      </c>
      <c r="AK69" s="18">
        <f t="shared" si="21"/>
        <v>0.61828716146663165</v>
      </c>
      <c r="AL69" s="18">
        <f t="shared" si="21"/>
        <v>0.97548412129113027</v>
      </c>
      <c r="AM69" s="18">
        <f t="shared" si="21"/>
        <v>0.98784549556892898</v>
      </c>
      <c r="AN69" s="18">
        <f t="shared" si="21"/>
        <v>0.91954324674221832</v>
      </c>
      <c r="AO69" s="18">
        <f t="shared" si="21"/>
        <v>0.98902953433265628</v>
      </c>
      <c r="AP69" s="18">
        <f t="shared" si="19"/>
        <v>0.99125496759973797</v>
      </c>
      <c r="AQ69" s="18">
        <f t="shared" si="19"/>
        <v>0.99394474690412316</v>
      </c>
      <c r="AR69" s="18">
        <f t="shared" si="19"/>
        <v>0.82000800143780139</v>
      </c>
      <c r="AS69" s="18">
        <f t="shared" si="19"/>
        <v>0.67278536369070863</v>
      </c>
      <c r="AT69" s="18">
        <f t="shared" si="19"/>
        <v>0.96883150766159321</v>
      </c>
      <c r="AU69" s="18">
        <f t="shared" si="19"/>
        <v>0.97176878647100173</v>
      </c>
      <c r="AV69" s="18">
        <f t="shared" si="19"/>
        <v>0.97998921687952223</v>
      </c>
      <c r="AW69" s="18">
        <f t="shared" si="19"/>
        <v>0.91069919043975012</v>
      </c>
      <c r="AX69" s="18">
        <f t="shared" si="19"/>
        <v>0.90861634594712681</v>
      </c>
      <c r="AY69" s="18">
        <f t="shared" si="19"/>
        <v>0.59071148310238897</v>
      </c>
      <c r="AZ69" s="18">
        <f t="shared" si="19"/>
        <v>0.73472665551754046</v>
      </c>
      <c r="BA69" s="18">
        <f t="shared" si="19"/>
        <v>0.80081088990563898</v>
      </c>
      <c r="BB69" s="18">
        <f t="shared" si="19"/>
        <v>0.93991945205598304</v>
      </c>
      <c r="BC69" s="18">
        <f t="shared" si="19"/>
        <v>0.99460836308591016</v>
      </c>
      <c r="BD69" s="18">
        <f t="shared" si="19"/>
        <v>0.94862170552768554</v>
      </c>
      <c r="BE69" s="18">
        <f t="shared" si="17"/>
        <v>0.99210867782799672</v>
      </c>
      <c r="BF69" s="18">
        <f t="shared" si="17"/>
        <v>0.97460105686090981</v>
      </c>
      <c r="BG69" s="18">
        <f t="shared" si="23"/>
        <v>0.98979756620681514</v>
      </c>
      <c r="BH69" s="18">
        <f t="shared" si="23"/>
        <v>0.86683995759196153</v>
      </c>
      <c r="BI69" s="18">
        <f t="shared" si="23"/>
        <v>0.72049187722395724</v>
      </c>
      <c r="BJ69" s="18">
        <f t="shared" si="23"/>
        <v>0.90456174083542029</v>
      </c>
      <c r="BK69" s="18">
        <f t="shared" si="23"/>
        <v>0.92990597527220342</v>
      </c>
      <c r="BL69" s="18">
        <f t="shared" si="23"/>
        <v>0.8825244575495953</v>
      </c>
      <c r="BM69" s="18">
        <f t="shared" si="23"/>
        <v>0.96275615356476263</v>
      </c>
      <c r="BN69" s="18">
        <f t="shared" si="23"/>
        <v>0.67637010307352585</v>
      </c>
      <c r="BO69" s="18">
        <f t="shared" si="23"/>
        <v>0.75639329322543247</v>
      </c>
      <c r="BP69" s="18">
        <f t="shared" si="23"/>
        <v>0.64826510648002644</v>
      </c>
      <c r="BQ69" s="18">
        <f t="shared" si="23"/>
        <v>0.88030215313877047</v>
      </c>
      <c r="BR69" s="18">
        <f t="shared" si="23"/>
        <v>0.99421819129584288</v>
      </c>
      <c r="BS69" s="18">
        <f t="shared" si="23"/>
        <v>0.74754653218771183</v>
      </c>
      <c r="BT69" s="18">
        <f t="shared" si="23"/>
        <v>0.909751294078742</v>
      </c>
      <c r="BU69" s="18">
        <f t="shared" si="23"/>
        <v>0.6222447029315441</v>
      </c>
      <c r="BV69" s="18">
        <f t="shared" si="23"/>
        <v>0.99697440795501635</v>
      </c>
      <c r="BW69" s="18">
        <f t="shared" si="22"/>
        <v>0.6673579088268855</v>
      </c>
      <c r="BX69" s="18">
        <f t="shared" si="18"/>
        <v>1.0000000000000002</v>
      </c>
      <c r="BY69" s="18">
        <f t="shared" si="18"/>
        <v>0.79733906913278851</v>
      </c>
      <c r="BZ69" s="18">
        <f t="shared" si="18"/>
        <v>0.95745578244727514</v>
      </c>
      <c r="CA69" s="18">
        <f t="shared" si="18"/>
        <v>0.98449649452096433</v>
      </c>
      <c r="CB69" s="18">
        <f t="shared" si="18"/>
        <v>0.97271603464552248</v>
      </c>
      <c r="CC69" s="18">
        <f t="shared" si="18"/>
        <v>0.95867787917857306</v>
      </c>
      <c r="CD69" s="18">
        <f t="shared" si="18"/>
        <v>0.57980427423094483</v>
      </c>
    </row>
    <row r="70" spans="1:82" x14ac:dyDescent="0.3">
      <c r="A70" s="7" t="str">
        <v>Luetge, Lucas</v>
      </c>
      <c r="B70">
        <f>_xlfn.XLOOKUP($A70,braves_19_25__2[player_name], braves_19_25__2[release_pos_z])</f>
        <v>6.47</v>
      </c>
      <c r="C70">
        <f>_xlfn.XLOOKUP($A70,braves_19_25__2[player_name], braves_19_25__2[release_pos_x])*2.5</f>
        <v>1.675</v>
      </c>
      <c r="D70">
        <f>_xlfn.XLOOKUP($A70,braves_19_25__2[player_name], braves_19_25__2[release_extension])</f>
        <v>6.5</v>
      </c>
      <c r="E70">
        <f>COS(RADIANS(AVERAGE(_xlfn.XLOOKUP($A70,braves_19_25__2[player_name],braves_19_25__2[arm_angle]))))*4</f>
        <v>2.4845911211132412</v>
      </c>
      <c r="F70">
        <f>SIN(RADIANS(AVERAGE(_xlfn.XLOOKUP($A70,braves_19_25__2[player_name],braves_19_25__2[arm_angle]))))*4</f>
        <v>3.1347738293033593</v>
      </c>
      <c r="G70">
        <f t="shared" si="24"/>
        <v>10.144778213445575</v>
      </c>
      <c r="I70" s="7" t="str">
        <v>Luetge, Lucas</v>
      </c>
      <c r="J70" s="18">
        <f t="shared" si="20"/>
        <v>0.98920140325802774</v>
      </c>
      <c r="K70" s="18">
        <f t="shared" si="20"/>
        <v>0.81025932612974938</v>
      </c>
      <c r="L70" s="18">
        <f t="shared" si="20"/>
        <v>0.84548772435982322</v>
      </c>
      <c r="M70" s="18">
        <f t="shared" si="20"/>
        <v>0.93967135293020587</v>
      </c>
      <c r="N70" s="18">
        <f t="shared" si="20"/>
        <v>0.81601077306256242</v>
      </c>
      <c r="O70" s="18">
        <f t="shared" si="20"/>
        <v>0.90869218314282973</v>
      </c>
      <c r="P70" s="18">
        <f t="shared" si="20"/>
        <v>0.92917039495893916</v>
      </c>
      <c r="Q70" s="18">
        <f t="shared" si="20"/>
        <v>0.86006542281951748</v>
      </c>
      <c r="R70" s="18">
        <f t="shared" si="20"/>
        <v>0.81203033416704962</v>
      </c>
      <c r="S70" s="18">
        <f t="shared" si="20"/>
        <v>0.84688968285530097</v>
      </c>
      <c r="T70" s="18">
        <f t="shared" si="20"/>
        <v>0.87865860976931898</v>
      </c>
      <c r="U70" s="18">
        <f t="shared" si="20"/>
        <v>0.86796466401694539</v>
      </c>
      <c r="V70" s="18">
        <f t="shared" si="20"/>
        <v>0.82100884698762566</v>
      </c>
      <c r="W70" s="18">
        <f t="shared" si="20"/>
        <v>0.97269308079829464</v>
      </c>
      <c r="X70" s="18">
        <f t="shared" si="20"/>
        <v>0.8145928181404809</v>
      </c>
      <c r="Y70" s="18">
        <f t="shared" si="20"/>
        <v>0.89369598513053772</v>
      </c>
      <c r="Z70" s="18">
        <f t="shared" si="21"/>
        <v>0.9638325114377797</v>
      </c>
      <c r="AA70" s="18">
        <f t="shared" si="21"/>
        <v>0.97557878417767141</v>
      </c>
      <c r="AB70" s="18">
        <f t="shared" si="21"/>
        <v>0.84466392007941693</v>
      </c>
      <c r="AC70" s="18">
        <f t="shared" si="21"/>
        <v>0.88617447173143749</v>
      </c>
      <c r="AD70" s="18">
        <f t="shared" si="21"/>
        <v>0.96357620702704017</v>
      </c>
      <c r="AE70" s="18">
        <f t="shared" si="21"/>
        <v>0.82795250188734892</v>
      </c>
      <c r="AF70" s="18">
        <f t="shared" si="21"/>
        <v>0.90719763895335404</v>
      </c>
      <c r="AG70" s="18">
        <f t="shared" si="21"/>
        <v>0.85415150404958662</v>
      </c>
      <c r="AH70" s="18">
        <f t="shared" si="21"/>
        <v>0.81064868978950022</v>
      </c>
      <c r="AI70" s="18">
        <f t="shared" si="21"/>
        <v>0.97707307602648708</v>
      </c>
      <c r="AJ70" s="18">
        <f t="shared" si="21"/>
        <v>0.86699310578735578</v>
      </c>
      <c r="AK70" s="18">
        <f t="shared" si="21"/>
        <v>0.83188618836746908</v>
      </c>
      <c r="AL70" s="18">
        <f t="shared" si="21"/>
        <v>0.66045474576986518</v>
      </c>
      <c r="AM70" s="18">
        <f t="shared" si="21"/>
        <v>0.86354929025223359</v>
      </c>
      <c r="AN70" s="18">
        <f t="shared" si="21"/>
        <v>0.95647560815853627</v>
      </c>
      <c r="AO70" s="18">
        <f t="shared" si="21"/>
        <v>0.80133156870639732</v>
      </c>
      <c r="AP70" s="18">
        <f t="shared" si="19"/>
        <v>0.79931911960992286</v>
      </c>
      <c r="AQ70" s="18">
        <f t="shared" si="19"/>
        <v>0.7849685242589971</v>
      </c>
      <c r="AR70" s="18">
        <f t="shared" si="19"/>
        <v>0.99340802610025059</v>
      </c>
      <c r="AS70" s="18">
        <f t="shared" si="19"/>
        <v>0.92102740675339345</v>
      </c>
      <c r="AT70" s="18">
        <f t="shared" si="19"/>
        <v>0.91149629225192341</v>
      </c>
      <c r="AU70" s="18">
        <f t="shared" si="19"/>
        <v>0.89385450913337028</v>
      </c>
      <c r="AV70" s="18">
        <f t="shared" si="19"/>
        <v>0.89268439504220565</v>
      </c>
      <c r="AW70" s="18">
        <f t="shared" si="19"/>
        <v>0.93435919457803152</v>
      </c>
      <c r="AX70" s="18">
        <f t="shared" si="19"/>
        <v>0.96142227787515755</v>
      </c>
      <c r="AY70" s="18">
        <f t="shared" si="19"/>
        <v>0.84441202703619911</v>
      </c>
      <c r="AZ70" s="18">
        <f t="shared" si="19"/>
        <v>0.96490389685245637</v>
      </c>
      <c r="BA70" s="18">
        <f t="shared" si="19"/>
        <v>0.99626324992635118</v>
      </c>
      <c r="BB70" s="18">
        <f t="shared" si="19"/>
        <v>0.94608843324955882</v>
      </c>
      <c r="BC70" s="18">
        <f t="shared" si="19"/>
        <v>0.84202639774641463</v>
      </c>
      <c r="BD70" s="18">
        <f t="shared" si="19"/>
        <v>0.63483315313417732</v>
      </c>
      <c r="BE70" s="18">
        <f t="shared" si="17"/>
        <v>0.86203077847351606</v>
      </c>
      <c r="BF70" s="18">
        <f t="shared" si="17"/>
        <v>0.80746620184561158</v>
      </c>
      <c r="BG70" s="18">
        <f t="shared" si="23"/>
        <v>0.86886232493000493</v>
      </c>
      <c r="BH70" s="18">
        <f t="shared" si="23"/>
        <v>0.97852508948120975</v>
      </c>
      <c r="BI70" s="18">
        <f t="shared" si="23"/>
        <v>0.97285275534428761</v>
      </c>
      <c r="BJ70" s="18">
        <f t="shared" si="23"/>
        <v>0.96163978001127504</v>
      </c>
      <c r="BK70" s="18">
        <f t="shared" si="23"/>
        <v>0.94895223081459645</v>
      </c>
      <c r="BL70" s="18">
        <f t="shared" si="23"/>
        <v>0.97294690281329332</v>
      </c>
      <c r="BM70" s="18">
        <f t="shared" si="23"/>
        <v>0.92455980919339331</v>
      </c>
      <c r="BN70" s="18">
        <f t="shared" si="23"/>
        <v>0.91818527268454064</v>
      </c>
      <c r="BO70" s="18">
        <f t="shared" si="23"/>
        <v>0.98846526926731859</v>
      </c>
      <c r="BP70" s="18">
        <f t="shared" si="23"/>
        <v>0.90331470421617199</v>
      </c>
      <c r="BQ70" s="18">
        <f t="shared" si="23"/>
        <v>0.97449539206002767</v>
      </c>
      <c r="BR70" s="18">
        <f t="shared" si="23"/>
        <v>0.76671791564330682</v>
      </c>
      <c r="BS70" s="18">
        <f t="shared" si="23"/>
        <v>0.9625176134661555</v>
      </c>
      <c r="BT70" s="18">
        <f t="shared" si="23"/>
        <v>0.95649291870867914</v>
      </c>
      <c r="BU70" s="18">
        <f t="shared" si="23"/>
        <v>0.87114249694454626</v>
      </c>
      <c r="BV70" s="18">
        <f t="shared" si="23"/>
        <v>0.77714616926106206</v>
      </c>
      <c r="BW70" s="18">
        <f t="shared" si="22"/>
        <v>0.91662409613235751</v>
      </c>
      <c r="BX70" s="18">
        <f t="shared" si="18"/>
        <v>0.79733906913278851</v>
      </c>
      <c r="BY70" s="18">
        <f t="shared" si="18"/>
        <v>1.0000000000000002</v>
      </c>
      <c r="BZ70" s="18">
        <f t="shared" si="18"/>
        <v>0.92996456095083302</v>
      </c>
      <c r="CA70" s="18">
        <f t="shared" si="18"/>
        <v>0.87765832388680698</v>
      </c>
      <c r="CB70" s="18">
        <f t="shared" si="18"/>
        <v>0.90740807142636171</v>
      </c>
      <c r="CC70" s="18">
        <f t="shared" si="18"/>
        <v>0.91177148620599768</v>
      </c>
      <c r="CD70" s="18">
        <f t="shared" si="18"/>
        <v>0.84489688227062121</v>
      </c>
    </row>
    <row r="71" spans="1:82" x14ac:dyDescent="0.3">
      <c r="A71" s="7" t="str">
        <v>Carrasco, Carlos</v>
      </c>
      <c r="B71">
        <f>_xlfn.XLOOKUP($A71,braves_19_25__2[player_name], braves_19_25__2[release_pos_z])</f>
        <v>5.88</v>
      </c>
      <c r="C71">
        <f>_xlfn.XLOOKUP($A71,braves_19_25__2[player_name], braves_19_25__2[release_pos_x])*2.5</f>
        <v>-2.9749999999999996</v>
      </c>
      <c r="D71">
        <f>_xlfn.XLOOKUP($A71,braves_19_25__2[player_name], braves_19_25__2[release_extension])</f>
        <v>6.68</v>
      </c>
      <c r="E71">
        <f>COS(RADIANS(AVERAGE(_xlfn.XLOOKUP($A71,braves_19_25__2[player_name],braves_19_25__2[arm_angle]))))*4</f>
        <v>3.3083222970982473</v>
      </c>
      <c r="F71">
        <f>SIN(RADIANS(AVERAGE(_xlfn.XLOOKUP($A71,braves_19_25__2[player_name],braves_19_25__2[arm_angle]))))*4</f>
        <v>2.2483335114085223</v>
      </c>
      <c r="G71">
        <f t="shared" si="24"/>
        <v>10.200363964094613</v>
      </c>
      <c r="I71" s="7" t="str">
        <v>Carrasco, Carlos</v>
      </c>
      <c r="J71" s="18">
        <f t="shared" si="20"/>
        <v>0.89320415483894</v>
      </c>
      <c r="K71" s="18">
        <f t="shared" si="20"/>
        <v>0.96396275327057412</v>
      </c>
      <c r="L71" s="18">
        <f t="shared" si="20"/>
        <v>0.97449704631059586</v>
      </c>
      <c r="M71" s="18">
        <f t="shared" si="20"/>
        <v>0.98928835781472613</v>
      </c>
      <c r="N71" s="18">
        <f t="shared" si="20"/>
        <v>0.69393378687321838</v>
      </c>
      <c r="O71" s="18">
        <f t="shared" si="20"/>
        <v>0.9781406106539311</v>
      </c>
      <c r="P71" s="18">
        <f t="shared" si="20"/>
        <v>0.80695326987307747</v>
      </c>
      <c r="Q71" s="18">
        <f t="shared" si="20"/>
        <v>0.98498340248721949</v>
      </c>
      <c r="R71" s="18">
        <f t="shared" si="20"/>
        <v>0.96236011102725272</v>
      </c>
      <c r="S71" s="18">
        <f t="shared" si="20"/>
        <v>0.97094761026352028</v>
      </c>
      <c r="T71" s="18">
        <f t="shared" si="20"/>
        <v>0.99097655334084855</v>
      </c>
      <c r="U71" s="18">
        <f t="shared" si="20"/>
        <v>0.98651017956666898</v>
      </c>
      <c r="V71" s="18">
        <f t="shared" si="20"/>
        <v>0.95705591217991048</v>
      </c>
      <c r="W71" s="18">
        <f t="shared" si="20"/>
        <v>0.86432825940424662</v>
      </c>
      <c r="X71" s="18">
        <f t="shared" si="20"/>
        <v>0.95942621223739299</v>
      </c>
      <c r="Y71" s="18">
        <f t="shared" si="20"/>
        <v>0.99207179450129757</v>
      </c>
      <c r="Z71" s="18">
        <f t="shared" si="21"/>
        <v>0.8478518583263045</v>
      </c>
      <c r="AA71" s="18">
        <f t="shared" si="21"/>
        <v>0.87162493944954667</v>
      </c>
      <c r="AB71" s="18">
        <f t="shared" si="21"/>
        <v>0.97472913196113398</v>
      </c>
      <c r="AC71" s="18">
        <f t="shared" si="21"/>
        <v>0.9897746597113023</v>
      </c>
      <c r="AD71" s="18">
        <f t="shared" si="21"/>
        <v>0.84433069278729478</v>
      </c>
      <c r="AE71" s="18">
        <f t="shared" si="21"/>
        <v>0.97182351623813157</v>
      </c>
      <c r="AF71" s="18">
        <f t="shared" si="21"/>
        <v>0.99236979624884236</v>
      </c>
      <c r="AG71" s="18">
        <f t="shared" si="21"/>
        <v>0.98182568363021894</v>
      </c>
      <c r="AH71" s="18">
        <f t="shared" si="21"/>
        <v>0.96237482800560548</v>
      </c>
      <c r="AI71" s="18">
        <f t="shared" si="21"/>
        <v>0.86923221047692889</v>
      </c>
      <c r="AJ71" s="18">
        <f t="shared" si="21"/>
        <v>0.98487038958172457</v>
      </c>
      <c r="AK71" s="18">
        <f t="shared" si="21"/>
        <v>0.71757596808657642</v>
      </c>
      <c r="AL71" s="18">
        <f t="shared" si="21"/>
        <v>0.87634407640407519</v>
      </c>
      <c r="AM71" s="18">
        <f t="shared" si="21"/>
        <v>0.98067506268987548</v>
      </c>
      <c r="AN71" s="18">
        <f t="shared" si="21"/>
        <v>0.99080544137566373</v>
      </c>
      <c r="AO71" s="18">
        <f t="shared" si="21"/>
        <v>0.95018034267353713</v>
      </c>
      <c r="AP71" s="18">
        <f t="shared" si="19"/>
        <v>0.95355950727938577</v>
      </c>
      <c r="AQ71" s="18">
        <f t="shared" si="19"/>
        <v>0.94517225176735531</v>
      </c>
      <c r="AR71" s="18">
        <f t="shared" si="19"/>
        <v>0.94720558086286499</v>
      </c>
      <c r="AS71" s="18">
        <f t="shared" si="19"/>
        <v>0.79257155426785908</v>
      </c>
      <c r="AT71" s="18">
        <f t="shared" si="19"/>
        <v>0.99584458729508496</v>
      </c>
      <c r="AU71" s="18">
        <f t="shared" si="19"/>
        <v>0.98962053353357748</v>
      </c>
      <c r="AV71" s="18">
        <f t="shared" si="19"/>
        <v>0.99294886747332567</v>
      </c>
      <c r="AW71" s="18">
        <f t="shared" si="19"/>
        <v>0.9689117103657926</v>
      </c>
      <c r="AX71" s="18">
        <f t="shared" si="19"/>
        <v>0.98440002838413432</v>
      </c>
      <c r="AY71" s="18">
        <f t="shared" si="19"/>
        <v>0.69879242305416045</v>
      </c>
      <c r="AZ71" s="18">
        <f t="shared" si="19"/>
        <v>0.86100438852078542</v>
      </c>
      <c r="BA71" s="18">
        <f t="shared" si="19"/>
        <v>0.92813225133819488</v>
      </c>
      <c r="BB71" s="18">
        <f t="shared" si="19"/>
        <v>0.99778328068066613</v>
      </c>
      <c r="BC71" s="18">
        <f t="shared" si="19"/>
        <v>0.97819969267392548</v>
      </c>
      <c r="BD71" s="18">
        <f t="shared" si="19"/>
        <v>0.85380460745099807</v>
      </c>
      <c r="BE71" s="18">
        <f t="shared" si="17"/>
        <v>0.98470558680083531</v>
      </c>
      <c r="BF71" s="18">
        <f t="shared" si="17"/>
        <v>0.94279430911078388</v>
      </c>
      <c r="BG71" s="18">
        <f t="shared" si="23"/>
        <v>0.98651265514997444</v>
      </c>
      <c r="BH71" s="18">
        <f t="shared" si="23"/>
        <v>0.97098221360269299</v>
      </c>
      <c r="BI71" s="18">
        <f t="shared" si="23"/>
        <v>0.85423065903164608</v>
      </c>
      <c r="BJ71" s="18">
        <f t="shared" si="23"/>
        <v>0.98398374034870062</v>
      </c>
      <c r="BK71" s="18">
        <f t="shared" si="23"/>
        <v>0.99140983958130002</v>
      </c>
      <c r="BL71" s="18">
        <f t="shared" si="23"/>
        <v>0.97690143170905597</v>
      </c>
      <c r="BM71" s="18">
        <f t="shared" si="23"/>
        <v>0.99947422512979045</v>
      </c>
      <c r="BN71" s="18">
        <f t="shared" si="23"/>
        <v>0.79532363154553209</v>
      </c>
      <c r="BO71" s="18">
        <f t="shared" si="23"/>
        <v>0.88891088256400819</v>
      </c>
      <c r="BP71" s="18">
        <f t="shared" si="23"/>
        <v>0.76676243941118005</v>
      </c>
      <c r="BQ71" s="18">
        <f t="shared" si="23"/>
        <v>0.9767496202115149</v>
      </c>
      <c r="BR71" s="18">
        <f t="shared" si="23"/>
        <v>0.93723205976342749</v>
      </c>
      <c r="BS71" s="18">
        <f t="shared" si="23"/>
        <v>0.86929306565265896</v>
      </c>
      <c r="BT71" s="18">
        <f t="shared" si="23"/>
        <v>0.98524490326632153</v>
      </c>
      <c r="BU71" s="18">
        <f t="shared" si="23"/>
        <v>0.73554628424376634</v>
      </c>
      <c r="BV71" s="18">
        <f t="shared" si="23"/>
        <v>0.94744973975861135</v>
      </c>
      <c r="BW71" s="18">
        <f t="shared" si="22"/>
        <v>0.78714329980117348</v>
      </c>
      <c r="BX71" s="18">
        <f t="shared" si="18"/>
        <v>0.95745578244727514</v>
      </c>
      <c r="BY71" s="18">
        <f t="shared" si="18"/>
        <v>0.92996456095083302</v>
      </c>
      <c r="BZ71" s="18">
        <f t="shared" si="18"/>
        <v>1.0000000000000002</v>
      </c>
      <c r="CA71" s="18">
        <f t="shared" si="18"/>
        <v>0.98637161155692699</v>
      </c>
      <c r="CB71" s="18">
        <f t="shared" si="18"/>
        <v>0.99613607139977101</v>
      </c>
      <c r="CC71" s="18">
        <f t="shared" si="18"/>
        <v>0.98696854446323423</v>
      </c>
      <c r="CD71" s="18">
        <f t="shared" si="18"/>
        <v>0.69199206622266263</v>
      </c>
    </row>
    <row r="72" spans="1:82" x14ac:dyDescent="0.3">
      <c r="A72" s="7" t="str">
        <v>Blewett, Scott</v>
      </c>
      <c r="B72">
        <f>_xlfn.XLOOKUP($A72,braves_19_25__2[player_name], braves_19_25__2[release_pos_z])</f>
        <v>6.13</v>
      </c>
      <c r="C72">
        <f>_xlfn.XLOOKUP($A72,braves_19_25__2[player_name], braves_19_25__2[release_pos_x])*2.5</f>
        <v>-4.9249999999999998</v>
      </c>
      <c r="D72">
        <f>_xlfn.XLOOKUP($A72,braves_19_25__2[player_name], braves_19_25__2[release_extension])</f>
        <v>7.12</v>
      </c>
      <c r="E72">
        <f>COS(RADIANS(AVERAGE(_xlfn.XLOOKUP($A72,braves_19_25__2[player_name],braves_19_25__2[arm_angle]))))*4</f>
        <v>2.9206491064830091</v>
      </c>
      <c r="F72">
        <f>SIN(RADIANS(AVERAGE(_xlfn.XLOOKUP($A72,braves_19_25__2[player_name],braves_19_25__2[arm_angle]))))*4</f>
        <v>2.7330950947231969</v>
      </c>
      <c r="G72">
        <f t="shared" si="24"/>
        <v>11.336971597388784</v>
      </c>
      <c r="I72" s="7" t="str">
        <v>Blewett, Scott</v>
      </c>
      <c r="J72" s="18">
        <f t="shared" si="20"/>
        <v>0.84121940494532998</v>
      </c>
      <c r="K72" s="18">
        <f t="shared" si="20"/>
        <v>0.98498170427095544</v>
      </c>
      <c r="L72" s="18">
        <f t="shared" si="20"/>
        <v>0.99600148899367347</v>
      </c>
      <c r="M72" s="18">
        <f t="shared" si="20"/>
        <v>0.98126258919248299</v>
      </c>
      <c r="N72" s="18">
        <f t="shared" si="20"/>
        <v>0.6344468323943927</v>
      </c>
      <c r="O72" s="18">
        <f t="shared" si="20"/>
        <v>0.98842522291920387</v>
      </c>
      <c r="P72" s="18">
        <f t="shared" si="20"/>
        <v>0.75202591621093307</v>
      </c>
      <c r="Q72" s="18">
        <f t="shared" si="20"/>
        <v>0.99431301432626784</v>
      </c>
      <c r="R72" s="18">
        <f t="shared" si="20"/>
        <v>0.99060733767957443</v>
      </c>
      <c r="S72" s="18">
        <f t="shared" si="20"/>
        <v>0.99004444171287653</v>
      </c>
      <c r="T72" s="18">
        <f t="shared" si="20"/>
        <v>0.99000306800916138</v>
      </c>
      <c r="U72" s="18">
        <f t="shared" si="20"/>
        <v>0.99644805925656865</v>
      </c>
      <c r="V72" s="18">
        <f t="shared" si="20"/>
        <v>0.9906340362772833</v>
      </c>
      <c r="W72" s="18">
        <f t="shared" si="20"/>
        <v>0.81030870018783063</v>
      </c>
      <c r="X72" s="18">
        <f t="shared" si="20"/>
        <v>0.98938555041940024</v>
      </c>
      <c r="Y72" s="18">
        <f t="shared" ref="Y72:AN75" si="25">(
   INDEX($B$3:$B$75, MATCH(Y$2,_xlfn.ANCHORARRAY( $A$3), 0)) *
   INDEX($B$3:$B$75, MATCH($I72,_xlfn.ANCHORARRAY( $A$3), 0))
 +
   (
     INDEX($C$3:$C$75, MATCH(Y$2,_xlfn.ANCHORARRAY( $A$3), 0)) *
     INDEX($C$3:$C$75, MATCH($I72,_xlfn.ANCHORARRAY( $A$3), 0))
   ) *
   IF(
       SIGN(INDEX($C$3:$C$75, MATCH(Y$2,_xlfn.ANCHORARRAY( $A$3), 0)))
       =
       SIGN(INDEX($C$3:$C$75, MATCH($I72,_xlfn.ANCHORARRAY( $A$3), 0))),
       1,
       0.1
   )
 +
   INDEX($D$3:$D$75, MATCH(Y$2,_xlfn.ANCHORARRAY( $A$3), 0)) *
   INDEX($D$3:$D$75, MATCH($I72,_xlfn.ANCHORARRAY( $A$3), 0)) + INDEX($E$3:$E$75,MATCH(Y$2,_xlfn.ANCHORARRAY($A$3),0)) * INDEX($E$3:$E$75,MATCH($I72,_xlfn.ANCHORARRAY($A$3),0)) + INDEX($F$3:$F$75,MATCH(Y$2,_xlfn.ANCHORARRAY($A$3),0)) * INDEX($F$3:$F$75,MATCH($I72,_xlfn.ANCHORARRAY($A$3),0)))
/
(
   SQRT(
       INDEX($B$3:$B$75, MATCH(Y$2,_xlfn.ANCHORARRAY( $A$3), 0))^2 +
       INDEX($C$3:$C$75, MATCH(Y$2,_xlfn.ANCHORARRAY( $A$3), 0))^2 +
       INDEX($D$3:$D$75, MATCH(Y$2,_xlfn.ANCHORARRAY( $A$3), 0))^2 + INDEX($E$3:$E$75,MATCH(Y$2,_xlfn.ANCHORARRAY($A$3),0))^2 + INDEX($F$3:$F$75,MATCH(Y$2,_xlfn.ANCHORARRAY($A$3),0))^2   )
   *
   SQRT(
       INDEX($B$3:$B$75, MATCH($I72,_xlfn.ANCHORARRAY( $A$3), 0))^2 +
       INDEX($C$3:$C$75, MATCH($I72,_xlfn.ANCHORARRAY( $A$3), 0))^2 +
       INDEX($D$3:$D$75, MATCH($I72,_xlfn.ANCHORARRAY( $A$3), 0))^2 + INDEX($E$3:$E$75,MATCH($I72,_xlfn.ANCHORARRAY($A$3),0))^2 + INDEX($F$3:$F$75,MATCH($I72,_xlfn.ANCHORARRAY($A$3),0))^2
   )
)</f>
        <v>0.99482292656953142</v>
      </c>
      <c r="Z72" s="18">
        <f t="shared" si="25"/>
        <v>0.79518780725102922</v>
      </c>
      <c r="AA72" s="18">
        <f t="shared" si="25"/>
        <v>0.81590778359796268</v>
      </c>
      <c r="AB72" s="18">
        <f t="shared" si="25"/>
        <v>0.99356467803799486</v>
      </c>
      <c r="AC72" s="18">
        <f t="shared" si="25"/>
        <v>0.9994428316908569</v>
      </c>
      <c r="AD72" s="18">
        <f t="shared" si="25"/>
        <v>0.7921743881378065</v>
      </c>
      <c r="AE72" s="18">
        <f t="shared" si="25"/>
        <v>0.9917849261982864</v>
      </c>
      <c r="AF72" s="18">
        <f t="shared" si="25"/>
        <v>0.99496839109248503</v>
      </c>
      <c r="AG72" s="18">
        <f t="shared" si="25"/>
        <v>0.9968335889592691</v>
      </c>
      <c r="AH72" s="18">
        <f t="shared" si="25"/>
        <v>0.9901057222126225</v>
      </c>
      <c r="AI72" s="18">
        <f t="shared" si="25"/>
        <v>0.81573808854930518</v>
      </c>
      <c r="AJ72" s="18">
        <f t="shared" si="25"/>
        <v>0.99774615777684561</v>
      </c>
      <c r="AK72" s="18">
        <f t="shared" si="25"/>
        <v>0.65554111084944677</v>
      </c>
      <c r="AL72" s="18">
        <f t="shared" si="25"/>
        <v>0.93068030193294149</v>
      </c>
      <c r="AM72" s="18">
        <f t="shared" si="25"/>
        <v>0.99921957246728399</v>
      </c>
      <c r="AN72" s="18">
        <f t="shared" si="25"/>
        <v>0.96834572699858368</v>
      </c>
      <c r="AO72" s="18">
        <f t="shared" si="21"/>
        <v>0.98690044529216081</v>
      </c>
      <c r="AP72" s="18">
        <f t="shared" si="19"/>
        <v>0.98152057511086765</v>
      </c>
      <c r="AQ72" s="18">
        <f t="shared" si="19"/>
        <v>0.98384873822341179</v>
      </c>
      <c r="AR72" s="18">
        <f t="shared" si="19"/>
        <v>0.89447491732144635</v>
      </c>
      <c r="AS72" s="18">
        <f t="shared" si="19"/>
        <v>0.73947779292124405</v>
      </c>
      <c r="AT72" s="18">
        <f t="shared" si="19"/>
        <v>0.99436177577083629</v>
      </c>
      <c r="AU72" s="18">
        <f t="shared" si="19"/>
        <v>0.99192084660032176</v>
      </c>
      <c r="AV72" s="18">
        <f t="shared" si="19"/>
        <v>0.99706275098136654</v>
      </c>
      <c r="AW72" s="18">
        <f t="shared" si="19"/>
        <v>0.96862108555609705</v>
      </c>
      <c r="AX72" s="18">
        <f t="shared" si="19"/>
        <v>0.96594661801704185</v>
      </c>
      <c r="AY72" s="18">
        <f t="shared" si="19"/>
        <v>0.64752661897954922</v>
      </c>
      <c r="AZ72" s="18">
        <f t="shared" si="19"/>
        <v>0.80337061593230752</v>
      </c>
      <c r="BA72" s="18">
        <f t="shared" si="19"/>
        <v>0.87413560285947811</v>
      </c>
      <c r="BB72" s="18">
        <f t="shared" si="19"/>
        <v>0.9785301454218438</v>
      </c>
      <c r="BC72" s="18">
        <f t="shared" si="19"/>
        <v>0.99024853126077128</v>
      </c>
      <c r="BD72" s="18">
        <f t="shared" ref="BD72:BS75" si="26">(
   INDEX($B$3:$B$75, MATCH(BD$2,_xlfn.ANCHORARRAY( $A$3), 0)) *
   INDEX($B$3:$B$75, MATCH($I72,_xlfn.ANCHORARRAY( $A$3), 0))
 +
   (
     INDEX($C$3:$C$75, MATCH(BD$2,_xlfn.ANCHORARRAY( $A$3), 0)) *
     INDEX($C$3:$C$75, MATCH($I72,_xlfn.ANCHORARRAY( $A$3), 0))
   ) *
   IF(
       SIGN(INDEX($C$3:$C$75, MATCH(BD$2,_xlfn.ANCHORARRAY( $A$3), 0)))
       =
       SIGN(INDEX($C$3:$C$75, MATCH($I72,_xlfn.ANCHORARRAY( $A$3), 0))),
       1,
       0.1
   )
 +
   INDEX($D$3:$D$75, MATCH(BD$2,_xlfn.ANCHORARRAY( $A$3), 0)) *
   INDEX($D$3:$D$75, MATCH($I72,_xlfn.ANCHORARRAY( $A$3), 0)) + INDEX($E$3:$E$75,MATCH(BD$2,_xlfn.ANCHORARRAY($A$3),0)) * INDEX($E$3:$E$75,MATCH($I72,_xlfn.ANCHORARRAY($A$3),0)) + INDEX($F$3:$F$75,MATCH(BD$2,_xlfn.ANCHORARRAY($A$3),0)) * INDEX($F$3:$F$75,MATCH($I72,_xlfn.ANCHORARRAY($A$3),0)))
/
(
   SQRT(
       INDEX($B$3:$B$75, MATCH(BD$2,_xlfn.ANCHORARRAY( $A$3), 0))^2 +
       INDEX($C$3:$C$75, MATCH(BD$2,_xlfn.ANCHORARRAY( $A$3), 0))^2 +
       INDEX($D$3:$D$75, MATCH(BD$2,_xlfn.ANCHORARRAY( $A$3), 0))^2 + INDEX($E$3:$E$75,MATCH(BD$2,_xlfn.ANCHORARRAY($A$3),0))^2 + INDEX($F$3:$F$75,MATCH(BD$2,_xlfn.ANCHORARRAY($A$3),0))^2   )
   *
   SQRT(
       INDEX($B$3:$B$75, MATCH($I72,_xlfn.ANCHORARRAY( $A$3), 0))^2 +
       INDEX($C$3:$C$75, MATCH($I72,_xlfn.ANCHORARRAY( $A$3), 0))^2 +
       INDEX($D$3:$D$75, MATCH($I72,_xlfn.ANCHORARRAY( $A$3), 0))^2 + INDEX($E$3:$E$75,MATCH($I72,_xlfn.ANCHORARRAY($A$3),0))^2 + INDEX($F$3:$F$75,MATCH($I72,_xlfn.ANCHORARRAY($A$3),0))^2
   )
)</f>
        <v>0.88874111063145389</v>
      </c>
      <c r="BE72" s="18">
        <f t="shared" si="26"/>
        <v>0.99766992499998408</v>
      </c>
      <c r="BF72" s="18">
        <f t="shared" si="26"/>
        <v>0.98311499322462126</v>
      </c>
      <c r="BG72" s="18">
        <f t="shared" si="26"/>
        <v>0.99746232581265426</v>
      </c>
      <c r="BH72" s="18">
        <f t="shared" si="26"/>
        <v>0.93558871429645818</v>
      </c>
      <c r="BI72" s="18">
        <f t="shared" si="26"/>
        <v>0.80696618575963952</v>
      </c>
      <c r="BJ72" s="18">
        <f t="shared" si="26"/>
        <v>0.96042946559010456</v>
      </c>
      <c r="BK72" s="18">
        <f t="shared" si="26"/>
        <v>0.97720541540108341</v>
      </c>
      <c r="BL72" s="18">
        <f t="shared" si="26"/>
        <v>0.94711847369446833</v>
      </c>
      <c r="BM72" s="18">
        <f t="shared" si="26"/>
        <v>0.99082535090318857</v>
      </c>
      <c r="BN72" s="18">
        <f t="shared" si="26"/>
        <v>0.73840985737938647</v>
      </c>
      <c r="BO72" s="18">
        <f t="shared" si="26"/>
        <v>0.8375623754171666</v>
      </c>
      <c r="BP72" s="18">
        <f t="shared" si="26"/>
        <v>0.71468794386694712</v>
      </c>
      <c r="BQ72" s="18">
        <f t="shared" si="26"/>
        <v>0.94520267375820421</v>
      </c>
      <c r="BR72" s="18">
        <f t="shared" si="26"/>
        <v>0.97801065300439483</v>
      </c>
      <c r="BS72" s="18">
        <f t="shared" si="26"/>
        <v>0.80909084985686863</v>
      </c>
      <c r="BT72" s="18">
        <f t="shared" si="23"/>
        <v>0.96239032040171457</v>
      </c>
      <c r="BU72" s="18">
        <f t="shared" si="23"/>
        <v>0.67927514310388659</v>
      </c>
      <c r="BV72" s="18">
        <f t="shared" si="23"/>
        <v>0.97516087142363927</v>
      </c>
      <c r="BW72" s="18">
        <f t="shared" si="22"/>
        <v>0.73304844664368962</v>
      </c>
      <c r="BX72" s="18">
        <f t="shared" si="18"/>
        <v>0.98449649452096433</v>
      </c>
      <c r="BY72" s="18">
        <f t="shared" si="18"/>
        <v>0.87765832388680698</v>
      </c>
      <c r="BZ72" s="18">
        <f t="shared" si="18"/>
        <v>0.98637161155692699</v>
      </c>
      <c r="CA72" s="18">
        <f t="shared" si="18"/>
        <v>1</v>
      </c>
      <c r="CB72" s="18">
        <f t="shared" si="18"/>
        <v>0.99586651852789088</v>
      </c>
      <c r="CC72" s="18">
        <f t="shared" si="18"/>
        <v>0.99321404384043899</v>
      </c>
      <c r="CD72" s="18">
        <f t="shared" si="18"/>
        <v>0.6419388369381992</v>
      </c>
    </row>
    <row r="73" spans="1:82" x14ac:dyDescent="0.3">
      <c r="A73" s="7" t="str">
        <v>Stratton, Hunter</v>
      </c>
      <c r="B73">
        <f>_xlfn.XLOOKUP($A73,braves_19_25__2[player_name], braves_19_25__2[release_pos_z])</f>
        <v>6.02</v>
      </c>
      <c r="C73">
        <f>_xlfn.XLOOKUP($A73,braves_19_25__2[player_name], braves_19_25__2[release_pos_x])*2.5</f>
        <v>-3.8</v>
      </c>
      <c r="D73">
        <f>_xlfn.XLOOKUP($A73,braves_19_25__2[player_name], braves_19_25__2[release_extension])</f>
        <v>6.42</v>
      </c>
      <c r="E73">
        <f>COS(RADIANS(AVERAGE(_xlfn.XLOOKUP($A73,braves_19_25__2[player_name],braves_19_25__2[arm_angle]))))*4</f>
        <v>3.1347738293033593</v>
      </c>
      <c r="F73">
        <f>SIN(RADIANS(AVERAGE(_xlfn.XLOOKUP($A73,braves_19_25__2[player_name],braves_19_25__2[arm_angle]))))*4</f>
        <v>2.4845911211132412</v>
      </c>
      <c r="G73">
        <f t="shared" si="24"/>
        <v>10.387338446397132</v>
      </c>
      <c r="I73" s="7" t="str">
        <v>Stratton, Hunter</v>
      </c>
      <c r="J73" s="18">
        <f t="shared" ref="J73:Y75" si="27">(
   INDEX($B$3:$B$75, MATCH(J$2,_xlfn.ANCHORARRAY( $A$3), 0)) *
   INDEX($B$3:$B$75, MATCH($I73,_xlfn.ANCHORARRAY( $A$3), 0))
 +
   (
     INDEX($C$3:$C$75, MATCH(J$2,_xlfn.ANCHORARRAY( $A$3), 0)) *
     INDEX($C$3:$C$75, MATCH($I73,_xlfn.ANCHORARRAY( $A$3), 0))
   ) *
   IF(
       SIGN(INDEX($C$3:$C$75, MATCH(J$2,_xlfn.ANCHORARRAY( $A$3), 0)))
       =
       SIGN(INDEX($C$3:$C$75, MATCH($I73,_xlfn.ANCHORARRAY( $A$3), 0))),
       1,
       0.1
   )
 +
   INDEX($D$3:$D$75, MATCH(J$2,_xlfn.ANCHORARRAY( $A$3), 0)) *
   INDEX($D$3:$D$75, MATCH($I73,_xlfn.ANCHORARRAY( $A$3), 0)) + INDEX($E$3:$E$75,MATCH(J$2,_xlfn.ANCHORARRAY($A$3),0)) * INDEX($E$3:$E$75,MATCH($I73,_xlfn.ANCHORARRAY($A$3),0)) + INDEX($F$3:$F$75,MATCH(J$2,_xlfn.ANCHORARRAY($A$3),0)) * INDEX($F$3:$F$75,MATCH($I73,_xlfn.ANCHORARRAY($A$3),0)))
/
(
   SQRT(
       INDEX($B$3:$B$75, MATCH(J$2,_xlfn.ANCHORARRAY( $A$3), 0))^2 +
       INDEX($C$3:$C$75, MATCH(J$2,_xlfn.ANCHORARRAY( $A$3), 0))^2 +
       INDEX($D$3:$D$75, MATCH(J$2,_xlfn.ANCHORARRAY( $A$3), 0))^2 + INDEX($E$3:$E$75,MATCH(J$2,_xlfn.ANCHORARRAY($A$3),0))^2 + INDEX($F$3:$F$75,MATCH(J$2,_xlfn.ANCHORARRAY($A$3),0))^2   )
   *
   SQRT(
       INDEX($B$3:$B$75, MATCH($I73,_xlfn.ANCHORARRAY( $A$3), 0))^2 +
       INDEX($C$3:$C$75, MATCH($I73,_xlfn.ANCHORARRAY( $A$3), 0))^2 +
       INDEX($D$3:$D$75, MATCH($I73,_xlfn.ANCHORARRAY( $A$3), 0))^2 + INDEX($E$3:$E$75,MATCH($I73,_xlfn.ANCHORARRAY($A$3),0))^2 + INDEX($F$3:$F$75,MATCH($I73,_xlfn.ANCHORARRAY($A$3),0))^2
   )
)</f>
        <v>0.87019370223239012</v>
      </c>
      <c r="K73" s="18">
        <f t="shared" si="27"/>
        <v>0.97787645375939425</v>
      </c>
      <c r="L73" s="18">
        <f t="shared" si="27"/>
        <v>0.98980596942598154</v>
      </c>
      <c r="M73" s="18">
        <f t="shared" si="27"/>
        <v>0.99082957071579847</v>
      </c>
      <c r="N73" s="18">
        <f t="shared" si="27"/>
        <v>0.66382186748765448</v>
      </c>
      <c r="O73" s="18">
        <f t="shared" si="27"/>
        <v>0.98605729652446894</v>
      </c>
      <c r="P73" s="18">
        <f t="shared" si="27"/>
        <v>0.78186214060528192</v>
      </c>
      <c r="Q73" s="18">
        <f t="shared" si="27"/>
        <v>0.99281216445883125</v>
      </c>
      <c r="R73" s="18">
        <f t="shared" si="27"/>
        <v>0.97833743026801601</v>
      </c>
      <c r="S73" s="18">
        <f t="shared" si="27"/>
        <v>0.987427902190258</v>
      </c>
      <c r="T73" s="18">
        <f t="shared" si="27"/>
        <v>0.99316020592223619</v>
      </c>
      <c r="U73" s="18">
        <f t="shared" si="27"/>
        <v>0.99547300232635905</v>
      </c>
      <c r="V73" s="18">
        <f t="shared" si="27"/>
        <v>0.97834777700218056</v>
      </c>
      <c r="W73" s="18">
        <f t="shared" si="27"/>
        <v>0.8411397175683335</v>
      </c>
      <c r="X73" s="18">
        <f t="shared" si="27"/>
        <v>0.97954001508114774</v>
      </c>
      <c r="Y73" s="18">
        <f t="shared" si="27"/>
        <v>0.99847150015284036</v>
      </c>
      <c r="Z73" s="18">
        <f t="shared" si="25"/>
        <v>0.82508726433922219</v>
      </c>
      <c r="AA73" s="18">
        <f t="shared" si="25"/>
        <v>0.84888998226075307</v>
      </c>
      <c r="AB73" s="18">
        <f t="shared" si="25"/>
        <v>0.9895304017020472</v>
      </c>
      <c r="AC73" s="18">
        <f t="shared" si="25"/>
        <v>0.99803221813048493</v>
      </c>
      <c r="AD73" s="18">
        <f t="shared" si="25"/>
        <v>0.82342673225634833</v>
      </c>
      <c r="AE73" s="18">
        <f t="shared" si="25"/>
        <v>0.98441626322986453</v>
      </c>
      <c r="AF73" s="18">
        <f t="shared" si="25"/>
        <v>0.99879327917382088</v>
      </c>
      <c r="AG73" s="18">
        <f t="shared" si="25"/>
        <v>0.99139673392087868</v>
      </c>
      <c r="AH73" s="18">
        <f t="shared" si="25"/>
        <v>0.97798596885809375</v>
      </c>
      <c r="AI73" s="18">
        <f t="shared" si="25"/>
        <v>0.84751196013812802</v>
      </c>
      <c r="AJ73" s="18">
        <f t="shared" si="25"/>
        <v>0.99550303859957745</v>
      </c>
      <c r="AK73" s="18">
        <f t="shared" si="25"/>
        <v>0.68697320129951012</v>
      </c>
      <c r="AL73" s="18">
        <f t="shared" si="25"/>
        <v>0.90669193451361974</v>
      </c>
      <c r="AM73" s="18">
        <f t="shared" si="25"/>
        <v>0.9922031470967777</v>
      </c>
      <c r="AN73" s="18">
        <f t="shared" si="25"/>
        <v>0.98538477623451748</v>
      </c>
      <c r="AO73" s="18">
        <f t="shared" si="21"/>
        <v>0.97302085042738751</v>
      </c>
      <c r="AP73" s="18">
        <f t="shared" ref="AP73:BE75" si="28">(
   INDEX($B$3:$B$75, MATCH(AP$2,_xlfn.ANCHORARRAY( $A$3), 0)) *
   INDEX($B$3:$B$75, MATCH($I73,_xlfn.ANCHORARRAY( $A$3), 0))
 +
   (
     INDEX($C$3:$C$75, MATCH(AP$2,_xlfn.ANCHORARRAY( $A$3), 0)) *
     INDEX($C$3:$C$75, MATCH($I73,_xlfn.ANCHORARRAY( $A$3), 0))
   ) *
   IF(
       SIGN(INDEX($C$3:$C$75, MATCH(AP$2,_xlfn.ANCHORARRAY( $A$3), 0)))
       =
       SIGN(INDEX($C$3:$C$75, MATCH($I73,_xlfn.ANCHORARRAY( $A$3), 0))),
       1,
       0.1
   )
 +
   INDEX($D$3:$D$75, MATCH(AP$2,_xlfn.ANCHORARRAY( $A$3), 0)) *
   INDEX($D$3:$D$75, MATCH($I73,_xlfn.ANCHORARRAY( $A$3), 0)) + INDEX($E$3:$E$75,MATCH(AP$2,_xlfn.ANCHORARRAY($A$3),0)) * INDEX($E$3:$E$75,MATCH($I73,_xlfn.ANCHORARRAY($A$3),0)) + INDEX($F$3:$F$75,MATCH(AP$2,_xlfn.ANCHORARRAY($A$3),0)) * INDEX($F$3:$F$75,MATCH($I73,_xlfn.ANCHORARRAY($A$3),0)))
/
(
   SQRT(
       INDEX($B$3:$B$75, MATCH(AP$2,_xlfn.ANCHORARRAY( $A$3), 0))^2 +
       INDEX($C$3:$C$75, MATCH(AP$2,_xlfn.ANCHORARRAY( $A$3), 0))^2 +
       INDEX($D$3:$D$75, MATCH(AP$2,_xlfn.ANCHORARRAY( $A$3), 0))^2 + INDEX($E$3:$E$75,MATCH(AP$2,_xlfn.ANCHORARRAY($A$3),0))^2 + INDEX($F$3:$F$75,MATCH(AP$2,_xlfn.ANCHORARRAY($A$3),0))^2   )
   *
   SQRT(
       INDEX($B$3:$B$75, MATCH($I73,_xlfn.ANCHORARRAY( $A$3), 0))^2 +
       INDEX($C$3:$C$75, MATCH($I73,_xlfn.ANCHORARRAY( $A$3), 0))^2 +
       INDEX($D$3:$D$75, MATCH($I73,_xlfn.ANCHORARRAY( $A$3), 0))^2 + INDEX($E$3:$E$75,MATCH($I73,_xlfn.ANCHORARRAY($A$3),0))^2 + INDEX($F$3:$F$75,MATCH($I73,_xlfn.ANCHORARRAY($A$3),0))^2
   )
)</f>
        <v>0.97371245114588534</v>
      </c>
      <c r="AQ73" s="18">
        <f t="shared" si="28"/>
        <v>0.96782928571130855</v>
      </c>
      <c r="AR73" s="18">
        <f t="shared" si="28"/>
        <v>0.92240754509862488</v>
      </c>
      <c r="AS73" s="18">
        <f t="shared" si="28"/>
        <v>0.76801401156931781</v>
      </c>
      <c r="AT73" s="18">
        <f t="shared" si="28"/>
        <v>0.99971202126069314</v>
      </c>
      <c r="AU73" s="18">
        <f t="shared" si="28"/>
        <v>0.99710658528404161</v>
      </c>
      <c r="AV73" s="18">
        <f t="shared" si="28"/>
        <v>0.99915726402537652</v>
      </c>
      <c r="AW73" s="18">
        <f t="shared" si="28"/>
        <v>0.97188961796193518</v>
      </c>
      <c r="AX73" s="18">
        <f t="shared" si="28"/>
        <v>0.9790091617681238</v>
      </c>
      <c r="AY73" s="18">
        <f t="shared" si="28"/>
        <v>0.67413107392272054</v>
      </c>
      <c r="AZ73" s="18">
        <f t="shared" si="28"/>
        <v>0.83612561447371325</v>
      </c>
      <c r="BA73" s="18">
        <f t="shared" si="28"/>
        <v>0.90274109720753815</v>
      </c>
      <c r="BB73" s="18">
        <f t="shared" si="28"/>
        <v>0.99243309943473579</v>
      </c>
      <c r="BC73" s="18">
        <f t="shared" si="28"/>
        <v>0.98744109249596601</v>
      </c>
      <c r="BD73" s="18">
        <f t="shared" si="28"/>
        <v>0.86829134050454715</v>
      </c>
      <c r="BE73" s="18">
        <f t="shared" si="28"/>
        <v>0.99406162018013267</v>
      </c>
      <c r="BF73" s="18">
        <f t="shared" si="26"/>
        <v>0.96782840024635264</v>
      </c>
      <c r="BG73" s="18">
        <f t="shared" si="26"/>
        <v>0.99515314770474073</v>
      </c>
      <c r="BH73" s="18">
        <f t="shared" si="26"/>
        <v>0.95831244705720897</v>
      </c>
      <c r="BI73" s="18">
        <f t="shared" si="26"/>
        <v>0.83448819198574542</v>
      </c>
      <c r="BJ73" s="18">
        <f t="shared" si="26"/>
        <v>0.97852668882257587</v>
      </c>
      <c r="BK73" s="18">
        <f t="shared" si="26"/>
        <v>0.98953379004885578</v>
      </c>
      <c r="BL73" s="18">
        <f t="shared" si="26"/>
        <v>0.96734860803177625</v>
      </c>
      <c r="BM73" s="18">
        <f t="shared" si="26"/>
        <v>0.99812567359227344</v>
      </c>
      <c r="BN73" s="18">
        <f t="shared" si="26"/>
        <v>0.77013963412585751</v>
      </c>
      <c r="BO73" s="18">
        <f t="shared" si="26"/>
        <v>0.86680209579937295</v>
      </c>
      <c r="BP73" s="18">
        <f t="shared" si="26"/>
        <v>0.74324868541193634</v>
      </c>
      <c r="BQ73" s="18">
        <f t="shared" si="26"/>
        <v>0.96602460445514138</v>
      </c>
      <c r="BR73" s="18">
        <f t="shared" si="26"/>
        <v>0.96103315664565081</v>
      </c>
      <c r="BS73" s="18">
        <f t="shared" si="26"/>
        <v>0.84195603629724114</v>
      </c>
      <c r="BT73" s="18">
        <f t="shared" si="23"/>
        <v>0.98078611886606082</v>
      </c>
      <c r="BU73" s="18">
        <f t="shared" si="23"/>
        <v>0.71095551321998329</v>
      </c>
      <c r="BV73" s="18">
        <f t="shared" si="23"/>
        <v>0.96449439703327389</v>
      </c>
      <c r="BW73" s="18">
        <f t="shared" si="22"/>
        <v>0.76306540935958644</v>
      </c>
      <c r="BX73" s="18">
        <f t="shared" si="18"/>
        <v>0.97271603464552248</v>
      </c>
      <c r="BY73" s="18">
        <f t="shared" si="18"/>
        <v>0.90740807142636171</v>
      </c>
      <c r="BZ73" s="18">
        <f t="shared" si="18"/>
        <v>0.99613607139977101</v>
      </c>
      <c r="CA73" s="18">
        <f t="shared" si="18"/>
        <v>0.99586651852789088</v>
      </c>
      <c r="CB73" s="18">
        <f t="shared" si="18"/>
        <v>1</v>
      </c>
      <c r="CC73" s="18">
        <f t="shared" si="18"/>
        <v>0.99386823583514039</v>
      </c>
      <c r="CD73" s="18">
        <f t="shared" si="18"/>
        <v>0.66975679516491127</v>
      </c>
    </row>
    <row r="74" spans="1:82" x14ac:dyDescent="0.3">
      <c r="A74" s="7" t="str">
        <v>Thornburg, Tyler</v>
      </c>
      <c r="B74">
        <f>_xlfn.XLOOKUP($A74,braves_19_25__2[player_name], braves_19_25__2[release_pos_z])</f>
        <v>5.85</v>
      </c>
      <c r="C74">
        <f>_xlfn.XLOOKUP($A74,braves_19_25__2[player_name], braves_19_25__2[release_pos_x])*2.5</f>
        <v>-3.7</v>
      </c>
      <c r="D74">
        <f>_xlfn.XLOOKUP($A74,braves_19_25__2[player_name], braves_19_25__2[release_extension])</f>
        <v>6.29</v>
      </c>
      <c r="E74">
        <f>COS(RADIANS(AVERAGE(_xlfn.XLOOKUP($A74,braves_19_25__2[player_name],braves_19_25__2[arm_angle]))))*4</f>
        <v>2.3114304975340216</v>
      </c>
      <c r="F74">
        <f>SIN(RADIANS(AVERAGE(_xlfn.XLOOKUP($A74,braves_19_25__2[player_name],braves_19_25__2[arm_angle]))))*4</f>
        <v>3.2645503603206407</v>
      </c>
      <c r="G74">
        <f t="shared" si="24"/>
        <v>10.172344862419873</v>
      </c>
      <c r="I74" s="7" t="str">
        <v>Thornburg, Tyler</v>
      </c>
      <c r="J74" s="18">
        <f t="shared" si="27"/>
        <v>0.8756636764520741</v>
      </c>
      <c r="K74" s="18">
        <f t="shared" si="27"/>
        <v>0.96021813117089538</v>
      </c>
      <c r="L74" s="18">
        <f t="shared" si="27"/>
        <v>0.98391734751073567</v>
      </c>
      <c r="M74" s="18">
        <f t="shared" si="27"/>
        <v>0.99439323047212058</v>
      </c>
      <c r="N74" s="18">
        <f t="shared" si="27"/>
        <v>0.6419715315157547</v>
      </c>
      <c r="O74" s="18">
        <f t="shared" si="27"/>
        <v>0.99781728070213871</v>
      </c>
      <c r="P74" s="18">
        <f t="shared" si="27"/>
        <v>0.77889593275923219</v>
      </c>
      <c r="Q74" s="18">
        <f t="shared" si="27"/>
        <v>0.97867106369485724</v>
      </c>
      <c r="R74" s="18">
        <f t="shared" si="27"/>
        <v>0.97009407710480899</v>
      </c>
      <c r="S74" s="18">
        <f t="shared" si="27"/>
        <v>0.9804203374154119</v>
      </c>
      <c r="T74" s="18">
        <f t="shared" si="27"/>
        <v>0.97639199634163665</v>
      </c>
      <c r="U74" s="18">
        <f t="shared" si="27"/>
        <v>0.98511985280269243</v>
      </c>
      <c r="V74" s="18">
        <f t="shared" si="27"/>
        <v>0.97944067720646433</v>
      </c>
      <c r="W74" s="18">
        <f t="shared" si="27"/>
        <v>0.84236112066542967</v>
      </c>
      <c r="X74" s="18">
        <f t="shared" si="27"/>
        <v>0.9735981817819569</v>
      </c>
      <c r="Y74" s="18">
        <f t="shared" si="27"/>
        <v>0.99107903099677863</v>
      </c>
      <c r="Z74" s="18">
        <f t="shared" si="25"/>
        <v>0.82826336448723226</v>
      </c>
      <c r="AA74" s="18">
        <f t="shared" si="25"/>
        <v>0.84781128371872383</v>
      </c>
      <c r="AB74" s="18">
        <f t="shared" si="25"/>
        <v>0.98046788419944086</v>
      </c>
      <c r="AC74" s="18">
        <f t="shared" si="25"/>
        <v>0.99430916297127458</v>
      </c>
      <c r="AD74" s="18">
        <f t="shared" si="25"/>
        <v>0.82781258987510009</v>
      </c>
      <c r="AE74" s="18">
        <f t="shared" si="25"/>
        <v>0.9712221643483957</v>
      </c>
      <c r="AF74" s="18">
        <f t="shared" si="25"/>
        <v>0.99626107845254752</v>
      </c>
      <c r="AG74" s="18">
        <f t="shared" si="25"/>
        <v>0.9817968032873744</v>
      </c>
      <c r="AH74" s="18">
        <f t="shared" si="25"/>
        <v>0.96808492151366266</v>
      </c>
      <c r="AI74" s="18">
        <f t="shared" si="25"/>
        <v>0.85015326006821745</v>
      </c>
      <c r="AJ74" s="18">
        <f t="shared" si="25"/>
        <v>0.98779089698595679</v>
      </c>
      <c r="AK74" s="18">
        <f t="shared" si="25"/>
        <v>0.66191240356688685</v>
      </c>
      <c r="AL74" s="18">
        <f t="shared" si="25"/>
        <v>0.88732811697440284</v>
      </c>
      <c r="AM74" s="18">
        <f t="shared" si="25"/>
        <v>0.99067587738782648</v>
      </c>
      <c r="AN74" s="18">
        <f t="shared" si="25"/>
        <v>0.98320844316067502</v>
      </c>
      <c r="AO74" s="18">
        <f t="shared" si="21"/>
        <v>0.97088738594578805</v>
      </c>
      <c r="AP74" s="18">
        <f t="shared" si="28"/>
        <v>0.96136158035072339</v>
      </c>
      <c r="AQ74" s="18">
        <f t="shared" si="28"/>
        <v>0.96331530976284852</v>
      </c>
      <c r="AR74" s="18">
        <f t="shared" si="28"/>
        <v>0.92384485631283098</v>
      </c>
      <c r="AS74" s="18">
        <f t="shared" si="28"/>
        <v>0.76721457978277641</v>
      </c>
      <c r="AT74" s="18">
        <f t="shared" si="28"/>
        <v>0.99452722386974823</v>
      </c>
      <c r="AU74" s="18">
        <f t="shared" si="28"/>
        <v>0.98875768686425691</v>
      </c>
      <c r="AV74" s="18">
        <f t="shared" si="28"/>
        <v>0.99208565912036839</v>
      </c>
      <c r="AW74" s="18">
        <f t="shared" si="28"/>
        <v>0.98858306138541507</v>
      </c>
      <c r="AX74" s="18">
        <f t="shared" si="28"/>
        <v>0.98604342357232311</v>
      </c>
      <c r="AY74" s="18">
        <f t="shared" si="28"/>
        <v>0.67054308377919614</v>
      </c>
      <c r="AZ74" s="18">
        <f t="shared" si="28"/>
        <v>0.83068672081907668</v>
      </c>
      <c r="BA74" s="18">
        <f t="shared" si="28"/>
        <v>0.90410914703922041</v>
      </c>
      <c r="BB74" s="18">
        <f t="shared" si="28"/>
        <v>0.98622199952239908</v>
      </c>
      <c r="BC74" s="18">
        <f t="shared" si="28"/>
        <v>0.97035192106678791</v>
      </c>
      <c r="BD74" s="18">
        <f t="shared" si="28"/>
        <v>0.82967902186119813</v>
      </c>
      <c r="BE74" s="18">
        <f t="shared" si="28"/>
        <v>0.98447019069356412</v>
      </c>
      <c r="BF74" s="18">
        <f t="shared" si="26"/>
        <v>0.97449212156484222</v>
      </c>
      <c r="BG74" s="18">
        <f t="shared" si="26"/>
        <v>0.98689752556733912</v>
      </c>
      <c r="BH74" s="18">
        <f t="shared" si="26"/>
        <v>0.96287035319233949</v>
      </c>
      <c r="BI74" s="18">
        <f t="shared" si="26"/>
        <v>0.84720275594869165</v>
      </c>
      <c r="BJ74" s="18">
        <f t="shared" si="26"/>
        <v>0.98058288670383253</v>
      </c>
      <c r="BK74" s="18">
        <f t="shared" si="26"/>
        <v>0.9914498914988028</v>
      </c>
      <c r="BL74" s="18">
        <f t="shared" si="26"/>
        <v>0.9715589448667632</v>
      </c>
      <c r="BM74" s="18">
        <f t="shared" si="26"/>
        <v>0.99130154784529745</v>
      </c>
      <c r="BN74" s="18">
        <f t="shared" si="26"/>
        <v>0.76304553520028229</v>
      </c>
      <c r="BO74" s="18">
        <f t="shared" si="26"/>
        <v>0.8732623157406243</v>
      </c>
      <c r="BP74" s="18">
        <f t="shared" si="26"/>
        <v>0.74347463422483984</v>
      </c>
      <c r="BQ74" s="18">
        <f t="shared" si="26"/>
        <v>0.96921218514282381</v>
      </c>
      <c r="BR74" s="18">
        <f t="shared" si="26"/>
        <v>0.95268479416369534</v>
      </c>
      <c r="BS74" s="18">
        <f t="shared" si="26"/>
        <v>0.83183589996847118</v>
      </c>
      <c r="BT74" s="18">
        <f t="shared" si="23"/>
        <v>0.97964722589537034</v>
      </c>
      <c r="BU74" s="18">
        <f t="shared" si="23"/>
        <v>0.70138569970051834</v>
      </c>
      <c r="BV74" s="18">
        <f t="shared" si="23"/>
        <v>0.94459272695397434</v>
      </c>
      <c r="BW74" s="18">
        <f t="shared" si="22"/>
        <v>0.76094989066294305</v>
      </c>
      <c r="BX74" s="18">
        <f t="shared" si="18"/>
        <v>0.95867787917857306</v>
      </c>
      <c r="BY74" s="18">
        <f t="shared" si="18"/>
        <v>0.91177148620599768</v>
      </c>
      <c r="BZ74" s="18">
        <f t="shared" si="18"/>
        <v>0.98696854446323423</v>
      </c>
      <c r="CA74" s="18">
        <f t="shared" si="18"/>
        <v>0.99321404384043899</v>
      </c>
      <c r="CB74" s="18">
        <f t="shared" si="18"/>
        <v>0.99386823583514039</v>
      </c>
      <c r="CC74" s="18">
        <f t="shared" si="18"/>
        <v>1</v>
      </c>
      <c r="CD74" s="18">
        <f t="shared" si="18"/>
        <v>0.66876436866575972</v>
      </c>
    </row>
    <row r="75" spans="1:82" x14ac:dyDescent="0.3">
      <c r="A75" s="7" t="str">
        <v>Milone, Tommy</v>
      </c>
      <c r="B75">
        <f>_xlfn.XLOOKUP($A75,braves_19_25__2[player_name], braves_19_25__2[release_pos_z])</f>
        <v>6.11</v>
      </c>
      <c r="C75">
        <f>_xlfn.XLOOKUP($A75,braves_19_25__2[player_name], braves_19_25__2[release_pos_x])*2.5</f>
        <v>8.5250000000000004</v>
      </c>
      <c r="D75">
        <f>_xlfn.XLOOKUP($A75,braves_19_25__2[player_name], braves_19_25__2[release_extension])</f>
        <v>6.18</v>
      </c>
      <c r="E75">
        <f>COS(RADIANS(AVERAGE(_xlfn.XLOOKUP($A75,braves_19_25__2[player_name],braves_19_25__2[arm_angle]))))*4</f>
        <v>2.8870409123934491</v>
      </c>
      <c r="F75">
        <f>SIN(RADIANS(AVERAGE(_xlfn.XLOOKUP($A75,braves_19_25__2[player_name],braves_19_25__2[arm_angle]))))*4</f>
        <v>2.7685726954816272</v>
      </c>
      <c r="G75">
        <f t="shared" si="24"/>
        <v>12.814059661169056</v>
      </c>
      <c r="I75" s="7" t="str">
        <v>Milone, Tommy</v>
      </c>
      <c r="J75" s="18">
        <f t="shared" si="27"/>
        <v>0.91254634386124289</v>
      </c>
      <c r="K75" s="18">
        <f t="shared" si="27"/>
        <v>0.59178133541723876</v>
      </c>
      <c r="L75" s="18">
        <f t="shared" si="27"/>
        <v>0.61570479775266374</v>
      </c>
      <c r="M75" s="18">
        <f t="shared" si="27"/>
        <v>0.69474196253747433</v>
      </c>
      <c r="N75" s="18">
        <f t="shared" si="27"/>
        <v>0.97673012072843512</v>
      </c>
      <c r="O75" s="18">
        <f t="shared" si="27"/>
        <v>0.66370084486808956</v>
      </c>
      <c r="P75" s="18">
        <f t="shared" si="27"/>
        <v>0.98068890234515127</v>
      </c>
      <c r="Q75" s="18">
        <f t="shared" si="27"/>
        <v>0.63245478720938586</v>
      </c>
      <c r="R75" s="18">
        <f t="shared" si="27"/>
        <v>0.58929515705158253</v>
      </c>
      <c r="S75" s="18">
        <f t="shared" si="27"/>
        <v>0.61767563094950739</v>
      </c>
      <c r="T75" s="18">
        <f t="shared" si="27"/>
        <v>0.65081825592263354</v>
      </c>
      <c r="U75" s="18">
        <f t="shared" si="27"/>
        <v>0.63772877342575784</v>
      </c>
      <c r="V75" s="18">
        <f t="shared" si="27"/>
        <v>0.59187170548316081</v>
      </c>
      <c r="W75" s="18">
        <f t="shared" si="27"/>
        <v>0.94566125643982402</v>
      </c>
      <c r="X75" s="18">
        <f t="shared" si="27"/>
        <v>0.58984800655806258</v>
      </c>
      <c r="Y75" s="18">
        <f t="shared" si="27"/>
        <v>0.65917406666650313</v>
      </c>
      <c r="Z75" s="18">
        <f t="shared" si="25"/>
        <v>0.95670931071935961</v>
      </c>
      <c r="AA75" s="18">
        <f t="shared" si="25"/>
        <v>0.93752353382372644</v>
      </c>
      <c r="AB75" s="18">
        <f t="shared" si="25"/>
        <v>0.61661569144509987</v>
      </c>
      <c r="AC75" s="18">
        <f t="shared" si="25"/>
        <v>0.65005827971841279</v>
      </c>
      <c r="AD75" s="18">
        <f t="shared" si="25"/>
        <v>0.95317749481359682</v>
      </c>
      <c r="AE75" s="18">
        <f t="shared" si="25"/>
        <v>0.60472097584433493</v>
      </c>
      <c r="AF75" s="18">
        <f t="shared" si="25"/>
        <v>0.66786753776795871</v>
      </c>
      <c r="AG75" s="18">
        <f t="shared" si="25"/>
        <v>0.62542499424455944</v>
      </c>
      <c r="AH75" s="18">
        <f t="shared" si="25"/>
        <v>0.58842436546828836</v>
      </c>
      <c r="AI75" s="18">
        <f t="shared" si="25"/>
        <v>0.93602530611009449</v>
      </c>
      <c r="AJ75" s="18">
        <f t="shared" si="25"/>
        <v>0.63536210918798997</v>
      </c>
      <c r="AK75" s="18">
        <f t="shared" si="25"/>
        <v>0.97170655017621321</v>
      </c>
      <c r="AL75" s="18">
        <f t="shared" si="25"/>
        <v>0.46872043123979873</v>
      </c>
      <c r="AM75" s="18">
        <f t="shared" si="25"/>
        <v>0.62979506667035634</v>
      </c>
      <c r="AN75" s="18">
        <f t="shared" si="25"/>
        <v>0.71375789123949307</v>
      </c>
      <c r="AO75" s="18">
        <f t="shared" si="21"/>
        <v>0.5766931829678098</v>
      </c>
      <c r="AP75" s="18">
        <f t="shared" si="28"/>
        <v>0.58050900229829705</v>
      </c>
      <c r="AQ75" s="18">
        <f t="shared" si="28"/>
        <v>0.56471418091191428</v>
      </c>
      <c r="AR75" s="18">
        <f t="shared" si="28"/>
        <v>0.79241867792425036</v>
      </c>
      <c r="AS75" s="18">
        <f t="shared" si="28"/>
        <v>0.98540065330916549</v>
      </c>
      <c r="AT75" s="18">
        <f t="shared" si="28"/>
        <v>0.67321792193040286</v>
      </c>
      <c r="AU75" s="18">
        <f t="shared" si="28"/>
        <v>0.65896065041170082</v>
      </c>
      <c r="AV75" s="18">
        <f t="shared" si="28"/>
        <v>0.65766131805508199</v>
      </c>
      <c r="AW75" s="18">
        <f t="shared" si="28"/>
        <v>0.68534627218035582</v>
      </c>
      <c r="AX75" s="18">
        <f t="shared" si="28"/>
        <v>0.71439787877623229</v>
      </c>
      <c r="AY75" s="18">
        <f t="shared" si="28"/>
        <v>0.99783588320627403</v>
      </c>
      <c r="AZ75" s="18">
        <f t="shared" si="28"/>
        <v>0.95083665336362866</v>
      </c>
      <c r="BA75" s="18">
        <f t="shared" si="28"/>
        <v>0.86032930010345443</v>
      </c>
      <c r="BB75" s="18">
        <f t="shared" si="28"/>
        <v>0.70565080109087919</v>
      </c>
      <c r="BC75" s="18">
        <f t="shared" si="28"/>
        <v>0.61858791390146073</v>
      </c>
      <c r="BD75" s="18">
        <f t="shared" si="28"/>
        <v>0.45954125204109308</v>
      </c>
      <c r="BE75" s="18">
        <f t="shared" si="28"/>
        <v>0.63186875875598747</v>
      </c>
      <c r="BF75" s="18">
        <f t="shared" si="26"/>
        <v>0.57830521742214702</v>
      </c>
      <c r="BG75" s="18">
        <f t="shared" si="26"/>
        <v>0.63793829516605449</v>
      </c>
      <c r="BH75" s="18">
        <f t="shared" si="26"/>
        <v>0.73376077942824813</v>
      </c>
      <c r="BI75" s="18">
        <f t="shared" si="26"/>
        <v>0.93421567110544357</v>
      </c>
      <c r="BJ75" s="18">
        <f t="shared" si="26"/>
        <v>0.71739353546504991</v>
      </c>
      <c r="BK75" s="18">
        <f t="shared" si="26"/>
        <v>0.70446947629153345</v>
      </c>
      <c r="BL75" s="18">
        <f t="shared" si="26"/>
        <v>0.72740655176048719</v>
      </c>
      <c r="BM75" s="18">
        <f t="shared" si="26"/>
        <v>0.68578062318367194</v>
      </c>
      <c r="BN75" s="18">
        <f t="shared" si="26"/>
        <v>0.98414527818469499</v>
      </c>
      <c r="BO75" s="18">
        <f t="shared" si="26"/>
        <v>0.91435799206078094</v>
      </c>
      <c r="BP75" s="18">
        <f t="shared" si="26"/>
        <v>0.99214248701036356</v>
      </c>
      <c r="BQ75" s="18">
        <f t="shared" si="26"/>
        <v>0.72922952104152894</v>
      </c>
      <c r="BR75" s="18">
        <f t="shared" si="26"/>
        <v>0.55069216940983234</v>
      </c>
      <c r="BS75" s="18">
        <f t="shared" si="26"/>
        <v>0.94349653850251347</v>
      </c>
      <c r="BT75" s="18">
        <f t="shared" si="23"/>
        <v>0.71344874137896896</v>
      </c>
      <c r="BU75" s="18">
        <f t="shared" si="23"/>
        <v>0.99481517698593558</v>
      </c>
      <c r="BV75" s="18">
        <f t="shared" si="23"/>
        <v>0.5650749929785398</v>
      </c>
      <c r="BW75" s="18">
        <f t="shared" si="22"/>
        <v>0.98737556214045497</v>
      </c>
      <c r="BX75" s="18">
        <f t="shared" si="18"/>
        <v>0.57980427423094483</v>
      </c>
      <c r="BY75" s="18">
        <f t="shared" si="18"/>
        <v>0.84489688227062121</v>
      </c>
      <c r="BZ75" s="18">
        <f t="shared" si="18"/>
        <v>0.69199206622266263</v>
      </c>
      <c r="CA75" s="18">
        <f t="shared" si="18"/>
        <v>0.6419388369381992</v>
      </c>
      <c r="CB75" s="18">
        <f t="shared" si="18"/>
        <v>0.66975679516491127</v>
      </c>
      <c r="CC75" s="18">
        <f t="shared" si="18"/>
        <v>0.66876436866575972</v>
      </c>
      <c r="CD75" s="18">
        <f t="shared" si="18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A339-62EB-4DAF-9E9E-5B5B77BBC789}">
  <dimension ref="A1:BB154"/>
  <sheetViews>
    <sheetView workbookViewId="0">
      <selection activeCell="A4" sqref="A4"/>
    </sheetView>
  </sheetViews>
  <sheetFormatPr defaultRowHeight="14.4" x14ac:dyDescent="0.3"/>
  <cols>
    <col min="1" max="1" width="22.88671875" bestFit="1" customWidth="1"/>
    <col min="2" max="2" width="8" bestFit="1" customWidth="1"/>
    <col min="3" max="3" width="9.33203125" bestFit="1" customWidth="1"/>
    <col min="4" max="4" width="7.6640625" bestFit="1" customWidth="1"/>
    <col min="5" max="5" width="10.109375" bestFit="1" customWidth="1"/>
    <col min="6" max="6" width="9.33203125" bestFit="1" customWidth="1"/>
    <col min="21" max="21" width="9.33203125" bestFit="1" customWidth="1"/>
  </cols>
  <sheetData>
    <row r="1" spans="1:54" ht="15" thickBot="1" x14ac:dyDescent="0.35">
      <c r="A1" s="2" t="s">
        <v>144</v>
      </c>
      <c r="AD1" s="40" t="s">
        <v>151</v>
      </c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2"/>
    </row>
    <row r="2" spans="1:54" ht="15" thickBot="1" x14ac:dyDescent="0.35">
      <c r="B2" s="35" t="s">
        <v>148</v>
      </c>
      <c r="C2" s="36"/>
      <c r="D2" s="36"/>
      <c r="E2" s="36"/>
      <c r="F2" s="37"/>
      <c r="G2" s="35" t="s">
        <v>149</v>
      </c>
      <c r="H2" s="36"/>
      <c r="I2" s="36"/>
      <c r="J2" s="36"/>
      <c r="K2" s="37"/>
      <c r="L2" s="35" t="s">
        <v>58</v>
      </c>
      <c r="M2" s="36"/>
      <c r="N2" s="36"/>
      <c r="O2" s="36"/>
      <c r="P2" s="37"/>
      <c r="Q2" s="35" t="s">
        <v>150</v>
      </c>
      <c r="R2" s="36"/>
      <c r="S2" s="36"/>
      <c r="T2" s="36"/>
      <c r="U2" s="37"/>
      <c r="V2" s="35" t="s">
        <v>60</v>
      </c>
      <c r="W2" s="36"/>
      <c r="X2" s="36"/>
      <c r="Y2" s="36"/>
      <c r="Z2" s="37"/>
      <c r="AD2" s="43" t="s">
        <v>148</v>
      </c>
      <c r="AE2" s="38"/>
      <c r="AF2" s="38"/>
      <c r="AG2" s="38"/>
      <c r="AH2" s="38"/>
      <c r="AI2" s="38" t="s">
        <v>149</v>
      </c>
      <c r="AJ2" s="38"/>
      <c r="AK2" s="38"/>
      <c r="AL2" s="38"/>
      <c r="AM2" s="38"/>
      <c r="AN2" s="38" t="s">
        <v>58</v>
      </c>
      <c r="AO2" s="38"/>
      <c r="AP2" s="38"/>
      <c r="AQ2" s="38"/>
      <c r="AR2" s="38"/>
      <c r="AS2" s="38" t="s">
        <v>150</v>
      </c>
      <c r="AT2" s="38"/>
      <c r="AU2" s="38"/>
      <c r="AV2" s="38"/>
      <c r="AW2" s="38"/>
      <c r="AX2" s="38" t="s">
        <v>60</v>
      </c>
      <c r="AY2" s="38"/>
      <c r="AZ2" s="38"/>
      <c r="BA2" s="38"/>
      <c r="BB2" s="39"/>
    </row>
    <row r="3" spans="1:54" ht="15" thickBot="1" x14ac:dyDescent="0.35">
      <c r="B3" s="3" t="s">
        <v>53</v>
      </c>
      <c r="C3" s="21" t="s">
        <v>54</v>
      </c>
      <c r="D3" s="21" t="s">
        <v>145</v>
      </c>
      <c r="E3" s="21" t="s">
        <v>146</v>
      </c>
      <c r="F3" s="4" t="s">
        <v>147</v>
      </c>
      <c r="G3" s="3" t="s">
        <v>53</v>
      </c>
      <c r="H3" s="21" t="s">
        <v>54</v>
      </c>
      <c r="I3" s="21" t="s">
        <v>145</v>
      </c>
      <c r="J3" s="21" t="s">
        <v>146</v>
      </c>
      <c r="K3" s="4" t="s">
        <v>147</v>
      </c>
      <c r="L3" s="3" t="s">
        <v>53</v>
      </c>
      <c r="M3" s="21" t="s">
        <v>54</v>
      </c>
      <c r="N3" s="21" t="s">
        <v>145</v>
      </c>
      <c r="O3" s="21" t="s">
        <v>146</v>
      </c>
      <c r="P3" s="4" t="s">
        <v>147</v>
      </c>
      <c r="Q3" s="3" t="s">
        <v>53</v>
      </c>
      <c r="R3" s="21" t="s">
        <v>54</v>
      </c>
      <c r="S3" s="21" t="s">
        <v>145</v>
      </c>
      <c r="T3" s="21" t="s">
        <v>146</v>
      </c>
      <c r="U3" s="4" t="s">
        <v>147</v>
      </c>
      <c r="V3" s="3" t="s">
        <v>53</v>
      </c>
      <c r="W3" s="21" t="s">
        <v>54</v>
      </c>
      <c r="X3" s="21" t="s">
        <v>145</v>
      </c>
      <c r="Y3" s="21" t="s">
        <v>146</v>
      </c>
      <c r="Z3" s="4" t="s">
        <v>147</v>
      </c>
      <c r="AD3" s="28" t="s">
        <v>53</v>
      </c>
      <c r="AE3" t="s">
        <v>54</v>
      </c>
      <c r="AF3" t="s">
        <v>145</v>
      </c>
      <c r="AG3" t="s">
        <v>146</v>
      </c>
      <c r="AH3" t="s">
        <v>147</v>
      </c>
      <c r="AI3" t="s">
        <v>53</v>
      </c>
      <c r="AJ3" t="s">
        <v>54</v>
      </c>
      <c r="AK3" t="s">
        <v>145</v>
      </c>
      <c r="AL3" t="s">
        <v>146</v>
      </c>
      <c r="AM3" t="s">
        <v>147</v>
      </c>
      <c r="AN3" t="s">
        <v>53</v>
      </c>
      <c r="AO3" t="s">
        <v>54</v>
      </c>
      <c r="AP3" t="s">
        <v>145</v>
      </c>
      <c r="AQ3" t="s">
        <v>146</v>
      </c>
      <c r="AR3" t="s">
        <v>147</v>
      </c>
      <c r="AS3" t="s">
        <v>53</v>
      </c>
      <c r="AT3" t="s">
        <v>54</v>
      </c>
      <c r="AU3" t="s">
        <v>145</v>
      </c>
      <c r="AV3" t="s">
        <v>146</v>
      </c>
      <c r="AW3" t="s">
        <v>147</v>
      </c>
      <c r="AX3" t="s">
        <v>53</v>
      </c>
      <c r="AY3" t="s">
        <v>54</v>
      </c>
      <c r="AZ3" t="s">
        <v>145</v>
      </c>
      <c r="BA3" t="s">
        <v>146</v>
      </c>
      <c r="BB3" s="29" t="s">
        <v>147</v>
      </c>
    </row>
    <row r="4" spans="1:54" ht="15" thickBot="1" x14ac:dyDescent="0.35">
      <c r="A4" t="str" cm="1">
        <f t="array" ref="A4:A76">_xlfn.UNIQUE(braves_19_25__2[player_name])</f>
        <v>Fried, Max</v>
      </c>
      <c r="B4" s="28" cm="1">
        <f t="array" ref="B4">IFERROR(AVERAGE(
    IF(
        (braves_19_25!$B:$B=$A4) *
        ((braves_19_25!$C:$C="FF") +
         (braves_19_25!$C:$C="SI") +
         (braves_19_25!$C:$C="FC")),
        braves_19_25!$G:$G
    )
),0)</f>
        <v>92.336666666666659</v>
      </c>
      <c r="C4" cm="1">
        <f t="array" ref="C4">IFERROR(AVERAGE(
    IF(
        (braves_19_25!$B:$B=$A4) *
        ((braves_19_25!$C:$C="FF") +
         (braves_19_25!$C:$C="SI") +
         (braves_19_25!$C:$C="FC")),
        braves_19_25!$F:$F
    )
),0)</f>
        <v>2176.3333333333335</v>
      </c>
      <c r="D4" cm="1">
        <f t="array" ref="D4">IFERROR(AVERAGE(
    IF(
        (braves_19_25!$B:$B=$A4) *
        ((braves_19_25!$C:$C="FF") +
         (braves_19_25!$C:$C="SI") +
         (braves_19_25!$C:$C="FC")),
        braves_19_25!$I:$I
    )
),0)</f>
        <v>2.0126499999999998</v>
      </c>
      <c r="E4" cm="1">
        <f t="array" ref="E4">IFERROR(AVERAGE(
    IF(
        (braves_19_25!$B:$B=$A4) *
        ((braves_19_25!$C:$C="FF") +
         (braves_19_25!$C:$C="SI") +
         (braves_19_25!$C:$C="FC")),
        braves_19_25!$J:$J
    )
),0)</f>
        <v>0.24117333333333332</v>
      </c>
      <c r="F4" s="29" cm="1">
        <f t="array" ref="F4">IFERROR(AVERAGE(
    IF(
        (braves_19_25!$B:$B=$A4) *
        ((braves_19_25!$C:$C="FF") +
         (braves_19_25!$C:$C="SI") +
         (braves_19_25!$C:$C="FC")),
        braves_19_25!$K:$K
    )
),0)</f>
        <v>-4.8436666666666663E-2</v>
      </c>
      <c r="G4" s="28" cm="1">
        <f t="array" ref="G4">IFERROR(AVERAGE(
    IF(
        (braves_19_25!$B:$B=$A4) *
        ((braves_19_25!$C:$C="SL") +
         (braves_19_25!$C:$C="ST") +
         (braves_19_25!$C:$C="SV")),
        braves_19_25!$G:$G
    )
),0)</f>
        <v>82.97</v>
      </c>
      <c r="H4" cm="1">
        <f t="array" ref="H4">IFERROR(AVERAGE(
    IF(
        (braves_19_25!$B:$B=$A4) *
        ((braves_19_25!$C:$C="SL") +
         (braves_19_25!$C:$C="ST") +
         (braves_19_25!$C:$C="SV")),
        braves_19_25!$F:$F
    )
),0)</f>
        <v>2608.5</v>
      </c>
      <c r="I4" cm="1">
        <f t="array" ref="I4">IFERROR(AVERAGE(
    IF(
        (braves_19_25!$B:$B=$A4) *
        ((braves_19_25!$C:$C="SL") +
         (braves_19_25!$C:$C="ST") +
         (braves_19_25!$C:$C="SV")),
        braves_19_25!$I:$I
    )
),0)</f>
        <v>3.5852599999999999</v>
      </c>
      <c r="J4" cm="1">
        <f t="array" ref="J4">IFERROR(AVERAGE(
    IF(
        (braves_19_25!$B:$B=$A4) *
        ((braves_19_25!$C:$C="SL") +
         (braves_19_25!$C:$C="ST") +
         (braves_19_25!$C:$C="SV")),
        braves_19_25!$J:$J
    )
),0)</f>
        <v>-0.96063499999999991</v>
      </c>
      <c r="K4" s="29" cm="1">
        <f t="array" ref="K4">IFERROR(AVERAGE(
    IF(
        (braves_19_25!$B:$B=$A4) *
        ((braves_19_25!$C:$C="SL") +
         (braves_19_25!$C:$C="ST") +
         (braves_19_25!$C:$C="SV")),
        braves_19_25!$K:$K
    )
),0)</f>
        <v>0.32796000000000003</v>
      </c>
      <c r="L4" s="28" cm="1">
        <f t="array" ref="L4">IFERROR(AVERAGE(
    IF(
        (braves_19_25!$B:$B=$A4) *
        ((braves_19_25!$C:$C="CU") +
         (braves_19_25!$C:$C="CS") +
         (braves_19_25!$C:$C="KC")),
        braves_19_25!$G:$G
    )
),0)</f>
        <v>73.83</v>
      </c>
      <c r="M4" cm="1">
        <f t="array" ref="M4">IFERROR(AVERAGE(
    IF(
        (braves_19_25!$B:$B=$A4) *
        ((braves_19_25!$C:$C="CU") +
         (braves_19_25!$C:$C="CS") +
         (braves_19_25!$C:$C="KC")),
        braves_19_25!$F:$F
    )
),0)</f>
        <v>2770</v>
      </c>
      <c r="N4" cm="1">
        <f t="array" ref="N4">IFERROR(AVERAGE(
    IF(
        (braves_19_25!$B:$B=$A4) *
        ((braves_19_25!$C:$C="CU") +
         (braves_19_25!$C:$C="CS") +
         (braves_19_25!$C:$C="KC")),
        braves_19_25!$I:$I
    )
),0)</f>
        <v>5.5907499999999999</v>
      </c>
      <c r="O4" cm="1">
        <f t="array" ref="O4">IFERROR(AVERAGE(
    IF(
        (braves_19_25!$B:$B=$A4) *
        ((braves_19_25!$C:$C="CU") +
         (braves_19_25!$C:$C="CS") +
         (braves_19_25!$C:$C="KC")),
        braves_19_25!$J:$J
    )
),0)</f>
        <v>-0.78737999999999997</v>
      </c>
      <c r="P4" s="29" cm="1">
        <f t="array" ref="P4">IFERROR(AVERAGE(
    IF(
        (braves_19_25!$B:$B=$A4) *
        ((braves_19_25!$C:$C="CU") +
         (braves_19_25!$C:$C="CS") +
         (braves_19_25!$C:$C="KC")),
        braves_19_25!$K:$K
    )
),0)</f>
        <v>0.52068000000000003</v>
      </c>
      <c r="Q4" s="28" cm="1">
        <f t="array" ref="Q4">IFERROR(AVERAGE(
    IF(
        (braves_19_25!$B:$B=$A4) *
        ((braves_19_25!$C:$C="FS") +
         (braves_19_25!$C:$C="CH") +
         (braves_19_25!$C:$C="FO") +
         (braves_19_25!$C:$C="SC")),
        braves_19_25!$G:$G
    )
),0)</f>
        <v>86.44</v>
      </c>
      <c r="R4" cm="1">
        <f t="array" ref="R4">IFERROR(AVERAGE(
    IF(
        (braves_19_25!$B:$B=$A4) *
        ((braves_19_25!$C:$C="FS") +
         (braves_19_25!$C:$C="CH") +
         (braves_19_25!$C:$C="FO") +
         (braves_19_25!$C:$C="SC")),
        braves_19_25!$F:$F
    )
),0)</f>
        <v>1433</v>
      </c>
      <c r="S4" cm="1">
        <f t="array" ref="S4">IFERROR(AVERAGE(
    IF(
        (braves_19_25!$B:$B=$A4) *
        ((braves_19_25!$C:$C="FS") +
         (braves_19_25!$C:$C="CH") +
         (braves_19_25!$C:$C="FO") +
         (braves_19_25!$C:$C="SC")),
        braves_19_25!$I:$I
    )
),0)</f>
        <v>2.7048299999999998</v>
      </c>
      <c r="T4" cm="1">
        <f t="array" ref="T4">IFERROR(AVERAGE(
    IF(
        (braves_19_25!$B:$B=$A4) *
        ((braves_19_25!$C:$C="FS") +
         (braves_19_25!$C:$C="CH") +
         (braves_19_25!$C:$C="FO") +
         (braves_19_25!$C:$C="SC")),
        braves_19_25!$J:$J
    )
),0)</f>
        <v>1.0287299999999999</v>
      </c>
      <c r="U4" s="29" cm="1">
        <f t="array" ref="U4">IFERROR(AVERAGE(
    IF(
        (braves_19_25!$B:$B=$A4) *
        ((braves_19_25!$C:$C="FS") +
         (braves_19_25!$C:$C="CH") +
         (braves_19_25!$C:$C="FO") +
         (braves_19_25!$C:$C="SC")),
        braves_19_25!$K:$K
    )
),0)</f>
        <v>-0.83828999999999998</v>
      </c>
      <c r="V4" s="28" cm="1">
        <f t="array" ref="V4">IFERROR(AVERAGE(
    IF(
        (braves_19_25!$B:$B=$A4) *
        ((braves_19_25!$C:$C="EP") +
         (braves_19_25!$C:$C="FA") +
         (braves_19_25!$C:$C="KN")),
        braves_19_25!$G:$G
    )
),0)</f>
        <v>0</v>
      </c>
      <c r="W4" cm="1">
        <f t="array" ref="W4">IFERROR(AVERAGE(
    IF(
        (braves_19_25!$B:$B=$A4) *
        ((braves_19_25!$C:$C="EP") +
         (braves_19_25!$C:$C="FA") +
         (braves_19_25!$C:$C="KN")),
        braves_19_25!$F:$F
    )
),0)</f>
        <v>0</v>
      </c>
      <c r="X4" cm="1">
        <f t="array" ref="X4">IFERROR(AVERAGE(
    IF(
        (braves_19_25!$B:$B=$A4) *
        ((braves_19_25!$C:$C="EP") +
         (braves_19_25!$C:$C="FA") +
         (braves_19_25!$C:$C="KN")),
        braves_19_25!$I:$I
    )
),0)</f>
        <v>0</v>
      </c>
      <c r="Y4" cm="1">
        <f t="array" ref="Y4">IFERROR(AVERAGE(
    IF(
        (braves_19_25!$B:$B=$A4) *
        ((braves_19_25!$C:$C="EP") +
         (braves_19_25!$C:$C="FA") +
         (braves_19_25!$C:$C="KN")),
        braves_19_25!$J:$J
    )
),0)</f>
        <v>0</v>
      </c>
      <c r="Z4" s="29" cm="1">
        <f t="array" ref="Z4">IFERROR(AVERAGE(
    IF(
        (braves_19_25!$B:$B=$A4) *
        ((braves_19_25!$C:$C="EP") +
         (braves_19_25!$C:$C="FA") +
         (braves_19_25!$C:$C="KN")),
        braves_19_25!$K:$K
    )
),0)</f>
        <v>0</v>
      </c>
      <c r="AD4" s="3">
        <f>AVERAGE(AVERAGEIF(braves_19_25!$C:$C,"FF",braves_19_25!$G:$G),AVERAGEIF(braves_19_25!$C:$C,"SI",braves_19_25!$G:$G),AVERAGEIF(braves_19_25!$C:$C,"FC",braves_19_25!$G:$G))</f>
        <v>91.976659425060348</v>
      </c>
      <c r="AE4" s="21">
        <f>AVERAGE(AVERAGEIF(braves_19_25!$C:$C,"FF",braves_19_25!$F:$F),AVERAGEIF(braves_19_25!$C:$C,"SI",braves_19_25!$F:$F),AVERAGEIF(braves_19_25!$C:$C,"FC",braves_19_25!$F:$F))</f>
        <v>2282.9018213737108</v>
      </c>
      <c r="AF4" s="21">
        <f>AVERAGE(AVERAGEIF(braves_19_25!$C:$C,"FF",braves_19_25!$I:$I),AVERAGEIF(braves_19_25!$C:$C,"SI",braves_19_25!$I:$I),AVERAGEIF(braves_19_25!$C:$C,"FC",braves_19_25!$I:$I))</f>
        <v>1.7563141694096991</v>
      </c>
      <c r="AG4" s="21">
        <f>AVERAGE(AVERAGEIF(braves_19_25!$C:$C,"FF",braves_19_25!$J:$J),AVERAGEIF(braves_19_25!$C:$C,"SI",braves_19_25!$J:$J),AVERAGEIF(braves_19_25!$C:$C,"FC",braves_19_25!$J:$J))</f>
        <v>0.52637438797454472</v>
      </c>
      <c r="AH4" s="21">
        <f>AVERAGE(AVERAGEIF(braves_19_25!$C:$C,"FF",braves_19_25!$K:$K),AVERAGEIF(braves_19_25!$C:$C,"SI",braves_19_25!$K:$K),AVERAGEIF(braves_19_25!$C:$C,"FC",braves_19_25!$K:$K))</f>
        <v>-1.0213842001316668E-2</v>
      </c>
      <c r="AI4" s="21">
        <f>AVERAGE(AVERAGEIF(braves_19_25!$C:$C,"SL",braves_19_25!$G:$G),AVERAGEIF(braves_19_25!$C:$C,"ST",braves_19_25!$G:$G),AVERAGEIF(braves_19_25!$C:$C,"SV",braves_19_25!$G:$G))</f>
        <v>82.397307692307692</v>
      </c>
      <c r="AJ4" s="21">
        <f>AVERAGE(AVERAGEIF(braves_19_25!$C:$C,"SL",braves_19_25!$F:$F),AVERAGEIF(braves_19_25!$C:$C,"ST",braves_19_25!$F:$F),AVERAGEIF(braves_19_25!$C:$C,"SV",braves_19_25!$F:$F))</f>
        <v>2582.5559829059825</v>
      </c>
      <c r="AK4" s="21">
        <f>AVERAGE(AVERAGEIF(braves_19_25!$C:$C,"SL",braves_19_25!$I:$I),AVERAGEIF(braves_19_25!$C:$C,"ST",braves_19_25!$I:$I),AVERAGEIF(braves_19_25!$C:$C,"SV",braves_19_25!$I:$I))</f>
        <v>3.5423275470085458</v>
      </c>
      <c r="AL4" s="21">
        <f>AVERAGE(AVERAGEIF(braves_19_25!$C:$C,"SL",braves_19_25!$J:$J),AVERAGEIF(braves_19_25!$C:$C,"ST",braves_19_25!$J:$J),AVERAGEIF(braves_19_25!$C:$C,"SV",braves_19_25!$J:$J))</f>
        <v>-0.74638978632478636</v>
      </c>
      <c r="AM4" s="21">
        <f>AVERAGE(AVERAGEIF(braves_19_25!$C:$C,"SL",braves_19_25!$K:$K),AVERAGEIF(braves_19_25!$C:$C,"ST",braves_19_25!$K:$K),AVERAGEIF(braves_19_25!$C:$C,"SV",braves_19_25!$K:$K))</f>
        <v>-0.18135971367521367</v>
      </c>
      <c r="AN4" s="21">
        <f>AVERAGE(AVERAGEIF(braves_19_25!$C:$C,"KC",braves_19_25!$G:$G),AVERAGEIF(braves_19_25!$C:$C,"CS",braves_19_25!$G:$G),AVERAGEIF(braves_19_25!$C:$C,"CU",braves_19_25!$G:$G))</f>
        <v>75.532222222222231</v>
      </c>
      <c r="AO4" s="21">
        <f>AVERAGE(AVERAGEIF(braves_19_25!$C:$C,"KC",braves_19_25!$F:$F),AVERAGEIF(braves_19_25!$C:$C,"CS",braves_19_25!$F:$F),AVERAGEIF(braves_19_25!$C:$C,"CU",braves_19_25!$F:$F))</f>
        <v>2512.9603174603176</v>
      </c>
      <c r="AP4" s="21">
        <f>AVERAGE(AVERAGEIF(braves_19_25!$C:$C,"KC",braves_19_25!$I:$I),AVERAGEIF(braves_19_25!$C:$C,"CS",braves_19_25!$I:$I),AVERAGEIF(braves_19_25!$C:$C,"CU",braves_19_25!$I:$I))</f>
        <v>4.9242139682539685</v>
      </c>
      <c r="AQ4" s="21">
        <f>AVERAGE(AVERAGEIF(braves_19_25!$C:$C,"KC",braves_19_25!$J:$J),AVERAGEIF(braves_19_25!$C:$C,"CS",braves_19_25!$J:$J),AVERAGEIF(braves_19_25!$C:$C,"CU",braves_19_25!$J:$J))</f>
        <v>-0.66518055555555555</v>
      </c>
      <c r="AR4" s="21">
        <f>AVERAGE(AVERAGEIF(braves_19_25!$C:$C,"KC",braves_19_25!$K:$K),AVERAGEIF(braves_19_25!$C:$C,"CS",braves_19_25!$K:$K),AVERAGEIF(braves_19_25!$C:$C,"CU",braves_19_25!$K:$K))</f>
        <v>0.22304079365079363</v>
      </c>
      <c r="AS4" s="21">
        <f>SUM(
IFERROR(AVERAGEIF(braves_19_25!$C:$C,"FS",braves_19_25!$G:$G),0),
IFERROR(AVERAGEIF(braves_19_25!$C:$C,"CH",braves_19_25!$G:$G),0),
IFERROR(AVERAGEIF(braves_19_25!$C:$C,"FO",braves_19_25!$G:$G),0),
IFERROR(AVERAGEIF(braves_19_25!$C:$C,"SC",braves_19_25!$G:$G),0)
)
/
SUM(
--ISNUMBER(IFERROR(AVERAGEIF(braves_19_25!$C:$C,"FS",braves_19_25!$G:$G),"")),
--ISNUMBER(IFERROR(AVERAGEIF(braves_19_25!$C:$C,"CH",braves_19_25!$G:$G),"")),
--ISNUMBER(IFERROR(AVERAGEIF(braves_19_25!$C:$C,"FO",braves_19_25!$G:$G),"")),
--ISNUMBER(IFERROR(AVERAGEIF(braves_19_25!$C:$C,"SC",braves_19_25!$G:$G),""))
)</f>
        <v>86.254261904761904</v>
      </c>
      <c r="AT4" s="21">
        <f>SUM(
IFERROR(AVERAGEIF(braves_19_25!$C:$C,"FS",braves_19_25!$F:$F),0),
IFERROR(AVERAGEIF(braves_19_25!$C:$C,"CH",braves_19_25!$F:$F),0),
IFERROR(AVERAGEIF(braves_19_25!$C:$C,"FO",braves_19_25!$F:$F),0),
IFERROR(AVERAGEIF(braves_19_25!$C:$C,"SC",braves_19_25!$F:$F),0)
)
/
SUM(
--ISNUMBER(IFERROR(AVERAGEIF(braves_19_25!$C:$C,"FS",braves_19_25!$F:$F),"")),
--ISNUMBER(IFERROR(AVERAGEIF(braves_19_25!$C:$C,"CH",braves_19_25!$F:$F),"")),
--ISNUMBER(IFERROR(AVERAGEIF(braves_19_25!$C:$C,"FO",braves_19_25!$F:$F),"")),
--ISNUMBER(IFERROR(AVERAGEIF(braves_19_25!$C:$C,"SC",braves_19_25!$F:$F),""))
)</f>
        <v>1540.0047619047618</v>
      </c>
      <c r="AU4" s="21">
        <f>SUM(
IFERROR(AVERAGEIF(braves_19_25!$C:$C,"FS",braves_19_25!$I:$I),0),
IFERROR(AVERAGEIF(braves_19_25!$C:$C,"CH",braves_19_25!$I:$I),0),
IFERROR(AVERAGEIF(braves_19_25!$C:$C,"FO",braves_19_25!$I:$I),0),
IFERROR(AVERAGEIF(braves_19_25!$C:$C,"SC",braves_19_25!$I:$I),0)
)
/
SUM(
--ISNUMBER(IFERROR(AVERAGEIF(braves_19_25!$C:$C,"FS",braves_19_25!$I:$I),"")),
--ISNUMBER(IFERROR(AVERAGEIF(braves_19_25!$C:$C,"CH",braves_19_25!$I:$I),"")),
--ISNUMBER(IFERROR(AVERAGEIF(braves_19_25!$C:$C,"FO",braves_19_25!$I:$I),"")),
--ISNUMBER(IFERROR(AVERAGEIF(braves_19_25!$C:$C,"SC",braves_19_25!$I:$I),""))
)</f>
        <v>2.6308532142857146</v>
      </c>
      <c r="AV4" s="21">
        <f>SUM(
IFERROR(AVERAGEIF(braves_19_25!$C:$C,"FS",braves_19_25!$J:$J),0),
IFERROR(AVERAGEIF(braves_19_25!$C:$C,"CH",braves_19_25!$J:$J),0),
IFERROR(AVERAGEIF(braves_19_25!$C:$C,"FO",braves_19_25!$J:$J),0),
IFERROR(AVERAGEIF(braves_19_25!$C:$C,"SC",braves_19_25!$J:$J),0)
)
/
SUM(
--ISNUMBER(IFERROR(AVERAGEIF(braves_19_25!$C:$C,"FS",braves_19_25!$J:$J),"")),
--ISNUMBER(IFERROR(AVERAGEIF(braves_19_25!$C:$C,"CH",braves_19_25!$J:$J),"")),
--ISNUMBER(IFERROR(AVERAGEIF(braves_19_25!$C:$C,"FO",braves_19_25!$J:$J),"")),
--ISNUMBER(IFERROR(AVERAGEIF(braves_19_25!$C:$C,"SC",braves_19_25!$J:$J),""))
)</f>
        <v>0.96148273809523821</v>
      </c>
      <c r="AW4" s="21">
        <f>SUM(
IFERROR(AVERAGEIF(braves_19_25!$C:$C,"FS",braves_19_25!$K:$K),0),
IFERROR(AVERAGEIF(braves_19_25!$C:$C,"CH",braves_19_25!$K:$K),0),
IFERROR(AVERAGEIF(braves_19_25!$C:$C,"FO",braves_19_25!$K:$K),0),
IFERROR(AVERAGEIF(braves_19_25!$C:$C,"SC",braves_19_25!$K:$K),0)
)
/
SUM(
--ISNUMBER(IFERROR(AVERAGEIF(braves_19_25!$C:$C,"FS",braves_19_25!$K:$K),"")),
--ISNUMBER(IFERROR(AVERAGEIF(braves_19_25!$C:$C,"CH",braves_19_25!$K:$K),"")),
--ISNUMBER(IFERROR(AVERAGEIF(braves_19_25!$C:$C,"FO",braves_19_25!$K:$K),"")),
--ISNUMBER(IFERROR(AVERAGEIF(braves_19_25!$C:$C,"SC",braves_19_25!$K:$K),""))
)</f>
        <v>-0.50012180952380947</v>
      </c>
      <c r="AX4" s="21">
        <f>IFERROR(SUM(
IFERROR(AVERAGEIF(braves_19_25!$C:$C,"EP",braves_19_25!$G:$G),0),
IFERROR(AVERAGEIF(braves_19_25!$C:$C,"FA",braves_19_25!$G:$G),0),
IFERROR(AVERAGEIF(braves_19_25!$C:$C,"KN",braves_19_25!$G:$G),0)
)
/
(
--ISNUMBER(IFERROR(AVERAGEIF(braves_19_25!$C:$C,"EP",braves_19_25!$G:$G),""))+
--ISNUMBER(IFERROR(AVERAGEIF(braves_19_25!$C:$C,"FA",braves_19_25!$G:$G),""))+
--ISNUMBER(IFERROR(AVERAGEIF(braves_19_25!$C:$C,"KN",braves_19_25!$G:$G),""))
),0)</f>
        <v>0</v>
      </c>
      <c r="AY4" s="21">
        <f>IFERROR(SUM(
IFERROR(AVERAGEIF(braves_19_25!$C:$C,"EP",braves_19_25!$G:$G),0),
IFERROR(AVERAGEIF(braves_19_25!$C:$C,"FA",braves_19_25!$G:$G),0),
IFERROR(AVERAGEIF(braves_19_25!$C:$C,"KN",braves_19_25!$G:$G),0)
)
/
(
--ISNUMBER(IFERROR(AVERAGEIF(braves_19_25!$C:$C,"EP",braves_19_25!$G:$G),""))+
--ISNUMBER(IFERROR(AVERAGEIF(braves_19_25!$C:$C,"FA",braves_19_25!$G:$G),""))+
--ISNUMBER(IFERROR(AVERAGEIF(braves_19_25!$C:$C,"KN",braves_19_25!$G:$G),""))
),0)</f>
        <v>0</v>
      </c>
      <c r="AZ4" s="21">
        <f>IFERROR(SUM(
IFERROR(AVERAGEIF(braves_19_25!$C:$C,"EP",braves_19_25!$G:$G),0),
IFERROR(AVERAGEIF(braves_19_25!$C:$C,"FA",braves_19_25!$G:$G),0),
IFERROR(AVERAGEIF(braves_19_25!$C:$C,"KN",braves_19_25!$G:$G),0)
)
/
(
--ISNUMBER(IFERROR(AVERAGEIF(braves_19_25!$C:$C,"EP",braves_19_25!$G:$G),""))+
--ISNUMBER(IFERROR(AVERAGEIF(braves_19_25!$C:$C,"FA",braves_19_25!$G:$G),""))+
--ISNUMBER(IFERROR(AVERAGEIF(braves_19_25!$C:$C,"KN",braves_19_25!$G:$G),""))
),0)</f>
        <v>0</v>
      </c>
      <c r="BA4" s="21">
        <f>IFERROR(SUM(
IFERROR(AVERAGEIF(braves_19_25!$C:$C,"EP",braves_19_25!$G:$G),0),
IFERROR(AVERAGEIF(braves_19_25!$C:$C,"FA",braves_19_25!$G:$G),0),
IFERROR(AVERAGEIF(braves_19_25!$C:$C,"KN",braves_19_25!$G:$G),0)
)
/
(
--ISNUMBER(IFERROR(AVERAGEIF(braves_19_25!$C:$C,"EP",braves_19_25!$G:$G),""))+
--ISNUMBER(IFERROR(AVERAGEIF(braves_19_25!$C:$C,"FA",braves_19_25!$G:$G),""))+
--ISNUMBER(IFERROR(AVERAGEIF(braves_19_25!$C:$C,"KN",braves_19_25!$G:$G),""))
),0)</f>
        <v>0</v>
      </c>
      <c r="BB4" s="4">
        <f>IFERROR(SUM(
IFERROR(AVERAGEIF(braves_19_25!$C:$C,"EP",braves_19_25!$G:$G),0),
IFERROR(AVERAGEIF(braves_19_25!$C:$C,"FA",braves_19_25!$G:$G),0),
IFERROR(AVERAGEIF(braves_19_25!$C:$C,"KN",braves_19_25!$G:$G),0)
)
/
(
--ISNUMBER(IFERROR(AVERAGEIF(braves_19_25!$C:$C,"EP",braves_19_25!$G:$G),""))+
--ISNUMBER(IFERROR(AVERAGEIF(braves_19_25!$C:$C,"FA",braves_19_25!$G:$G),""))+
--ISNUMBER(IFERROR(AVERAGEIF(braves_19_25!$C:$C,"KN",braves_19_25!$G:$G),""))
),0)</f>
        <v>0</v>
      </c>
    </row>
    <row r="5" spans="1:54" x14ac:dyDescent="0.3">
      <c r="A5" t="str">
        <v>Morton, Charlie</v>
      </c>
      <c r="B5" s="28" cm="1">
        <f t="array" ref="B5">IFERROR(AVERAGE(
    IF(
        (braves_19_25!$B:$B=$A5) *
        ((braves_19_25!$C:$C="FF") +
         (braves_19_25!$C:$C="SI") +
         (braves_19_25!$C:$C="FC")),
        braves_19_25!$G:$G
    )
),0)</f>
        <v>92.49666666666667</v>
      </c>
      <c r="C5" cm="1">
        <f t="array" ref="C5">IFERROR(AVERAGE(
    IF(
        (braves_19_25!$B:$B=$A5) *
        ((braves_19_25!$C:$C="FF") +
         (braves_19_25!$C:$C="SI") +
         (braves_19_25!$C:$C="FC")),
        braves_19_25!$F:$F
    )
),0)</f>
        <v>2313.3333333333335</v>
      </c>
      <c r="D5" cm="1">
        <f t="array" ref="D5">IFERROR(AVERAGE(
    IF(
        (braves_19_25!$B:$B=$A5) *
        ((braves_19_25!$C:$C="FF") +
         (braves_19_25!$C:$C="SI") +
         (braves_19_25!$C:$C="FC")),
        braves_19_25!$I:$I
    )
),0)</f>
        <v>2.0577000000000001</v>
      </c>
      <c r="E5" cm="1">
        <f t="array" ref="E5">IFERROR(AVERAGE(
    IF(
        (braves_19_25!$B:$B=$A5) *
        ((braves_19_25!$C:$C="FF") +
         (braves_19_25!$C:$C="SI") +
         (braves_19_25!$C:$C="FC")),
        braves_19_25!$J:$J
    )
),0)</f>
        <v>0.80226666666666657</v>
      </c>
      <c r="F5" s="29" cm="1">
        <f t="array" ref="F5">IFERROR(AVERAGE(
    IF(
        (braves_19_25!$B:$B=$A5) *
        ((braves_19_25!$C:$C="FF") +
         (braves_19_25!$C:$C="SI") +
         (braves_19_25!$C:$C="FC")),
        braves_19_25!$K:$K
    )
),0)</f>
        <v>0.29559666666666667</v>
      </c>
      <c r="G5" s="28" cm="1">
        <f t="array" ref="G5">IFERROR(AVERAGE(
    IF(
        (braves_19_25!$B:$B=$A5) *
        ((braves_19_25!$C:$C="SL") +
         (braves_19_25!$C:$C="ST") +
         (braves_19_25!$C:$C="SV")),
        braves_19_25!$G:$G
    )
),0)</f>
        <v>0</v>
      </c>
      <c r="H5" cm="1">
        <f t="array" ref="H5">IFERROR(AVERAGE(
    IF(
        (braves_19_25!$B:$B=$A5) *
        ((braves_19_25!$C:$C="SL") +
         (braves_19_25!$C:$C="ST") +
         (braves_19_25!$C:$C="SV")),
        braves_19_25!$F:$F
    )
),0)</f>
        <v>0</v>
      </c>
      <c r="I5" cm="1">
        <f t="array" ref="I5">IFERROR(AVERAGE(
    IF(
        (braves_19_25!$B:$B=$A5) *
        ((braves_19_25!$C:$C="SL") +
         (braves_19_25!$C:$C="ST") +
         (braves_19_25!$C:$C="SV")),
        braves_19_25!$I:$I
    )
),0)</f>
        <v>0</v>
      </c>
      <c r="J5" cm="1">
        <f t="array" ref="J5">IFERROR(AVERAGE(
    IF(
        (braves_19_25!$B:$B=$A5) *
        ((braves_19_25!$C:$C="SL") +
         (braves_19_25!$C:$C="ST") +
         (braves_19_25!$C:$C="SV")),
        braves_19_25!$J:$J
    )
),0)</f>
        <v>0</v>
      </c>
      <c r="K5" s="29" cm="1">
        <f t="array" ref="K5">IFERROR(AVERAGE(
    IF(
        (braves_19_25!$B:$B=$A5) *
        ((braves_19_25!$C:$C="SL") +
         (braves_19_25!$C:$C="ST") +
         (braves_19_25!$C:$C="SV")),
        braves_19_25!$K:$K
    )
),0)</f>
        <v>0</v>
      </c>
      <c r="L5" s="28" cm="1">
        <f t="array" ref="L5">IFERROR(AVERAGE(
    IF(
        (braves_19_25!$B:$B=$A5) *
        ((braves_19_25!$C:$C="CU") +
         (braves_19_25!$C:$C="CS") +
         (braves_19_25!$C:$C="KC")),
        braves_19_25!$G:$G
    )
),0)</f>
        <v>81.06</v>
      </c>
      <c r="M5" cm="1">
        <f t="array" ref="M5">IFERROR(AVERAGE(
    IF(
        (braves_19_25!$B:$B=$A5) *
        ((braves_19_25!$C:$C="CU") +
         (braves_19_25!$C:$C="CS") +
         (braves_19_25!$C:$C="KC")),
        braves_19_25!$F:$F
    )
),0)</f>
        <v>3074</v>
      </c>
      <c r="N5" cm="1">
        <f t="array" ref="N5">IFERROR(AVERAGE(
    IF(
        (braves_19_25!$B:$B=$A5) *
        ((braves_19_25!$C:$C="CU") +
         (braves_19_25!$C:$C="CS") +
         (braves_19_25!$C:$C="KC")),
        braves_19_25!$I:$I
    )
),0)</f>
        <v>4.20357</v>
      </c>
      <c r="O5" cm="1">
        <f t="array" ref="O5">IFERROR(AVERAGE(
    IF(
        (braves_19_25!$B:$B=$A5) *
        ((braves_19_25!$C:$C="CU") +
         (braves_19_25!$C:$C="CS") +
         (braves_19_25!$C:$C="KC")),
        braves_19_25!$J:$J
    )
),0)</f>
        <v>-1.23047</v>
      </c>
      <c r="P5" s="29" cm="1">
        <f t="array" ref="P5">IFERROR(AVERAGE(
    IF(
        (braves_19_25!$B:$B=$A5) *
        ((braves_19_25!$C:$C="CU") +
         (braves_19_25!$C:$C="CS") +
         (braves_19_25!$C:$C="KC")),
        braves_19_25!$K:$K
    )
),0)</f>
        <v>0.16381999999999999</v>
      </c>
      <c r="Q5" s="28" cm="1">
        <f t="array" ref="Q5">IFERROR(AVERAGE(
    IF(
        (braves_19_25!$B:$B=$A5) *
        ((braves_19_25!$C:$C="FS") +
         (braves_19_25!$C:$C="CH") +
         (braves_19_25!$C:$C="FO") +
         (braves_19_25!$C:$C="SC")),
        braves_19_25!$G:$G
    )
),0)</f>
        <v>85.9</v>
      </c>
      <c r="R5" cm="1">
        <f t="array" ref="R5">IFERROR(AVERAGE(
    IF(
        (braves_19_25!$B:$B=$A5) *
        ((braves_19_25!$C:$C="FS") +
         (braves_19_25!$C:$C="CH") +
         (braves_19_25!$C:$C="FO") +
         (braves_19_25!$C:$C="SC")),
        braves_19_25!$F:$F
    )
),0)</f>
        <v>2144</v>
      </c>
      <c r="S5" cm="1">
        <f t="array" ref="S5">IFERROR(AVERAGE(
    IF(
        (braves_19_25!$B:$B=$A5) *
        ((braves_19_25!$C:$C="FS") +
         (braves_19_25!$C:$C="CH") +
         (braves_19_25!$C:$C="FO") +
         (braves_19_25!$C:$C="SC")),
        braves_19_25!$I:$I
    )
),0)</f>
        <v>3.00529</v>
      </c>
      <c r="T5" cm="1">
        <f t="array" ref="T5">IFERROR(AVERAGE(
    IF(
        (braves_19_25!$B:$B=$A5) *
        ((braves_19_25!$C:$C="FS") +
         (braves_19_25!$C:$C="CH") +
         (braves_19_25!$C:$C="FO") +
         (braves_19_25!$C:$C="SC")),
        braves_19_25!$J:$J
    )
),0)</f>
        <v>1.45204</v>
      </c>
      <c r="U5" s="29" cm="1">
        <f t="array" ref="U5">IFERROR(AVERAGE(
    IF(
        (braves_19_25!$B:$B=$A5) *
        ((braves_19_25!$C:$C="FS") +
         (braves_19_25!$C:$C="CH") +
         (braves_19_25!$C:$C="FO") +
         (braves_19_25!$C:$C="SC")),
        braves_19_25!$K:$K
    )
),0)</f>
        <v>-0.38361000000000001</v>
      </c>
      <c r="V5" s="28" cm="1">
        <f t="array" ref="V5">IFERROR(AVERAGE(
    IF(
        (braves_19_25!$B:$B=$A5) *
        ((braves_19_25!$C:$C="EP") +
         (braves_19_25!$C:$C="FA") +
         (braves_19_25!$C:$C="KN")),
        braves_19_25!$G:$G
    )
),0)</f>
        <v>0</v>
      </c>
      <c r="W5" cm="1">
        <f t="array" ref="W5">IFERROR(AVERAGE(
    IF(
        (braves_19_25!$B:$B=$A5) *
        ((braves_19_25!$C:$C="EP") +
         (braves_19_25!$C:$C="FA") +
         (braves_19_25!$C:$C="KN")),
        braves_19_25!$F:$F
    )
),0)</f>
        <v>0</v>
      </c>
      <c r="X5" cm="1">
        <f t="array" ref="X5">IFERROR(AVERAGE(
    IF(
        (braves_19_25!$B:$B=$A5) *
        ((braves_19_25!$C:$C="EP") +
         (braves_19_25!$C:$C="FA") +
         (braves_19_25!$C:$C="KN")),
        braves_19_25!$I:$I
    )
),0)</f>
        <v>0</v>
      </c>
      <c r="Y5" cm="1">
        <f t="array" ref="Y5">IFERROR(AVERAGE(
    IF(
        (braves_19_25!$B:$B=$A5) *
        ((braves_19_25!$C:$C="EP") +
         (braves_19_25!$C:$C="FA") +
         (braves_19_25!$C:$C="KN")),
        braves_19_25!$J:$J
    )
),0)</f>
        <v>0</v>
      </c>
      <c r="Z5" s="29" cm="1">
        <f t="array" ref="Z5">IFERROR(AVERAGE(
    IF(
        (braves_19_25!$B:$B=$A5) *
        ((braves_19_25!$C:$C="EP") +
         (braves_19_25!$C:$C="FA") +
         (braves_19_25!$C:$C="KN")),
        braves_19_25!$K:$K
    )
),0)</f>
        <v>0</v>
      </c>
    </row>
    <row r="6" spans="1:54" x14ac:dyDescent="0.3">
      <c r="A6" t="str">
        <v>Strider, Spencer</v>
      </c>
      <c r="B6" s="28" cm="1">
        <f t="array" ref="B6">IFERROR(AVERAGE(
    IF(
        (braves_19_25!$B:$B=$A6) *
        ((braves_19_25!$C:$C="FF") +
         (braves_19_25!$C:$C="SI") +
         (braves_19_25!$C:$C="FC")),
        braves_19_25!$G:$G
    )
),0)</f>
        <v>98.26</v>
      </c>
      <c r="C6" cm="1">
        <f t="array" ref="C6">IFERROR(AVERAGE(
    IF(
        (braves_19_25!$B:$B=$A6) *
        ((braves_19_25!$C:$C="FF") +
         (braves_19_25!$C:$C="SI") +
         (braves_19_25!$C:$C="FC")),
        braves_19_25!$F:$F
    )
),0)</f>
        <v>2339</v>
      </c>
      <c r="D6" cm="1">
        <f t="array" ref="D6">IFERROR(AVERAGE(
    IF(
        (braves_19_25!$B:$B=$A6) *
        ((braves_19_25!$C:$C="FF") +
         (braves_19_25!$C:$C="SI") +
         (braves_19_25!$C:$C="FC")),
        braves_19_25!$I:$I
    )
),0)</f>
        <v>0.95030999999999999</v>
      </c>
      <c r="E6" cm="1">
        <f t="array" ref="E6">IFERROR(AVERAGE(
    IF(
        (braves_19_25!$B:$B=$A6) *
        ((braves_19_25!$C:$C="FF") +
         (braves_19_25!$C:$C="SI") +
         (braves_19_25!$C:$C="FC")),
        braves_19_25!$J:$J
    )
),0)</f>
        <v>0.54208999999999996</v>
      </c>
      <c r="F6" s="29" cm="1">
        <f t="array" ref="F6">IFERROR(AVERAGE(
    IF(
        (braves_19_25!$B:$B=$A6) *
        ((braves_19_25!$C:$C="FF") +
         (braves_19_25!$C:$C="SI") +
         (braves_19_25!$C:$C="FC")),
        braves_19_25!$K:$K
    )
),0)</f>
        <v>-7.3929999999999996E-2</v>
      </c>
      <c r="G6" s="28" cm="1">
        <f t="array" ref="G6">IFERROR(AVERAGE(
    IF(
        (braves_19_25!$B:$B=$A6) *
        ((braves_19_25!$C:$C="SL") +
         (braves_19_25!$C:$C="ST") +
         (braves_19_25!$C:$C="SV")),
        braves_19_25!$G:$G
    )
),0)</f>
        <v>86.6</v>
      </c>
      <c r="H6" cm="1">
        <f t="array" ref="H6">IFERROR(AVERAGE(
    IF(
        (braves_19_25!$B:$B=$A6) *
        ((braves_19_25!$C:$C="SL") +
         (braves_19_25!$C:$C="ST") +
         (braves_19_25!$C:$C="SV")),
        braves_19_25!$F:$F
    )
),0)</f>
        <v>2335</v>
      </c>
      <c r="I6" cm="1">
        <f t="array" ref="I6">IFERROR(AVERAGE(
    IF(
        (braves_19_25!$B:$B=$A6) *
        ((braves_19_25!$C:$C="SL") +
         (braves_19_25!$C:$C="ST") +
         (braves_19_25!$C:$C="SV")),
        braves_19_25!$I:$I
    )
),0)</f>
        <v>2.9765100000000002</v>
      </c>
      <c r="J6" cm="1">
        <f t="array" ref="J6">IFERROR(AVERAGE(
    IF(
        (braves_19_25!$B:$B=$A6) *
        ((braves_19_25!$C:$C="SL") +
         (braves_19_25!$C:$C="ST") +
         (braves_19_25!$C:$C="SV")),
        braves_19_25!$J:$J
    )
),0)</f>
        <v>-0.44431999999999999</v>
      </c>
      <c r="K6" s="29" cm="1">
        <f t="array" ref="K6">IFERROR(AVERAGE(
    IF(
        (braves_19_25!$B:$B=$A6) *
        ((braves_19_25!$C:$C="SL") +
         (braves_19_25!$C:$C="ST") +
         (braves_19_25!$C:$C="SV")),
        braves_19_25!$K:$K
    )
),0)</f>
        <v>-6.3460000000000003E-2</v>
      </c>
      <c r="L6" s="28" cm="1">
        <f t="array" ref="L6">IFERROR(AVERAGE(
    IF(
        (braves_19_25!$B:$B=$A6) *
        ((braves_19_25!$C:$C="CU") +
         (braves_19_25!$C:$C="CS") +
         (braves_19_25!$C:$C="KC")),
        braves_19_25!$G:$G
    )
),0)</f>
        <v>79.430000000000007</v>
      </c>
      <c r="M6" cm="1">
        <f t="array" ref="M6">IFERROR(AVERAGE(
    IF(
        (braves_19_25!$B:$B=$A6) *
        ((braves_19_25!$C:$C="CU") +
         (braves_19_25!$C:$C="CS") +
         (braves_19_25!$C:$C="KC")),
        braves_19_25!$F:$F
    )
),0)</f>
        <v>2655</v>
      </c>
      <c r="N6" cm="1">
        <f t="array" ref="N6">IFERROR(AVERAGE(
    IF(
        (braves_19_25!$B:$B=$A6) *
        ((braves_19_25!$C:$C="CU") +
         (braves_19_25!$C:$C="CS") +
         (braves_19_25!$C:$C="KC")),
        braves_19_25!$I:$I
    )
),0)</f>
        <v>4.2424900000000001</v>
      </c>
      <c r="O6" cm="1">
        <f t="array" ref="O6">IFERROR(AVERAGE(
    IF(
        (braves_19_25!$B:$B=$A6) *
        ((braves_19_25!$C:$C="CU") +
         (braves_19_25!$C:$C="CS") +
         (braves_19_25!$C:$C="KC")),
        braves_19_25!$J:$J
    )
),0)</f>
        <v>-0.82860999999999996</v>
      </c>
      <c r="P6" s="29" cm="1">
        <f t="array" ref="P6">IFERROR(AVERAGE(
    IF(
        (braves_19_25!$B:$B=$A6) *
        ((braves_19_25!$C:$C="CU") +
         (braves_19_25!$C:$C="CS") +
         (braves_19_25!$C:$C="KC")),
        braves_19_25!$K:$K
    )
),0)</f>
        <v>0.35138999999999998</v>
      </c>
      <c r="Q6" s="28" cm="1">
        <f t="array" ref="Q6">IFERROR(AVERAGE(
    IF(
        (braves_19_25!$B:$B=$A6) *
        ((braves_19_25!$C:$C="FS") +
         (braves_19_25!$C:$C="CH") +
         (braves_19_25!$C:$C="FO") +
         (braves_19_25!$C:$C="SC")),
        braves_19_25!$G:$G
    )
),0)</f>
        <v>88.37</v>
      </c>
      <c r="R6" cm="1">
        <f t="array" ref="R6">IFERROR(AVERAGE(
    IF(
        (braves_19_25!$B:$B=$A6) *
        ((braves_19_25!$C:$C="FS") +
         (braves_19_25!$C:$C="CH") +
         (braves_19_25!$C:$C="FO") +
         (braves_19_25!$C:$C="SC")),
        braves_19_25!$F:$F
    )
),0)</f>
        <v>2157</v>
      </c>
      <c r="S6" cm="1">
        <f t="array" ref="S6">IFERROR(AVERAGE(
    IF(
        (braves_19_25!$B:$B=$A6) *
        ((braves_19_25!$C:$C="FS") +
         (braves_19_25!$C:$C="CH") +
         (braves_19_25!$C:$C="FO") +
         (braves_19_25!$C:$C="SC")),
        braves_19_25!$I:$I
    )
),0)</f>
        <v>2.1310500000000001</v>
      </c>
      <c r="T6" cm="1">
        <f t="array" ref="T6">IFERROR(AVERAGE(
    IF(
        (braves_19_25!$B:$B=$A6) *
        ((braves_19_25!$C:$C="FS") +
         (braves_19_25!$C:$C="CH") +
         (braves_19_25!$C:$C="FO") +
         (braves_19_25!$C:$C="SC")),
        braves_19_25!$J:$J
    )
),0)</f>
        <v>1.21194</v>
      </c>
      <c r="U6" s="29" cm="1">
        <f t="array" ref="U6">IFERROR(AVERAGE(
    IF(
        (braves_19_25!$B:$B=$A6) *
        ((braves_19_25!$C:$C="FS") +
         (braves_19_25!$C:$C="CH") +
         (braves_19_25!$C:$C="FO") +
         (braves_19_25!$C:$C="SC")),
        braves_19_25!$K:$K
    )
),0)</f>
        <v>-1.0930299999999999</v>
      </c>
      <c r="V6" s="28" cm="1">
        <f t="array" ref="V6">IFERROR(AVERAGE(
    IF(
        (braves_19_25!$B:$B=$A6) *
        ((braves_19_25!$C:$C="EP") +
         (braves_19_25!$C:$C="FA") +
         (braves_19_25!$C:$C="KN")),
        braves_19_25!$G:$G
    )
),0)</f>
        <v>0</v>
      </c>
      <c r="W6" cm="1">
        <f t="array" ref="W6">IFERROR(AVERAGE(
    IF(
        (braves_19_25!$B:$B=$A6) *
        ((braves_19_25!$C:$C="EP") +
         (braves_19_25!$C:$C="FA") +
         (braves_19_25!$C:$C="KN")),
        braves_19_25!$F:$F
    )
),0)</f>
        <v>0</v>
      </c>
      <c r="X6" cm="1">
        <f t="array" ref="X6">IFERROR(AVERAGE(
    IF(
        (braves_19_25!$B:$B=$A6) *
        ((braves_19_25!$C:$C="EP") +
         (braves_19_25!$C:$C="FA") +
         (braves_19_25!$C:$C="KN")),
        braves_19_25!$I:$I
    )
),0)</f>
        <v>0</v>
      </c>
      <c r="Y6" cm="1">
        <f t="array" ref="Y6">IFERROR(AVERAGE(
    IF(
        (braves_19_25!$B:$B=$A6) *
        ((braves_19_25!$C:$C="EP") +
         (braves_19_25!$C:$C="FA") +
         (braves_19_25!$C:$C="KN")),
        braves_19_25!$J:$J
    )
),0)</f>
        <v>0</v>
      </c>
      <c r="Z6" s="29" cm="1">
        <f t="array" ref="Z6">IFERROR(AVERAGE(
    IF(
        (braves_19_25!$B:$B=$A6) *
        ((braves_19_25!$C:$C="EP") +
         (braves_19_25!$C:$C="FA") +
         (braves_19_25!$C:$C="KN")),
        braves_19_25!$K:$K
    )
),0)</f>
        <v>0</v>
      </c>
    </row>
    <row r="7" spans="1:54" x14ac:dyDescent="0.3">
      <c r="A7" t="str">
        <v>Elder, Bryce</v>
      </c>
      <c r="B7" s="28" cm="1">
        <f t="array" ref="B7">IFERROR(AVERAGE(
    IF(
        (braves_19_25!$B:$B=$A7) *
        ((braves_19_25!$C:$C="FF") +
         (braves_19_25!$C:$C="SI") +
         (braves_19_25!$C:$C="FC")),
        braves_19_25!$G:$G
    )
),0)</f>
        <v>89.276666666666657</v>
      </c>
      <c r="C7" cm="1">
        <f t="array" ref="C7">IFERROR(AVERAGE(
    IF(
        (braves_19_25!$B:$B=$A7) *
        ((braves_19_25!$C:$C="FF") +
         (braves_19_25!$C:$C="SI") +
         (braves_19_25!$C:$C="FC")),
        braves_19_25!$F:$F
    )
),0)</f>
        <v>2233.6666666666665</v>
      </c>
      <c r="D7" cm="1">
        <f t="array" ref="D7">IFERROR(AVERAGE(
    IF(
        (braves_19_25!$B:$B=$A7) *
        ((braves_19_25!$C:$C="FF") +
         (braves_19_25!$C:$C="SI") +
         (braves_19_25!$C:$C="FC")),
        braves_19_25!$I:$I
    )
),0)</f>
        <v>2.0694166666666667</v>
      </c>
      <c r="E7" cm="1">
        <f t="array" ref="E7">IFERROR(AVERAGE(
    IF(
        (braves_19_25!$B:$B=$A7) *
        ((braves_19_25!$C:$C="FF") +
         (braves_19_25!$C:$C="SI") +
         (braves_19_25!$C:$C="FC")),
        braves_19_25!$J:$J
    )
),0)</f>
        <v>0.36987333333333333</v>
      </c>
      <c r="F7" s="29" cm="1">
        <f t="array" ref="F7">IFERROR(AVERAGE(
    IF(
        (braves_19_25!$B:$B=$A7) *
        ((braves_19_25!$C:$C="FF") +
         (braves_19_25!$C:$C="SI") +
         (braves_19_25!$C:$C="FC")),
        braves_19_25!$K:$K
    )
),0)</f>
        <v>-7.6993333333333344E-2</v>
      </c>
      <c r="G7" s="28" cm="1">
        <f t="array" ref="G7">IFERROR(AVERAGE(
    IF(
        (braves_19_25!$B:$B=$A7) *
        ((braves_19_25!$C:$C="SL") +
         (braves_19_25!$C:$C="ST") +
         (braves_19_25!$C:$C="SV")),
        braves_19_25!$G:$G
    )
),0)</f>
        <v>83.04</v>
      </c>
      <c r="H7" cm="1">
        <f t="array" ref="H7">IFERROR(AVERAGE(
    IF(
        (braves_19_25!$B:$B=$A7) *
        ((braves_19_25!$C:$C="SL") +
         (braves_19_25!$C:$C="ST") +
         (braves_19_25!$C:$C="SV")),
        braves_19_25!$F:$F
    )
),0)</f>
        <v>2445</v>
      </c>
      <c r="I7" cm="1">
        <f t="array" ref="I7">IFERROR(AVERAGE(
    IF(
        (braves_19_25!$B:$B=$A7) *
        ((braves_19_25!$C:$C="SL") +
         (braves_19_25!$C:$C="ST") +
         (braves_19_25!$C:$C="SV")),
        braves_19_25!$I:$I
    )
),0)</f>
        <v>3.3753700000000002</v>
      </c>
      <c r="J7" cm="1">
        <f t="array" ref="J7">IFERROR(AVERAGE(
    IF(
        (braves_19_25!$B:$B=$A7) *
        ((braves_19_25!$C:$C="SL") +
         (braves_19_25!$C:$C="ST") +
         (braves_19_25!$C:$C="SV")),
        braves_19_25!$J:$J
    )
),0)</f>
        <v>-6.5559999999999993E-2</v>
      </c>
      <c r="K7" s="29" cm="1">
        <f t="array" ref="K7">IFERROR(AVERAGE(
    IF(
        (braves_19_25!$B:$B=$A7) *
        ((braves_19_25!$C:$C="SL") +
         (braves_19_25!$C:$C="ST") +
         (braves_19_25!$C:$C="SV")),
        braves_19_25!$K:$K
    )
),0)</f>
        <v>-6.5799999999999999E-3</v>
      </c>
      <c r="L7" s="28" cm="1">
        <f t="array" ref="L7">IFERROR(AVERAGE(
    IF(
        (braves_19_25!$B:$B=$A7) *
        ((braves_19_25!$C:$C="CU") +
         (braves_19_25!$C:$C="CS") +
         (braves_19_25!$C:$C="KC")),
        braves_19_25!$G:$G
    )
),0)</f>
        <v>0</v>
      </c>
      <c r="M7" cm="1">
        <f t="array" ref="M7">IFERROR(AVERAGE(
    IF(
        (braves_19_25!$B:$B=$A7) *
        ((braves_19_25!$C:$C="CU") +
         (braves_19_25!$C:$C="CS") +
         (braves_19_25!$C:$C="KC")),
        braves_19_25!$F:$F
    )
),0)</f>
        <v>0</v>
      </c>
      <c r="N7" cm="1">
        <f t="array" ref="N7">IFERROR(AVERAGE(
    IF(
        (braves_19_25!$B:$B=$A7) *
        ((braves_19_25!$C:$C="CU") +
         (braves_19_25!$C:$C="CS") +
         (braves_19_25!$C:$C="KC")),
        braves_19_25!$I:$I
    )
),0)</f>
        <v>0</v>
      </c>
      <c r="O7" cm="1">
        <f t="array" ref="O7">IFERROR(AVERAGE(
    IF(
        (braves_19_25!$B:$B=$A7) *
        ((braves_19_25!$C:$C="CU") +
         (braves_19_25!$C:$C="CS") +
         (braves_19_25!$C:$C="KC")),
        braves_19_25!$J:$J
    )
),0)</f>
        <v>0</v>
      </c>
      <c r="P7" s="29" cm="1">
        <f t="array" ref="P7">IFERROR(AVERAGE(
    IF(
        (braves_19_25!$B:$B=$A7) *
        ((braves_19_25!$C:$C="CU") +
         (braves_19_25!$C:$C="CS") +
         (braves_19_25!$C:$C="KC")),
        braves_19_25!$K:$K
    )
),0)</f>
        <v>0</v>
      </c>
      <c r="Q7" s="28" cm="1">
        <f t="array" ref="Q7">IFERROR(AVERAGE(
    IF(
        (braves_19_25!$B:$B=$A7) *
        ((braves_19_25!$C:$C="FS") +
         (braves_19_25!$C:$C="CH") +
         (braves_19_25!$C:$C="FO") +
         (braves_19_25!$C:$C="SC")),
        braves_19_25!$G:$G
    )
),0)</f>
        <v>85.42</v>
      </c>
      <c r="R7" cm="1">
        <f t="array" ref="R7">IFERROR(AVERAGE(
    IF(
        (braves_19_25!$B:$B=$A7) *
        ((braves_19_25!$C:$C="FS") +
         (braves_19_25!$C:$C="CH") +
         (braves_19_25!$C:$C="FO") +
         (braves_19_25!$C:$C="SC")),
        braves_19_25!$F:$F
    )
),0)</f>
        <v>2125</v>
      </c>
      <c r="S7" cm="1">
        <f t="array" ref="S7">IFERROR(AVERAGE(
    IF(
        (braves_19_25!$B:$B=$A7) *
        ((braves_19_25!$C:$C="FS") +
         (braves_19_25!$C:$C="CH") +
         (braves_19_25!$C:$C="FO") +
         (braves_19_25!$C:$C="SC")),
        braves_19_25!$I:$I
    )
),0)</f>
        <v>2.7383000000000002</v>
      </c>
      <c r="T7" cm="1">
        <f t="array" ref="T7">IFERROR(AVERAGE(
    IF(
        (braves_19_25!$B:$B=$A7) *
        ((braves_19_25!$C:$C="FS") +
         (braves_19_25!$C:$C="CH") +
         (braves_19_25!$C:$C="FO") +
         (braves_19_25!$C:$C="SC")),
        braves_19_25!$J:$J
    )
),0)</f>
        <v>0.96038999999999997</v>
      </c>
      <c r="U7" s="29" cm="1">
        <f t="array" ref="U7">IFERROR(AVERAGE(
    IF(
        (braves_19_25!$B:$B=$A7) *
        ((braves_19_25!$C:$C="FS") +
         (braves_19_25!$C:$C="CH") +
         (braves_19_25!$C:$C="FO") +
         (braves_19_25!$C:$C="SC")),
        braves_19_25!$K:$K
    )
),0)</f>
        <v>-0.45367000000000002</v>
      </c>
      <c r="V7" s="28" cm="1">
        <f t="array" ref="V7">IFERROR(AVERAGE(
    IF(
        (braves_19_25!$B:$B=$A7) *
        ((braves_19_25!$C:$C="EP") +
         (braves_19_25!$C:$C="FA") +
         (braves_19_25!$C:$C="KN")),
        braves_19_25!$G:$G
    )
),0)</f>
        <v>0</v>
      </c>
      <c r="W7" cm="1">
        <f t="array" ref="W7">IFERROR(AVERAGE(
    IF(
        (braves_19_25!$B:$B=$A7) *
        ((braves_19_25!$C:$C="EP") +
         (braves_19_25!$C:$C="FA") +
         (braves_19_25!$C:$C="KN")),
        braves_19_25!$F:$F
    )
),0)</f>
        <v>0</v>
      </c>
      <c r="X7" cm="1">
        <f t="array" ref="X7">IFERROR(AVERAGE(
    IF(
        (braves_19_25!$B:$B=$A7) *
        ((braves_19_25!$C:$C="EP") +
         (braves_19_25!$C:$C="FA") +
         (braves_19_25!$C:$C="KN")),
        braves_19_25!$I:$I
    )
),0)</f>
        <v>0</v>
      </c>
      <c r="Y7" cm="1">
        <f t="array" ref="Y7">IFERROR(AVERAGE(
    IF(
        (braves_19_25!$B:$B=$A7) *
        ((braves_19_25!$C:$C="EP") +
         (braves_19_25!$C:$C="FA") +
         (braves_19_25!$C:$C="KN")),
        braves_19_25!$J:$J
    )
),0)</f>
        <v>0</v>
      </c>
      <c r="Z7" s="29" cm="1">
        <f t="array" ref="Z7">IFERROR(AVERAGE(
    IF(
        (braves_19_25!$B:$B=$A7) *
        ((braves_19_25!$C:$C="EP") +
         (braves_19_25!$C:$C="FA") +
         (braves_19_25!$C:$C="KN")),
        braves_19_25!$K:$K
    )
),0)</f>
        <v>0</v>
      </c>
    </row>
    <row r="8" spans="1:54" x14ac:dyDescent="0.3">
      <c r="A8" t="str">
        <v>Sale, Chris</v>
      </c>
      <c r="B8" s="28" cm="1">
        <f t="array" ref="B8">IFERROR(AVERAGE(
    IF(
        (braves_19_25!$B:$B=$A8) *
        ((braves_19_25!$C:$C="FF") +
         (braves_19_25!$C:$C="SI") +
         (braves_19_25!$C:$C="FC")),
        braves_19_25!$G:$G
    )
),0)</f>
        <v>94.7</v>
      </c>
      <c r="C8" cm="1">
        <f t="array" ref="C8">IFERROR(AVERAGE(
    IF(
        (braves_19_25!$B:$B=$A8) *
        ((braves_19_25!$C:$C="FF") +
         (braves_19_25!$C:$C="SI") +
         (braves_19_25!$C:$C="FC")),
        braves_19_25!$F:$F
    )
),0)</f>
        <v>2172.5</v>
      </c>
      <c r="D8" cm="1">
        <f t="array" ref="D8">IFERROR(AVERAGE(
    IF(
        (braves_19_25!$B:$B=$A8) *
        ((braves_19_25!$C:$C="FF") +
         (braves_19_25!$C:$C="SI") +
         (braves_19_25!$C:$C="FC")),
        braves_19_25!$I:$I
    )
),0)</f>
        <v>2.0641099999999999</v>
      </c>
      <c r="E8" cm="1">
        <f t="array" ref="E8">IFERROR(AVERAGE(
    IF(
        (braves_19_25!$B:$B=$A8) *
        ((braves_19_25!$C:$C="FF") +
         (braves_19_25!$C:$C="SI") +
         (braves_19_25!$C:$C="FC")),
        braves_19_25!$J:$J
    )
),0)</f>
        <v>1.3682650000000001</v>
      </c>
      <c r="F8" s="29" cm="1">
        <f t="array" ref="F8">IFERROR(AVERAGE(
    IF(
        (braves_19_25!$B:$B=$A8) *
        ((braves_19_25!$C:$C="FF") +
         (braves_19_25!$C:$C="SI") +
         (braves_19_25!$C:$C="FC")),
        braves_19_25!$K:$K
    )
),0)</f>
        <v>-0.53639999999999999</v>
      </c>
      <c r="G8" s="28" cm="1">
        <f t="array" ref="G8">IFERROR(AVERAGE(
    IF(
        (braves_19_25!$B:$B=$A8) *
        ((braves_19_25!$C:$C="SL") +
         (braves_19_25!$C:$C="ST") +
         (braves_19_25!$C:$C="SV")),
        braves_19_25!$G:$G
    )
),0)</f>
        <v>78.709999999999994</v>
      </c>
      <c r="H8" cm="1">
        <f t="array" ref="H8">IFERROR(AVERAGE(
    IF(
        (braves_19_25!$B:$B=$A8) *
        ((braves_19_25!$C:$C="SL") +
         (braves_19_25!$C:$C="ST") +
         (braves_19_25!$C:$C="SV")),
        braves_19_25!$F:$F
    )
),0)</f>
        <v>2344</v>
      </c>
      <c r="I8" cm="1">
        <f t="array" ref="I8">IFERROR(AVERAGE(
    IF(
        (braves_19_25!$B:$B=$A8) *
        ((braves_19_25!$C:$C="SL") +
         (braves_19_25!$C:$C="ST") +
         (braves_19_25!$C:$C="SV")),
        braves_19_25!$I:$I
    )
),0)</f>
        <v>4.01715</v>
      </c>
      <c r="J8" cm="1">
        <f t="array" ref="J8">IFERROR(AVERAGE(
    IF(
        (braves_19_25!$B:$B=$A8) *
        ((braves_19_25!$C:$C="SL") +
         (braves_19_25!$C:$C="ST") +
         (braves_19_25!$C:$C="SV")),
        braves_19_25!$J:$J
    )
),0)</f>
        <v>-0.89827000000000001</v>
      </c>
      <c r="K8" s="29" cm="1">
        <f t="array" ref="K8">IFERROR(AVERAGE(
    IF(
        (braves_19_25!$B:$B=$A8) *
        ((braves_19_25!$C:$C="SL") +
         (braves_19_25!$C:$C="ST") +
         (braves_19_25!$C:$C="SV")),
        braves_19_25!$K:$K
    )
),0)</f>
        <v>0.54652999999999996</v>
      </c>
      <c r="L8" s="28" cm="1">
        <f t="array" ref="L8">IFERROR(AVERAGE(
    IF(
        (braves_19_25!$B:$B=$A8) *
        ((braves_19_25!$C:$C="CU") +
         (braves_19_25!$C:$C="CS") +
         (braves_19_25!$C:$C="KC")),
        braves_19_25!$G:$G
    )
),0)</f>
        <v>0</v>
      </c>
      <c r="M8" cm="1">
        <f t="array" ref="M8">IFERROR(AVERAGE(
    IF(
        (braves_19_25!$B:$B=$A8) *
        ((braves_19_25!$C:$C="CU") +
         (braves_19_25!$C:$C="CS") +
         (braves_19_25!$C:$C="KC")),
        braves_19_25!$F:$F
    )
),0)</f>
        <v>0</v>
      </c>
      <c r="N8" cm="1">
        <f t="array" ref="N8">IFERROR(AVERAGE(
    IF(
        (braves_19_25!$B:$B=$A8) *
        ((braves_19_25!$C:$C="CU") +
         (braves_19_25!$C:$C="CS") +
         (braves_19_25!$C:$C="KC")),
        braves_19_25!$I:$I
    )
),0)</f>
        <v>0</v>
      </c>
      <c r="O8" cm="1">
        <f t="array" ref="O8">IFERROR(AVERAGE(
    IF(
        (braves_19_25!$B:$B=$A8) *
        ((braves_19_25!$C:$C="CU") +
         (braves_19_25!$C:$C="CS") +
         (braves_19_25!$C:$C="KC")),
        braves_19_25!$J:$J
    )
),0)</f>
        <v>0</v>
      </c>
      <c r="P8" s="29" cm="1">
        <f t="array" ref="P8">IFERROR(AVERAGE(
    IF(
        (braves_19_25!$B:$B=$A8) *
        ((braves_19_25!$C:$C="CU") +
         (braves_19_25!$C:$C="CS") +
         (braves_19_25!$C:$C="KC")),
        braves_19_25!$K:$K
    )
),0)</f>
        <v>0</v>
      </c>
      <c r="Q8" s="28" cm="1">
        <f t="array" ref="Q8">IFERROR(AVERAGE(
    IF(
        (braves_19_25!$B:$B=$A8) *
        ((braves_19_25!$C:$C="FS") +
         (braves_19_25!$C:$C="CH") +
         (braves_19_25!$C:$C="FO") +
         (braves_19_25!$C:$C="SC")),
        braves_19_25!$G:$G
    )
),0)</f>
        <v>87.09</v>
      </c>
      <c r="R8" cm="1">
        <f t="array" ref="R8">IFERROR(AVERAGE(
    IF(
        (braves_19_25!$B:$B=$A8) *
        ((braves_19_25!$C:$C="FS") +
         (braves_19_25!$C:$C="CH") +
         (braves_19_25!$C:$C="FO") +
         (braves_19_25!$C:$C="SC")),
        braves_19_25!$F:$F
    )
),0)</f>
        <v>1868</v>
      </c>
      <c r="S8" cm="1">
        <f t="array" ref="S8">IFERROR(AVERAGE(
    IF(
        (braves_19_25!$B:$B=$A8) *
        ((braves_19_25!$C:$C="FS") +
         (braves_19_25!$C:$C="CH") +
         (braves_19_25!$C:$C="FO") +
         (braves_19_25!$C:$C="SC")),
        braves_19_25!$I:$I
    )
),0)</f>
        <v>3.0293999999999999</v>
      </c>
      <c r="T8" cm="1">
        <f t="array" ref="T8">IFERROR(AVERAGE(
    IF(
        (braves_19_25!$B:$B=$A8) *
        ((braves_19_25!$C:$C="FS") +
         (braves_19_25!$C:$C="CH") +
         (braves_19_25!$C:$C="FO") +
         (braves_19_25!$C:$C="SC")),
        braves_19_25!$J:$J
    )
),0)</f>
        <v>1.3563000000000001</v>
      </c>
      <c r="U8" s="29" cm="1">
        <f t="array" ref="U8">IFERROR(AVERAGE(
    IF(
        (braves_19_25!$B:$B=$A8) *
        ((braves_19_25!$C:$C="FS") +
         (braves_19_25!$C:$C="CH") +
         (braves_19_25!$C:$C="FO") +
         (braves_19_25!$C:$C="SC")),
        braves_19_25!$K:$K
    )
),0)</f>
        <v>-1.2728699999999999</v>
      </c>
      <c r="V8" s="28" cm="1">
        <f t="array" ref="V8">IFERROR(AVERAGE(
    IF(
        (braves_19_25!$B:$B=$A8) *
        ((braves_19_25!$C:$C="EP") +
         (braves_19_25!$C:$C="FA") +
         (braves_19_25!$C:$C="KN")),
        braves_19_25!$G:$G
    )
),0)</f>
        <v>0</v>
      </c>
      <c r="W8" cm="1">
        <f t="array" ref="W8">IFERROR(AVERAGE(
    IF(
        (braves_19_25!$B:$B=$A8) *
        ((braves_19_25!$C:$C="EP") +
         (braves_19_25!$C:$C="FA") +
         (braves_19_25!$C:$C="KN")),
        braves_19_25!$F:$F
    )
),0)</f>
        <v>0</v>
      </c>
      <c r="X8" cm="1">
        <f t="array" ref="X8">IFERROR(AVERAGE(
    IF(
        (braves_19_25!$B:$B=$A8) *
        ((braves_19_25!$C:$C="EP") +
         (braves_19_25!$C:$C="FA") +
         (braves_19_25!$C:$C="KN")),
        braves_19_25!$I:$I
    )
),0)</f>
        <v>0</v>
      </c>
      <c r="Y8" cm="1">
        <f t="array" ref="Y8">IFERROR(AVERAGE(
    IF(
        (braves_19_25!$B:$B=$A8) *
        ((braves_19_25!$C:$C="EP") +
         (braves_19_25!$C:$C="FA") +
         (braves_19_25!$C:$C="KN")),
        braves_19_25!$J:$J
    )
),0)</f>
        <v>0</v>
      </c>
      <c r="Z8" s="29" cm="1">
        <f t="array" ref="Z8">IFERROR(AVERAGE(
    IF(
        (braves_19_25!$B:$B=$A8) *
        ((braves_19_25!$C:$C="EP") +
         (braves_19_25!$C:$C="FA") +
         (braves_19_25!$C:$C="KN")),
        braves_19_25!$K:$K
    )
),0)</f>
        <v>0</v>
      </c>
    </row>
    <row r="9" spans="1:54" x14ac:dyDescent="0.3">
      <c r="A9" t="str">
        <v>Anderson, Ian</v>
      </c>
      <c r="B9" s="28" cm="1">
        <f t="array" ref="B9">IFERROR(AVERAGE(
    IF(
        (braves_19_25!$B:$B=$A9) *
        ((braves_19_25!$C:$C="FF") +
         (braves_19_25!$C:$C="SI") +
         (braves_19_25!$C:$C="FC")),
        braves_19_25!$G:$G
    )
),0)</f>
        <v>95.17</v>
      </c>
      <c r="C9" cm="1">
        <f t="array" ref="C9">IFERROR(AVERAGE(
    IF(
        (braves_19_25!$B:$B=$A9) *
        ((braves_19_25!$C:$C="FF") +
         (braves_19_25!$C:$C="SI") +
         (braves_19_25!$C:$C="FC")),
        braves_19_25!$F:$F
    )
),0)</f>
        <v>2019</v>
      </c>
      <c r="D9" cm="1">
        <f t="array" ref="D9">IFERROR(AVERAGE(
    IF(
        (braves_19_25!$B:$B=$A9) *
        ((braves_19_25!$C:$C="FF") +
         (braves_19_25!$C:$C="SI") +
         (braves_19_25!$C:$C="FC")),
        braves_19_25!$I:$I
    )
),0)</f>
        <v>1.1155249999999999</v>
      </c>
      <c r="E9" cm="1">
        <f t="array" ref="E9">IFERROR(AVERAGE(
    IF(
        (braves_19_25!$B:$B=$A9) *
        ((braves_19_25!$C:$C="FF") +
         (braves_19_25!$C:$C="SI") +
         (braves_19_25!$C:$C="FC")),
        braves_19_25!$J:$J
    )
),0)</f>
        <v>0.6956</v>
      </c>
      <c r="F9" s="29" cm="1">
        <f t="array" ref="F9">IFERROR(AVERAGE(
    IF(
        (braves_19_25!$B:$B=$A9) *
        ((braves_19_25!$C:$C="FF") +
         (braves_19_25!$C:$C="SI") +
         (braves_19_25!$C:$C="FC")),
        braves_19_25!$K:$K
    )
),0)</f>
        <v>7.2234999999999994E-2</v>
      </c>
      <c r="G9" s="28" cm="1">
        <f t="array" ref="G9">IFERROR(AVERAGE(
    IF(
        (braves_19_25!$B:$B=$A9) *
        ((braves_19_25!$C:$C="SL") +
         (braves_19_25!$C:$C="ST") +
         (braves_19_25!$C:$C="SV")),
        braves_19_25!$G:$G
    )
),0)</f>
        <v>80.63</v>
      </c>
      <c r="H9" cm="1">
        <f t="array" ref="H9">IFERROR(AVERAGE(
    IF(
        (braves_19_25!$B:$B=$A9) *
        ((braves_19_25!$C:$C="SL") +
         (braves_19_25!$C:$C="ST") +
         (braves_19_25!$C:$C="SV")),
        braves_19_25!$F:$F
    )
),0)</f>
        <v>1937</v>
      </c>
      <c r="I9" cm="1">
        <f t="array" ref="I9">IFERROR(AVERAGE(
    IF(
        (braves_19_25!$B:$B=$A9) *
        ((braves_19_25!$C:$C="SL") +
         (braves_19_25!$C:$C="ST") +
         (braves_19_25!$C:$C="SV")),
        braves_19_25!$I:$I
    )
),0)</f>
        <v>4.2812099999999997</v>
      </c>
      <c r="J9" cm="1">
        <f t="array" ref="J9">IFERROR(AVERAGE(
    IF(
        (braves_19_25!$B:$B=$A9) *
        ((braves_19_25!$C:$C="SL") +
         (braves_19_25!$C:$C="ST") +
         (braves_19_25!$C:$C="SV")),
        braves_19_25!$J:$J
    )
),0)</f>
        <v>-0.16719000000000001</v>
      </c>
      <c r="K9" s="29" cm="1">
        <f t="array" ref="K9">IFERROR(AVERAGE(
    IF(
        (braves_19_25!$B:$B=$A9) *
        ((braves_19_25!$C:$C="SL") +
         (braves_19_25!$C:$C="ST") +
         (braves_19_25!$C:$C="SV")),
        braves_19_25!$K:$K
    )
),0)</f>
        <v>1.8440000000000002E-2</v>
      </c>
      <c r="L9" s="28" cm="1">
        <f t="array" ref="L9">IFERROR(AVERAGE(
    IF(
        (braves_19_25!$B:$B=$A9) *
        ((braves_19_25!$C:$C="CU") +
         (braves_19_25!$C:$C="CS") +
         (braves_19_25!$C:$C="KC")),
        braves_19_25!$G:$G
    )
),0)</f>
        <v>81.95</v>
      </c>
      <c r="M9" cm="1">
        <f t="array" ref="M9">IFERROR(AVERAGE(
    IF(
        (braves_19_25!$B:$B=$A9) *
        ((braves_19_25!$C:$C="CU") +
         (braves_19_25!$C:$C="CS") +
         (braves_19_25!$C:$C="KC")),
        braves_19_25!$F:$F
    )
),0)</f>
        <v>1911</v>
      </c>
      <c r="N9" cm="1">
        <f t="array" ref="N9">IFERROR(AVERAGE(
    IF(
        (braves_19_25!$B:$B=$A9) *
        ((braves_19_25!$C:$C="CU") +
         (braves_19_25!$C:$C="CS") +
         (braves_19_25!$C:$C="KC")),
        braves_19_25!$I:$I
    )
),0)</f>
        <v>3.8700999999999999</v>
      </c>
      <c r="O9" cm="1">
        <f t="array" ref="O9">IFERROR(AVERAGE(
    IF(
        (braves_19_25!$B:$B=$A9) *
        ((braves_19_25!$C:$C="CU") +
         (braves_19_25!$C:$C="CS") +
         (braves_19_25!$C:$C="KC")),
        braves_19_25!$J:$J
    )
),0)</f>
        <v>-7.4910000000000004E-2</v>
      </c>
      <c r="P9" s="29" cm="1">
        <f t="array" ref="P9">IFERROR(AVERAGE(
    IF(
        (braves_19_25!$B:$B=$A9) *
        ((braves_19_25!$C:$C="CU") +
         (braves_19_25!$C:$C="CS") +
         (braves_19_25!$C:$C="KC")),
        braves_19_25!$K:$K
    )
),0)</f>
        <v>-1.6279999999999999E-2</v>
      </c>
      <c r="Q9" s="28" cm="1">
        <f t="array" ref="Q9">IFERROR(AVERAGE(
    IF(
        (braves_19_25!$B:$B=$A9) *
        ((braves_19_25!$C:$C="FS") +
         (braves_19_25!$C:$C="CH") +
         (braves_19_25!$C:$C="FO") +
         (braves_19_25!$C:$C="SC")),
        braves_19_25!$G:$G
    )
),0)</f>
        <v>89.15</v>
      </c>
      <c r="R9" cm="1">
        <f t="array" ref="R9">IFERROR(AVERAGE(
    IF(
        (braves_19_25!$B:$B=$A9) *
        ((braves_19_25!$C:$C="FS") +
         (braves_19_25!$C:$C="CH") +
         (braves_19_25!$C:$C="FO") +
         (braves_19_25!$C:$C="SC")),
        braves_19_25!$F:$F
    )
),0)</f>
        <v>1602</v>
      </c>
      <c r="S9" cm="1">
        <f t="array" ref="S9">IFERROR(AVERAGE(
    IF(
        (braves_19_25!$B:$B=$A9) *
        ((braves_19_25!$C:$C="FS") +
         (braves_19_25!$C:$C="CH") +
         (braves_19_25!$C:$C="FO") +
         (braves_19_25!$C:$C="SC")),
        braves_19_25!$I:$I
    )
),0)</f>
        <v>2.00705</v>
      </c>
      <c r="T9" cm="1">
        <f t="array" ref="T9">IFERROR(AVERAGE(
    IF(
        (braves_19_25!$B:$B=$A9) *
        ((braves_19_25!$C:$C="FS") +
         (braves_19_25!$C:$C="CH") +
         (braves_19_25!$C:$C="FO") +
         (braves_19_25!$C:$C="SC")),
        braves_19_25!$J:$J
    )
),0)</f>
        <v>0.85396000000000005</v>
      </c>
      <c r="U9" s="29" cm="1">
        <f t="array" ref="U9">IFERROR(AVERAGE(
    IF(
        (braves_19_25!$B:$B=$A9) *
        ((braves_19_25!$C:$C="FS") +
         (braves_19_25!$C:$C="CH") +
         (braves_19_25!$C:$C="FO") +
         (braves_19_25!$C:$C="SC")),
        braves_19_25!$K:$K
    )
),0)</f>
        <v>-0.10993</v>
      </c>
      <c r="V9" s="28" cm="1">
        <f t="array" ref="V9">IFERROR(AVERAGE(
    IF(
        (braves_19_25!$B:$B=$A9) *
        ((braves_19_25!$C:$C="EP") +
         (braves_19_25!$C:$C="FA") +
         (braves_19_25!$C:$C="KN")),
        braves_19_25!$G:$G
    )
),0)</f>
        <v>0</v>
      </c>
      <c r="W9" cm="1">
        <f t="array" ref="W9">IFERROR(AVERAGE(
    IF(
        (braves_19_25!$B:$B=$A9) *
        ((braves_19_25!$C:$C="EP") +
         (braves_19_25!$C:$C="FA") +
         (braves_19_25!$C:$C="KN")),
        braves_19_25!$F:$F
    )
),0)</f>
        <v>0</v>
      </c>
      <c r="X9" cm="1">
        <f t="array" ref="X9">IFERROR(AVERAGE(
    IF(
        (braves_19_25!$B:$B=$A9) *
        ((braves_19_25!$C:$C="EP") +
         (braves_19_25!$C:$C="FA") +
         (braves_19_25!$C:$C="KN")),
        braves_19_25!$I:$I
    )
),0)</f>
        <v>0</v>
      </c>
      <c r="Y9" cm="1">
        <f t="array" ref="Y9">IFERROR(AVERAGE(
    IF(
        (braves_19_25!$B:$B=$A9) *
        ((braves_19_25!$C:$C="EP") +
         (braves_19_25!$C:$C="FA") +
         (braves_19_25!$C:$C="KN")),
        braves_19_25!$J:$J
    )
),0)</f>
        <v>0</v>
      </c>
      <c r="Z9" s="29" cm="1">
        <f t="array" ref="Z9">IFERROR(AVERAGE(
    IF(
        (braves_19_25!$B:$B=$A9) *
        ((braves_19_25!$C:$C="EP") +
         (braves_19_25!$C:$C="FA") +
         (braves_19_25!$C:$C="KN")),
        braves_19_25!$K:$K
    )
),0)</f>
        <v>0</v>
      </c>
    </row>
    <row r="10" spans="1:54" x14ac:dyDescent="0.3">
      <c r="A10" t="str">
        <v>Minter, A.J.</v>
      </c>
      <c r="B10" s="28" cm="1">
        <f t="array" ref="B10">IFERROR(AVERAGE(
    IF(
        (braves_19_25!$B:$B=$A10) *
        ((braves_19_25!$C:$C="FF") +
         (braves_19_25!$C:$C="SI") +
         (braves_19_25!$C:$C="FC")),
        braves_19_25!$G:$G
    )
),0)</f>
        <v>92.86</v>
      </c>
      <c r="C10" cm="1">
        <f t="array" ref="C10">IFERROR(AVERAGE(
    IF(
        (braves_19_25!$B:$B=$A10) *
        ((braves_19_25!$C:$C="FF") +
         (braves_19_25!$C:$C="SI") +
         (braves_19_25!$C:$C="FC")),
        braves_19_25!$F:$F
    )
),0)</f>
        <v>2459</v>
      </c>
      <c r="D10" cm="1">
        <f t="array" ref="D10">IFERROR(AVERAGE(
    IF(
        (braves_19_25!$B:$B=$A10) *
        ((braves_19_25!$C:$C="FF") +
         (braves_19_25!$C:$C="SI") +
         (braves_19_25!$C:$C="FC")),
        braves_19_25!$I:$I
    )
),0)</f>
        <v>1.7634749999999999</v>
      </c>
      <c r="E10" cm="1">
        <f t="array" ref="E10">IFERROR(AVERAGE(
    IF(
        (braves_19_25!$B:$B=$A10) *
        ((braves_19_25!$C:$C="FF") +
         (braves_19_25!$C:$C="SI") +
         (braves_19_25!$C:$C="FC")),
        braves_19_25!$J:$J
    )
),0)</f>
        <v>6.4574999999999994E-2</v>
      </c>
      <c r="F10" s="29" cm="1">
        <f t="array" ref="F10">IFERROR(AVERAGE(
    IF(
        (braves_19_25!$B:$B=$A10) *
        ((braves_19_25!$C:$C="FF") +
         (braves_19_25!$C:$C="SI") +
         (braves_19_25!$C:$C="FC")),
        braves_19_25!$K:$K
    )
),0)</f>
        <v>-7.4289999999999995E-2</v>
      </c>
      <c r="G10" s="28" cm="1">
        <f t="array" ref="G10">IFERROR(AVERAGE(
    IF(
        (braves_19_25!$B:$B=$A10) *
        ((braves_19_25!$C:$C="SL") +
         (braves_19_25!$C:$C="ST") +
         (braves_19_25!$C:$C="SV")),
        braves_19_25!$G:$G
    )
),0)</f>
        <v>0</v>
      </c>
      <c r="H10" cm="1">
        <f t="array" ref="H10">IFERROR(AVERAGE(
    IF(
        (braves_19_25!$B:$B=$A10) *
        ((braves_19_25!$C:$C="SL") +
         (braves_19_25!$C:$C="ST") +
         (braves_19_25!$C:$C="SV")),
        braves_19_25!$F:$F
    )
),0)</f>
        <v>0</v>
      </c>
      <c r="I10" cm="1">
        <f t="array" ref="I10">IFERROR(AVERAGE(
    IF(
        (braves_19_25!$B:$B=$A10) *
        ((braves_19_25!$C:$C="SL") +
         (braves_19_25!$C:$C="ST") +
         (braves_19_25!$C:$C="SV")),
        braves_19_25!$I:$I
    )
),0)</f>
        <v>0</v>
      </c>
      <c r="J10" cm="1">
        <f t="array" ref="J10">IFERROR(AVERAGE(
    IF(
        (braves_19_25!$B:$B=$A10) *
        ((braves_19_25!$C:$C="SL") +
         (braves_19_25!$C:$C="ST") +
         (braves_19_25!$C:$C="SV")),
        braves_19_25!$J:$J
    )
),0)</f>
        <v>0</v>
      </c>
      <c r="K10" s="29" cm="1">
        <f t="array" ref="K10">IFERROR(AVERAGE(
    IF(
        (braves_19_25!$B:$B=$A10) *
        ((braves_19_25!$C:$C="SL") +
         (braves_19_25!$C:$C="ST") +
         (braves_19_25!$C:$C="SV")),
        braves_19_25!$K:$K
    )
),0)</f>
        <v>0</v>
      </c>
      <c r="L10" s="28" cm="1">
        <f t="array" ref="L10">IFERROR(AVERAGE(
    IF(
        (braves_19_25!$B:$B=$A10) *
        ((braves_19_25!$C:$C="CU") +
         (braves_19_25!$C:$C="CS") +
         (braves_19_25!$C:$C="KC")),
        braves_19_25!$G:$G
    )
),0)</f>
        <v>0</v>
      </c>
      <c r="M10" cm="1">
        <f t="array" ref="M10">IFERROR(AVERAGE(
    IF(
        (braves_19_25!$B:$B=$A10) *
        ((braves_19_25!$C:$C="CU") +
         (braves_19_25!$C:$C="CS") +
         (braves_19_25!$C:$C="KC")),
        braves_19_25!$F:$F
    )
),0)</f>
        <v>0</v>
      </c>
      <c r="N10" cm="1">
        <f t="array" ref="N10">IFERROR(AVERAGE(
    IF(
        (braves_19_25!$B:$B=$A10) *
        ((braves_19_25!$C:$C="CU") +
         (braves_19_25!$C:$C="CS") +
         (braves_19_25!$C:$C="KC")),
        braves_19_25!$I:$I
    )
),0)</f>
        <v>0</v>
      </c>
      <c r="O10" cm="1">
        <f t="array" ref="O10">IFERROR(AVERAGE(
    IF(
        (braves_19_25!$B:$B=$A10) *
        ((braves_19_25!$C:$C="CU") +
         (braves_19_25!$C:$C="CS") +
         (braves_19_25!$C:$C="KC")),
        braves_19_25!$J:$J
    )
),0)</f>
        <v>0</v>
      </c>
      <c r="P10" s="29" cm="1">
        <f t="array" ref="P10">IFERROR(AVERAGE(
    IF(
        (braves_19_25!$B:$B=$A10) *
        ((braves_19_25!$C:$C="CU") +
         (braves_19_25!$C:$C="CS") +
         (braves_19_25!$C:$C="KC")),
        braves_19_25!$K:$K
    )
),0)</f>
        <v>0</v>
      </c>
      <c r="Q10" s="28" cm="1">
        <f t="array" ref="Q10">IFERROR(AVERAGE(
    IF(
        (braves_19_25!$B:$B=$A10) *
        ((braves_19_25!$C:$C="FS") +
         (braves_19_25!$C:$C="CH") +
         (braves_19_25!$C:$C="FO") +
         (braves_19_25!$C:$C="SC")),
        braves_19_25!$G:$G
    )
),0)</f>
        <v>86.74</v>
      </c>
      <c r="R10" cm="1">
        <f t="array" ref="R10">IFERROR(AVERAGE(
    IF(
        (braves_19_25!$B:$B=$A10) *
        ((braves_19_25!$C:$C="FS") +
         (braves_19_25!$C:$C="CH") +
         (braves_19_25!$C:$C="FO") +
         (braves_19_25!$C:$C="SC")),
        braves_19_25!$F:$F
    )
),0)</f>
        <v>1666</v>
      </c>
      <c r="S10" cm="1">
        <f t="array" ref="S10">IFERROR(AVERAGE(
    IF(
        (braves_19_25!$B:$B=$A10) *
        ((braves_19_25!$C:$C="FS") +
         (braves_19_25!$C:$C="CH") +
         (braves_19_25!$C:$C="FO") +
         (braves_19_25!$C:$C="SC")),
        braves_19_25!$I:$I
    )
),0)</f>
        <v>2.6922100000000002</v>
      </c>
      <c r="T10" cm="1">
        <f t="array" ref="T10">IFERROR(AVERAGE(
    IF(
        (braves_19_25!$B:$B=$A10) *
        ((braves_19_25!$C:$C="FS") +
         (braves_19_25!$C:$C="CH") +
         (braves_19_25!$C:$C="FO") +
         (braves_19_25!$C:$C="SC")),
        braves_19_25!$J:$J
    )
),0)</f>
        <v>1.3004899999999999</v>
      </c>
      <c r="U10" s="29" cm="1">
        <f t="array" ref="U10">IFERROR(AVERAGE(
    IF(
        (braves_19_25!$B:$B=$A10) *
        ((braves_19_25!$C:$C="FS") +
         (braves_19_25!$C:$C="CH") +
         (braves_19_25!$C:$C="FO") +
         (braves_19_25!$C:$C="SC")),
        braves_19_25!$K:$K
    )
),0)</f>
        <v>-1.1506000000000001</v>
      </c>
      <c r="V10" s="28" cm="1">
        <f t="array" ref="V10">IFERROR(AVERAGE(
    IF(
        (braves_19_25!$B:$B=$A10) *
        ((braves_19_25!$C:$C="EP") +
         (braves_19_25!$C:$C="FA") +
         (braves_19_25!$C:$C="KN")),
        braves_19_25!$G:$G
    )
),0)</f>
        <v>0</v>
      </c>
      <c r="W10" cm="1">
        <f t="array" ref="W10">IFERROR(AVERAGE(
    IF(
        (braves_19_25!$B:$B=$A10) *
        ((braves_19_25!$C:$C="EP") +
         (braves_19_25!$C:$C="FA") +
         (braves_19_25!$C:$C="KN")),
        braves_19_25!$F:$F
    )
),0)</f>
        <v>0</v>
      </c>
      <c r="X10" cm="1">
        <f t="array" ref="X10">IFERROR(AVERAGE(
    IF(
        (braves_19_25!$B:$B=$A10) *
        ((braves_19_25!$C:$C="EP") +
         (braves_19_25!$C:$C="FA") +
         (braves_19_25!$C:$C="KN")),
        braves_19_25!$I:$I
    )
),0)</f>
        <v>0</v>
      </c>
      <c r="Y10" cm="1">
        <f t="array" ref="Y10">IFERROR(AVERAGE(
    IF(
        (braves_19_25!$B:$B=$A10) *
        ((braves_19_25!$C:$C="EP") +
         (braves_19_25!$C:$C="FA") +
         (braves_19_25!$C:$C="KN")),
        braves_19_25!$J:$J
    )
),0)</f>
        <v>0</v>
      </c>
      <c r="Z10" s="29" cm="1">
        <f t="array" ref="Z10">IFERROR(AVERAGE(
    IF(
        (braves_19_25!$B:$B=$A10) *
        ((braves_19_25!$C:$C="EP") +
         (braves_19_25!$C:$C="FA") +
         (braves_19_25!$C:$C="KN")),
        braves_19_25!$K:$K
    )
),0)</f>
        <v>0</v>
      </c>
    </row>
    <row r="11" spans="1:54" x14ac:dyDescent="0.3">
      <c r="A11" t="str">
        <v>Wright, Kyle</v>
      </c>
      <c r="B11" s="28" cm="1">
        <f t="array" ref="B11">IFERROR(AVERAGE(
    IF(
        (braves_19_25!$B:$B=$A11) *
        ((braves_19_25!$C:$C="FF") +
         (braves_19_25!$C:$C="SI") +
         (braves_19_25!$C:$C="FC")),
        braves_19_25!$G:$G
    )
),0)</f>
        <v>94.77000000000001</v>
      </c>
      <c r="C11" cm="1">
        <f t="array" ref="C11">IFERROR(AVERAGE(
    IF(
        (braves_19_25!$B:$B=$A11) *
        ((braves_19_25!$C:$C="FF") +
         (braves_19_25!$C:$C="SI") +
         (braves_19_25!$C:$C="FC")),
        braves_19_25!$F:$F
    )
),0)</f>
        <v>2321.5</v>
      </c>
      <c r="D11" cm="1">
        <f t="array" ref="D11">IFERROR(AVERAGE(
    IF(
        (braves_19_25!$B:$B=$A11) *
        ((braves_19_25!$C:$C="FF") +
         (braves_19_25!$C:$C="SI") +
         (braves_19_25!$C:$C="FC")),
        braves_19_25!$I:$I
    )
),0)</f>
        <v>1.7938700000000001</v>
      </c>
      <c r="E11" cm="1">
        <f t="array" ref="E11">IFERROR(AVERAGE(
    IF(
        (braves_19_25!$B:$B=$A11) *
        ((braves_19_25!$C:$C="FF") +
         (braves_19_25!$C:$C="SI") +
         (braves_19_25!$C:$C="FC")),
        braves_19_25!$J:$J
    )
),0)</f>
        <v>1.0962100000000001</v>
      </c>
      <c r="F11" s="29" cm="1">
        <f t="array" ref="F11">IFERROR(AVERAGE(
    IF(
        (braves_19_25!$B:$B=$A11) *
        ((braves_19_25!$C:$C="FF") +
         (braves_19_25!$C:$C="SI") +
         (braves_19_25!$C:$C="FC")),
        braves_19_25!$K:$K
    )
),0)</f>
        <v>8.2360000000000017E-2</v>
      </c>
      <c r="G11" s="28" cm="1">
        <f t="array" ref="G11">IFERROR(AVERAGE(
    IF(
        (braves_19_25!$B:$B=$A11) *
        ((braves_19_25!$C:$C="SL") +
         (braves_19_25!$C:$C="ST") +
         (braves_19_25!$C:$C="SV")),
        braves_19_25!$G:$G
    )
),0)</f>
        <v>88.84</v>
      </c>
      <c r="H11" cm="1">
        <f t="array" ref="H11">IFERROR(AVERAGE(
    IF(
        (braves_19_25!$B:$B=$A11) *
        ((braves_19_25!$C:$C="SL") +
         (braves_19_25!$C:$C="ST") +
         (braves_19_25!$C:$C="SV")),
        braves_19_25!$F:$F
    )
),0)</f>
        <v>2446</v>
      </c>
      <c r="I11" cm="1">
        <f t="array" ref="I11">IFERROR(AVERAGE(
    IF(
        (braves_19_25!$B:$B=$A11) *
        ((braves_19_25!$C:$C="SL") +
         (braves_19_25!$C:$C="ST") +
         (braves_19_25!$C:$C="SV")),
        braves_19_25!$I:$I
    )
),0)</f>
        <v>2.4082499999999998</v>
      </c>
      <c r="J11" cm="1">
        <f t="array" ref="J11">IFERROR(AVERAGE(
    IF(
        (braves_19_25!$B:$B=$A11) *
        ((braves_19_25!$C:$C="SL") +
         (braves_19_25!$C:$C="ST") +
         (braves_19_25!$C:$C="SV")),
        braves_19_25!$J:$J
    )
),0)</f>
        <v>-9.4539999999999999E-2</v>
      </c>
      <c r="K11" s="29" cm="1">
        <f t="array" ref="K11">IFERROR(AVERAGE(
    IF(
        (braves_19_25!$B:$B=$A11) *
        ((braves_19_25!$C:$C="SL") +
         (braves_19_25!$C:$C="ST") +
         (braves_19_25!$C:$C="SV")),
        braves_19_25!$K:$K
    )
),0)</f>
        <v>-4.0340000000000001E-2</v>
      </c>
      <c r="L11" s="28" cm="1">
        <f t="array" ref="L11">IFERROR(AVERAGE(
    IF(
        (braves_19_25!$B:$B=$A11) *
        ((braves_19_25!$C:$C="CU") +
         (braves_19_25!$C:$C="CS") +
         (braves_19_25!$C:$C="KC")),
        braves_19_25!$G:$G
    )
),0)</f>
        <v>84.5</v>
      </c>
      <c r="M11" cm="1">
        <f t="array" ref="M11">IFERROR(AVERAGE(
    IF(
        (braves_19_25!$B:$B=$A11) *
        ((braves_19_25!$C:$C="CU") +
         (braves_19_25!$C:$C="CS") +
         (braves_19_25!$C:$C="KC")),
        braves_19_25!$F:$F
    )
),0)</f>
        <v>2685</v>
      </c>
      <c r="N11" cm="1">
        <f t="array" ref="N11">IFERROR(AVERAGE(
    IF(
        (braves_19_25!$B:$B=$A11) *
        ((braves_19_25!$C:$C="CU") +
         (braves_19_25!$C:$C="CS") +
         (braves_19_25!$C:$C="KC")),
        braves_19_25!$I:$I
    )
),0)</f>
        <v>3.89161</v>
      </c>
      <c r="O11" cm="1">
        <f t="array" ref="O11">IFERROR(AVERAGE(
    IF(
        (braves_19_25!$B:$B=$A11) *
        ((braves_19_25!$C:$C="CU") +
         (braves_19_25!$C:$C="CS") +
         (braves_19_25!$C:$C="KC")),
        braves_19_25!$J:$J
    )
),0)</f>
        <v>-0.74360000000000004</v>
      </c>
      <c r="P11" s="29" cm="1">
        <f t="array" ref="P11">IFERROR(AVERAGE(
    IF(
        (braves_19_25!$B:$B=$A11) *
        ((braves_19_25!$C:$C="CU") +
         (braves_19_25!$C:$C="CS") +
         (braves_19_25!$C:$C="KC")),
        braves_19_25!$K:$K
    )
),0)</f>
        <v>6.6290000000000002E-2</v>
      </c>
      <c r="Q11" s="28" cm="1">
        <f t="array" ref="Q11">IFERROR(AVERAGE(
    IF(
        (braves_19_25!$B:$B=$A11) *
        ((braves_19_25!$C:$C="FS") +
         (braves_19_25!$C:$C="CH") +
         (braves_19_25!$C:$C="FO") +
         (braves_19_25!$C:$C="SC")),
        braves_19_25!$G:$G
    )
),0)</f>
        <v>88.29</v>
      </c>
      <c r="R11" cm="1">
        <f t="array" ref="R11">IFERROR(AVERAGE(
    IF(
        (braves_19_25!$B:$B=$A11) *
        ((braves_19_25!$C:$C="FS") +
         (braves_19_25!$C:$C="CH") +
         (braves_19_25!$C:$C="FO") +
         (braves_19_25!$C:$C="SC")),
        braves_19_25!$F:$F
    )
),0)</f>
        <v>1697</v>
      </c>
      <c r="S11" cm="1">
        <f t="array" ref="S11">IFERROR(AVERAGE(
    IF(
        (braves_19_25!$B:$B=$A11) *
        ((braves_19_25!$C:$C="FS") +
         (braves_19_25!$C:$C="CH") +
         (braves_19_25!$C:$C="FO") +
         (braves_19_25!$C:$C="SC")),
        braves_19_25!$I:$I
    )
),0)</f>
        <v>2.8011499999999998</v>
      </c>
      <c r="T11" cm="1">
        <f t="array" ref="T11">IFERROR(AVERAGE(
    IF(
        (braves_19_25!$B:$B=$A11) *
        ((braves_19_25!$C:$C="FS") +
         (braves_19_25!$C:$C="CH") +
         (braves_19_25!$C:$C="FO") +
         (braves_19_25!$C:$C="SC")),
        braves_19_25!$J:$J
    )
),0)</f>
        <v>1.30399</v>
      </c>
      <c r="U11" s="29" cm="1">
        <f t="array" ref="U11">IFERROR(AVERAGE(
    IF(
        (braves_19_25!$B:$B=$A11) *
        ((braves_19_25!$C:$C="FS") +
         (braves_19_25!$C:$C="CH") +
         (braves_19_25!$C:$C="FO") +
         (braves_19_25!$C:$C="SC")),
        braves_19_25!$K:$K
    )
),0)</f>
        <v>-0.70848999999999995</v>
      </c>
      <c r="V11" s="28" cm="1">
        <f t="array" ref="V11">IFERROR(AVERAGE(
    IF(
        (braves_19_25!$B:$B=$A11) *
        ((braves_19_25!$C:$C="EP") +
         (braves_19_25!$C:$C="FA") +
         (braves_19_25!$C:$C="KN")),
        braves_19_25!$G:$G
    )
),0)</f>
        <v>0</v>
      </c>
      <c r="W11" cm="1">
        <f t="array" ref="W11">IFERROR(AVERAGE(
    IF(
        (braves_19_25!$B:$B=$A11) *
        ((braves_19_25!$C:$C="EP") +
         (braves_19_25!$C:$C="FA") +
         (braves_19_25!$C:$C="KN")),
        braves_19_25!$F:$F
    )
),0)</f>
        <v>0</v>
      </c>
      <c r="X11" cm="1">
        <f t="array" ref="X11">IFERROR(AVERAGE(
    IF(
        (braves_19_25!$B:$B=$A11) *
        ((braves_19_25!$C:$C="EP") +
         (braves_19_25!$C:$C="FA") +
         (braves_19_25!$C:$C="KN")),
        braves_19_25!$I:$I
    )
),0)</f>
        <v>0</v>
      </c>
      <c r="Y11" cm="1">
        <f t="array" ref="Y11">IFERROR(AVERAGE(
    IF(
        (braves_19_25!$B:$B=$A11) *
        ((braves_19_25!$C:$C="EP") +
         (braves_19_25!$C:$C="FA") +
         (braves_19_25!$C:$C="KN")),
        braves_19_25!$J:$J
    )
),0)</f>
        <v>0</v>
      </c>
      <c r="Z11" s="29" cm="1">
        <f t="array" ref="Z11">IFERROR(AVERAGE(
    IF(
        (braves_19_25!$B:$B=$A11) *
        ((braves_19_25!$C:$C="EP") +
         (braves_19_25!$C:$C="FA") +
         (braves_19_25!$C:$C="KN")),
        braves_19_25!$K:$K
    )
),0)</f>
        <v>0</v>
      </c>
    </row>
    <row r="12" spans="1:54" x14ac:dyDescent="0.3">
      <c r="A12" t="str">
        <v>Schwellenbach, Spencer</v>
      </c>
      <c r="B12" s="28" cm="1">
        <f t="array" ref="B12">IFERROR(AVERAGE(
    IF(
        (braves_19_25!$B:$B=$A12) *
        ((braves_19_25!$C:$C="FF") +
         (braves_19_25!$C:$C="SI") +
         (braves_19_25!$C:$C="FC")),
        braves_19_25!$G:$G
    )
),0)</f>
        <v>96.196666666666658</v>
      </c>
      <c r="C12" cm="1">
        <f t="array" ref="C12">IFERROR(AVERAGE(
    IF(
        (braves_19_25!$B:$B=$A12) *
        ((braves_19_25!$C:$C="FF") +
         (braves_19_25!$C:$C="SI") +
         (braves_19_25!$C:$C="FC")),
        braves_19_25!$F:$F
    )
),0)</f>
        <v>2246.3333333333335</v>
      </c>
      <c r="D12" cm="1">
        <f t="array" ref="D12">IFERROR(AVERAGE(
    IF(
        (braves_19_25!$B:$B=$A12) *
        ((braves_19_25!$C:$C="FF") +
         (braves_19_25!$C:$C="SI") +
         (braves_19_25!$C:$C="FC")),
        braves_19_25!$I:$I
    )
),0)</f>
        <v>1.6384033333333334</v>
      </c>
      <c r="E12" cm="1">
        <f t="array" ref="E12">IFERROR(AVERAGE(
    IF(
        (braves_19_25!$B:$B=$A12) *
        ((braves_19_25!$C:$C="FF") +
         (braves_19_25!$C:$C="SI") +
         (braves_19_25!$C:$C="FC")),
        braves_19_25!$J:$J
    )
),0)</f>
        <v>0.53823333333333334</v>
      </c>
      <c r="F12" s="29" cm="1">
        <f t="array" ref="F12">IFERROR(AVERAGE(
    IF(
        (braves_19_25!$B:$B=$A12) *
        ((braves_19_25!$C:$C="FF") +
         (braves_19_25!$C:$C="SI") +
         (braves_19_25!$C:$C="FC")),
        braves_19_25!$K:$K
    )
),0)</f>
        <v>0.14569333333333334</v>
      </c>
      <c r="G12" s="28" cm="1">
        <f t="array" ref="G12">IFERROR(AVERAGE(
    IF(
        (braves_19_25!$B:$B=$A12) *
        ((braves_19_25!$C:$C="SL") +
         (braves_19_25!$C:$C="ST") +
         (braves_19_25!$C:$C="SV")),
        braves_19_25!$G:$G
    )
),0)</f>
        <v>88.41</v>
      </c>
      <c r="H12" cm="1">
        <f t="array" ref="H12">IFERROR(AVERAGE(
    IF(
        (braves_19_25!$B:$B=$A12) *
        ((braves_19_25!$C:$C="SL") +
         (braves_19_25!$C:$C="ST") +
         (braves_19_25!$C:$C="SV")),
        braves_19_25!$F:$F
    )
),0)</f>
        <v>2420</v>
      </c>
      <c r="I12" cm="1">
        <f t="array" ref="I12">IFERROR(AVERAGE(
    IF(
        (braves_19_25!$B:$B=$A12) *
        ((braves_19_25!$C:$C="SL") +
         (braves_19_25!$C:$C="ST") +
         (braves_19_25!$C:$C="SV")),
        braves_19_25!$I:$I
    )
),0)</f>
        <v>3.2176999999999998</v>
      </c>
      <c r="J12" cm="1">
        <f t="array" ref="J12">IFERROR(AVERAGE(
    IF(
        (braves_19_25!$B:$B=$A12) *
        ((braves_19_25!$C:$C="SL") +
         (braves_19_25!$C:$C="ST") +
         (braves_19_25!$C:$C="SV")),
        braves_19_25!$J:$J
    )
),0)</f>
        <v>-0.27492</v>
      </c>
      <c r="K12" s="29" cm="1">
        <f t="array" ref="K12">IFERROR(AVERAGE(
    IF(
        (braves_19_25!$B:$B=$A12) *
        ((braves_19_25!$C:$C="SL") +
         (braves_19_25!$C:$C="ST") +
         (braves_19_25!$C:$C="SV")),
        braves_19_25!$K:$K
    )
),0)</f>
        <v>-0.13385</v>
      </c>
      <c r="L12" s="28" cm="1">
        <f t="array" ref="L12">IFERROR(AVERAGE(
    IF(
        (braves_19_25!$B:$B=$A12) *
        ((braves_19_25!$C:$C="CU") +
         (braves_19_25!$C:$C="CS") +
         (braves_19_25!$C:$C="KC")),
        braves_19_25!$G:$G
    )
),0)</f>
        <v>81.83</v>
      </c>
      <c r="M12" cm="1">
        <f t="array" ref="M12">IFERROR(AVERAGE(
    IF(
        (braves_19_25!$B:$B=$A12) *
        ((braves_19_25!$C:$C="CU") +
         (braves_19_25!$C:$C="CS") +
         (braves_19_25!$C:$C="KC")),
        braves_19_25!$F:$F
    )
),0)</f>
        <v>2359</v>
      </c>
      <c r="N12" cm="1">
        <f t="array" ref="N12">IFERROR(AVERAGE(
    IF(
        (braves_19_25!$B:$B=$A12) *
        ((braves_19_25!$C:$C="CU") +
         (braves_19_25!$C:$C="CS") +
         (braves_19_25!$C:$C="KC")),
        braves_19_25!$I:$I
    )
),0)</f>
        <v>4.0830299999999999</v>
      </c>
      <c r="O12" cm="1">
        <f t="array" ref="O12">IFERROR(AVERAGE(
    IF(
        (braves_19_25!$B:$B=$A12) *
        ((braves_19_25!$C:$C="CU") +
         (braves_19_25!$C:$C="CS") +
         (braves_19_25!$C:$C="KC")),
        braves_19_25!$J:$J
    )
),0)</f>
        <v>-0.70979999999999999</v>
      </c>
      <c r="P12" s="29" cm="1">
        <f t="array" ref="P12">IFERROR(AVERAGE(
    IF(
        (braves_19_25!$B:$B=$A12) *
        ((braves_19_25!$C:$C="CU") +
         (braves_19_25!$C:$C="CS") +
         (braves_19_25!$C:$C="KC")),
        braves_19_25!$K:$K
    )
),0)</f>
        <v>0.35454999999999998</v>
      </c>
      <c r="Q12" s="28" cm="1">
        <f t="array" ref="Q12">IFERROR(AVERAGE(
    IF(
        (braves_19_25!$B:$B=$A12) *
        ((braves_19_25!$C:$C="FS") +
         (braves_19_25!$C:$C="CH") +
         (braves_19_25!$C:$C="FO") +
         (braves_19_25!$C:$C="SC")),
        braves_19_25!$G:$G
    )
),0)</f>
        <v>85.96</v>
      </c>
      <c r="R12" cm="1">
        <f t="array" ref="R12">IFERROR(AVERAGE(
    IF(
        (braves_19_25!$B:$B=$A12) *
        ((braves_19_25!$C:$C="FS") +
         (braves_19_25!$C:$C="CH") +
         (braves_19_25!$C:$C="FO") +
         (braves_19_25!$C:$C="SC")),
        braves_19_25!$F:$F
    )
),0)</f>
        <v>1358</v>
      </c>
      <c r="S12" cm="1">
        <f t="array" ref="S12">IFERROR(AVERAGE(
    IF(
        (braves_19_25!$B:$B=$A12) *
        ((braves_19_25!$C:$C="FS") +
         (braves_19_25!$C:$C="CH") +
         (braves_19_25!$C:$C="FO") +
         (braves_19_25!$C:$C="SC")),
        braves_19_25!$I:$I
    )
),0)</f>
        <v>3.1366299999999998</v>
      </c>
      <c r="T12" cm="1">
        <f t="array" ref="T12">IFERROR(AVERAGE(
    IF(
        (braves_19_25!$B:$B=$A12) *
        ((braves_19_25!$C:$C="FS") +
         (braves_19_25!$C:$C="CH") +
         (braves_19_25!$C:$C="FO") +
         (braves_19_25!$C:$C="SC")),
        braves_19_25!$J:$J
    )
),0)</f>
        <v>0.77690999999999999</v>
      </c>
      <c r="U12" s="29" cm="1">
        <f t="array" ref="U12">IFERROR(AVERAGE(
    IF(
        (braves_19_25!$B:$B=$A12) *
        ((braves_19_25!$C:$C="FS") +
         (braves_19_25!$C:$C="CH") +
         (braves_19_25!$C:$C="FO") +
         (braves_19_25!$C:$C="SC")),
        braves_19_25!$K:$K
    )
),0)</f>
        <v>-0.53952</v>
      </c>
      <c r="V12" s="28" cm="1">
        <f t="array" ref="V12">IFERROR(AVERAGE(
    IF(
        (braves_19_25!$B:$B=$A12) *
        ((braves_19_25!$C:$C="EP") +
         (braves_19_25!$C:$C="FA") +
         (braves_19_25!$C:$C="KN")),
        braves_19_25!$G:$G
    )
),0)</f>
        <v>0</v>
      </c>
      <c r="W12" cm="1">
        <f t="array" ref="W12">IFERROR(AVERAGE(
    IF(
        (braves_19_25!$B:$B=$A12) *
        ((braves_19_25!$C:$C="EP") +
         (braves_19_25!$C:$C="FA") +
         (braves_19_25!$C:$C="KN")),
        braves_19_25!$F:$F
    )
),0)</f>
        <v>0</v>
      </c>
      <c r="X12" cm="1">
        <f t="array" ref="X12">IFERROR(AVERAGE(
    IF(
        (braves_19_25!$B:$B=$A12) *
        ((braves_19_25!$C:$C="EP") +
         (braves_19_25!$C:$C="FA") +
         (braves_19_25!$C:$C="KN")),
        braves_19_25!$I:$I
    )
),0)</f>
        <v>0</v>
      </c>
      <c r="Y12" cm="1">
        <f t="array" ref="Y12">IFERROR(AVERAGE(
    IF(
        (braves_19_25!$B:$B=$A12) *
        ((braves_19_25!$C:$C="EP") +
         (braves_19_25!$C:$C="FA") +
         (braves_19_25!$C:$C="KN")),
        braves_19_25!$J:$J
    )
),0)</f>
        <v>0</v>
      </c>
      <c r="Z12" s="29" cm="1">
        <f t="array" ref="Z12">IFERROR(AVERAGE(
    IF(
        (braves_19_25!$B:$B=$A12) *
        ((braves_19_25!$C:$C="EP") +
         (braves_19_25!$C:$C="FA") +
         (braves_19_25!$C:$C="KN")),
        braves_19_25!$K:$K
    )
),0)</f>
        <v>0</v>
      </c>
    </row>
    <row r="13" spans="1:54" x14ac:dyDescent="0.3">
      <c r="A13" t="str">
        <v>Soroka, Michael</v>
      </c>
      <c r="B13" s="28" cm="1">
        <f t="array" ref="B13">IFERROR(AVERAGE(
    IF(
        (braves_19_25!$B:$B=$A13) *
        ((braves_19_25!$C:$C="FF") +
         (braves_19_25!$C:$C="SI") +
         (braves_19_25!$C:$C="FC")),
        braves_19_25!$G:$G
    )
),0)</f>
        <v>91.16</v>
      </c>
      <c r="C13" cm="1">
        <f t="array" ref="C13">IFERROR(AVERAGE(
    IF(
        (braves_19_25!$B:$B=$A13) *
        ((braves_19_25!$C:$C="FF") +
         (braves_19_25!$C:$C="SI") +
         (braves_19_25!$C:$C="FC")),
        braves_19_25!$F:$F
    )
),0)</f>
        <v>2269.5</v>
      </c>
      <c r="D13" cm="1">
        <f t="array" ref="D13">IFERROR(AVERAGE(
    IF(
        (braves_19_25!$B:$B=$A13) *
        ((braves_19_25!$C:$C="FF") +
         (braves_19_25!$C:$C="SI") +
         (braves_19_25!$C:$C="FC")),
        braves_19_25!$I:$I
    )
),0)</f>
        <v>1.836325</v>
      </c>
      <c r="E13" cm="1">
        <f t="array" ref="E13">IFERROR(AVERAGE(
    IF(
        (braves_19_25!$B:$B=$A13) *
        ((braves_19_25!$C:$C="FF") +
         (braves_19_25!$C:$C="SI") +
         (braves_19_25!$C:$C="FC")),
        braves_19_25!$J:$J
    )
),0)</f>
        <v>0.89135500000000001</v>
      </c>
      <c r="F13" s="29" cm="1">
        <f t="array" ref="F13">IFERROR(AVERAGE(
    IF(
        (braves_19_25!$B:$B=$A13) *
        ((braves_19_25!$C:$C="FF") +
         (braves_19_25!$C:$C="SI") +
         (braves_19_25!$C:$C="FC")),
        braves_19_25!$K:$K
    )
),0)</f>
        <v>0.19705</v>
      </c>
      <c r="G13" s="28" cm="1">
        <f t="array" ref="G13">IFERROR(AVERAGE(
    IF(
        (braves_19_25!$B:$B=$A13) *
        ((braves_19_25!$C:$C="SL") +
         (braves_19_25!$C:$C="ST") +
         (braves_19_25!$C:$C="SV")),
        braves_19_25!$G:$G
    )
),0)</f>
        <v>80.180000000000007</v>
      </c>
      <c r="H13" cm="1">
        <f t="array" ref="H13">IFERROR(AVERAGE(
    IF(
        (braves_19_25!$B:$B=$A13) *
        ((braves_19_25!$C:$C="SL") +
         (braves_19_25!$C:$C="ST") +
         (braves_19_25!$C:$C="SV")),
        braves_19_25!$F:$F
    )
),0)</f>
        <v>2849</v>
      </c>
      <c r="I13" cm="1">
        <f t="array" ref="I13">IFERROR(AVERAGE(
    IF(
        (braves_19_25!$B:$B=$A13) *
        ((braves_19_25!$C:$C="SL") +
         (braves_19_25!$C:$C="ST") +
         (braves_19_25!$C:$C="SV")),
        braves_19_25!$I:$I
    )
),0)</f>
        <v>3.9925549999999999</v>
      </c>
      <c r="J13" cm="1">
        <f t="array" ref="J13">IFERROR(AVERAGE(
    IF(
        (braves_19_25!$B:$B=$A13) *
        ((braves_19_25!$C:$C="SL") +
         (braves_19_25!$C:$C="ST") +
         (braves_19_25!$C:$C="SV")),
        braves_19_25!$J:$J
    )
),0)</f>
        <v>-0.73201500000000008</v>
      </c>
      <c r="K13" s="29" cm="1">
        <f t="array" ref="K13">IFERROR(AVERAGE(
    IF(
        (braves_19_25!$B:$B=$A13) *
        ((braves_19_25!$C:$C="SL") +
         (braves_19_25!$C:$C="ST") +
         (braves_19_25!$C:$C="SV")),
        braves_19_25!$K:$K
    )
),0)</f>
        <v>-8.6215E-2</v>
      </c>
      <c r="L13" s="28" cm="1">
        <f t="array" ref="L13">IFERROR(AVERAGE(
    IF(
        (braves_19_25!$B:$B=$A13) *
        ((braves_19_25!$C:$C="CU") +
         (braves_19_25!$C:$C="CS") +
         (braves_19_25!$C:$C="KC")),
        braves_19_25!$G:$G
    )
),0)</f>
        <v>0</v>
      </c>
      <c r="M13" cm="1">
        <f t="array" ref="M13">IFERROR(AVERAGE(
    IF(
        (braves_19_25!$B:$B=$A13) *
        ((braves_19_25!$C:$C="CU") +
         (braves_19_25!$C:$C="CS") +
         (braves_19_25!$C:$C="KC")),
        braves_19_25!$F:$F
    )
),0)</f>
        <v>0</v>
      </c>
      <c r="N13" cm="1">
        <f t="array" ref="N13">IFERROR(AVERAGE(
    IF(
        (braves_19_25!$B:$B=$A13) *
        ((braves_19_25!$C:$C="CU") +
         (braves_19_25!$C:$C="CS") +
         (braves_19_25!$C:$C="KC")),
        braves_19_25!$I:$I
    )
),0)</f>
        <v>0</v>
      </c>
      <c r="O13" cm="1">
        <f t="array" ref="O13">IFERROR(AVERAGE(
    IF(
        (braves_19_25!$B:$B=$A13) *
        ((braves_19_25!$C:$C="CU") +
         (braves_19_25!$C:$C="CS") +
         (braves_19_25!$C:$C="KC")),
        braves_19_25!$J:$J
    )
),0)</f>
        <v>0</v>
      </c>
      <c r="P13" s="29" cm="1">
        <f t="array" ref="P13">IFERROR(AVERAGE(
    IF(
        (braves_19_25!$B:$B=$A13) *
        ((braves_19_25!$C:$C="CU") +
         (braves_19_25!$C:$C="CS") +
         (braves_19_25!$C:$C="KC")),
        braves_19_25!$K:$K
    )
),0)</f>
        <v>0</v>
      </c>
      <c r="Q13" s="28" cm="1">
        <f t="array" ref="Q13">IFERROR(AVERAGE(
    IF(
        (braves_19_25!$B:$B=$A13) *
        ((braves_19_25!$C:$C="FS") +
         (braves_19_25!$C:$C="CH") +
         (braves_19_25!$C:$C="FO") +
         (braves_19_25!$C:$C="SC")),
        braves_19_25!$G:$G
    )
),0)</f>
        <v>80.09</v>
      </c>
      <c r="R13" cm="1">
        <f t="array" ref="R13">IFERROR(AVERAGE(
    IF(
        (braves_19_25!$B:$B=$A13) *
        ((braves_19_25!$C:$C="FS") +
         (braves_19_25!$C:$C="CH") +
         (braves_19_25!$C:$C="FO") +
         (braves_19_25!$C:$C="SC")),
        braves_19_25!$F:$F
    )
),0)</f>
        <v>2194</v>
      </c>
      <c r="S13" cm="1">
        <f t="array" ref="S13">IFERROR(AVERAGE(
    IF(
        (braves_19_25!$B:$B=$A13) *
        ((braves_19_25!$C:$C="FS") +
         (braves_19_25!$C:$C="CH") +
         (braves_19_25!$C:$C="FO") +
         (braves_19_25!$C:$C="SC")),
        braves_19_25!$I:$I
    )
),0)</f>
        <v>2.4674399999999999</v>
      </c>
      <c r="T13" cm="1">
        <f t="array" ref="T13">IFERROR(AVERAGE(
    IF(
        (braves_19_25!$B:$B=$A13) *
        ((braves_19_25!$C:$C="FS") +
         (braves_19_25!$C:$C="CH") +
         (braves_19_25!$C:$C="FO") +
         (braves_19_25!$C:$C="SC")),
        braves_19_25!$J:$J
    )
),0)</f>
        <v>1.1919200000000001</v>
      </c>
      <c r="U13" s="29" cm="1">
        <f t="array" ref="U13">IFERROR(AVERAGE(
    IF(
        (braves_19_25!$B:$B=$A13) *
        ((braves_19_25!$C:$C="FS") +
         (braves_19_25!$C:$C="CH") +
         (braves_19_25!$C:$C="FO") +
         (braves_19_25!$C:$C="SC")),
        braves_19_25!$K:$K
    )
),0)</f>
        <v>-0.37461</v>
      </c>
      <c r="V13" s="28" cm="1">
        <f t="array" ref="V13">IFERROR(AVERAGE(
    IF(
        (braves_19_25!$B:$B=$A13) *
        ((braves_19_25!$C:$C="EP") +
         (braves_19_25!$C:$C="FA") +
         (braves_19_25!$C:$C="KN")),
        braves_19_25!$G:$G
    )
),0)</f>
        <v>0</v>
      </c>
      <c r="W13" cm="1">
        <f t="array" ref="W13">IFERROR(AVERAGE(
    IF(
        (braves_19_25!$B:$B=$A13) *
        ((braves_19_25!$C:$C="EP") +
         (braves_19_25!$C:$C="FA") +
         (braves_19_25!$C:$C="KN")),
        braves_19_25!$F:$F
    )
),0)</f>
        <v>0</v>
      </c>
      <c r="X13" cm="1">
        <f t="array" ref="X13">IFERROR(AVERAGE(
    IF(
        (braves_19_25!$B:$B=$A13) *
        ((braves_19_25!$C:$C="EP") +
         (braves_19_25!$C:$C="FA") +
         (braves_19_25!$C:$C="KN")),
        braves_19_25!$I:$I
    )
),0)</f>
        <v>0</v>
      </c>
      <c r="Y13" cm="1">
        <f t="array" ref="Y13">IFERROR(AVERAGE(
    IF(
        (braves_19_25!$B:$B=$A13) *
        ((braves_19_25!$C:$C="EP") +
         (braves_19_25!$C:$C="FA") +
         (braves_19_25!$C:$C="KN")),
        braves_19_25!$J:$J
    )
),0)</f>
        <v>0</v>
      </c>
      <c r="Z13" s="29" cm="1">
        <f t="array" ref="Z13">IFERROR(AVERAGE(
    IF(
        (braves_19_25!$B:$B=$A13) *
        ((braves_19_25!$C:$C="EP") +
         (braves_19_25!$C:$C="FA") +
         (braves_19_25!$C:$C="KN")),
        braves_19_25!$K:$K
    )
),0)</f>
        <v>0</v>
      </c>
    </row>
    <row r="14" spans="1:54" x14ac:dyDescent="0.3">
      <c r="A14" t="str">
        <v>Chavez, Jesse</v>
      </c>
      <c r="B14" s="28" cm="1">
        <f t="array" ref="B14">IFERROR(AVERAGE(
    IF(
        (braves_19_25!$B:$B=$A14) *
        ((braves_19_25!$C:$C="FF") +
         (braves_19_25!$C:$C="SI") +
         (braves_19_25!$C:$C="FC")),
        braves_19_25!$G:$G
    )
),0)</f>
        <v>90.39</v>
      </c>
      <c r="C14" cm="1">
        <f t="array" ref="C14">IFERROR(AVERAGE(
    IF(
        (braves_19_25!$B:$B=$A14) *
        ((braves_19_25!$C:$C="FF") +
         (braves_19_25!$C:$C="SI") +
         (braves_19_25!$C:$C="FC")),
        braves_19_25!$F:$F
    )
),0)</f>
        <v>2094</v>
      </c>
      <c r="D14" cm="1">
        <f t="array" ref="D14">IFERROR(AVERAGE(
    IF(
        (braves_19_25!$B:$B=$A14) *
        ((braves_19_25!$C:$C="FF") +
         (braves_19_25!$C:$C="SI") +
         (braves_19_25!$C:$C="FC")),
        braves_19_25!$I:$I
    )
),0)</f>
        <v>1.9528933333333331</v>
      </c>
      <c r="E14" cm="1">
        <f t="array" ref="E14">IFERROR(AVERAGE(
    IF(
        (braves_19_25!$B:$B=$A14) *
        ((braves_19_25!$C:$C="FF") +
         (braves_19_25!$C:$C="SI") +
         (braves_19_25!$C:$C="FC")),
        braves_19_25!$J:$J
    )
),0)</f>
        <v>0.82513666666666674</v>
      </c>
      <c r="F14" s="29" cm="1">
        <f t="array" ref="F14">IFERROR(AVERAGE(
    IF(
        (braves_19_25!$B:$B=$A14) *
        ((braves_19_25!$C:$C="FF") +
         (braves_19_25!$C:$C="SI") +
         (braves_19_25!$C:$C="FC")),
        braves_19_25!$K:$K
    )
),0)</f>
        <v>0.26808666666666664</v>
      </c>
      <c r="G14" s="28" cm="1">
        <f t="array" ref="G14">IFERROR(AVERAGE(
    IF(
        (braves_19_25!$B:$B=$A14) *
        ((braves_19_25!$C:$C="SL") +
         (braves_19_25!$C:$C="ST") +
         (braves_19_25!$C:$C="SV")),
        braves_19_25!$G:$G
    )
),0)</f>
        <v>81.98</v>
      </c>
      <c r="H14" cm="1">
        <f t="array" ref="H14">IFERROR(AVERAGE(
    IF(
        (braves_19_25!$B:$B=$A14) *
        ((braves_19_25!$C:$C="SL") +
         (braves_19_25!$C:$C="ST") +
         (braves_19_25!$C:$C="SV")),
        braves_19_25!$F:$F
    )
),0)</f>
        <v>2293</v>
      </c>
      <c r="I14" cm="1">
        <f t="array" ref="I14">IFERROR(AVERAGE(
    IF(
        (braves_19_25!$B:$B=$A14) *
        ((braves_19_25!$C:$C="SL") +
         (braves_19_25!$C:$C="ST") +
         (braves_19_25!$C:$C="SV")),
        braves_19_25!$I:$I
    )
),0)</f>
        <v>3.45031</v>
      </c>
      <c r="J14" cm="1">
        <f t="array" ref="J14">IFERROR(AVERAGE(
    IF(
        (braves_19_25!$B:$B=$A14) *
        ((braves_19_25!$C:$C="SL") +
         (braves_19_25!$C:$C="ST") +
         (braves_19_25!$C:$C="SV")),
        braves_19_25!$J:$J
    )
),0)</f>
        <v>-0.51876999999999995</v>
      </c>
      <c r="K14" s="29" cm="1">
        <f t="array" ref="K14">IFERROR(AVERAGE(
    IF(
        (braves_19_25!$B:$B=$A14) *
        ((braves_19_25!$C:$C="SL") +
         (braves_19_25!$C:$C="ST") +
         (braves_19_25!$C:$C="SV")),
        braves_19_25!$K:$K
    )
),0)</f>
        <v>-0.19323000000000001</v>
      </c>
      <c r="L14" s="28" cm="1">
        <f t="array" ref="L14">IFERROR(AVERAGE(
    IF(
        (braves_19_25!$B:$B=$A14) *
        ((braves_19_25!$C:$C="CU") +
         (braves_19_25!$C:$C="CS") +
         (braves_19_25!$C:$C="KC")),
        braves_19_25!$G:$G
    )
),0)</f>
        <v>75.61</v>
      </c>
      <c r="M14" cm="1">
        <f t="array" ref="M14">IFERROR(AVERAGE(
    IF(
        (braves_19_25!$B:$B=$A14) *
        ((braves_19_25!$C:$C="CU") +
         (braves_19_25!$C:$C="CS") +
         (braves_19_25!$C:$C="KC")),
        braves_19_25!$F:$F
    )
),0)</f>
        <v>2562</v>
      </c>
      <c r="N14" cm="1">
        <f t="array" ref="N14">IFERROR(AVERAGE(
    IF(
        (braves_19_25!$B:$B=$A14) *
        ((braves_19_25!$C:$C="CU") +
         (braves_19_25!$C:$C="CS") +
         (braves_19_25!$C:$C="KC")),
        braves_19_25!$I:$I
    )
),0)</f>
        <v>4.6311600000000004</v>
      </c>
      <c r="O14" cm="1">
        <f t="array" ref="O14">IFERROR(AVERAGE(
    IF(
        (braves_19_25!$B:$B=$A14) *
        ((braves_19_25!$C:$C="CU") +
         (braves_19_25!$C:$C="CS") +
         (braves_19_25!$C:$C="KC")),
        braves_19_25!$J:$J
    )
),0)</f>
        <v>-1.3171299999999999</v>
      </c>
      <c r="P14" s="29" cm="1">
        <f t="array" ref="P14">IFERROR(AVERAGE(
    IF(
        (braves_19_25!$B:$B=$A14) *
        ((braves_19_25!$C:$C="CU") +
         (braves_19_25!$C:$C="CS") +
         (braves_19_25!$C:$C="KC")),
        braves_19_25!$K:$K
    )
),0)</f>
        <v>-0.73790999999999995</v>
      </c>
      <c r="Q14" s="28" cm="1">
        <f t="array" ref="Q14">IFERROR(AVERAGE(
    IF(
        (braves_19_25!$B:$B=$A14) *
        ((braves_19_25!$C:$C="FS") +
         (braves_19_25!$C:$C="CH") +
         (braves_19_25!$C:$C="FO") +
         (braves_19_25!$C:$C="SC")),
        braves_19_25!$G:$G
    )
),0)</f>
        <v>85.15</v>
      </c>
      <c r="R14" cm="1">
        <f t="array" ref="R14">IFERROR(AVERAGE(
    IF(
        (braves_19_25!$B:$B=$A14) *
        ((braves_19_25!$C:$C="FS") +
         (braves_19_25!$C:$C="CH") +
         (braves_19_25!$C:$C="FO") +
         (braves_19_25!$C:$C="SC")),
        braves_19_25!$F:$F
    )
),0)</f>
        <v>1833</v>
      </c>
      <c r="S14" cm="1">
        <f t="array" ref="S14">IFERROR(AVERAGE(
    IF(
        (braves_19_25!$B:$B=$A14) *
        ((braves_19_25!$C:$C="FS") +
         (braves_19_25!$C:$C="CH") +
         (braves_19_25!$C:$C="FO") +
         (braves_19_25!$C:$C="SC")),
        braves_19_25!$I:$I
    )
),0)</f>
        <v>2.9827599999999999</v>
      </c>
      <c r="T14" cm="1">
        <f t="array" ref="T14">IFERROR(AVERAGE(
    IF(
        (braves_19_25!$B:$B=$A14) *
        ((braves_19_25!$C:$C="FS") +
         (braves_19_25!$C:$C="CH") +
         (braves_19_25!$C:$C="FO") +
         (braves_19_25!$C:$C="SC")),
        braves_19_25!$J:$J
    )
),0)</f>
        <v>1.32603</v>
      </c>
      <c r="U14" s="29" cm="1">
        <f t="array" ref="U14">IFERROR(AVERAGE(
    IF(
        (braves_19_25!$B:$B=$A14) *
        ((braves_19_25!$C:$C="FS") +
         (braves_19_25!$C:$C="CH") +
         (braves_19_25!$C:$C="FO") +
         (braves_19_25!$C:$C="SC")),
        braves_19_25!$K:$K
    )
),0)</f>
        <v>-0.75490999999999997</v>
      </c>
      <c r="V14" s="28" cm="1">
        <f t="array" ref="V14">IFERROR(AVERAGE(
    IF(
        (braves_19_25!$B:$B=$A14) *
        ((braves_19_25!$C:$C="EP") +
         (braves_19_25!$C:$C="FA") +
         (braves_19_25!$C:$C="KN")),
        braves_19_25!$G:$G
    )
),0)</f>
        <v>0</v>
      </c>
      <c r="W14" cm="1">
        <f t="array" ref="W14">IFERROR(AVERAGE(
    IF(
        (braves_19_25!$B:$B=$A14) *
        ((braves_19_25!$C:$C="EP") +
         (braves_19_25!$C:$C="FA") +
         (braves_19_25!$C:$C="KN")),
        braves_19_25!$F:$F
    )
),0)</f>
        <v>0</v>
      </c>
      <c r="X14" cm="1">
        <f t="array" ref="X14">IFERROR(AVERAGE(
    IF(
        (braves_19_25!$B:$B=$A14) *
        ((braves_19_25!$C:$C="EP") +
         (braves_19_25!$C:$C="FA") +
         (braves_19_25!$C:$C="KN")),
        braves_19_25!$I:$I
    )
),0)</f>
        <v>0</v>
      </c>
      <c r="Y14" cm="1">
        <f t="array" ref="Y14">IFERROR(AVERAGE(
    IF(
        (braves_19_25!$B:$B=$A14) *
        ((braves_19_25!$C:$C="EP") +
         (braves_19_25!$C:$C="FA") +
         (braves_19_25!$C:$C="KN")),
        braves_19_25!$J:$J
    )
),0)</f>
        <v>0</v>
      </c>
      <c r="Z14" s="29" cm="1">
        <f t="array" ref="Z14">IFERROR(AVERAGE(
    IF(
        (braves_19_25!$B:$B=$A14) *
        ((braves_19_25!$C:$C="EP") +
         (braves_19_25!$C:$C="FA") +
         (braves_19_25!$C:$C="KN")),
        braves_19_25!$K:$K
    )
),0)</f>
        <v>0</v>
      </c>
    </row>
    <row r="15" spans="1:54" x14ac:dyDescent="0.3">
      <c r="A15" t="str">
        <v>Iglesias, Raisel</v>
      </c>
      <c r="B15" s="28" cm="1">
        <f t="array" ref="B15">IFERROR(AVERAGE(
    IF(
        (braves_19_25!$B:$B=$A15) *
        ((braves_19_25!$C:$C="FF") +
         (braves_19_25!$C:$C="SI") +
         (braves_19_25!$C:$C="FC")),
        braves_19_25!$G:$G
    )
),0)</f>
        <v>94.78</v>
      </c>
      <c r="C15" cm="1">
        <f t="array" ref="C15">IFERROR(AVERAGE(
    IF(
        (braves_19_25!$B:$B=$A15) *
        ((braves_19_25!$C:$C="FF") +
         (braves_19_25!$C:$C="SI") +
         (braves_19_25!$C:$C="FC")),
        braves_19_25!$F:$F
    )
),0)</f>
        <v>2324.5</v>
      </c>
      <c r="D15" cm="1">
        <f t="array" ref="D15">IFERROR(AVERAGE(
    IF(
        (braves_19_25!$B:$B=$A15) *
        ((braves_19_25!$C:$C="FF") +
         (braves_19_25!$C:$C="SI") +
         (braves_19_25!$C:$C="FC")),
        braves_19_25!$I:$I
    )
),0)</f>
        <v>1.5195650000000001</v>
      </c>
      <c r="E15" cm="1">
        <f t="array" ref="E15">IFERROR(AVERAGE(
    IF(
        (braves_19_25!$B:$B=$A15) *
        ((braves_19_25!$C:$C="FF") +
         (braves_19_25!$C:$C="SI") +
         (braves_19_25!$C:$C="FC")),
        braves_19_25!$J:$J
    )
),0)</f>
        <v>1.0649500000000001</v>
      </c>
      <c r="F15" s="29" cm="1">
        <f t="array" ref="F15">IFERROR(AVERAGE(
    IF(
        (braves_19_25!$B:$B=$A15) *
        ((braves_19_25!$C:$C="FF") +
         (braves_19_25!$C:$C="SI") +
         (braves_19_25!$C:$C="FC")),
        braves_19_25!$K:$K
    )
),0)</f>
        <v>0.17704499999999998</v>
      </c>
      <c r="G15" s="28" cm="1">
        <f t="array" ref="G15">IFERROR(AVERAGE(
    IF(
        (braves_19_25!$B:$B=$A15) *
        ((braves_19_25!$C:$C="SL") +
         (braves_19_25!$C:$C="ST") +
         (braves_19_25!$C:$C="SV")),
        braves_19_25!$G:$G
    )
),0)</f>
        <v>83.99</v>
      </c>
      <c r="H15" cm="1">
        <f t="array" ref="H15">IFERROR(AVERAGE(
    IF(
        (braves_19_25!$B:$B=$A15) *
        ((braves_19_25!$C:$C="SL") +
         (braves_19_25!$C:$C="ST") +
         (braves_19_25!$C:$C="SV")),
        braves_19_25!$F:$F
    )
),0)</f>
        <v>2645</v>
      </c>
      <c r="I15" cm="1">
        <f t="array" ref="I15">IFERROR(AVERAGE(
    IF(
        (braves_19_25!$B:$B=$A15) *
        ((braves_19_25!$C:$C="SL") +
         (braves_19_25!$C:$C="ST") +
         (braves_19_25!$C:$C="SV")),
        braves_19_25!$I:$I
    )
),0)</f>
        <v>2.82986</v>
      </c>
      <c r="J15" cm="1">
        <f t="array" ref="J15">IFERROR(AVERAGE(
    IF(
        (braves_19_25!$B:$B=$A15) *
        ((braves_19_25!$C:$C="SL") +
         (braves_19_25!$C:$C="ST") +
         (braves_19_25!$C:$C="SV")),
        braves_19_25!$J:$J
    )
),0)</f>
        <v>-0.80552999999999997</v>
      </c>
      <c r="K15" s="29" cm="1">
        <f t="array" ref="K15">IFERROR(AVERAGE(
    IF(
        (braves_19_25!$B:$B=$A15) *
        ((braves_19_25!$C:$C="SL") +
         (braves_19_25!$C:$C="ST") +
         (braves_19_25!$C:$C="SV")),
        braves_19_25!$K:$K
    )
),0)</f>
        <v>-0.44618000000000002</v>
      </c>
      <c r="L15" s="28" cm="1">
        <f t="array" ref="L15">IFERROR(AVERAGE(
    IF(
        (braves_19_25!$B:$B=$A15) *
        ((braves_19_25!$C:$C="CU") +
         (braves_19_25!$C:$C="CS") +
         (braves_19_25!$C:$C="KC")),
        braves_19_25!$G:$G
    )
),0)</f>
        <v>0</v>
      </c>
      <c r="M15" cm="1">
        <f t="array" ref="M15">IFERROR(AVERAGE(
    IF(
        (braves_19_25!$B:$B=$A15) *
        ((braves_19_25!$C:$C="CU") +
         (braves_19_25!$C:$C="CS") +
         (braves_19_25!$C:$C="KC")),
        braves_19_25!$F:$F
    )
),0)</f>
        <v>0</v>
      </c>
      <c r="N15" cm="1">
        <f t="array" ref="N15">IFERROR(AVERAGE(
    IF(
        (braves_19_25!$B:$B=$A15) *
        ((braves_19_25!$C:$C="CU") +
         (braves_19_25!$C:$C="CS") +
         (braves_19_25!$C:$C="KC")),
        braves_19_25!$I:$I
    )
),0)</f>
        <v>0</v>
      </c>
      <c r="O15" cm="1">
        <f t="array" ref="O15">IFERROR(AVERAGE(
    IF(
        (braves_19_25!$B:$B=$A15) *
        ((braves_19_25!$C:$C="CU") +
         (braves_19_25!$C:$C="CS") +
         (braves_19_25!$C:$C="KC")),
        braves_19_25!$J:$J
    )
),0)</f>
        <v>0</v>
      </c>
      <c r="P15" s="29" cm="1">
        <f t="array" ref="P15">IFERROR(AVERAGE(
    IF(
        (braves_19_25!$B:$B=$A15) *
        ((braves_19_25!$C:$C="CU") +
         (braves_19_25!$C:$C="CS") +
         (braves_19_25!$C:$C="KC")),
        braves_19_25!$K:$K
    )
),0)</f>
        <v>0</v>
      </c>
      <c r="Q15" s="28" cm="1">
        <f t="array" ref="Q15">IFERROR(AVERAGE(
    IF(
        (braves_19_25!$B:$B=$A15) *
        ((braves_19_25!$C:$C="FS") +
         (braves_19_25!$C:$C="CH") +
         (braves_19_25!$C:$C="FO") +
         (braves_19_25!$C:$C="SC")),
        braves_19_25!$G:$G
    )
),0)</f>
        <v>89</v>
      </c>
      <c r="R15" cm="1">
        <f t="array" ref="R15">IFERROR(AVERAGE(
    IF(
        (braves_19_25!$B:$B=$A15) *
        ((braves_19_25!$C:$C="FS") +
         (braves_19_25!$C:$C="CH") +
         (braves_19_25!$C:$C="FO") +
         (braves_19_25!$C:$C="SC")),
        braves_19_25!$F:$F
    )
),0)</f>
        <v>1974</v>
      </c>
      <c r="S15" cm="1">
        <f t="array" ref="S15">IFERROR(AVERAGE(
    IF(
        (braves_19_25!$B:$B=$A15) *
        ((braves_19_25!$C:$C="FS") +
         (braves_19_25!$C:$C="CH") +
         (braves_19_25!$C:$C="FO") +
         (braves_19_25!$C:$C="SC")),
        braves_19_25!$I:$I
    )
),0)</f>
        <v>2.5007000000000001</v>
      </c>
      <c r="T15" cm="1">
        <f t="array" ref="T15">IFERROR(AVERAGE(
    IF(
        (braves_19_25!$B:$B=$A15) *
        ((braves_19_25!$C:$C="FS") +
         (braves_19_25!$C:$C="CH") +
         (braves_19_25!$C:$C="FO") +
         (braves_19_25!$C:$C="SC")),
        braves_19_25!$J:$J
    )
),0)</f>
        <v>1.3315300000000001</v>
      </c>
      <c r="U15" s="29" cm="1">
        <f t="array" ref="U15">IFERROR(AVERAGE(
    IF(
        (braves_19_25!$B:$B=$A15) *
        ((braves_19_25!$C:$C="FS") +
         (braves_19_25!$C:$C="CH") +
         (braves_19_25!$C:$C="FO") +
         (braves_19_25!$C:$C="SC")),
        braves_19_25!$K:$K
    )
),0)</f>
        <v>-0.48331000000000002</v>
      </c>
      <c r="V15" s="28" cm="1">
        <f t="array" ref="V15">IFERROR(AVERAGE(
    IF(
        (braves_19_25!$B:$B=$A15) *
        ((braves_19_25!$C:$C="EP") +
         (braves_19_25!$C:$C="FA") +
         (braves_19_25!$C:$C="KN")),
        braves_19_25!$G:$G
    )
),0)</f>
        <v>0</v>
      </c>
      <c r="W15" cm="1">
        <f t="array" ref="W15">IFERROR(AVERAGE(
    IF(
        (braves_19_25!$B:$B=$A15) *
        ((braves_19_25!$C:$C="EP") +
         (braves_19_25!$C:$C="FA") +
         (braves_19_25!$C:$C="KN")),
        braves_19_25!$F:$F
    )
),0)</f>
        <v>0</v>
      </c>
      <c r="X15" cm="1">
        <f t="array" ref="X15">IFERROR(AVERAGE(
    IF(
        (braves_19_25!$B:$B=$A15) *
        ((braves_19_25!$C:$C="EP") +
         (braves_19_25!$C:$C="FA") +
         (braves_19_25!$C:$C="KN")),
        braves_19_25!$I:$I
    )
),0)</f>
        <v>0</v>
      </c>
      <c r="Y15" cm="1">
        <f t="array" ref="Y15">IFERROR(AVERAGE(
    IF(
        (braves_19_25!$B:$B=$A15) *
        ((braves_19_25!$C:$C="EP") +
         (braves_19_25!$C:$C="FA") +
         (braves_19_25!$C:$C="KN")),
        braves_19_25!$J:$J
    )
),0)</f>
        <v>0</v>
      </c>
      <c r="Z15" s="29" cm="1">
        <f t="array" ref="Z15">IFERROR(AVERAGE(
    IF(
        (braves_19_25!$B:$B=$A15) *
        ((braves_19_25!$C:$C="EP") +
         (braves_19_25!$C:$C="FA") +
         (braves_19_25!$C:$C="KN")),
        braves_19_25!$K:$K
    )
),0)</f>
        <v>0</v>
      </c>
    </row>
    <row r="16" spans="1:54" x14ac:dyDescent="0.3">
      <c r="A16" t="str">
        <v>Jackson, Luke</v>
      </c>
      <c r="B16" s="28" cm="1">
        <f t="array" ref="B16">IFERROR(AVERAGE(
    IF(
        (braves_19_25!$B:$B=$A16) *
        ((braves_19_25!$C:$C="FF") +
         (braves_19_25!$C:$C="SI") +
         (braves_19_25!$C:$C="FC")),
        braves_19_25!$G:$G
    )
),0)</f>
        <v>93.6</v>
      </c>
      <c r="C16" cm="1">
        <f t="array" ref="C16">IFERROR(AVERAGE(
    IF(
        (braves_19_25!$B:$B=$A16) *
        ((braves_19_25!$C:$C="FF") +
         (braves_19_25!$C:$C="SI") +
         (braves_19_25!$C:$C="FC")),
        braves_19_25!$F:$F
    )
),0)</f>
        <v>2329</v>
      </c>
      <c r="D16" cm="1">
        <f t="array" ref="D16">IFERROR(AVERAGE(
    IF(
        (braves_19_25!$B:$B=$A16) *
        ((braves_19_25!$C:$C="FF") +
         (braves_19_25!$C:$C="SI") +
         (braves_19_25!$C:$C="FC")),
        braves_19_25!$I:$I
    )
),0)</f>
        <v>1.582525</v>
      </c>
      <c r="E16" cm="1">
        <f t="array" ref="E16">IFERROR(AVERAGE(
    IF(
        (braves_19_25!$B:$B=$A16) *
        ((braves_19_25!$C:$C="FF") +
         (braves_19_25!$C:$C="SI") +
         (braves_19_25!$C:$C="FC")),
        braves_19_25!$J:$J
    )
),0)</f>
        <v>0.21930499999999997</v>
      </c>
      <c r="F16" s="29" cm="1">
        <f t="array" ref="F16">IFERROR(AVERAGE(
    IF(
        (braves_19_25!$B:$B=$A16) *
        ((braves_19_25!$C:$C="FF") +
         (braves_19_25!$C:$C="SI") +
         (braves_19_25!$C:$C="FC")),
        braves_19_25!$K:$K
    )
),0)</f>
        <v>-5.1544999999999994E-2</v>
      </c>
      <c r="G16" s="28" cm="1">
        <f t="array" ref="G16">IFERROR(AVERAGE(
    IF(
        (braves_19_25!$B:$B=$A16) *
        ((braves_19_25!$C:$C="SL") +
         (braves_19_25!$C:$C="ST") +
         (braves_19_25!$C:$C="SV")),
        braves_19_25!$G:$G
    )
),0)</f>
        <v>87.94</v>
      </c>
      <c r="H16" cm="1">
        <f t="array" ref="H16">IFERROR(AVERAGE(
    IF(
        (braves_19_25!$B:$B=$A16) *
        ((braves_19_25!$C:$C="SL") +
         (braves_19_25!$C:$C="ST") +
         (braves_19_25!$C:$C="SV")),
        braves_19_25!$F:$F
    )
),0)</f>
        <v>2446</v>
      </c>
      <c r="I16" cm="1">
        <f t="array" ref="I16">IFERROR(AVERAGE(
    IF(
        (braves_19_25!$B:$B=$A16) *
        ((braves_19_25!$C:$C="SL") +
         (braves_19_25!$C:$C="ST") +
         (braves_19_25!$C:$C="SV")),
        braves_19_25!$I:$I
    )
),0)</f>
        <v>3.4925799999999998</v>
      </c>
      <c r="J16" cm="1">
        <f t="array" ref="J16">IFERROR(AVERAGE(
    IF(
        (braves_19_25!$B:$B=$A16) *
        ((braves_19_25!$C:$C="SL") +
         (braves_19_25!$C:$C="ST") +
         (braves_19_25!$C:$C="SV")),
        braves_19_25!$J:$J
    )
),0)</f>
        <v>-0.14026</v>
      </c>
      <c r="K16" s="29" cm="1">
        <f t="array" ref="K16">IFERROR(AVERAGE(
    IF(
        (braves_19_25!$B:$B=$A16) *
        ((braves_19_25!$C:$C="SL") +
         (braves_19_25!$C:$C="ST") +
         (braves_19_25!$C:$C="SV")),
        braves_19_25!$K:$K
    )
),0)</f>
        <v>-3.0759999999999999E-2</v>
      </c>
      <c r="L16" s="28" cm="1">
        <f t="array" ref="L16">IFERROR(AVERAGE(
    IF(
        (braves_19_25!$B:$B=$A16) *
        ((braves_19_25!$C:$C="CU") +
         (braves_19_25!$C:$C="CS") +
         (braves_19_25!$C:$C="KC")),
        braves_19_25!$G:$G
    )
),0)</f>
        <v>84.04</v>
      </c>
      <c r="M16" cm="1">
        <f t="array" ref="M16">IFERROR(AVERAGE(
    IF(
        (braves_19_25!$B:$B=$A16) *
        ((braves_19_25!$C:$C="CU") +
         (braves_19_25!$C:$C="CS") +
         (braves_19_25!$C:$C="KC")),
        braves_19_25!$F:$F
    )
),0)</f>
        <v>2498</v>
      </c>
      <c r="N16" cm="1">
        <f t="array" ref="N16">IFERROR(AVERAGE(
    IF(
        (braves_19_25!$B:$B=$A16) *
        ((braves_19_25!$C:$C="CU") +
         (braves_19_25!$C:$C="CS") +
         (braves_19_25!$C:$C="KC")),
        braves_19_25!$I:$I
    )
),0)</f>
        <v>4.3048299999999999</v>
      </c>
      <c r="O16" cm="1">
        <f t="array" ref="O16">IFERROR(AVERAGE(
    IF(
        (braves_19_25!$B:$B=$A16) *
        ((braves_19_25!$C:$C="CU") +
         (braves_19_25!$C:$C="CS") +
         (braves_19_25!$C:$C="KC")),
        braves_19_25!$J:$J
    )
),0)</f>
        <v>-0.48948000000000003</v>
      </c>
      <c r="P16" s="29" cm="1">
        <f t="array" ref="P16">IFERROR(AVERAGE(
    IF(
        (braves_19_25!$B:$B=$A16) *
        ((braves_19_25!$C:$C="CU") +
         (braves_19_25!$C:$C="CS") +
         (braves_19_25!$C:$C="KC")),
        braves_19_25!$K:$K
    )
),0)</f>
        <v>0.15275</v>
      </c>
      <c r="Q16" s="28" cm="1">
        <f t="array" ref="Q16">IFERROR(AVERAGE(
    IF(
        (braves_19_25!$B:$B=$A16) *
        ((braves_19_25!$C:$C="FS") +
         (braves_19_25!$C:$C="CH") +
         (braves_19_25!$C:$C="FO") +
         (braves_19_25!$C:$C="SC")),
        braves_19_25!$G:$G
    )
),0)</f>
        <v>0</v>
      </c>
      <c r="R16" cm="1">
        <f t="array" ref="R16">IFERROR(AVERAGE(
    IF(
        (braves_19_25!$B:$B=$A16) *
        ((braves_19_25!$C:$C="FS") +
         (braves_19_25!$C:$C="CH") +
         (braves_19_25!$C:$C="FO") +
         (braves_19_25!$C:$C="SC")),
        braves_19_25!$F:$F
    )
),0)</f>
        <v>0</v>
      </c>
      <c r="S16" cm="1">
        <f t="array" ref="S16">IFERROR(AVERAGE(
    IF(
        (braves_19_25!$B:$B=$A16) *
        ((braves_19_25!$C:$C="FS") +
         (braves_19_25!$C:$C="CH") +
         (braves_19_25!$C:$C="FO") +
         (braves_19_25!$C:$C="SC")),
        braves_19_25!$I:$I
    )
),0)</f>
        <v>0</v>
      </c>
      <c r="T16" cm="1">
        <f t="array" ref="T16">IFERROR(AVERAGE(
    IF(
        (braves_19_25!$B:$B=$A16) *
        ((braves_19_25!$C:$C="FS") +
         (braves_19_25!$C:$C="CH") +
         (braves_19_25!$C:$C="FO") +
         (braves_19_25!$C:$C="SC")),
        braves_19_25!$J:$J
    )
),0)</f>
        <v>0</v>
      </c>
      <c r="U16" s="29" cm="1">
        <f t="array" ref="U16">IFERROR(AVERAGE(
    IF(
        (braves_19_25!$B:$B=$A16) *
        ((braves_19_25!$C:$C="FS") +
         (braves_19_25!$C:$C="CH") +
         (braves_19_25!$C:$C="FO") +
         (braves_19_25!$C:$C="SC")),
        braves_19_25!$K:$K
    )
),0)</f>
        <v>0</v>
      </c>
      <c r="V16" s="28" cm="1">
        <f t="array" ref="V16">IFERROR(AVERAGE(
    IF(
        (braves_19_25!$B:$B=$A16) *
        ((braves_19_25!$C:$C="EP") +
         (braves_19_25!$C:$C="FA") +
         (braves_19_25!$C:$C="KN")),
        braves_19_25!$G:$G
    )
),0)</f>
        <v>0</v>
      </c>
      <c r="W16" cm="1">
        <f t="array" ref="W16">IFERROR(AVERAGE(
    IF(
        (braves_19_25!$B:$B=$A16) *
        ((braves_19_25!$C:$C="EP") +
         (braves_19_25!$C:$C="FA") +
         (braves_19_25!$C:$C="KN")),
        braves_19_25!$F:$F
    )
),0)</f>
        <v>0</v>
      </c>
      <c r="X16" cm="1">
        <f t="array" ref="X16">IFERROR(AVERAGE(
    IF(
        (braves_19_25!$B:$B=$A16) *
        ((braves_19_25!$C:$C="EP") +
         (braves_19_25!$C:$C="FA") +
         (braves_19_25!$C:$C="KN")),
        braves_19_25!$I:$I
    )
),0)</f>
        <v>0</v>
      </c>
      <c r="Y16" cm="1">
        <f t="array" ref="Y16">IFERROR(AVERAGE(
    IF(
        (braves_19_25!$B:$B=$A16) *
        ((braves_19_25!$C:$C="EP") +
         (braves_19_25!$C:$C="FA") +
         (braves_19_25!$C:$C="KN")),
        braves_19_25!$J:$J
    )
),0)</f>
        <v>0</v>
      </c>
      <c r="Z16" s="29" cm="1">
        <f t="array" ref="Z16">IFERROR(AVERAGE(
    IF(
        (braves_19_25!$B:$B=$A16) *
        ((braves_19_25!$C:$C="EP") +
         (braves_19_25!$C:$C="FA") +
         (braves_19_25!$C:$C="KN")),
        braves_19_25!$K:$K
    )
),0)</f>
        <v>0</v>
      </c>
    </row>
    <row r="17" spans="1:26" x14ac:dyDescent="0.3">
      <c r="A17" t="str">
        <v>Lee, Dylan</v>
      </c>
      <c r="B17" s="28" cm="1">
        <f t="array" ref="B17">IFERROR(AVERAGE(
    IF(
        (braves_19_25!$B:$B=$A17) *
        ((braves_19_25!$C:$C="FF") +
         (braves_19_25!$C:$C="SI") +
         (braves_19_25!$C:$C="FC")),
        braves_19_25!$G:$G
    )
),0)</f>
        <v>92.41</v>
      </c>
      <c r="C17" cm="1">
        <f t="array" ref="C17">IFERROR(AVERAGE(
    IF(
        (braves_19_25!$B:$B=$A17) *
        ((braves_19_25!$C:$C="FF") +
         (braves_19_25!$C:$C="SI") +
         (braves_19_25!$C:$C="FC")),
        braves_19_25!$F:$F
    )
),0)</f>
        <v>2172.5</v>
      </c>
      <c r="D17" cm="1">
        <f t="array" ref="D17">IFERROR(AVERAGE(
    IF(
        (braves_19_25!$B:$B=$A17) *
        ((braves_19_25!$C:$C="FF") +
         (braves_19_25!$C:$C="SI") +
         (braves_19_25!$C:$C="FC")),
        braves_19_25!$I:$I
    )
),0)</f>
        <v>1.1827000000000001</v>
      </c>
      <c r="E17" cm="1">
        <f t="array" ref="E17">IFERROR(AVERAGE(
    IF(
        (braves_19_25!$B:$B=$A17) *
        ((braves_19_25!$C:$C="FF") +
         (braves_19_25!$C:$C="SI") +
         (braves_19_25!$C:$C="FC")),
        braves_19_25!$J:$J
    )
),0)</f>
        <v>0.52746499999999996</v>
      </c>
      <c r="F17" s="29" cm="1">
        <f t="array" ref="F17">IFERROR(AVERAGE(
    IF(
        (braves_19_25!$B:$B=$A17) *
        ((braves_19_25!$C:$C="FF") +
         (braves_19_25!$C:$C="SI") +
         (braves_19_25!$C:$C="FC")),
        braves_19_25!$K:$K
    )
),0)</f>
        <v>-0.29257</v>
      </c>
      <c r="G17" s="28" cm="1">
        <f t="array" ref="G17">IFERROR(AVERAGE(
    IF(
        (braves_19_25!$B:$B=$A17) *
        ((braves_19_25!$C:$C="SL") +
         (braves_19_25!$C:$C="ST") +
         (braves_19_25!$C:$C="SV")),
        braves_19_25!$G:$G
    )
),0)</f>
        <v>84.9</v>
      </c>
      <c r="H17" cm="1">
        <f t="array" ref="H17">IFERROR(AVERAGE(
    IF(
        (braves_19_25!$B:$B=$A17) *
        ((braves_19_25!$C:$C="SL") +
         (braves_19_25!$C:$C="ST") +
         (braves_19_25!$C:$C="SV")),
        braves_19_25!$F:$F
    )
),0)</f>
        <v>2095</v>
      </c>
      <c r="I17" cm="1">
        <f t="array" ref="I17">IFERROR(AVERAGE(
    IF(
        (braves_19_25!$B:$B=$A17) *
        ((braves_19_25!$C:$C="SL") +
         (braves_19_25!$C:$C="ST") +
         (braves_19_25!$C:$C="SV")),
        braves_19_25!$I:$I
    )
),0)</f>
        <v>2.7085300000000001</v>
      </c>
      <c r="J17" cm="1">
        <f t="array" ref="J17">IFERROR(AVERAGE(
    IF(
        (braves_19_25!$B:$B=$A17) *
        ((braves_19_25!$C:$C="SL") +
         (braves_19_25!$C:$C="ST") +
         (braves_19_25!$C:$C="SV")),
        braves_19_25!$J:$J
    )
),0)</f>
        <v>-0.15548000000000001</v>
      </c>
      <c r="K17" s="29" cm="1">
        <f t="array" ref="K17">IFERROR(AVERAGE(
    IF(
        (braves_19_25!$B:$B=$A17) *
        ((braves_19_25!$C:$C="SL") +
         (braves_19_25!$C:$C="ST") +
         (braves_19_25!$C:$C="SV")),
        braves_19_25!$K:$K
    )
),0)</f>
        <v>2.1909999999999999E-2</v>
      </c>
      <c r="L17" s="28" cm="1">
        <f t="array" ref="L17">IFERROR(AVERAGE(
    IF(
        (braves_19_25!$B:$B=$A17) *
        ((braves_19_25!$C:$C="CU") +
         (braves_19_25!$C:$C="CS") +
         (braves_19_25!$C:$C="KC")),
        braves_19_25!$G:$G
    )
),0)</f>
        <v>0</v>
      </c>
      <c r="M17" cm="1">
        <f t="array" ref="M17">IFERROR(AVERAGE(
    IF(
        (braves_19_25!$B:$B=$A17) *
        ((braves_19_25!$C:$C="CU") +
         (braves_19_25!$C:$C="CS") +
         (braves_19_25!$C:$C="KC")),
        braves_19_25!$F:$F
    )
),0)</f>
        <v>0</v>
      </c>
      <c r="N17" cm="1">
        <f t="array" ref="N17">IFERROR(AVERAGE(
    IF(
        (braves_19_25!$B:$B=$A17) *
        ((braves_19_25!$C:$C="CU") +
         (braves_19_25!$C:$C="CS") +
         (braves_19_25!$C:$C="KC")),
        braves_19_25!$I:$I
    )
),0)</f>
        <v>0</v>
      </c>
      <c r="O17" cm="1">
        <f t="array" ref="O17">IFERROR(AVERAGE(
    IF(
        (braves_19_25!$B:$B=$A17) *
        ((braves_19_25!$C:$C="CU") +
         (braves_19_25!$C:$C="CS") +
         (braves_19_25!$C:$C="KC")),
        braves_19_25!$J:$J
    )
),0)</f>
        <v>0</v>
      </c>
      <c r="P17" s="29" cm="1">
        <f t="array" ref="P17">IFERROR(AVERAGE(
    IF(
        (braves_19_25!$B:$B=$A17) *
        ((braves_19_25!$C:$C="CU") +
         (braves_19_25!$C:$C="CS") +
         (braves_19_25!$C:$C="KC")),
        braves_19_25!$K:$K
    )
),0)</f>
        <v>0</v>
      </c>
      <c r="Q17" s="28" cm="1">
        <f t="array" ref="Q17">IFERROR(AVERAGE(
    IF(
        (braves_19_25!$B:$B=$A17) *
        ((braves_19_25!$C:$C="FS") +
         (braves_19_25!$C:$C="CH") +
         (braves_19_25!$C:$C="FO") +
         (braves_19_25!$C:$C="SC")),
        braves_19_25!$G:$G
    )
),0)</f>
        <v>86.43</v>
      </c>
      <c r="R17" cm="1">
        <f t="array" ref="R17">IFERROR(AVERAGE(
    IF(
        (braves_19_25!$B:$B=$A17) *
        ((braves_19_25!$C:$C="FS") +
         (braves_19_25!$C:$C="CH") +
         (braves_19_25!$C:$C="FO") +
         (braves_19_25!$C:$C="SC")),
        braves_19_25!$F:$F
    )
),0)</f>
        <v>1648</v>
      </c>
      <c r="S17" cm="1">
        <f t="array" ref="S17">IFERROR(AVERAGE(
    IF(
        (braves_19_25!$B:$B=$A17) *
        ((braves_19_25!$C:$C="FS") +
         (braves_19_25!$C:$C="CH") +
         (braves_19_25!$C:$C="FO") +
         (braves_19_25!$C:$C="SC")),
        braves_19_25!$I:$I
    )
),0)</f>
        <v>2.0858500000000002</v>
      </c>
      <c r="T17" cm="1">
        <f t="array" ref="T17">IFERROR(AVERAGE(
    IF(
        (braves_19_25!$B:$B=$A17) *
        ((braves_19_25!$C:$C="FS") +
         (braves_19_25!$C:$C="CH") +
         (braves_19_25!$C:$C="FO") +
         (braves_19_25!$C:$C="SC")),
        braves_19_25!$J:$J
    )
),0)</f>
        <v>0.9698</v>
      </c>
      <c r="U17" s="29" cm="1">
        <f t="array" ref="U17">IFERROR(AVERAGE(
    IF(
        (braves_19_25!$B:$B=$A17) *
        ((braves_19_25!$C:$C="FS") +
         (braves_19_25!$C:$C="CH") +
         (braves_19_25!$C:$C="FO") +
         (braves_19_25!$C:$C="SC")),
        braves_19_25!$K:$K
    )
),0)</f>
        <v>-0.89215999999999995</v>
      </c>
      <c r="V17" s="28" cm="1">
        <f t="array" ref="V17">IFERROR(AVERAGE(
    IF(
        (braves_19_25!$B:$B=$A17) *
        ((braves_19_25!$C:$C="EP") +
         (braves_19_25!$C:$C="FA") +
         (braves_19_25!$C:$C="KN")),
        braves_19_25!$G:$G
    )
),0)</f>
        <v>0</v>
      </c>
      <c r="W17" cm="1">
        <f t="array" ref="W17">IFERROR(AVERAGE(
    IF(
        (braves_19_25!$B:$B=$A17) *
        ((braves_19_25!$C:$C="EP") +
         (braves_19_25!$C:$C="FA") +
         (braves_19_25!$C:$C="KN")),
        braves_19_25!$F:$F
    )
),0)</f>
        <v>0</v>
      </c>
      <c r="X17" cm="1">
        <f t="array" ref="X17">IFERROR(AVERAGE(
    IF(
        (braves_19_25!$B:$B=$A17) *
        ((braves_19_25!$C:$C="EP") +
         (braves_19_25!$C:$C="FA") +
         (braves_19_25!$C:$C="KN")),
        braves_19_25!$I:$I
    )
),0)</f>
        <v>0</v>
      </c>
      <c r="Y17" cm="1">
        <f t="array" ref="Y17">IFERROR(AVERAGE(
    IF(
        (braves_19_25!$B:$B=$A17) *
        ((braves_19_25!$C:$C="EP") +
         (braves_19_25!$C:$C="FA") +
         (braves_19_25!$C:$C="KN")),
        braves_19_25!$J:$J
    )
),0)</f>
        <v>0</v>
      </c>
      <c r="Z17" s="29" cm="1">
        <f t="array" ref="Z17">IFERROR(AVERAGE(
    IF(
        (braves_19_25!$B:$B=$A17) *
        ((braves_19_25!$C:$C="EP") +
         (braves_19_25!$C:$C="FA") +
         (braves_19_25!$C:$C="KN")),
        braves_19_25!$K:$K
    )
),0)</f>
        <v>0</v>
      </c>
    </row>
    <row r="18" spans="1:26" x14ac:dyDescent="0.3">
      <c r="A18" t="str">
        <v>Holmes, Grant</v>
      </c>
      <c r="B18" s="28" cm="1">
        <f t="array" ref="B18">IFERROR(AVERAGE(
    IF(
        (braves_19_25!$B:$B=$A18) *
        ((braves_19_25!$C:$C="FF") +
         (braves_19_25!$C:$C="SI") +
         (braves_19_25!$C:$C="FC")),
        braves_19_25!$G:$G
    )
),0)</f>
        <v>93.146666666666661</v>
      </c>
      <c r="C18" cm="1">
        <f t="array" ref="C18">IFERROR(AVERAGE(
    IF(
        (braves_19_25!$B:$B=$A18) *
        ((braves_19_25!$C:$C="FF") +
         (braves_19_25!$C:$C="SI") +
         (braves_19_25!$C:$C="FC")),
        braves_19_25!$F:$F
    )
),0)</f>
        <v>2384.6666666666665</v>
      </c>
      <c r="D18" cm="1">
        <f t="array" ref="D18">IFERROR(AVERAGE(
    IF(
        (braves_19_25!$B:$B=$A18) *
        ((braves_19_25!$C:$C="FF") +
         (braves_19_25!$C:$C="SI") +
         (braves_19_25!$C:$C="FC")),
        braves_19_25!$I:$I
    )
),0)</f>
        <v>1.6858766666666665</v>
      </c>
      <c r="E18" cm="1">
        <f t="array" ref="E18">IFERROR(AVERAGE(
    IF(
        (braves_19_25!$B:$B=$A18) *
        ((braves_19_25!$C:$C="FF") +
         (braves_19_25!$C:$C="SI") +
         (braves_19_25!$C:$C="FC")),
        braves_19_25!$J:$J
    )
),0)</f>
        <v>0.41974666666666671</v>
      </c>
      <c r="F18" s="29" cm="1">
        <f t="array" ref="F18">IFERROR(AVERAGE(
    IF(
        (braves_19_25!$B:$B=$A18) *
        ((braves_19_25!$C:$C="FF") +
         (braves_19_25!$C:$C="SI") +
         (braves_19_25!$C:$C="FC")),
        braves_19_25!$K:$K
    )
),0)</f>
        <v>-3.7366666666666659E-3</v>
      </c>
      <c r="G18" s="28" cm="1">
        <f t="array" ref="G18">IFERROR(AVERAGE(
    IF(
        (braves_19_25!$B:$B=$A18) *
        ((braves_19_25!$C:$C="SL") +
         (braves_19_25!$C:$C="ST") +
         (braves_19_25!$C:$C="SV")),
        braves_19_25!$G:$G
    )
),0)</f>
        <v>85.41</v>
      </c>
      <c r="H18" cm="1">
        <f t="array" ref="H18">IFERROR(AVERAGE(
    IF(
        (braves_19_25!$B:$B=$A18) *
        ((braves_19_25!$C:$C="SL") +
         (braves_19_25!$C:$C="ST") +
         (braves_19_25!$C:$C="SV")),
        braves_19_25!$F:$F
    )
),0)</f>
        <v>2807</v>
      </c>
      <c r="I18" cm="1">
        <f t="array" ref="I18">IFERROR(AVERAGE(
    IF(
        (braves_19_25!$B:$B=$A18) *
        ((braves_19_25!$C:$C="SL") +
         (braves_19_25!$C:$C="ST") +
         (braves_19_25!$C:$C="SV")),
        braves_19_25!$I:$I
    )
),0)</f>
        <v>3.3035999999999999</v>
      </c>
      <c r="J18" cm="1">
        <f t="array" ref="J18">IFERROR(AVERAGE(
    IF(
        (braves_19_25!$B:$B=$A18) *
        ((braves_19_25!$C:$C="SL") +
         (braves_19_25!$C:$C="ST") +
         (braves_19_25!$C:$C="SV")),
        braves_19_25!$J:$J
    )
),0)</f>
        <v>-0.22078</v>
      </c>
      <c r="K18" s="29" cm="1">
        <f t="array" ref="K18">IFERROR(AVERAGE(
    IF(
        (braves_19_25!$B:$B=$A18) *
        ((braves_19_25!$C:$C="SL") +
         (braves_19_25!$C:$C="ST") +
         (braves_19_25!$C:$C="SV")),
        braves_19_25!$K:$K
    )
),0)</f>
        <v>-4.5699999999999998E-2</v>
      </c>
      <c r="L18" s="28" cm="1">
        <f t="array" ref="L18">IFERROR(AVERAGE(
    IF(
        (braves_19_25!$B:$B=$A18) *
        ((braves_19_25!$C:$C="CU") +
         (braves_19_25!$C:$C="CS") +
         (braves_19_25!$C:$C="KC")),
        braves_19_25!$G:$G
    )
),0)</f>
        <v>83.28</v>
      </c>
      <c r="M18" cm="1">
        <f t="array" ref="M18">IFERROR(AVERAGE(
    IF(
        (braves_19_25!$B:$B=$A18) *
        ((braves_19_25!$C:$C="CU") +
         (braves_19_25!$C:$C="CS") +
         (braves_19_25!$C:$C="KC")),
        braves_19_25!$F:$F
    )
),0)</f>
        <v>2882</v>
      </c>
      <c r="N18" cm="1">
        <f t="array" ref="N18">IFERROR(AVERAGE(
    IF(
        (braves_19_25!$B:$B=$A18) *
        ((braves_19_25!$C:$C="CU") +
         (braves_19_25!$C:$C="CS") +
         (braves_19_25!$C:$C="KC")),
        braves_19_25!$I:$I
    )
),0)</f>
        <v>4.0039899999999999</v>
      </c>
      <c r="O18" cm="1">
        <f t="array" ref="O18">IFERROR(AVERAGE(
    IF(
        (braves_19_25!$B:$B=$A18) *
        ((braves_19_25!$C:$C="CU") +
         (braves_19_25!$C:$C="CS") +
         (braves_19_25!$C:$C="KC")),
        braves_19_25!$J:$J
    )
),0)</f>
        <v>-0.33922000000000002</v>
      </c>
      <c r="P18" s="29" cm="1">
        <f t="array" ref="P18">IFERROR(AVERAGE(
    IF(
        (braves_19_25!$B:$B=$A18) *
        ((braves_19_25!$C:$C="CU") +
         (braves_19_25!$C:$C="CS") +
         (braves_19_25!$C:$C="KC")),
        braves_19_25!$K:$K
    )
),0)</f>
        <v>0.18942999999999999</v>
      </c>
      <c r="Q18" s="28" cm="1">
        <f t="array" ref="Q18">IFERROR(AVERAGE(
    IF(
        (braves_19_25!$B:$B=$A18) *
        ((braves_19_25!$C:$C="FS") +
         (braves_19_25!$C:$C="CH") +
         (braves_19_25!$C:$C="FO") +
         (braves_19_25!$C:$C="SC")),
        braves_19_25!$G:$G
    )
),0)</f>
        <v>90.09</v>
      </c>
      <c r="R18" cm="1">
        <f t="array" ref="R18">IFERROR(AVERAGE(
    IF(
        (braves_19_25!$B:$B=$A18) *
        ((braves_19_25!$C:$C="FS") +
         (braves_19_25!$C:$C="CH") +
         (braves_19_25!$C:$C="FO") +
         (braves_19_25!$C:$C="SC")),
        braves_19_25!$F:$F
    )
),0)</f>
        <v>1620</v>
      </c>
      <c r="S18" cm="1">
        <f t="array" ref="S18">IFERROR(AVERAGE(
    IF(
        (braves_19_25!$B:$B=$A18) *
        ((braves_19_25!$C:$C="FS") +
         (braves_19_25!$C:$C="CH") +
         (braves_19_25!$C:$C="FO") +
         (braves_19_25!$C:$C="SC")),
        braves_19_25!$I:$I
    )
),0)</f>
        <v>2.4062899999999998</v>
      </c>
      <c r="T18" cm="1">
        <f t="array" ref="T18">IFERROR(AVERAGE(
    IF(
        (braves_19_25!$B:$B=$A18) *
        ((braves_19_25!$C:$C="FS") +
         (braves_19_25!$C:$C="CH") +
         (braves_19_25!$C:$C="FO") +
         (braves_19_25!$C:$C="SC")),
        braves_19_25!$J:$J
    )
),0)</f>
        <v>0.95943000000000001</v>
      </c>
      <c r="U18" s="29" cm="1">
        <f t="array" ref="U18">IFERROR(AVERAGE(
    IF(
        (braves_19_25!$B:$B=$A18) *
        ((braves_19_25!$C:$C="FS") +
         (braves_19_25!$C:$C="CH") +
         (braves_19_25!$C:$C="FO") +
         (braves_19_25!$C:$C="SC")),
        braves_19_25!$K:$K
    )
),0)</f>
        <v>-0.75543000000000005</v>
      </c>
      <c r="V18" s="28" cm="1">
        <f t="array" ref="V18">IFERROR(AVERAGE(
    IF(
        (braves_19_25!$B:$B=$A18) *
        ((braves_19_25!$C:$C="EP") +
         (braves_19_25!$C:$C="FA") +
         (braves_19_25!$C:$C="KN")),
        braves_19_25!$G:$G
    )
),0)</f>
        <v>0</v>
      </c>
      <c r="W18" cm="1">
        <f t="array" ref="W18">IFERROR(AVERAGE(
    IF(
        (braves_19_25!$B:$B=$A18) *
        ((braves_19_25!$C:$C="EP") +
         (braves_19_25!$C:$C="FA") +
         (braves_19_25!$C:$C="KN")),
        braves_19_25!$F:$F
    )
),0)</f>
        <v>0</v>
      </c>
      <c r="X18" cm="1">
        <f t="array" ref="X18">IFERROR(AVERAGE(
    IF(
        (braves_19_25!$B:$B=$A18) *
        ((braves_19_25!$C:$C="EP") +
         (braves_19_25!$C:$C="FA") +
         (braves_19_25!$C:$C="KN")),
        braves_19_25!$I:$I
    )
),0)</f>
        <v>0</v>
      </c>
      <c r="Y18" cm="1">
        <f t="array" ref="Y18">IFERROR(AVERAGE(
    IF(
        (braves_19_25!$B:$B=$A18) *
        ((braves_19_25!$C:$C="EP") +
         (braves_19_25!$C:$C="FA") +
         (braves_19_25!$C:$C="KN")),
        braves_19_25!$J:$J
    )
),0)</f>
        <v>0</v>
      </c>
      <c r="Z18" s="29" cm="1">
        <f t="array" ref="Z18">IFERROR(AVERAGE(
    IF(
        (braves_19_25!$B:$B=$A18) *
        ((braves_19_25!$C:$C="EP") +
         (braves_19_25!$C:$C="FA") +
         (braves_19_25!$C:$C="KN")),
        braves_19_25!$K:$K
    )
),0)</f>
        <v>0</v>
      </c>
    </row>
    <row r="19" spans="1:26" x14ac:dyDescent="0.3">
      <c r="A19" t="str">
        <v>Tomlin, Josh</v>
      </c>
      <c r="B19" s="28" cm="1">
        <f t="array" ref="B19">IFERROR(AVERAGE(
    IF(
        (braves_19_25!$B:$B=$A19) *
        ((braves_19_25!$C:$C="FF") +
         (braves_19_25!$C:$C="SI") +
         (braves_19_25!$C:$C="FC")),
        braves_19_25!$G:$G
    )
),0)</f>
        <v>86.816666666666663</v>
      </c>
      <c r="C19" cm="1">
        <f t="array" ref="C19">IFERROR(AVERAGE(
    IF(
        (braves_19_25!$B:$B=$A19) *
        ((braves_19_25!$C:$C="FF") +
         (braves_19_25!$C:$C="SI") +
         (braves_19_25!$C:$C="FC")),
        braves_19_25!$F:$F
    )
),0)</f>
        <v>2325.3333333333335</v>
      </c>
      <c r="D19" cm="1">
        <f t="array" ref="D19">IFERROR(AVERAGE(
    IF(
        (braves_19_25!$B:$B=$A19) *
        ((braves_19_25!$C:$C="FF") +
         (braves_19_25!$C:$C="SI") +
         (braves_19_25!$C:$C="FC")),
        braves_19_25!$I:$I
    )
),0)</f>
        <v>1.87605</v>
      </c>
      <c r="E19" cm="1">
        <f t="array" ref="E19">IFERROR(AVERAGE(
    IF(
        (braves_19_25!$B:$B=$A19) *
        ((braves_19_25!$C:$C="FF") +
         (braves_19_25!$C:$C="SI") +
         (braves_19_25!$C:$C="FC")),
        braves_19_25!$J:$J
    )
),0)</f>
        <v>0.54437000000000002</v>
      </c>
      <c r="F19" s="29" cm="1">
        <f t="array" ref="F19">IFERROR(AVERAGE(
    IF(
        (braves_19_25!$B:$B=$A19) *
        ((braves_19_25!$C:$C="FF") +
         (braves_19_25!$C:$C="SI") +
         (braves_19_25!$C:$C="FC")),
        braves_19_25!$K:$K
    )
),0)</f>
        <v>2.4783333333333327E-2</v>
      </c>
      <c r="G19" s="28" cm="1">
        <f t="array" ref="G19">IFERROR(AVERAGE(
    IF(
        (braves_19_25!$B:$B=$A19) *
        ((braves_19_25!$C:$C="SL") +
         (braves_19_25!$C:$C="ST") +
         (braves_19_25!$C:$C="SV")),
        braves_19_25!$G:$G
    )
),0)</f>
        <v>0</v>
      </c>
      <c r="H19" cm="1">
        <f t="array" ref="H19">IFERROR(AVERAGE(
    IF(
        (braves_19_25!$B:$B=$A19) *
        ((braves_19_25!$C:$C="SL") +
         (braves_19_25!$C:$C="ST") +
         (braves_19_25!$C:$C="SV")),
        braves_19_25!$F:$F
    )
),0)</f>
        <v>0</v>
      </c>
      <c r="I19" cm="1">
        <f t="array" ref="I19">IFERROR(AVERAGE(
    IF(
        (braves_19_25!$B:$B=$A19) *
        ((braves_19_25!$C:$C="SL") +
         (braves_19_25!$C:$C="ST") +
         (braves_19_25!$C:$C="SV")),
        braves_19_25!$I:$I
    )
),0)</f>
        <v>0</v>
      </c>
      <c r="J19" cm="1">
        <f t="array" ref="J19">IFERROR(AVERAGE(
    IF(
        (braves_19_25!$B:$B=$A19) *
        ((braves_19_25!$C:$C="SL") +
         (braves_19_25!$C:$C="ST") +
         (braves_19_25!$C:$C="SV")),
        braves_19_25!$J:$J
    )
),0)</f>
        <v>0</v>
      </c>
      <c r="K19" s="29" cm="1">
        <f t="array" ref="K19">IFERROR(AVERAGE(
    IF(
        (braves_19_25!$B:$B=$A19) *
        ((braves_19_25!$C:$C="SL") +
         (braves_19_25!$C:$C="ST") +
         (braves_19_25!$C:$C="SV")),
        braves_19_25!$K:$K
    )
),0)</f>
        <v>0</v>
      </c>
      <c r="L19" s="28" cm="1">
        <f t="array" ref="L19">IFERROR(AVERAGE(
    IF(
        (braves_19_25!$B:$B=$A19) *
        ((braves_19_25!$C:$C="CU") +
         (braves_19_25!$C:$C="CS") +
         (braves_19_25!$C:$C="KC")),
        braves_19_25!$G:$G
    )
),0)</f>
        <v>75.45</v>
      </c>
      <c r="M19" cm="1">
        <f t="array" ref="M19">IFERROR(AVERAGE(
    IF(
        (braves_19_25!$B:$B=$A19) *
        ((braves_19_25!$C:$C="CU") +
         (braves_19_25!$C:$C="CS") +
         (braves_19_25!$C:$C="KC")),
        braves_19_25!$F:$F
    )
),0)</f>
        <v>2734</v>
      </c>
      <c r="N19" cm="1">
        <f t="array" ref="N19">IFERROR(AVERAGE(
    IF(
        (braves_19_25!$B:$B=$A19) *
        ((braves_19_25!$C:$C="CU") +
         (braves_19_25!$C:$C="CS") +
         (braves_19_25!$C:$C="KC")),
        braves_19_25!$I:$I
    )
),0)</f>
        <v>4.5306899999999999</v>
      </c>
      <c r="O19" cm="1">
        <f t="array" ref="O19">IFERROR(AVERAGE(
    IF(
        (braves_19_25!$B:$B=$A19) *
        ((braves_19_25!$C:$C="CU") +
         (braves_19_25!$C:$C="CS") +
         (braves_19_25!$C:$C="KC")),
        braves_19_25!$J:$J
    )
),0)</f>
        <v>-0.43587999999999999</v>
      </c>
      <c r="P19" s="29" cm="1">
        <f t="array" ref="P19">IFERROR(AVERAGE(
    IF(
        (braves_19_25!$B:$B=$A19) *
        ((braves_19_25!$C:$C="CU") +
         (braves_19_25!$C:$C="CS") +
         (braves_19_25!$C:$C="KC")),
        braves_19_25!$K:$K
    )
),0)</f>
        <v>-1.069E-2</v>
      </c>
      <c r="Q19" s="28" cm="1">
        <f t="array" ref="Q19">IFERROR(AVERAGE(
    IF(
        (braves_19_25!$B:$B=$A19) *
        ((braves_19_25!$C:$C="FS") +
         (braves_19_25!$C:$C="CH") +
         (braves_19_25!$C:$C="FO") +
         (braves_19_25!$C:$C="SC")),
        braves_19_25!$G:$G
    )
),0)</f>
        <v>83.52</v>
      </c>
      <c r="R19" cm="1">
        <f t="array" ref="R19">IFERROR(AVERAGE(
    IF(
        (braves_19_25!$B:$B=$A19) *
        ((braves_19_25!$C:$C="FS") +
         (braves_19_25!$C:$C="CH") +
         (braves_19_25!$C:$C="FO") +
         (braves_19_25!$C:$C="SC")),
        braves_19_25!$F:$F
    )
),0)</f>
        <v>1739</v>
      </c>
      <c r="S19" cm="1">
        <f t="array" ref="S19">IFERROR(AVERAGE(
    IF(
        (braves_19_25!$B:$B=$A19) *
        ((braves_19_25!$C:$C="FS") +
         (braves_19_25!$C:$C="CH") +
         (braves_19_25!$C:$C="FO") +
         (braves_19_25!$C:$C="SC")),
        braves_19_25!$I:$I
    )
),0)</f>
        <v>2.6345499999999999</v>
      </c>
      <c r="T19" cm="1">
        <f t="array" ref="T19">IFERROR(AVERAGE(
    IF(
        (braves_19_25!$B:$B=$A19) *
        ((braves_19_25!$C:$C="FS") +
         (braves_19_25!$C:$C="CH") +
         (braves_19_25!$C:$C="FO") +
         (braves_19_25!$C:$C="SC")),
        braves_19_25!$J:$J
    )
),0)</f>
        <v>1.20417</v>
      </c>
      <c r="U19" s="29" cm="1">
        <f t="array" ref="U19">IFERROR(AVERAGE(
    IF(
        (braves_19_25!$B:$B=$A19) *
        ((braves_19_25!$C:$C="FS") +
         (braves_19_25!$C:$C="CH") +
         (braves_19_25!$C:$C="FO") +
         (braves_19_25!$C:$C="SC")),
        braves_19_25!$K:$K
    )
),0)</f>
        <v>-0.85235000000000005</v>
      </c>
      <c r="V19" s="28" cm="1">
        <f t="array" ref="V19">IFERROR(AVERAGE(
    IF(
        (braves_19_25!$B:$B=$A19) *
        ((braves_19_25!$C:$C="EP") +
         (braves_19_25!$C:$C="FA") +
         (braves_19_25!$C:$C="KN")),
        braves_19_25!$G:$G
    )
),0)</f>
        <v>0</v>
      </c>
      <c r="W19" cm="1">
        <f t="array" ref="W19">IFERROR(AVERAGE(
    IF(
        (braves_19_25!$B:$B=$A19) *
        ((braves_19_25!$C:$C="EP") +
         (braves_19_25!$C:$C="FA") +
         (braves_19_25!$C:$C="KN")),
        braves_19_25!$F:$F
    )
),0)</f>
        <v>0</v>
      </c>
      <c r="X19" cm="1">
        <f t="array" ref="X19">IFERROR(AVERAGE(
    IF(
        (braves_19_25!$B:$B=$A19) *
        ((braves_19_25!$C:$C="EP") +
         (braves_19_25!$C:$C="FA") +
         (braves_19_25!$C:$C="KN")),
        braves_19_25!$I:$I
    )
),0)</f>
        <v>0</v>
      </c>
      <c r="Y19" cm="1">
        <f t="array" ref="Y19">IFERROR(AVERAGE(
    IF(
        (braves_19_25!$B:$B=$A19) *
        ((braves_19_25!$C:$C="EP") +
         (braves_19_25!$C:$C="FA") +
         (braves_19_25!$C:$C="KN")),
        braves_19_25!$J:$J
    )
),0)</f>
        <v>0</v>
      </c>
      <c r="Z19" s="29" cm="1">
        <f t="array" ref="Z19">IFERROR(AVERAGE(
    IF(
        (braves_19_25!$B:$B=$A19) *
        ((braves_19_25!$C:$C="EP") +
         (braves_19_25!$C:$C="FA") +
         (braves_19_25!$C:$C="KN")),
        braves_19_25!$K:$K
    )
),0)</f>
        <v>0</v>
      </c>
    </row>
    <row r="20" spans="1:26" x14ac:dyDescent="0.3">
      <c r="A20" t="str">
        <v>Matzek, Tyler</v>
      </c>
      <c r="B20" s="28" cm="1">
        <f t="array" ref="B20">IFERROR(AVERAGE(
    IF(
        (braves_19_25!$B:$B=$A20) *
        ((braves_19_25!$C:$C="FF") +
         (braves_19_25!$C:$C="SI") +
         (braves_19_25!$C:$C="FC")),
        braves_19_25!$G:$G
    )
),0)</f>
        <v>92.756666666666661</v>
      </c>
      <c r="C20" cm="1">
        <f t="array" ref="C20">IFERROR(AVERAGE(
    IF(
        (braves_19_25!$B:$B=$A20) *
        ((braves_19_25!$C:$C="FF") +
         (braves_19_25!$C:$C="SI") +
         (braves_19_25!$C:$C="FC")),
        braves_19_25!$F:$F
    )
),0)</f>
        <v>2542.3333333333335</v>
      </c>
      <c r="D20" cm="1">
        <f t="array" ref="D20">IFERROR(AVERAGE(
    IF(
        (braves_19_25!$B:$B=$A20) *
        ((braves_19_25!$C:$C="FF") +
         (braves_19_25!$C:$C="SI") +
         (braves_19_25!$C:$C="FC")),
        braves_19_25!$I:$I
    )
),0)</f>
        <v>1.5032233333333334</v>
      </c>
      <c r="E20" cm="1">
        <f t="array" ref="E20">IFERROR(AVERAGE(
    IF(
        (braves_19_25!$B:$B=$A20) *
        ((braves_19_25!$C:$C="FF") +
         (braves_19_25!$C:$C="SI") +
         (braves_19_25!$C:$C="FC")),
        braves_19_25!$J:$J
    )
),0)</f>
        <v>0.23709333333333335</v>
      </c>
      <c r="F20" s="29" cm="1">
        <f t="array" ref="F20">IFERROR(AVERAGE(
    IF(
        (braves_19_25!$B:$B=$A20) *
        ((braves_19_25!$C:$C="FF") +
         (braves_19_25!$C:$C="SI") +
         (braves_19_25!$C:$C="FC")),
        braves_19_25!$K:$K
    )
),0)</f>
        <v>5.4429999999999999E-2</v>
      </c>
      <c r="G20" s="28" cm="1">
        <f t="array" ref="G20">IFERROR(AVERAGE(
    IF(
        (braves_19_25!$B:$B=$A20) *
        ((braves_19_25!$C:$C="SL") +
         (braves_19_25!$C:$C="ST") +
         (braves_19_25!$C:$C="SV")),
        braves_19_25!$G:$G
    )
),0)</f>
        <v>83.93</v>
      </c>
      <c r="H20" cm="1">
        <f t="array" ref="H20">IFERROR(AVERAGE(
    IF(
        (braves_19_25!$B:$B=$A20) *
        ((braves_19_25!$C:$C="SL") +
         (braves_19_25!$C:$C="ST") +
         (braves_19_25!$C:$C="SV")),
        braves_19_25!$F:$F
    )
),0)</f>
        <v>2857</v>
      </c>
      <c r="I20" cm="1">
        <f t="array" ref="I20">IFERROR(AVERAGE(
    IF(
        (braves_19_25!$B:$B=$A20) *
        ((braves_19_25!$C:$C="SL") +
         (braves_19_25!$C:$C="ST") +
         (braves_19_25!$C:$C="SV")),
        braves_19_25!$I:$I
    )
),0)</f>
        <v>3.7976200000000002</v>
      </c>
      <c r="J20" cm="1">
        <f t="array" ref="J20">IFERROR(AVERAGE(
    IF(
        (braves_19_25!$B:$B=$A20) *
        ((braves_19_25!$C:$C="SL") +
         (braves_19_25!$C:$C="ST") +
         (braves_19_25!$C:$C="SV")),
        braves_19_25!$J:$J
    )
),0)</f>
        <v>-0.54364000000000001</v>
      </c>
      <c r="K20" s="29" cm="1">
        <f t="array" ref="K20">IFERROR(AVERAGE(
    IF(
        (braves_19_25!$B:$B=$A20) *
        ((braves_19_25!$C:$C="SL") +
         (braves_19_25!$C:$C="ST") +
         (braves_19_25!$C:$C="SV")),
        braves_19_25!$K:$K
    )
),0)</f>
        <v>0.17544999999999999</v>
      </c>
      <c r="L20" s="28" cm="1">
        <f t="array" ref="L20">IFERROR(AVERAGE(
    IF(
        (braves_19_25!$B:$B=$A20) *
        ((braves_19_25!$C:$C="CU") +
         (braves_19_25!$C:$C="CS") +
         (braves_19_25!$C:$C="KC")),
        braves_19_25!$G:$G
    )
),0)</f>
        <v>79.45</v>
      </c>
      <c r="M20" cm="1">
        <f t="array" ref="M20">IFERROR(AVERAGE(
    IF(
        (braves_19_25!$B:$B=$A20) *
        ((braves_19_25!$C:$C="CU") +
         (braves_19_25!$C:$C="CS") +
         (braves_19_25!$C:$C="KC")),
        braves_19_25!$F:$F
    )
),0)</f>
        <v>2970</v>
      </c>
      <c r="N20" cm="1">
        <f t="array" ref="N20">IFERROR(AVERAGE(
    IF(
        (braves_19_25!$B:$B=$A20) *
        ((braves_19_25!$C:$C="CU") +
         (braves_19_25!$C:$C="CS") +
         (braves_19_25!$C:$C="KC")),
        braves_19_25!$I:$I
    )
),0)</f>
        <v>4.7340999999999998</v>
      </c>
      <c r="O20" cm="1">
        <f t="array" ref="O20">IFERROR(AVERAGE(
    IF(
        (braves_19_25!$B:$B=$A20) *
        ((braves_19_25!$C:$C="CU") +
         (braves_19_25!$C:$C="CS") +
         (braves_19_25!$C:$C="KC")),
        braves_19_25!$J:$J
    )
),0)</f>
        <v>-0.78015999999999996</v>
      </c>
      <c r="P20" s="29" cm="1">
        <f t="array" ref="P20">IFERROR(AVERAGE(
    IF(
        (braves_19_25!$B:$B=$A20) *
        ((braves_19_25!$C:$C="CU") +
         (braves_19_25!$C:$C="CS") +
         (braves_19_25!$C:$C="KC")),
        braves_19_25!$K:$K
    )
),0)</f>
        <v>0.20049</v>
      </c>
      <c r="Q20" s="28" cm="1">
        <f t="array" ref="Q20">IFERROR(AVERAGE(
    IF(
        (braves_19_25!$B:$B=$A20) *
        ((braves_19_25!$C:$C="FS") +
         (braves_19_25!$C:$C="CH") +
         (braves_19_25!$C:$C="FO") +
         (braves_19_25!$C:$C="SC")),
        braves_19_25!$G:$G
    )
),0)</f>
        <v>0</v>
      </c>
      <c r="R20" cm="1">
        <f t="array" ref="R20">IFERROR(AVERAGE(
    IF(
        (braves_19_25!$B:$B=$A20) *
        ((braves_19_25!$C:$C="FS") +
         (braves_19_25!$C:$C="CH") +
         (braves_19_25!$C:$C="FO") +
         (braves_19_25!$C:$C="SC")),
        braves_19_25!$F:$F
    )
),0)</f>
        <v>0</v>
      </c>
      <c r="S20" cm="1">
        <f t="array" ref="S20">IFERROR(AVERAGE(
    IF(
        (braves_19_25!$B:$B=$A20) *
        ((braves_19_25!$C:$C="FS") +
         (braves_19_25!$C:$C="CH") +
         (braves_19_25!$C:$C="FO") +
         (braves_19_25!$C:$C="SC")),
        braves_19_25!$I:$I
    )
),0)</f>
        <v>0</v>
      </c>
      <c r="T20" cm="1">
        <f t="array" ref="T20">IFERROR(AVERAGE(
    IF(
        (braves_19_25!$B:$B=$A20) *
        ((braves_19_25!$C:$C="FS") +
         (braves_19_25!$C:$C="CH") +
         (braves_19_25!$C:$C="FO") +
         (braves_19_25!$C:$C="SC")),
        braves_19_25!$J:$J
    )
),0)</f>
        <v>0</v>
      </c>
      <c r="U20" s="29" cm="1">
        <f t="array" ref="U20">IFERROR(AVERAGE(
    IF(
        (braves_19_25!$B:$B=$A20) *
        ((braves_19_25!$C:$C="FS") +
         (braves_19_25!$C:$C="CH") +
         (braves_19_25!$C:$C="FO") +
         (braves_19_25!$C:$C="SC")),
        braves_19_25!$K:$K
    )
),0)</f>
        <v>0</v>
      </c>
      <c r="V20" s="28" cm="1">
        <f t="array" ref="V20">IFERROR(AVERAGE(
    IF(
        (braves_19_25!$B:$B=$A20) *
        ((braves_19_25!$C:$C="EP") +
         (braves_19_25!$C:$C="FA") +
         (braves_19_25!$C:$C="KN")),
        braves_19_25!$G:$G
    )
),0)</f>
        <v>0</v>
      </c>
      <c r="W20" cm="1">
        <f t="array" ref="W20">IFERROR(AVERAGE(
    IF(
        (braves_19_25!$B:$B=$A20) *
        ((braves_19_25!$C:$C="EP") +
         (braves_19_25!$C:$C="FA") +
         (braves_19_25!$C:$C="KN")),
        braves_19_25!$F:$F
    )
),0)</f>
        <v>0</v>
      </c>
      <c r="X20" cm="1">
        <f t="array" ref="X20">IFERROR(AVERAGE(
    IF(
        (braves_19_25!$B:$B=$A20) *
        ((braves_19_25!$C:$C="EP") +
         (braves_19_25!$C:$C="FA") +
         (braves_19_25!$C:$C="KN")),
        braves_19_25!$I:$I
    )
),0)</f>
        <v>0</v>
      </c>
      <c r="Y20" cm="1">
        <f t="array" ref="Y20">IFERROR(AVERAGE(
    IF(
        (braves_19_25!$B:$B=$A20) *
        ((braves_19_25!$C:$C="EP") +
         (braves_19_25!$C:$C="FA") +
         (braves_19_25!$C:$C="KN")),
        braves_19_25!$J:$J
    )
),0)</f>
        <v>0</v>
      </c>
      <c r="Z20" s="29" cm="1">
        <f t="array" ref="Z20">IFERROR(AVERAGE(
    IF(
        (braves_19_25!$B:$B=$A20) *
        ((braves_19_25!$C:$C="EP") +
         (braves_19_25!$C:$C="FA") +
         (braves_19_25!$C:$C="KN")),
        braves_19_25!$K:$K
    )
),0)</f>
        <v>0</v>
      </c>
    </row>
    <row r="21" spans="1:26" x14ac:dyDescent="0.3">
      <c r="A21" t="str">
        <v>Newcomb, Sean</v>
      </c>
      <c r="B21" s="28" cm="1">
        <f t="array" ref="B21">IFERROR(AVERAGE(
    IF(
        (braves_19_25!$B:$B=$A21) *
        ((braves_19_25!$C:$C="FF") +
         (braves_19_25!$C:$C="SI") +
         (braves_19_25!$C:$C="FC")),
        braves_19_25!$G:$G
    )
),0)</f>
        <v>91.853333333333339</v>
      </c>
      <c r="C21" cm="1">
        <f t="array" ref="C21">IFERROR(AVERAGE(
    IF(
        (braves_19_25!$B:$B=$A21) *
        ((braves_19_25!$C:$C="FF") +
         (braves_19_25!$C:$C="SI") +
         (braves_19_25!$C:$C="FC")),
        braves_19_25!$F:$F
    )
),0)</f>
        <v>2481</v>
      </c>
      <c r="D21" cm="1">
        <f t="array" ref="D21">IFERROR(AVERAGE(
    IF(
        (braves_19_25!$B:$B=$A21) *
        ((braves_19_25!$C:$C="FF") +
         (braves_19_25!$C:$C="SI") +
         (braves_19_25!$C:$C="FC")),
        braves_19_25!$I:$I
    )
),0)</f>
        <v>1.6794733333333334</v>
      </c>
      <c r="E21" cm="1">
        <f t="array" ref="E21">IFERROR(AVERAGE(
    IF(
        (braves_19_25!$B:$B=$A21) *
        ((braves_19_25!$C:$C="FF") +
         (braves_19_25!$C:$C="SI") +
         (braves_19_25!$C:$C="FC")),
        braves_19_25!$J:$J
    )
),0)</f>
        <v>0.33339333333333337</v>
      </c>
      <c r="F21" s="29" cm="1">
        <f t="array" ref="F21">IFERROR(AVERAGE(
    IF(
        (braves_19_25!$B:$B=$A21) *
        ((braves_19_25!$C:$C="FF") +
         (braves_19_25!$C:$C="SI") +
         (braves_19_25!$C:$C="FC")),
        braves_19_25!$K:$K
    )
),0)</f>
        <v>-0.34218333333333334</v>
      </c>
      <c r="G21" s="28" cm="1">
        <f t="array" ref="G21">IFERROR(AVERAGE(
    IF(
        (braves_19_25!$B:$B=$A21) *
        ((braves_19_25!$C:$C="SL") +
         (braves_19_25!$C:$C="ST") +
         (braves_19_25!$C:$C="SV")),
        braves_19_25!$G:$G
    )
),0)</f>
        <v>82.704999999999998</v>
      </c>
      <c r="H21" cm="1">
        <f t="array" ref="H21">IFERROR(AVERAGE(
    IF(
        (braves_19_25!$B:$B=$A21) *
        ((braves_19_25!$C:$C="SL") +
         (braves_19_25!$C:$C="ST") +
         (braves_19_25!$C:$C="SV")),
        braves_19_25!$F:$F
    )
),0)</f>
        <v>2787.5</v>
      </c>
      <c r="I21" cm="1">
        <f t="array" ref="I21">IFERROR(AVERAGE(
    IF(
        (braves_19_25!$B:$B=$A21) *
        ((braves_19_25!$C:$C="SL") +
         (braves_19_25!$C:$C="ST") +
         (braves_19_25!$C:$C="SV")),
        braves_19_25!$I:$I
    )
),0)</f>
        <v>3.7747900000000003</v>
      </c>
      <c r="J21" cm="1">
        <f t="array" ref="J21">IFERROR(AVERAGE(
    IF(
        (braves_19_25!$B:$B=$A21) *
        ((braves_19_25!$C:$C="SL") +
         (braves_19_25!$C:$C="ST") +
         (braves_19_25!$C:$C="SV")),
        braves_19_25!$J:$J
    )
),0)</f>
        <v>-0.79216500000000001</v>
      </c>
      <c r="K21" s="29" cm="1">
        <f t="array" ref="K21">IFERROR(AVERAGE(
    IF(
        (braves_19_25!$B:$B=$A21) *
        ((braves_19_25!$C:$C="SL") +
         (braves_19_25!$C:$C="ST") +
         (braves_19_25!$C:$C="SV")),
        braves_19_25!$K:$K
    )
),0)</f>
        <v>-0.27258499999999997</v>
      </c>
      <c r="L21" s="28" cm="1">
        <f t="array" ref="L21">IFERROR(AVERAGE(
    IF(
        (braves_19_25!$B:$B=$A21) *
        ((braves_19_25!$C:$C="CU") +
         (braves_19_25!$C:$C="CS") +
         (braves_19_25!$C:$C="KC")),
        braves_19_25!$G:$G
    )
),0)</f>
        <v>76.989999999999995</v>
      </c>
      <c r="M21" cm="1">
        <f t="array" ref="M21">IFERROR(AVERAGE(
    IF(
        (braves_19_25!$B:$B=$A21) *
        ((braves_19_25!$C:$C="CU") +
         (braves_19_25!$C:$C="CS") +
         (braves_19_25!$C:$C="KC")),
        braves_19_25!$F:$F
    )
),0)</f>
        <v>2867</v>
      </c>
      <c r="N21" cm="1">
        <f t="array" ref="N21">IFERROR(AVERAGE(
    IF(
        (braves_19_25!$B:$B=$A21) *
        ((braves_19_25!$C:$C="CU") +
         (braves_19_25!$C:$C="CS") +
         (braves_19_25!$C:$C="KC")),
        braves_19_25!$I:$I
    )
),0)</f>
        <v>5.2780800000000001</v>
      </c>
      <c r="O21" cm="1">
        <f t="array" ref="O21">IFERROR(AVERAGE(
    IF(
        (braves_19_25!$B:$B=$A21) *
        ((braves_19_25!$C:$C="CU") +
         (braves_19_25!$C:$C="CS") +
         (braves_19_25!$C:$C="KC")),
        braves_19_25!$J:$J
    )
),0)</f>
        <v>-0.76795999999999998</v>
      </c>
      <c r="P21" s="29" cm="1">
        <f t="array" ref="P21">IFERROR(AVERAGE(
    IF(
        (braves_19_25!$B:$B=$A21) *
        ((braves_19_25!$C:$C="CU") +
         (braves_19_25!$C:$C="CS") +
         (braves_19_25!$C:$C="KC")),
        braves_19_25!$K:$K
    )
),0)</f>
        <v>0.33178999999999997</v>
      </c>
      <c r="Q21" s="28" cm="1">
        <f t="array" ref="Q21">IFERROR(AVERAGE(
    IF(
        (braves_19_25!$B:$B=$A21) *
        ((braves_19_25!$C:$C="FS") +
         (braves_19_25!$C:$C="CH") +
         (braves_19_25!$C:$C="FO") +
         (braves_19_25!$C:$C="SC")),
        braves_19_25!$G:$G
    )
),0)</f>
        <v>86.87</v>
      </c>
      <c r="R21" cm="1">
        <f t="array" ref="R21">IFERROR(AVERAGE(
    IF(
        (braves_19_25!$B:$B=$A21) *
        ((braves_19_25!$C:$C="FS") +
         (braves_19_25!$C:$C="CH") +
         (braves_19_25!$C:$C="FO") +
         (braves_19_25!$C:$C="SC")),
        braves_19_25!$F:$F
    )
),0)</f>
        <v>1619</v>
      </c>
      <c r="S21" cm="1">
        <f t="array" ref="S21">IFERROR(AVERAGE(
    IF(
        (braves_19_25!$B:$B=$A21) *
        ((braves_19_25!$C:$C="FS") +
         (braves_19_25!$C:$C="CH") +
         (braves_19_25!$C:$C="FO") +
         (braves_19_25!$C:$C="SC")),
        braves_19_25!$I:$I
    )
),0)</f>
        <v>2.2800699999999998</v>
      </c>
      <c r="T21" cm="1">
        <f t="array" ref="T21">IFERROR(AVERAGE(
    IF(
        (braves_19_25!$B:$B=$A21) *
        ((braves_19_25!$C:$C="FS") +
         (braves_19_25!$C:$C="CH") +
         (braves_19_25!$C:$C="FO") +
         (braves_19_25!$C:$C="SC")),
        braves_19_25!$J:$J
    )
),0)</f>
        <v>0.89709000000000005</v>
      </c>
      <c r="U21" s="29" cm="1">
        <f t="array" ref="U21">IFERROR(AVERAGE(
    IF(
        (braves_19_25!$B:$B=$A21) *
        ((braves_19_25!$C:$C="FS") +
         (braves_19_25!$C:$C="CH") +
         (braves_19_25!$C:$C="FO") +
         (braves_19_25!$C:$C="SC")),
        braves_19_25!$K:$K
    )
),0)</f>
        <v>-0.70848</v>
      </c>
      <c r="V21" s="28" cm="1">
        <f t="array" ref="V21">IFERROR(AVERAGE(
    IF(
        (braves_19_25!$B:$B=$A21) *
        ((braves_19_25!$C:$C="EP") +
         (braves_19_25!$C:$C="FA") +
         (braves_19_25!$C:$C="KN")),
        braves_19_25!$G:$G
    )
),0)</f>
        <v>0</v>
      </c>
      <c r="W21" cm="1">
        <f t="array" ref="W21">IFERROR(AVERAGE(
    IF(
        (braves_19_25!$B:$B=$A21) *
        ((braves_19_25!$C:$C="EP") +
         (braves_19_25!$C:$C="FA") +
         (braves_19_25!$C:$C="KN")),
        braves_19_25!$F:$F
    )
),0)</f>
        <v>0</v>
      </c>
      <c r="X21" cm="1">
        <f t="array" ref="X21">IFERROR(AVERAGE(
    IF(
        (braves_19_25!$B:$B=$A21) *
        ((braves_19_25!$C:$C="EP") +
         (braves_19_25!$C:$C="FA") +
         (braves_19_25!$C:$C="KN")),
        braves_19_25!$I:$I
    )
),0)</f>
        <v>0</v>
      </c>
      <c r="Y21" cm="1">
        <f t="array" ref="Y21">IFERROR(AVERAGE(
    IF(
        (braves_19_25!$B:$B=$A21) *
        ((braves_19_25!$C:$C="EP") +
         (braves_19_25!$C:$C="FA") +
         (braves_19_25!$C:$C="KN")),
        braves_19_25!$J:$J
    )
),0)</f>
        <v>0</v>
      </c>
      <c r="Z21" s="29" cm="1">
        <f t="array" ref="Z21">IFERROR(AVERAGE(
    IF(
        (braves_19_25!$B:$B=$A21) *
        ((braves_19_25!$C:$C="EP") +
         (braves_19_25!$C:$C="FA") +
         (braves_19_25!$C:$C="KN")),
        braves_19_25!$K:$K
    )
),0)</f>
        <v>0</v>
      </c>
    </row>
    <row r="22" spans="1:26" x14ac:dyDescent="0.3">
      <c r="A22" t="str">
        <v>Johnson, Pierce</v>
      </c>
      <c r="B22" s="28" cm="1">
        <f t="array" ref="B22">IFERROR(AVERAGE(
    IF(
        (braves_19_25!$B:$B=$A22) *
        ((braves_19_25!$C:$C="FF") +
         (braves_19_25!$C:$C="SI") +
         (braves_19_25!$C:$C="FC")),
        braves_19_25!$G:$G
    )
),0)</f>
        <v>93.174999999999997</v>
      </c>
      <c r="C22" cm="1">
        <f t="array" ref="C22">IFERROR(AVERAGE(
    IF(
        (braves_19_25!$B:$B=$A22) *
        ((braves_19_25!$C:$C="FF") +
         (braves_19_25!$C:$C="SI") +
         (braves_19_25!$C:$C="FC")),
        braves_19_25!$F:$F
    )
),0)</f>
        <v>2464</v>
      </c>
      <c r="D22" cm="1">
        <f t="array" ref="D22">IFERROR(AVERAGE(
    IF(
        (braves_19_25!$B:$B=$A22) *
        ((braves_19_25!$C:$C="FF") +
         (braves_19_25!$C:$C="SI") +
         (braves_19_25!$C:$C="FC")),
        braves_19_25!$I:$I
    )
),0)</f>
        <v>1.5214400000000001</v>
      </c>
      <c r="E22" cm="1">
        <f t="array" ref="E22">IFERROR(AVERAGE(
    IF(
        (braves_19_25!$B:$B=$A22) *
        ((braves_19_25!$C:$C="FF") +
         (braves_19_25!$C:$C="SI") +
         (braves_19_25!$C:$C="FC")),
        braves_19_25!$J:$J
    )
),0)</f>
        <v>0.478435</v>
      </c>
      <c r="F22" s="29" cm="1">
        <f t="array" ref="F22">IFERROR(AVERAGE(
    IF(
        (braves_19_25!$B:$B=$A22) *
        ((braves_19_25!$C:$C="FF") +
         (braves_19_25!$C:$C="SI") +
         (braves_19_25!$C:$C="FC")),
        braves_19_25!$K:$K
    )
),0)</f>
        <v>-1.4064999999999999E-2</v>
      </c>
      <c r="G22" s="28" cm="1">
        <f t="array" ref="G22">IFERROR(AVERAGE(
    IF(
        (braves_19_25!$B:$B=$A22) *
        ((braves_19_25!$C:$C="SL") +
         (braves_19_25!$C:$C="ST") +
         (braves_19_25!$C:$C="SV")),
        braves_19_25!$G:$G
    )
),0)</f>
        <v>88.2</v>
      </c>
      <c r="H22" cm="1">
        <f t="array" ref="H22">IFERROR(AVERAGE(
    IF(
        (braves_19_25!$B:$B=$A22) *
        ((braves_19_25!$C:$C="SL") +
         (braves_19_25!$C:$C="ST") +
         (braves_19_25!$C:$C="SV")),
        braves_19_25!$F:$F
    )
),0)</f>
        <v>2660</v>
      </c>
      <c r="I22" cm="1">
        <f t="array" ref="I22">IFERROR(AVERAGE(
    IF(
        (braves_19_25!$B:$B=$A22) *
        ((braves_19_25!$C:$C="SL") +
         (braves_19_25!$C:$C="ST") +
         (braves_19_25!$C:$C="SV")),
        braves_19_25!$I:$I
    )
),0)</f>
        <v>2.81643</v>
      </c>
      <c r="J22" cm="1">
        <f t="array" ref="J22">IFERROR(AVERAGE(
    IF(
        (braves_19_25!$B:$B=$A22) *
        ((braves_19_25!$C:$C="SL") +
         (braves_19_25!$C:$C="ST") +
         (braves_19_25!$C:$C="SV")),
        braves_19_25!$J:$J
    )
),0)</f>
        <v>-0.42499999999999999</v>
      </c>
      <c r="K22" s="29" cm="1">
        <f t="array" ref="K22">IFERROR(AVERAGE(
    IF(
        (braves_19_25!$B:$B=$A22) *
        ((braves_19_25!$C:$C="SL") +
         (braves_19_25!$C:$C="ST") +
         (braves_19_25!$C:$C="SV")),
        braves_19_25!$K:$K
    )
),0)</f>
        <v>-0.30786000000000002</v>
      </c>
      <c r="L22" s="28" cm="1">
        <f t="array" ref="L22">IFERROR(AVERAGE(
    IF(
        (braves_19_25!$B:$B=$A22) *
        ((braves_19_25!$C:$C="CU") +
         (braves_19_25!$C:$C="CS") +
         (braves_19_25!$C:$C="KC")),
        braves_19_25!$G:$G
    )
),0)</f>
        <v>84.98</v>
      </c>
      <c r="M22" cm="1">
        <f t="array" ref="M22">IFERROR(AVERAGE(
    IF(
        (braves_19_25!$B:$B=$A22) *
        ((braves_19_25!$C:$C="CU") +
         (braves_19_25!$C:$C="CS") +
         (braves_19_25!$C:$C="KC")),
        braves_19_25!$F:$F
    )
),0)</f>
        <v>2948</v>
      </c>
      <c r="N22" cm="1">
        <f t="array" ref="N22">IFERROR(AVERAGE(
    IF(
        (braves_19_25!$B:$B=$A22) *
        ((braves_19_25!$C:$C="CU") +
         (braves_19_25!$C:$C="CS") +
         (braves_19_25!$C:$C="KC")),
        braves_19_25!$I:$I
    )
),0)</f>
        <v>3.4647299999999999</v>
      </c>
      <c r="O22" cm="1">
        <f t="array" ref="O22">IFERROR(AVERAGE(
    IF(
        (braves_19_25!$B:$B=$A22) *
        ((braves_19_25!$C:$C="CU") +
         (braves_19_25!$C:$C="CS") +
         (braves_19_25!$C:$C="KC")),
        braves_19_25!$J:$J
    )
),0)</f>
        <v>-0.70914999999999995</v>
      </c>
      <c r="P22" s="29" cm="1">
        <f t="array" ref="P22">IFERROR(AVERAGE(
    IF(
        (braves_19_25!$B:$B=$A22) *
        ((braves_19_25!$C:$C="CU") +
         (braves_19_25!$C:$C="CS") +
         (braves_19_25!$C:$C="KC")),
        braves_19_25!$K:$K
    )
),0)</f>
        <v>-9.085E-2</v>
      </c>
      <c r="Q22" s="28" cm="1">
        <f t="array" ref="Q22">IFERROR(AVERAGE(
    IF(
        (braves_19_25!$B:$B=$A22) *
        ((braves_19_25!$C:$C="FS") +
         (braves_19_25!$C:$C="CH") +
         (braves_19_25!$C:$C="FO") +
         (braves_19_25!$C:$C="SC")),
        braves_19_25!$G:$G
    )
),0)</f>
        <v>0</v>
      </c>
      <c r="R22" cm="1">
        <f t="array" ref="R22">IFERROR(AVERAGE(
    IF(
        (braves_19_25!$B:$B=$A22) *
        ((braves_19_25!$C:$C="FS") +
         (braves_19_25!$C:$C="CH") +
         (braves_19_25!$C:$C="FO") +
         (braves_19_25!$C:$C="SC")),
        braves_19_25!$F:$F
    )
),0)</f>
        <v>0</v>
      </c>
      <c r="S22" cm="1">
        <f t="array" ref="S22">IFERROR(AVERAGE(
    IF(
        (braves_19_25!$B:$B=$A22) *
        ((braves_19_25!$C:$C="FS") +
         (braves_19_25!$C:$C="CH") +
         (braves_19_25!$C:$C="FO") +
         (braves_19_25!$C:$C="SC")),
        braves_19_25!$I:$I
    )
),0)</f>
        <v>0</v>
      </c>
      <c r="T22" cm="1">
        <f t="array" ref="T22">IFERROR(AVERAGE(
    IF(
        (braves_19_25!$B:$B=$A22) *
        ((braves_19_25!$C:$C="FS") +
         (braves_19_25!$C:$C="CH") +
         (braves_19_25!$C:$C="FO") +
         (braves_19_25!$C:$C="SC")),
        braves_19_25!$J:$J
    )
),0)</f>
        <v>0</v>
      </c>
      <c r="U22" s="29" cm="1">
        <f t="array" ref="U22">IFERROR(AVERAGE(
    IF(
        (braves_19_25!$B:$B=$A22) *
        ((braves_19_25!$C:$C="FS") +
         (braves_19_25!$C:$C="CH") +
         (braves_19_25!$C:$C="FO") +
         (braves_19_25!$C:$C="SC")),
        braves_19_25!$K:$K
    )
),0)</f>
        <v>0</v>
      </c>
      <c r="V22" s="28" cm="1">
        <f t="array" ref="V22">IFERROR(AVERAGE(
    IF(
        (braves_19_25!$B:$B=$A22) *
        ((braves_19_25!$C:$C="EP") +
         (braves_19_25!$C:$C="FA") +
         (braves_19_25!$C:$C="KN")),
        braves_19_25!$G:$G
    )
),0)</f>
        <v>0</v>
      </c>
      <c r="W22" cm="1">
        <f t="array" ref="W22">IFERROR(AVERAGE(
    IF(
        (braves_19_25!$B:$B=$A22) *
        ((braves_19_25!$C:$C="EP") +
         (braves_19_25!$C:$C="FA") +
         (braves_19_25!$C:$C="KN")),
        braves_19_25!$F:$F
    )
),0)</f>
        <v>0</v>
      </c>
      <c r="X22" cm="1">
        <f t="array" ref="X22">IFERROR(AVERAGE(
    IF(
        (braves_19_25!$B:$B=$A22) *
        ((braves_19_25!$C:$C="EP") +
         (braves_19_25!$C:$C="FA") +
         (braves_19_25!$C:$C="KN")),
        braves_19_25!$I:$I
    )
),0)</f>
        <v>0</v>
      </c>
      <c r="Y22" cm="1">
        <f t="array" ref="Y22">IFERROR(AVERAGE(
    IF(
        (braves_19_25!$B:$B=$A22) *
        ((braves_19_25!$C:$C="EP") +
         (braves_19_25!$C:$C="FA") +
         (braves_19_25!$C:$C="KN")),
        braves_19_25!$J:$J
    )
),0)</f>
        <v>0</v>
      </c>
      <c r="Z22" s="29" cm="1">
        <f t="array" ref="Z22">IFERROR(AVERAGE(
    IF(
        (braves_19_25!$B:$B=$A22) *
        ((braves_19_25!$C:$C="EP") +
         (braves_19_25!$C:$C="FA") +
         (braves_19_25!$C:$C="KN")),
        braves_19_25!$K:$K
    )
),0)</f>
        <v>0</v>
      </c>
    </row>
    <row r="23" spans="1:26" x14ac:dyDescent="0.3">
      <c r="A23" t="str">
        <v>López, Reynaldo</v>
      </c>
      <c r="B23" s="28" cm="1">
        <f t="array" ref="B23">IFERROR(AVERAGE(
    IF(
        (braves_19_25!$B:$B=$A23) *
        ((braves_19_25!$C:$C="FF") +
         (braves_19_25!$C:$C="SI") +
         (braves_19_25!$C:$C="FC")),
        braves_19_25!$G:$G
    )
),0)</f>
        <v>95.92</v>
      </c>
      <c r="C23" cm="1">
        <f t="array" ref="C23">IFERROR(AVERAGE(
    IF(
        (braves_19_25!$B:$B=$A23) *
        ((braves_19_25!$C:$C="FF") +
         (braves_19_25!$C:$C="SI") +
         (braves_19_25!$C:$C="FC")),
        braves_19_25!$F:$F
    )
),0)</f>
        <v>2075</v>
      </c>
      <c r="D23" cm="1">
        <f t="array" ref="D23">IFERROR(AVERAGE(
    IF(
        (braves_19_25!$B:$B=$A23) *
        ((braves_19_25!$C:$C="FF") +
         (braves_19_25!$C:$C="SI") +
         (braves_19_25!$C:$C="FC")),
        braves_19_25!$I:$I
    )
),0)</f>
        <v>1.1301600000000001</v>
      </c>
      <c r="E23" cm="1">
        <f t="array" ref="E23">IFERROR(AVERAGE(
    IF(
        (braves_19_25!$B:$B=$A23) *
        ((braves_19_25!$C:$C="FF") +
         (braves_19_25!$C:$C="SI") +
         (braves_19_25!$C:$C="FC")),
        braves_19_25!$J:$J
    )
),0)</f>
        <v>0.61611000000000005</v>
      </c>
      <c r="F23" s="29" cm="1">
        <f t="array" ref="F23">IFERROR(AVERAGE(
    IF(
        (braves_19_25!$B:$B=$A23) *
        ((braves_19_25!$C:$C="FF") +
         (braves_19_25!$C:$C="SI") +
         (braves_19_25!$C:$C="FC")),
        braves_19_25!$K:$K
    )
),0)</f>
        <v>-6.5089999999999995E-2</v>
      </c>
      <c r="G23" s="28" cm="1">
        <f t="array" ref="G23">IFERROR(AVERAGE(
    IF(
        (braves_19_25!$B:$B=$A23) *
        ((braves_19_25!$C:$C="SL") +
         (braves_19_25!$C:$C="ST") +
         (braves_19_25!$C:$C="SV")),
        braves_19_25!$G:$G
    )
),0)</f>
        <v>85.49</v>
      </c>
      <c r="H23" cm="1">
        <f t="array" ref="H23">IFERROR(AVERAGE(
    IF(
        (braves_19_25!$B:$B=$A23) *
        ((braves_19_25!$C:$C="SL") +
         (braves_19_25!$C:$C="ST") +
         (braves_19_25!$C:$C="SV")),
        braves_19_25!$F:$F
    )
),0)</f>
        <v>2358</v>
      </c>
      <c r="I23" cm="1">
        <f t="array" ref="I23">IFERROR(AVERAGE(
    IF(
        (braves_19_25!$B:$B=$A23) *
        ((braves_19_25!$C:$C="SL") +
         (braves_19_25!$C:$C="ST") +
         (braves_19_25!$C:$C="SV")),
        braves_19_25!$I:$I
    )
),0)</f>
        <v>3.3026599999999999</v>
      </c>
      <c r="J23" cm="1">
        <f t="array" ref="J23">IFERROR(AVERAGE(
    IF(
        (braves_19_25!$B:$B=$A23) *
        ((braves_19_25!$C:$C="SL") +
         (braves_19_25!$C:$C="ST") +
         (braves_19_25!$C:$C="SV")),
        braves_19_25!$J:$J
    )
),0)</f>
        <v>-0.46215000000000001</v>
      </c>
      <c r="K23" s="29" cm="1">
        <f t="array" ref="K23">IFERROR(AVERAGE(
    IF(
        (braves_19_25!$B:$B=$A23) *
        ((braves_19_25!$C:$C="SL") +
         (braves_19_25!$C:$C="ST") +
         (braves_19_25!$C:$C="SV")),
        braves_19_25!$K:$K
    )
),0)</f>
        <v>-0.10326</v>
      </c>
      <c r="L23" s="28" cm="1">
        <f t="array" ref="L23">IFERROR(AVERAGE(
    IF(
        (braves_19_25!$B:$B=$A23) *
        ((braves_19_25!$C:$C="CU") +
         (braves_19_25!$C:$C="CS") +
         (braves_19_25!$C:$C="KC")),
        braves_19_25!$G:$G
    )
),0)</f>
        <v>76.97</v>
      </c>
      <c r="M23" cm="1">
        <f t="array" ref="M23">IFERROR(AVERAGE(
    IF(
        (braves_19_25!$B:$B=$A23) *
        ((braves_19_25!$C:$C="CU") +
         (braves_19_25!$C:$C="CS") +
         (braves_19_25!$C:$C="KC")),
        braves_19_25!$F:$F
    )
),0)</f>
        <v>2425</v>
      </c>
      <c r="N23" cm="1">
        <f t="array" ref="N23">IFERROR(AVERAGE(
    IF(
        (braves_19_25!$B:$B=$A23) *
        ((braves_19_25!$C:$C="CU") +
         (braves_19_25!$C:$C="CS") +
         (braves_19_25!$C:$C="KC")),
        braves_19_25!$I:$I
    )
),0)</f>
        <v>4.5322699999999996</v>
      </c>
      <c r="O23" cm="1">
        <f t="array" ref="O23">IFERROR(AVERAGE(
    IF(
        (braves_19_25!$B:$B=$A23) *
        ((braves_19_25!$C:$C="CU") +
         (braves_19_25!$C:$C="CS") +
         (braves_19_25!$C:$C="KC")),
        braves_19_25!$J:$J
    )
),0)</f>
        <v>-0.59074000000000004</v>
      </c>
      <c r="P23" s="29" cm="1">
        <f t="array" ref="P23">IFERROR(AVERAGE(
    IF(
        (braves_19_25!$B:$B=$A23) *
        ((braves_19_25!$C:$C="CU") +
         (braves_19_25!$C:$C="CS") +
         (braves_19_25!$C:$C="KC")),
        braves_19_25!$K:$K
    )
),0)</f>
        <v>0.49590000000000001</v>
      </c>
      <c r="Q23" s="28" cm="1">
        <f t="array" ref="Q23">IFERROR(AVERAGE(
    IF(
        (braves_19_25!$B:$B=$A23) *
        ((braves_19_25!$C:$C="FS") +
         (braves_19_25!$C:$C="CH") +
         (braves_19_25!$C:$C="FO") +
         (braves_19_25!$C:$C="SC")),
        braves_19_25!$G:$G
    )
),0)</f>
        <v>86.67</v>
      </c>
      <c r="R23" cm="1">
        <f t="array" ref="R23">IFERROR(AVERAGE(
    IF(
        (braves_19_25!$B:$B=$A23) *
        ((braves_19_25!$C:$C="FS") +
         (braves_19_25!$C:$C="CH") +
         (braves_19_25!$C:$C="FO") +
         (braves_19_25!$C:$C="SC")),
        braves_19_25!$F:$F
    )
),0)</f>
        <v>1561</v>
      </c>
      <c r="S23" cm="1">
        <f t="array" ref="S23">IFERROR(AVERAGE(
    IF(
        (braves_19_25!$B:$B=$A23) *
        ((braves_19_25!$C:$C="FS") +
         (braves_19_25!$C:$C="CH") +
         (braves_19_25!$C:$C="FO") +
         (braves_19_25!$C:$C="SC")),
        braves_19_25!$I:$I
    )
),0)</f>
        <v>2.15036</v>
      </c>
      <c r="T23" cm="1">
        <f t="array" ref="T23">IFERROR(AVERAGE(
    IF(
        (braves_19_25!$B:$B=$A23) *
        ((braves_19_25!$C:$C="FS") +
         (braves_19_25!$C:$C="CH") +
         (braves_19_25!$C:$C="FO") +
         (braves_19_25!$C:$C="SC")),
        braves_19_25!$J:$J
    )
),0)</f>
        <v>0.85475999999999996</v>
      </c>
      <c r="U23" s="29" cm="1">
        <f t="array" ref="U23">IFERROR(AVERAGE(
    IF(
        (braves_19_25!$B:$B=$A23) *
        ((braves_19_25!$C:$C="FS") +
         (braves_19_25!$C:$C="CH") +
         (braves_19_25!$C:$C="FO") +
         (braves_19_25!$C:$C="SC")),
        braves_19_25!$K:$K
    )
),0)</f>
        <v>-0.79500000000000004</v>
      </c>
      <c r="V23" s="28" cm="1">
        <f t="array" ref="V23">IFERROR(AVERAGE(
    IF(
        (braves_19_25!$B:$B=$A23) *
        ((braves_19_25!$C:$C="EP") +
         (braves_19_25!$C:$C="FA") +
         (braves_19_25!$C:$C="KN")),
        braves_19_25!$G:$G
    )
),0)</f>
        <v>0</v>
      </c>
      <c r="W23" cm="1">
        <f t="array" ref="W23">IFERROR(AVERAGE(
    IF(
        (braves_19_25!$B:$B=$A23) *
        ((braves_19_25!$C:$C="EP") +
         (braves_19_25!$C:$C="FA") +
         (braves_19_25!$C:$C="KN")),
        braves_19_25!$F:$F
    )
),0)</f>
        <v>0</v>
      </c>
      <c r="X23" cm="1">
        <f t="array" ref="X23">IFERROR(AVERAGE(
    IF(
        (braves_19_25!$B:$B=$A23) *
        ((braves_19_25!$C:$C="EP") +
         (braves_19_25!$C:$C="FA") +
         (braves_19_25!$C:$C="KN")),
        braves_19_25!$I:$I
    )
),0)</f>
        <v>0</v>
      </c>
      <c r="Y23" cm="1">
        <f t="array" ref="Y23">IFERROR(AVERAGE(
    IF(
        (braves_19_25!$B:$B=$A23) *
        ((braves_19_25!$C:$C="EP") +
         (braves_19_25!$C:$C="FA") +
         (braves_19_25!$C:$C="KN")),
        braves_19_25!$J:$J
    )
),0)</f>
        <v>0</v>
      </c>
      <c r="Z23" s="29" cm="1">
        <f t="array" ref="Z23">IFERROR(AVERAGE(
    IF(
        (braves_19_25!$B:$B=$A23) *
        ((braves_19_25!$C:$C="EP") +
         (braves_19_25!$C:$C="FA") +
         (braves_19_25!$C:$C="KN")),
        braves_19_25!$K:$K
    )
),0)</f>
        <v>0</v>
      </c>
    </row>
    <row r="24" spans="1:26" x14ac:dyDescent="0.3">
      <c r="A24" t="str">
        <v>Smyly, Drew</v>
      </c>
      <c r="B24" s="28" cm="1">
        <f t="array" ref="B24">IFERROR(AVERAGE(
    IF(
        (braves_19_25!$B:$B=$A24) *
        ((braves_19_25!$C:$C="FF") +
         (braves_19_25!$C:$C="SI") +
         (braves_19_25!$C:$C="FC")),
        braves_19_25!$G:$G
    )
),0)</f>
        <v>89.240000000000009</v>
      </c>
      <c r="C24" cm="1">
        <f t="array" ref="C24">IFERROR(AVERAGE(
    IF(
        (braves_19_25!$B:$B=$A24) *
        ((braves_19_25!$C:$C="FF") +
         (braves_19_25!$C:$C="SI") +
         (braves_19_25!$C:$C="FC")),
        braves_19_25!$F:$F
    )
),0)</f>
        <v>2022</v>
      </c>
      <c r="D24" cm="1">
        <f t="array" ref="D24">IFERROR(AVERAGE(
    IF(
        (braves_19_25!$B:$B=$A24) *
        ((braves_19_25!$C:$C="FF") +
         (braves_19_25!$C:$C="SI") +
         (braves_19_25!$C:$C="FC")),
        braves_19_25!$I:$I
    )
),0)</f>
        <v>1.60216</v>
      </c>
      <c r="E24" cm="1">
        <f t="array" ref="E24">IFERROR(AVERAGE(
    IF(
        (braves_19_25!$B:$B=$A24) *
        ((braves_19_25!$C:$C="FF") +
         (braves_19_25!$C:$C="SI") +
         (braves_19_25!$C:$C="FC")),
        braves_19_25!$J:$J
    )
),0)</f>
        <v>0.43340999999999996</v>
      </c>
      <c r="F24" s="29" cm="1">
        <f t="array" ref="F24">IFERROR(AVERAGE(
    IF(
        (braves_19_25!$B:$B=$A24) *
        ((braves_19_25!$C:$C="FF") +
         (braves_19_25!$C:$C="SI") +
         (braves_19_25!$C:$C="FC")),
        braves_19_25!$K:$K
    )
),0)</f>
        <v>-0.16249999999999998</v>
      </c>
      <c r="G24" s="28" cm="1">
        <f t="array" ref="G24">IFERROR(AVERAGE(
    IF(
        (braves_19_25!$B:$B=$A24) *
        ((braves_19_25!$C:$C="SL") +
         (braves_19_25!$C:$C="ST") +
         (braves_19_25!$C:$C="SV")),
        braves_19_25!$G:$G
    )
),0)</f>
        <v>0</v>
      </c>
      <c r="H24" cm="1">
        <f t="array" ref="H24">IFERROR(AVERAGE(
    IF(
        (braves_19_25!$B:$B=$A24) *
        ((braves_19_25!$C:$C="SL") +
         (braves_19_25!$C:$C="ST") +
         (braves_19_25!$C:$C="SV")),
        braves_19_25!$F:$F
    )
),0)</f>
        <v>0</v>
      </c>
      <c r="I24" cm="1">
        <f t="array" ref="I24">IFERROR(AVERAGE(
    IF(
        (braves_19_25!$B:$B=$A24) *
        ((braves_19_25!$C:$C="SL") +
         (braves_19_25!$C:$C="ST") +
         (braves_19_25!$C:$C="SV")),
        braves_19_25!$I:$I
    )
),0)</f>
        <v>0</v>
      </c>
      <c r="J24" cm="1">
        <f t="array" ref="J24">IFERROR(AVERAGE(
    IF(
        (braves_19_25!$B:$B=$A24) *
        ((braves_19_25!$C:$C="SL") +
         (braves_19_25!$C:$C="ST") +
         (braves_19_25!$C:$C="SV")),
        braves_19_25!$J:$J
    )
),0)</f>
        <v>0</v>
      </c>
      <c r="K24" s="29" cm="1">
        <f t="array" ref="K24">IFERROR(AVERAGE(
    IF(
        (braves_19_25!$B:$B=$A24) *
        ((braves_19_25!$C:$C="SL") +
         (braves_19_25!$C:$C="ST") +
         (braves_19_25!$C:$C="SV")),
        braves_19_25!$K:$K
    )
),0)</f>
        <v>0</v>
      </c>
      <c r="L24" s="28" cm="1">
        <f t="array" ref="L24">IFERROR(AVERAGE(
    IF(
        (braves_19_25!$B:$B=$A24) *
        ((braves_19_25!$C:$C="CU") +
         (braves_19_25!$C:$C="CS") +
         (braves_19_25!$C:$C="KC")),
        braves_19_25!$G:$G
    )
),0)</f>
        <v>77.91</v>
      </c>
      <c r="M24" cm="1">
        <f t="array" ref="M24">IFERROR(AVERAGE(
    IF(
        (braves_19_25!$B:$B=$A24) *
        ((braves_19_25!$C:$C="CU") +
         (braves_19_25!$C:$C="CS") +
         (braves_19_25!$C:$C="KC")),
        braves_19_25!$F:$F
    )
),0)</f>
        <v>2096</v>
      </c>
      <c r="N24" cm="1">
        <f t="array" ref="N24">IFERROR(AVERAGE(
    IF(
        (braves_19_25!$B:$B=$A24) *
        ((braves_19_25!$C:$C="CU") +
         (braves_19_25!$C:$C="CS") +
         (braves_19_25!$C:$C="KC")),
        braves_19_25!$I:$I
    )
),0)</f>
        <v>3.68303</v>
      </c>
      <c r="O24" cm="1">
        <f t="array" ref="O24">IFERROR(AVERAGE(
    IF(
        (braves_19_25!$B:$B=$A24) *
        ((braves_19_25!$C:$C="CU") +
         (braves_19_25!$C:$C="CS") +
         (braves_19_25!$C:$C="KC")),
        braves_19_25!$J:$J
    )
),0)</f>
        <v>0.24703</v>
      </c>
      <c r="P24" s="29" cm="1">
        <f t="array" ref="P24">IFERROR(AVERAGE(
    IF(
        (braves_19_25!$B:$B=$A24) *
        ((braves_19_25!$C:$C="CU") +
         (braves_19_25!$C:$C="CS") +
         (braves_19_25!$C:$C="KC")),
        braves_19_25!$K:$K
    )
),0)</f>
        <v>-0.1268</v>
      </c>
      <c r="Q24" s="28" cm="1">
        <f t="array" ref="Q24">IFERROR(AVERAGE(
    IF(
        (braves_19_25!$B:$B=$A24) *
        ((braves_19_25!$C:$C="FS") +
         (braves_19_25!$C:$C="CH") +
         (braves_19_25!$C:$C="FO") +
         (braves_19_25!$C:$C="SC")),
        braves_19_25!$G:$G
    )
),0)</f>
        <v>0</v>
      </c>
      <c r="R24" cm="1">
        <f t="array" ref="R24">IFERROR(AVERAGE(
    IF(
        (braves_19_25!$B:$B=$A24) *
        ((braves_19_25!$C:$C="FS") +
         (braves_19_25!$C:$C="CH") +
         (braves_19_25!$C:$C="FO") +
         (braves_19_25!$C:$C="SC")),
        braves_19_25!$F:$F
    )
),0)</f>
        <v>0</v>
      </c>
      <c r="S24" cm="1">
        <f t="array" ref="S24">IFERROR(AVERAGE(
    IF(
        (braves_19_25!$B:$B=$A24) *
        ((braves_19_25!$C:$C="FS") +
         (braves_19_25!$C:$C="CH") +
         (braves_19_25!$C:$C="FO") +
         (braves_19_25!$C:$C="SC")),
        braves_19_25!$I:$I
    )
),0)</f>
        <v>0</v>
      </c>
      <c r="T24" cm="1">
        <f t="array" ref="T24">IFERROR(AVERAGE(
    IF(
        (braves_19_25!$B:$B=$A24) *
        ((braves_19_25!$C:$C="FS") +
         (braves_19_25!$C:$C="CH") +
         (braves_19_25!$C:$C="FO") +
         (braves_19_25!$C:$C="SC")),
        braves_19_25!$J:$J
    )
),0)</f>
        <v>0</v>
      </c>
      <c r="U24" s="29" cm="1">
        <f t="array" ref="U24">IFERROR(AVERAGE(
    IF(
        (braves_19_25!$B:$B=$A24) *
        ((braves_19_25!$C:$C="FS") +
         (braves_19_25!$C:$C="CH") +
         (braves_19_25!$C:$C="FO") +
         (braves_19_25!$C:$C="SC")),
        braves_19_25!$K:$K
    )
),0)</f>
        <v>0</v>
      </c>
      <c r="V24" s="28" cm="1">
        <f t="array" ref="V24">IFERROR(AVERAGE(
    IF(
        (braves_19_25!$B:$B=$A24) *
        ((braves_19_25!$C:$C="EP") +
         (braves_19_25!$C:$C="FA") +
         (braves_19_25!$C:$C="KN")),
        braves_19_25!$G:$G
    )
),0)</f>
        <v>0</v>
      </c>
      <c r="W24" cm="1">
        <f t="array" ref="W24">IFERROR(AVERAGE(
    IF(
        (braves_19_25!$B:$B=$A24) *
        ((braves_19_25!$C:$C="EP") +
         (braves_19_25!$C:$C="FA") +
         (braves_19_25!$C:$C="KN")),
        braves_19_25!$F:$F
    )
),0)</f>
        <v>0</v>
      </c>
      <c r="X24" cm="1">
        <f t="array" ref="X24">IFERROR(AVERAGE(
    IF(
        (braves_19_25!$B:$B=$A24) *
        ((braves_19_25!$C:$C="EP") +
         (braves_19_25!$C:$C="FA") +
         (braves_19_25!$C:$C="KN")),
        braves_19_25!$I:$I
    )
),0)</f>
        <v>0</v>
      </c>
      <c r="Y24" cm="1">
        <f t="array" ref="Y24">IFERROR(AVERAGE(
    IF(
        (braves_19_25!$B:$B=$A24) *
        ((braves_19_25!$C:$C="EP") +
         (braves_19_25!$C:$C="FA") +
         (braves_19_25!$C:$C="KN")),
        braves_19_25!$J:$J
    )
),0)</f>
        <v>0</v>
      </c>
      <c r="Z24" s="29" cm="1">
        <f t="array" ref="Z24">IFERROR(AVERAGE(
    IF(
        (braves_19_25!$B:$B=$A24) *
        ((braves_19_25!$C:$C="EP") +
         (braves_19_25!$C:$C="FA") +
         (braves_19_25!$C:$C="KN")),
        braves_19_25!$K:$K
    )
),0)</f>
        <v>0</v>
      </c>
    </row>
    <row r="25" spans="1:26" x14ac:dyDescent="0.3">
      <c r="A25" t="str">
        <v>McHugh, Collin</v>
      </c>
      <c r="B25" s="28" cm="1">
        <f t="array" ref="B25">IFERROR(AVERAGE(
    IF(
        (braves_19_25!$B:$B=$A25) *
        ((braves_19_25!$C:$C="FF") +
         (braves_19_25!$C:$C="SI") +
         (braves_19_25!$C:$C="FC")),
        braves_19_25!$G:$G
    )
),0)</f>
        <v>90.864999999999995</v>
      </c>
      <c r="C25" cm="1">
        <f t="array" ref="C25">IFERROR(AVERAGE(
    IF(
        (braves_19_25!$B:$B=$A25) *
        ((braves_19_25!$C:$C="FF") +
         (braves_19_25!$C:$C="SI") +
         (braves_19_25!$C:$C="FC")),
        braves_19_25!$F:$F
    )
),0)</f>
        <v>2405</v>
      </c>
      <c r="D25" cm="1">
        <f t="array" ref="D25">IFERROR(AVERAGE(
    IF(
        (braves_19_25!$B:$B=$A25) *
        ((braves_19_25!$C:$C="FF") +
         (braves_19_25!$C:$C="SI") +
         (braves_19_25!$C:$C="FC")),
        braves_19_25!$I:$I
    )
),0)</f>
        <v>1.7729300000000001</v>
      </c>
      <c r="E25" cm="1">
        <f t="array" ref="E25">IFERROR(AVERAGE(
    IF(
        (braves_19_25!$B:$B=$A25) *
        ((braves_19_25!$C:$C="FF") +
         (braves_19_25!$C:$C="SI") +
         (braves_19_25!$C:$C="FC")),
        braves_19_25!$J:$J
    )
),0)</f>
        <v>0.373085</v>
      </c>
      <c r="F25" s="29" cm="1">
        <f t="array" ref="F25">IFERROR(AVERAGE(
    IF(
        (braves_19_25!$B:$B=$A25) *
        ((braves_19_25!$C:$C="FF") +
         (braves_19_25!$C:$C="SI") +
         (braves_19_25!$C:$C="FC")),
        braves_19_25!$K:$K
    )
),0)</f>
        <v>-1.5754999999999998E-2</v>
      </c>
      <c r="G25" s="28" cm="1">
        <f t="array" ref="G25">IFERROR(AVERAGE(
    IF(
        (braves_19_25!$B:$B=$A25) *
        ((braves_19_25!$C:$C="SL") +
         (braves_19_25!$C:$C="ST") +
         (braves_19_25!$C:$C="SV")),
        braves_19_25!$G:$G
    )
),0)</f>
        <v>80.430000000000007</v>
      </c>
      <c r="H25" cm="1">
        <f t="array" ref="H25">IFERROR(AVERAGE(
    IF(
        (braves_19_25!$B:$B=$A25) *
        ((braves_19_25!$C:$C="SL") +
         (braves_19_25!$C:$C="ST") +
         (braves_19_25!$C:$C="SV")),
        braves_19_25!$F:$F
    )
),0)</f>
        <v>2772</v>
      </c>
      <c r="I25" cm="1">
        <f t="array" ref="I25">IFERROR(AVERAGE(
    IF(
        (braves_19_25!$B:$B=$A25) *
        ((braves_19_25!$C:$C="SL") +
         (braves_19_25!$C:$C="ST") +
         (braves_19_25!$C:$C="SV")),
        braves_19_25!$I:$I
    )
),0)</f>
        <v>3.5840900000000002</v>
      </c>
      <c r="J25" cm="1">
        <f t="array" ref="J25">IFERROR(AVERAGE(
    IF(
        (braves_19_25!$B:$B=$A25) *
        ((braves_19_25!$C:$C="SL") +
         (braves_19_25!$C:$C="ST") +
         (braves_19_25!$C:$C="SV")),
        braves_19_25!$J:$J
    )
),0)</f>
        <v>-1.3497399999999999</v>
      </c>
      <c r="K25" s="29" cm="1">
        <f t="array" ref="K25">IFERROR(AVERAGE(
    IF(
        (braves_19_25!$B:$B=$A25) *
        ((braves_19_25!$C:$C="SL") +
         (braves_19_25!$C:$C="ST") +
         (braves_19_25!$C:$C="SV")),
        braves_19_25!$K:$K
    )
),0)</f>
        <v>-0.12293999999999999</v>
      </c>
      <c r="L25" s="28" cm="1">
        <f t="array" ref="L25">IFERROR(AVERAGE(
    IF(
        (braves_19_25!$B:$B=$A25) *
        ((braves_19_25!$C:$C="CU") +
         (braves_19_25!$C:$C="CS") +
         (braves_19_25!$C:$C="KC")),
        braves_19_25!$G:$G
    )
),0)</f>
        <v>70.594999999999999</v>
      </c>
      <c r="M25" cm="1">
        <f t="array" ref="M25">IFERROR(AVERAGE(
    IF(
        (braves_19_25!$B:$B=$A25) *
        ((braves_19_25!$C:$C="CU") +
         (braves_19_25!$C:$C="CS") +
         (braves_19_25!$C:$C="KC")),
        braves_19_25!$F:$F
    )
),0)</f>
        <v>2648.5</v>
      </c>
      <c r="N25" cm="1">
        <f t="array" ref="N25">IFERROR(AVERAGE(
    IF(
        (braves_19_25!$B:$B=$A25) *
        ((braves_19_25!$C:$C="CU") +
         (braves_19_25!$C:$C="CS") +
         (braves_19_25!$C:$C="KC")),
        braves_19_25!$I:$I
    )
),0)</f>
        <v>5.6711150000000004</v>
      </c>
      <c r="O25" cm="1">
        <f t="array" ref="O25">IFERROR(AVERAGE(
    IF(
        (braves_19_25!$B:$B=$A25) *
        ((braves_19_25!$C:$C="CU") +
         (braves_19_25!$C:$C="CS") +
         (braves_19_25!$C:$C="KC")),
        braves_19_25!$J:$J
    )
),0)</f>
        <v>-1.062055</v>
      </c>
      <c r="P25" s="29" cm="1">
        <f t="array" ref="P25">IFERROR(AVERAGE(
    IF(
        (braves_19_25!$B:$B=$A25) *
        ((braves_19_25!$C:$C="CU") +
         (braves_19_25!$C:$C="CS") +
         (braves_19_25!$C:$C="KC")),
        braves_19_25!$K:$K
    )
),0)</f>
        <v>0.50617000000000001</v>
      </c>
      <c r="Q25" s="28" cm="1">
        <f t="array" ref="Q25">IFERROR(AVERAGE(
    IF(
        (braves_19_25!$B:$B=$A25) *
        ((braves_19_25!$C:$C="FS") +
         (braves_19_25!$C:$C="CH") +
         (braves_19_25!$C:$C="FO") +
         (braves_19_25!$C:$C="SC")),
        braves_19_25!$G:$G
    )
),0)</f>
        <v>85.5</v>
      </c>
      <c r="R25" cm="1">
        <f t="array" ref="R25">IFERROR(AVERAGE(
    IF(
        (braves_19_25!$B:$B=$A25) *
        ((braves_19_25!$C:$C="FS") +
         (braves_19_25!$C:$C="CH") +
         (braves_19_25!$C:$C="FO") +
         (braves_19_25!$C:$C="SC")),
        braves_19_25!$F:$F
    )
),0)</f>
        <v>1638</v>
      </c>
      <c r="S25" cm="1">
        <f t="array" ref="S25">IFERROR(AVERAGE(
    IF(
        (braves_19_25!$B:$B=$A25) *
        ((braves_19_25!$C:$C="FS") +
         (braves_19_25!$C:$C="CH") +
         (braves_19_25!$C:$C="FO") +
         (braves_19_25!$C:$C="SC")),
        braves_19_25!$I:$I
    )
),0)</f>
        <v>2.7374999999999998</v>
      </c>
      <c r="T25" cm="1">
        <f t="array" ref="T25">IFERROR(AVERAGE(
    IF(
        (braves_19_25!$B:$B=$A25) *
        ((braves_19_25!$C:$C="FS") +
         (braves_19_25!$C:$C="CH") +
         (braves_19_25!$C:$C="FO") +
         (braves_19_25!$C:$C="SC")),
        braves_19_25!$J:$J
    )
),0)</f>
        <v>1.145</v>
      </c>
      <c r="U25" s="29" cm="1">
        <f t="array" ref="U25">IFERROR(AVERAGE(
    IF(
        (braves_19_25!$B:$B=$A25) *
        ((braves_19_25!$C:$C="FS") +
         (braves_19_25!$C:$C="CH") +
         (braves_19_25!$C:$C="FO") +
         (braves_19_25!$C:$C="SC")),
        braves_19_25!$K:$K
    )
),0)</f>
        <v>-1.145</v>
      </c>
      <c r="V25" s="28" cm="1">
        <f t="array" ref="V25">IFERROR(AVERAGE(
    IF(
        (braves_19_25!$B:$B=$A25) *
        ((braves_19_25!$C:$C="EP") +
         (braves_19_25!$C:$C="FA") +
         (braves_19_25!$C:$C="KN")),
        braves_19_25!$G:$G
    )
),0)</f>
        <v>0</v>
      </c>
      <c r="W25" cm="1">
        <f t="array" ref="W25">IFERROR(AVERAGE(
    IF(
        (braves_19_25!$B:$B=$A25) *
        ((braves_19_25!$C:$C="EP") +
         (braves_19_25!$C:$C="FA") +
         (braves_19_25!$C:$C="KN")),
        braves_19_25!$F:$F
    )
),0)</f>
        <v>0</v>
      </c>
      <c r="X25" cm="1">
        <f t="array" ref="X25">IFERROR(AVERAGE(
    IF(
        (braves_19_25!$B:$B=$A25) *
        ((braves_19_25!$C:$C="EP") +
         (braves_19_25!$C:$C="FA") +
         (braves_19_25!$C:$C="KN")),
        braves_19_25!$I:$I
    )
),0)</f>
        <v>0</v>
      </c>
      <c r="Y25" cm="1">
        <f t="array" ref="Y25">IFERROR(AVERAGE(
    IF(
        (braves_19_25!$B:$B=$A25) *
        ((braves_19_25!$C:$C="EP") +
         (braves_19_25!$C:$C="FA") +
         (braves_19_25!$C:$C="KN")),
        braves_19_25!$J:$J
    )
),0)</f>
        <v>0</v>
      </c>
      <c r="Z25" s="29" cm="1">
        <f t="array" ref="Z25">IFERROR(AVERAGE(
    IF(
        (braves_19_25!$B:$B=$A25) *
        ((braves_19_25!$C:$C="EP") +
         (braves_19_25!$C:$C="FA") +
         (braves_19_25!$C:$C="KN")),
        braves_19_25!$K:$K
    )
),0)</f>
        <v>0</v>
      </c>
    </row>
    <row r="26" spans="1:26" x14ac:dyDescent="0.3">
      <c r="A26" t="str">
        <v>Ynoa, Huascar</v>
      </c>
      <c r="B26" s="28" cm="1">
        <f t="array" ref="B26">IFERROR(AVERAGE(
    IF(
        (braves_19_25!$B:$B=$A26) *
        ((braves_19_25!$C:$C="FF") +
         (braves_19_25!$C:$C="SI") +
         (braves_19_25!$C:$C="FC")),
        braves_19_25!$G:$G
    )
),0)</f>
        <v>95.365000000000009</v>
      </c>
      <c r="C26" cm="1">
        <f t="array" ref="C26">IFERROR(AVERAGE(
    IF(
        (braves_19_25!$B:$B=$A26) *
        ((braves_19_25!$C:$C="FF") +
         (braves_19_25!$C:$C="SI") +
         (braves_19_25!$C:$C="FC")),
        braves_19_25!$F:$F
    )
),0)</f>
        <v>2076.5</v>
      </c>
      <c r="D26" cm="1">
        <f t="array" ref="D26">IFERROR(AVERAGE(
    IF(
        (braves_19_25!$B:$B=$A26) *
        ((braves_19_25!$C:$C="FF") +
         (braves_19_25!$C:$C="SI") +
         (braves_19_25!$C:$C="FC")),
        braves_19_25!$I:$I
    )
),0)</f>
        <v>1.1428199999999999</v>
      </c>
      <c r="E26" cm="1">
        <f t="array" ref="E26">IFERROR(AVERAGE(
    IF(
        (braves_19_25!$B:$B=$A26) *
        ((braves_19_25!$C:$C="FF") +
         (braves_19_25!$C:$C="SI") +
         (braves_19_25!$C:$C="FC")),
        braves_19_25!$J:$J
    )
),0)</f>
        <v>0.90636000000000005</v>
      </c>
      <c r="F26" s="29" cm="1">
        <f t="array" ref="F26">IFERROR(AVERAGE(
    IF(
        (braves_19_25!$B:$B=$A26) *
        ((braves_19_25!$C:$C="FF") +
         (braves_19_25!$C:$C="SI") +
         (braves_19_25!$C:$C="FC")),
        braves_19_25!$K:$K
    )
),0)</f>
        <v>-0.325905</v>
      </c>
      <c r="G26" s="28" cm="1">
        <f t="array" ref="G26">IFERROR(AVERAGE(
    IF(
        (braves_19_25!$B:$B=$A26) *
        ((braves_19_25!$C:$C="SL") +
         (braves_19_25!$C:$C="ST") +
         (braves_19_25!$C:$C="SV")),
        braves_19_25!$G:$G
    )
),0)</f>
        <v>85.01</v>
      </c>
      <c r="H26" cm="1">
        <f t="array" ref="H26">IFERROR(AVERAGE(
    IF(
        (braves_19_25!$B:$B=$A26) *
        ((braves_19_25!$C:$C="SL") +
         (braves_19_25!$C:$C="ST") +
         (braves_19_25!$C:$C="SV")),
        braves_19_25!$F:$F
    )
),0)</f>
        <v>2406</v>
      </c>
      <c r="I26" cm="1">
        <f t="array" ref="I26">IFERROR(AVERAGE(
    IF(
        (braves_19_25!$B:$B=$A26) *
        ((braves_19_25!$C:$C="SL") +
         (braves_19_25!$C:$C="ST") +
         (braves_19_25!$C:$C="SV")),
        braves_19_25!$I:$I
    )
),0)</f>
        <v>3.4235899999999999</v>
      </c>
      <c r="J26" cm="1">
        <f t="array" ref="J26">IFERROR(AVERAGE(
    IF(
        (braves_19_25!$B:$B=$A26) *
        ((braves_19_25!$C:$C="SL") +
         (braves_19_25!$C:$C="ST") +
         (braves_19_25!$C:$C="SV")),
        braves_19_25!$J:$J
    )
),0)</f>
        <v>-0.18471000000000001</v>
      </c>
      <c r="K26" s="29" cm="1">
        <f t="array" ref="K26">IFERROR(AVERAGE(
    IF(
        (braves_19_25!$B:$B=$A26) *
        ((braves_19_25!$C:$C="SL") +
         (braves_19_25!$C:$C="ST") +
         (braves_19_25!$C:$C="SV")),
        braves_19_25!$K:$K
    )
),0)</f>
        <v>-4.5269999999999998E-2</v>
      </c>
      <c r="L26" s="28" cm="1">
        <f t="array" ref="L26">IFERROR(AVERAGE(
    IF(
        (braves_19_25!$B:$B=$A26) *
        ((braves_19_25!$C:$C="CU") +
         (braves_19_25!$C:$C="CS") +
         (braves_19_25!$C:$C="KC")),
        braves_19_25!$G:$G
    )
),0)</f>
        <v>0</v>
      </c>
      <c r="M26" cm="1">
        <f t="array" ref="M26">IFERROR(AVERAGE(
    IF(
        (braves_19_25!$B:$B=$A26) *
        ((braves_19_25!$C:$C="CU") +
         (braves_19_25!$C:$C="CS") +
         (braves_19_25!$C:$C="KC")),
        braves_19_25!$F:$F
    )
),0)</f>
        <v>0</v>
      </c>
      <c r="N26" cm="1">
        <f t="array" ref="N26">IFERROR(AVERAGE(
    IF(
        (braves_19_25!$B:$B=$A26) *
        ((braves_19_25!$C:$C="CU") +
         (braves_19_25!$C:$C="CS") +
         (braves_19_25!$C:$C="KC")),
        braves_19_25!$I:$I
    )
),0)</f>
        <v>0</v>
      </c>
      <c r="O26" cm="1">
        <f t="array" ref="O26">IFERROR(AVERAGE(
    IF(
        (braves_19_25!$B:$B=$A26) *
        ((braves_19_25!$C:$C="CU") +
         (braves_19_25!$C:$C="CS") +
         (braves_19_25!$C:$C="KC")),
        braves_19_25!$J:$J
    )
),0)</f>
        <v>0</v>
      </c>
      <c r="P26" s="29" cm="1">
        <f t="array" ref="P26">IFERROR(AVERAGE(
    IF(
        (braves_19_25!$B:$B=$A26) *
        ((braves_19_25!$C:$C="CU") +
         (braves_19_25!$C:$C="CS") +
         (braves_19_25!$C:$C="KC")),
        braves_19_25!$K:$K
    )
),0)</f>
        <v>0</v>
      </c>
      <c r="Q26" s="28" cm="1">
        <f t="array" ref="Q26">IFERROR(AVERAGE(
    IF(
        (braves_19_25!$B:$B=$A26) *
        ((braves_19_25!$C:$C="FS") +
         (braves_19_25!$C:$C="CH") +
         (braves_19_25!$C:$C="FO") +
         (braves_19_25!$C:$C="SC")),
        braves_19_25!$G:$G
    )
),0)</f>
        <v>87.88</v>
      </c>
      <c r="R26" cm="1">
        <f t="array" ref="R26">IFERROR(AVERAGE(
    IF(
        (braves_19_25!$B:$B=$A26) *
        ((braves_19_25!$C:$C="FS") +
         (braves_19_25!$C:$C="CH") +
         (braves_19_25!$C:$C="FO") +
         (braves_19_25!$C:$C="SC")),
        braves_19_25!$F:$F
    )
),0)</f>
        <v>1836</v>
      </c>
      <c r="S26" cm="1">
        <f t="array" ref="S26">IFERROR(AVERAGE(
    IF(
        (braves_19_25!$B:$B=$A26) *
        ((braves_19_25!$C:$C="FS") +
         (braves_19_25!$C:$C="CH") +
         (braves_19_25!$C:$C="FO") +
         (braves_19_25!$C:$C="SC")),
        braves_19_25!$I:$I
    )
),0)</f>
        <v>2.1285599999999998</v>
      </c>
      <c r="T26" cm="1">
        <f t="array" ref="T26">IFERROR(AVERAGE(
    IF(
        (braves_19_25!$B:$B=$A26) *
        ((braves_19_25!$C:$C="FS") +
         (braves_19_25!$C:$C="CH") +
         (braves_19_25!$C:$C="FO") +
         (braves_19_25!$C:$C="SC")),
        braves_19_25!$J:$J
    )
),0)</f>
        <v>1.21072</v>
      </c>
      <c r="U26" s="29" cm="1">
        <f t="array" ref="U26">IFERROR(AVERAGE(
    IF(
        (braves_19_25!$B:$B=$A26) *
        ((braves_19_25!$C:$C="FS") +
         (braves_19_25!$C:$C="CH") +
         (braves_19_25!$C:$C="FO") +
         (braves_19_25!$C:$C="SC")),
        braves_19_25!$K:$K
    )
),0)</f>
        <v>-0.69411999999999996</v>
      </c>
      <c r="V26" s="28" cm="1">
        <f t="array" ref="V26">IFERROR(AVERAGE(
    IF(
        (braves_19_25!$B:$B=$A26) *
        ((braves_19_25!$C:$C="EP") +
         (braves_19_25!$C:$C="FA") +
         (braves_19_25!$C:$C="KN")),
        braves_19_25!$G:$G
    )
),0)</f>
        <v>0</v>
      </c>
      <c r="W26" cm="1">
        <f t="array" ref="W26">IFERROR(AVERAGE(
    IF(
        (braves_19_25!$B:$B=$A26) *
        ((braves_19_25!$C:$C="EP") +
         (braves_19_25!$C:$C="FA") +
         (braves_19_25!$C:$C="KN")),
        braves_19_25!$F:$F
    )
),0)</f>
        <v>0</v>
      </c>
      <c r="X26" cm="1">
        <f t="array" ref="X26">IFERROR(AVERAGE(
    IF(
        (braves_19_25!$B:$B=$A26) *
        ((braves_19_25!$C:$C="EP") +
         (braves_19_25!$C:$C="FA") +
         (braves_19_25!$C:$C="KN")),
        braves_19_25!$I:$I
    )
),0)</f>
        <v>0</v>
      </c>
      <c r="Y26" cm="1">
        <f t="array" ref="Y26">IFERROR(AVERAGE(
    IF(
        (braves_19_25!$B:$B=$A26) *
        ((braves_19_25!$C:$C="EP") +
         (braves_19_25!$C:$C="FA") +
         (braves_19_25!$C:$C="KN")),
        braves_19_25!$J:$J
    )
),0)</f>
        <v>0</v>
      </c>
      <c r="Z26" s="29" cm="1">
        <f t="array" ref="Z26">IFERROR(AVERAGE(
    IF(
        (braves_19_25!$B:$B=$A26) *
        ((braves_19_25!$C:$C="EP") +
         (braves_19_25!$C:$C="FA") +
         (braves_19_25!$C:$C="KN")),
        braves_19_25!$K:$K
    )
),0)</f>
        <v>0</v>
      </c>
    </row>
    <row r="27" spans="1:26" x14ac:dyDescent="0.3">
      <c r="A27" t="str">
        <v>Toussaint, Touki</v>
      </c>
      <c r="B27" s="28" cm="1">
        <f t="array" ref="B27">IFERROR(AVERAGE(
    IF(
        (braves_19_25!$B:$B=$A27) *
        ((braves_19_25!$C:$C="FF") +
         (braves_19_25!$C:$C="SI") +
         (braves_19_25!$C:$C="FC")),
        braves_19_25!$G:$G
    )
),0)</f>
        <v>94.515000000000001</v>
      </c>
      <c r="C27" cm="1">
        <f t="array" ref="C27">IFERROR(AVERAGE(
    IF(
        (braves_19_25!$B:$B=$A27) *
        ((braves_19_25!$C:$C="FF") +
         (braves_19_25!$C:$C="SI") +
         (braves_19_25!$C:$C="FC")),
        braves_19_25!$F:$F
    )
),0)</f>
        <v>2220</v>
      </c>
      <c r="D27" cm="1">
        <f t="array" ref="D27">IFERROR(AVERAGE(
    IF(
        (braves_19_25!$B:$B=$A27) *
        ((braves_19_25!$C:$C="FF") +
         (braves_19_25!$C:$C="SI") +
         (braves_19_25!$C:$C="FC")),
        braves_19_25!$I:$I
    )
),0)</f>
        <v>1.7721750000000001</v>
      </c>
      <c r="E27" cm="1">
        <f t="array" ref="E27">IFERROR(AVERAGE(
    IF(
        (braves_19_25!$B:$B=$A27) *
        ((braves_19_25!$C:$C="FF") +
         (braves_19_25!$C:$C="SI") +
         (braves_19_25!$C:$C="FC")),
        braves_19_25!$J:$J
    )
),0)</f>
        <v>0.93536999999999992</v>
      </c>
      <c r="F27" s="29" cm="1">
        <f t="array" ref="F27">IFERROR(AVERAGE(
    IF(
        (braves_19_25!$B:$B=$A27) *
        ((braves_19_25!$C:$C="FF") +
         (braves_19_25!$C:$C="SI") +
         (braves_19_25!$C:$C="FC")),
        braves_19_25!$K:$K
    )
),0)</f>
        <v>0.217115</v>
      </c>
      <c r="G27" s="28" cm="1">
        <f t="array" ref="G27">IFERROR(AVERAGE(
    IF(
        (braves_19_25!$B:$B=$A27) *
        ((braves_19_25!$C:$C="SL") +
         (braves_19_25!$C:$C="ST") +
         (braves_19_25!$C:$C="SV")),
        braves_19_25!$G:$G
    )
),0)</f>
        <v>86.94</v>
      </c>
      <c r="H27" cm="1">
        <f t="array" ref="H27">IFERROR(AVERAGE(
    IF(
        (braves_19_25!$B:$B=$A27) *
        ((braves_19_25!$C:$C="SL") +
         (braves_19_25!$C:$C="ST") +
         (braves_19_25!$C:$C="SV")),
        braves_19_25!$F:$F
    )
),0)</f>
        <v>2294</v>
      </c>
      <c r="I27" cm="1">
        <f t="array" ref="I27">IFERROR(AVERAGE(
    IF(
        (braves_19_25!$B:$B=$A27) *
        ((braves_19_25!$C:$C="SL") +
         (braves_19_25!$C:$C="ST") +
         (braves_19_25!$C:$C="SV")),
        braves_19_25!$I:$I
    )
),0)</f>
        <v>3.10745</v>
      </c>
      <c r="J27" cm="1">
        <f t="array" ref="J27">IFERROR(AVERAGE(
    IF(
        (braves_19_25!$B:$B=$A27) *
        ((braves_19_25!$C:$C="SL") +
         (braves_19_25!$C:$C="ST") +
         (braves_19_25!$C:$C="SV")),
        braves_19_25!$J:$J
    )
),0)</f>
        <v>-0.40383000000000002</v>
      </c>
      <c r="K27" s="29" cm="1">
        <f t="array" ref="K27">IFERROR(AVERAGE(
    IF(
        (braves_19_25!$B:$B=$A27) *
        ((braves_19_25!$C:$C="SL") +
         (braves_19_25!$C:$C="ST") +
         (braves_19_25!$C:$C="SV")),
        braves_19_25!$K:$K
    )
),0)</f>
        <v>-0.13574</v>
      </c>
      <c r="L27" s="28" cm="1">
        <f t="array" ref="L27">IFERROR(AVERAGE(
    IF(
        (braves_19_25!$B:$B=$A27) *
        ((braves_19_25!$C:$C="CU") +
         (braves_19_25!$C:$C="CS") +
         (braves_19_25!$C:$C="KC")),
        braves_19_25!$G:$G
    )
),0)</f>
        <v>76.900000000000006</v>
      </c>
      <c r="M27" cm="1">
        <f t="array" ref="M27">IFERROR(AVERAGE(
    IF(
        (braves_19_25!$B:$B=$A27) *
        ((braves_19_25!$C:$C="CU") +
         (braves_19_25!$C:$C="CS") +
         (braves_19_25!$C:$C="KC")),
        braves_19_25!$F:$F
    )
),0)</f>
        <v>2437</v>
      </c>
      <c r="N27" cm="1">
        <f t="array" ref="N27">IFERROR(AVERAGE(
    IF(
        (braves_19_25!$B:$B=$A27) *
        ((braves_19_25!$C:$C="CU") +
         (braves_19_25!$C:$C="CS") +
         (braves_19_25!$C:$C="KC")),
        braves_19_25!$I:$I
    )
),0)</f>
        <v>4.9651399999999999</v>
      </c>
      <c r="O27" cm="1">
        <f t="array" ref="O27">IFERROR(AVERAGE(
    IF(
        (braves_19_25!$B:$B=$A27) *
        ((braves_19_25!$C:$C="CU") +
         (braves_19_25!$C:$C="CS") +
         (braves_19_25!$C:$C="KC")),
        braves_19_25!$J:$J
    )
),0)</f>
        <v>-0.99075999999999997</v>
      </c>
      <c r="P27" s="29" cm="1">
        <f t="array" ref="P27">IFERROR(AVERAGE(
    IF(
        (braves_19_25!$B:$B=$A27) *
        ((braves_19_25!$C:$C="CU") +
         (braves_19_25!$C:$C="CS") +
         (braves_19_25!$C:$C="KC")),
        braves_19_25!$K:$K
    )
),0)</f>
        <v>-0.19972000000000001</v>
      </c>
      <c r="Q27" s="28" cm="1">
        <f t="array" ref="Q27">IFERROR(AVERAGE(
    IF(
        (braves_19_25!$B:$B=$A27) *
        ((braves_19_25!$C:$C="FS") +
         (braves_19_25!$C:$C="CH") +
         (braves_19_25!$C:$C="FO") +
         (braves_19_25!$C:$C="SC")),
        braves_19_25!$G:$G
    )
),0)</f>
        <v>87.81</v>
      </c>
      <c r="R27" cm="1">
        <f t="array" ref="R27">IFERROR(AVERAGE(
    IF(
        (braves_19_25!$B:$B=$A27) *
        ((braves_19_25!$C:$C="FS") +
         (braves_19_25!$C:$C="CH") +
         (braves_19_25!$C:$C="FO") +
         (braves_19_25!$C:$C="SC")),
        braves_19_25!$F:$F
    )
),0)</f>
        <v>1421</v>
      </c>
      <c r="S27" cm="1">
        <f t="array" ref="S27">IFERROR(AVERAGE(
    IF(
        (braves_19_25!$B:$B=$A27) *
        ((braves_19_25!$C:$C="FS") +
         (braves_19_25!$C:$C="CH") +
         (braves_19_25!$C:$C="FO") +
         (braves_19_25!$C:$C="SC")),
        braves_19_25!$I:$I
    )
),0)</f>
        <v>2.8880499999999998</v>
      </c>
      <c r="T27" cm="1">
        <f t="array" ref="T27">IFERROR(AVERAGE(
    IF(
        (braves_19_25!$B:$B=$A27) *
        ((braves_19_25!$C:$C="FS") +
         (braves_19_25!$C:$C="CH") +
         (braves_19_25!$C:$C="FO") +
         (braves_19_25!$C:$C="SC")),
        braves_19_25!$J:$J
    )
),0)</f>
        <v>0.68457999999999997</v>
      </c>
      <c r="U27" s="29" cm="1">
        <f t="array" ref="U27">IFERROR(AVERAGE(
    IF(
        (braves_19_25!$B:$B=$A27) *
        ((braves_19_25!$C:$C="FS") +
         (braves_19_25!$C:$C="CH") +
         (braves_19_25!$C:$C="FO") +
         (braves_19_25!$C:$C="SC")),
        braves_19_25!$K:$K
    )
),0)</f>
        <v>-2.8400000000000002E-2</v>
      </c>
      <c r="V27" s="28" cm="1">
        <f t="array" ref="V27">IFERROR(AVERAGE(
    IF(
        (braves_19_25!$B:$B=$A27) *
        ((braves_19_25!$C:$C="EP") +
         (braves_19_25!$C:$C="FA") +
         (braves_19_25!$C:$C="KN")),
        braves_19_25!$G:$G
    )
),0)</f>
        <v>0</v>
      </c>
      <c r="W27" cm="1">
        <f t="array" ref="W27">IFERROR(AVERAGE(
    IF(
        (braves_19_25!$B:$B=$A27) *
        ((braves_19_25!$C:$C="EP") +
         (braves_19_25!$C:$C="FA") +
         (braves_19_25!$C:$C="KN")),
        braves_19_25!$F:$F
    )
),0)</f>
        <v>0</v>
      </c>
      <c r="X27" cm="1">
        <f t="array" ref="X27">IFERROR(AVERAGE(
    IF(
        (braves_19_25!$B:$B=$A27) *
        ((braves_19_25!$C:$C="EP") +
         (braves_19_25!$C:$C="FA") +
         (braves_19_25!$C:$C="KN")),
        braves_19_25!$I:$I
    )
),0)</f>
        <v>0</v>
      </c>
      <c r="Y27" cm="1">
        <f t="array" ref="Y27">IFERROR(AVERAGE(
    IF(
        (braves_19_25!$B:$B=$A27) *
        ((braves_19_25!$C:$C="EP") +
         (braves_19_25!$C:$C="FA") +
         (braves_19_25!$C:$C="KN")),
        braves_19_25!$J:$J
    )
),0)</f>
        <v>0</v>
      </c>
      <c r="Z27" s="29" cm="1">
        <f t="array" ref="Z27">IFERROR(AVERAGE(
    IF(
        (braves_19_25!$B:$B=$A27) *
        ((braves_19_25!$C:$C="EP") +
         (braves_19_25!$C:$C="FA") +
         (braves_19_25!$C:$C="KN")),
        braves_19_25!$K:$K
    )
),0)</f>
        <v>0</v>
      </c>
    </row>
    <row r="28" spans="1:26" x14ac:dyDescent="0.3">
      <c r="A28" t="str">
        <v>Jiménez, Joe</v>
      </c>
      <c r="B28" s="28" cm="1">
        <f t="array" ref="B28">IFERROR(AVERAGE(
    IF(
        (braves_19_25!$B:$B=$A28) *
        ((braves_19_25!$C:$C="FF") +
         (braves_19_25!$C:$C="SI") +
         (braves_19_25!$C:$C="FC")),
        braves_19_25!$G:$G
    )
),0)</f>
        <v>96.35</v>
      </c>
      <c r="C28" cm="1">
        <f t="array" ref="C28">IFERROR(AVERAGE(
    IF(
        (braves_19_25!$B:$B=$A28) *
        ((braves_19_25!$C:$C="FF") +
         (braves_19_25!$C:$C="SI") +
         (braves_19_25!$C:$C="FC")),
        braves_19_25!$F:$F
    )
),0)</f>
        <v>2416</v>
      </c>
      <c r="D28" cm="1">
        <f t="array" ref="D28">IFERROR(AVERAGE(
    IF(
        (braves_19_25!$B:$B=$A28) *
        ((braves_19_25!$C:$C="FF") +
         (braves_19_25!$C:$C="SI") +
         (braves_19_25!$C:$C="FC")),
        braves_19_25!$I:$I
    )
),0)</f>
        <v>1.06985</v>
      </c>
      <c r="E28" cm="1">
        <f t="array" ref="E28">IFERROR(AVERAGE(
    IF(
        (braves_19_25!$B:$B=$A28) *
        ((braves_19_25!$C:$C="FF") +
         (braves_19_25!$C:$C="SI") +
         (braves_19_25!$C:$C="FC")),
        braves_19_25!$J:$J
    )
),0)</f>
        <v>0.75346000000000002</v>
      </c>
      <c r="F28" s="29" cm="1">
        <f t="array" ref="F28">IFERROR(AVERAGE(
    IF(
        (braves_19_25!$B:$B=$A28) *
        ((braves_19_25!$C:$C="FF") +
         (braves_19_25!$C:$C="SI") +
         (braves_19_25!$C:$C="FC")),
        braves_19_25!$K:$K
    )
),0)</f>
        <v>3.056E-2</v>
      </c>
      <c r="G28" s="28" cm="1">
        <f t="array" ref="G28">IFERROR(AVERAGE(
    IF(
        (braves_19_25!$B:$B=$A28) *
        ((braves_19_25!$C:$C="SL") +
         (braves_19_25!$C:$C="ST") +
         (braves_19_25!$C:$C="SV")),
        braves_19_25!$G:$G
    )
),0)</f>
        <v>85.89</v>
      </c>
      <c r="H28" cm="1">
        <f t="array" ref="H28">IFERROR(AVERAGE(
    IF(
        (braves_19_25!$B:$B=$A28) *
        ((braves_19_25!$C:$C="SL") +
         (braves_19_25!$C:$C="ST") +
         (braves_19_25!$C:$C="SV")),
        braves_19_25!$F:$F
    )
),0)</f>
        <v>2183</v>
      </c>
      <c r="I28" cm="1">
        <f t="array" ref="I28">IFERROR(AVERAGE(
    IF(
        (braves_19_25!$B:$B=$A28) *
        ((braves_19_25!$C:$C="SL") +
         (braves_19_25!$C:$C="ST") +
         (braves_19_25!$C:$C="SV")),
        braves_19_25!$I:$I
    )
),0)</f>
        <v>3.0350999999999999</v>
      </c>
      <c r="J28" cm="1">
        <f t="array" ref="J28">IFERROR(AVERAGE(
    IF(
        (braves_19_25!$B:$B=$A28) *
        ((braves_19_25!$C:$C="SL") +
         (braves_19_25!$C:$C="ST") +
         (braves_19_25!$C:$C="SV")),
        braves_19_25!$J:$J
    )
),0)</f>
        <v>-0.46837000000000001</v>
      </c>
      <c r="K28" s="29" cm="1">
        <f t="array" ref="K28">IFERROR(AVERAGE(
    IF(
        (braves_19_25!$B:$B=$A28) *
        ((braves_19_25!$C:$C="SL") +
         (braves_19_25!$C:$C="ST") +
         (braves_19_25!$C:$C="SV")),
        braves_19_25!$K:$K
    )
),0)</f>
        <v>-0.13037000000000001</v>
      </c>
      <c r="L28" s="28" cm="1">
        <f t="array" ref="L28">IFERROR(AVERAGE(
    IF(
        (braves_19_25!$B:$B=$A28) *
        ((braves_19_25!$C:$C="CU") +
         (braves_19_25!$C:$C="CS") +
         (braves_19_25!$C:$C="KC")),
        braves_19_25!$G:$G
    )
),0)</f>
        <v>0</v>
      </c>
      <c r="M28" cm="1">
        <f t="array" ref="M28">IFERROR(AVERAGE(
    IF(
        (braves_19_25!$B:$B=$A28) *
        ((braves_19_25!$C:$C="CU") +
         (braves_19_25!$C:$C="CS") +
         (braves_19_25!$C:$C="KC")),
        braves_19_25!$F:$F
    )
),0)</f>
        <v>0</v>
      </c>
      <c r="N28" cm="1">
        <f t="array" ref="N28">IFERROR(AVERAGE(
    IF(
        (braves_19_25!$B:$B=$A28) *
        ((braves_19_25!$C:$C="CU") +
         (braves_19_25!$C:$C="CS") +
         (braves_19_25!$C:$C="KC")),
        braves_19_25!$I:$I
    )
),0)</f>
        <v>0</v>
      </c>
      <c r="O28" cm="1">
        <f t="array" ref="O28">IFERROR(AVERAGE(
    IF(
        (braves_19_25!$B:$B=$A28) *
        ((braves_19_25!$C:$C="CU") +
         (braves_19_25!$C:$C="CS") +
         (braves_19_25!$C:$C="KC")),
        braves_19_25!$J:$J
    )
),0)</f>
        <v>0</v>
      </c>
      <c r="P28" s="29" cm="1">
        <f t="array" ref="P28">IFERROR(AVERAGE(
    IF(
        (braves_19_25!$B:$B=$A28) *
        ((braves_19_25!$C:$C="CU") +
         (braves_19_25!$C:$C="CS") +
         (braves_19_25!$C:$C="KC")),
        braves_19_25!$K:$K
    )
),0)</f>
        <v>0</v>
      </c>
      <c r="Q28" s="28" cm="1">
        <f t="array" ref="Q28">IFERROR(AVERAGE(
    IF(
        (braves_19_25!$B:$B=$A28) *
        ((braves_19_25!$C:$C="FS") +
         (braves_19_25!$C:$C="CH") +
         (braves_19_25!$C:$C="FO") +
         (braves_19_25!$C:$C="SC")),
        braves_19_25!$G:$G
    )
),0)</f>
        <v>91.15</v>
      </c>
      <c r="R28" cm="1">
        <f t="array" ref="R28">IFERROR(AVERAGE(
    IF(
        (braves_19_25!$B:$B=$A28) *
        ((braves_19_25!$C:$C="FS") +
         (braves_19_25!$C:$C="CH") +
         (braves_19_25!$C:$C="FO") +
         (braves_19_25!$C:$C="SC")),
        braves_19_25!$F:$F
    )
),0)</f>
        <v>2182</v>
      </c>
      <c r="S28" cm="1">
        <f t="array" ref="S28">IFERROR(AVERAGE(
    IF(
        (braves_19_25!$B:$B=$A28) *
        ((braves_19_25!$C:$C="FS") +
         (braves_19_25!$C:$C="CH") +
         (braves_19_25!$C:$C="FO") +
         (braves_19_25!$C:$C="SC")),
        braves_19_25!$I:$I
    )
),0)</f>
        <v>2.18893</v>
      </c>
      <c r="T28" cm="1">
        <f t="array" ref="T28">IFERROR(AVERAGE(
    IF(
        (braves_19_25!$B:$B=$A28) *
        ((braves_19_25!$C:$C="FS") +
         (braves_19_25!$C:$C="CH") +
         (braves_19_25!$C:$C="FO") +
         (braves_19_25!$C:$C="SC")),
        braves_19_25!$J:$J
    )
),0)</f>
        <v>1.3392900000000001</v>
      </c>
      <c r="U28" s="29" cm="1">
        <f t="array" ref="U28">IFERROR(AVERAGE(
    IF(
        (braves_19_25!$B:$B=$A28) *
        ((braves_19_25!$C:$C="FS") +
         (braves_19_25!$C:$C="CH") +
         (braves_19_25!$C:$C="FO") +
         (braves_19_25!$C:$C="SC")),
        braves_19_25!$K:$K
    )
),0)</f>
        <v>-1.14161</v>
      </c>
      <c r="V28" s="28" cm="1">
        <f t="array" ref="V28">IFERROR(AVERAGE(
    IF(
        (braves_19_25!$B:$B=$A28) *
        ((braves_19_25!$C:$C="EP") +
         (braves_19_25!$C:$C="FA") +
         (braves_19_25!$C:$C="KN")),
        braves_19_25!$G:$G
    )
),0)</f>
        <v>0</v>
      </c>
      <c r="W28" cm="1">
        <f t="array" ref="W28">IFERROR(AVERAGE(
    IF(
        (braves_19_25!$B:$B=$A28) *
        ((braves_19_25!$C:$C="EP") +
         (braves_19_25!$C:$C="FA") +
         (braves_19_25!$C:$C="KN")),
        braves_19_25!$F:$F
    )
),0)</f>
        <v>0</v>
      </c>
      <c r="X28" cm="1">
        <f t="array" ref="X28">IFERROR(AVERAGE(
    IF(
        (braves_19_25!$B:$B=$A28) *
        ((braves_19_25!$C:$C="EP") +
         (braves_19_25!$C:$C="FA") +
         (braves_19_25!$C:$C="KN")),
        braves_19_25!$I:$I
    )
),0)</f>
        <v>0</v>
      </c>
      <c r="Y28" cm="1">
        <f t="array" ref="Y28">IFERROR(AVERAGE(
    IF(
        (braves_19_25!$B:$B=$A28) *
        ((braves_19_25!$C:$C="EP") +
         (braves_19_25!$C:$C="FA") +
         (braves_19_25!$C:$C="KN")),
        braves_19_25!$J:$J
    )
),0)</f>
        <v>0</v>
      </c>
      <c r="Z28" s="29" cm="1">
        <f t="array" ref="Z28">IFERROR(AVERAGE(
    IF(
        (braves_19_25!$B:$B=$A28) *
        ((braves_19_25!$C:$C="EP") +
         (braves_19_25!$C:$C="FA") +
         (braves_19_25!$C:$C="KN")),
        braves_19_25!$K:$K
    )
),0)</f>
        <v>0</v>
      </c>
    </row>
    <row r="29" spans="1:26" x14ac:dyDescent="0.3">
      <c r="A29" t="str">
        <v>Smith, Will</v>
      </c>
      <c r="B29" s="28" cm="1">
        <f t="array" ref="B29">IFERROR(AVERAGE(
    IF(
        (braves_19_25!$B:$B=$A29) *
        ((braves_19_25!$C:$C="FF") +
         (braves_19_25!$C:$C="SI") +
         (braves_19_25!$C:$C="FC")),
        braves_19_25!$G:$G
    )
),0)</f>
        <v>92.6</v>
      </c>
      <c r="C29" cm="1">
        <f t="array" ref="C29">IFERROR(AVERAGE(
    IF(
        (braves_19_25!$B:$B=$A29) *
        ((braves_19_25!$C:$C="FF") +
         (braves_19_25!$C:$C="SI") +
         (braves_19_25!$C:$C="FC")),
        braves_19_25!$F:$F
    )
),0)</f>
        <v>2221</v>
      </c>
      <c r="D29" cm="1">
        <f t="array" ref="D29">IFERROR(AVERAGE(
    IF(
        (braves_19_25!$B:$B=$A29) *
        ((braves_19_25!$C:$C="FF") +
         (braves_19_25!$C:$C="SI") +
         (braves_19_25!$C:$C="FC")),
        braves_19_25!$I:$I
    )
),0)</f>
        <v>1.2421500000000001</v>
      </c>
      <c r="E29" cm="1">
        <f t="array" ref="E29">IFERROR(AVERAGE(
    IF(
        (braves_19_25!$B:$B=$A29) *
        ((braves_19_25!$C:$C="FF") +
         (braves_19_25!$C:$C="SI") +
         (braves_19_25!$C:$C="FC")),
        braves_19_25!$J:$J
    )
),0)</f>
        <v>0.61048000000000002</v>
      </c>
      <c r="F29" s="29" cm="1">
        <f t="array" ref="F29">IFERROR(AVERAGE(
    IF(
        (braves_19_25!$B:$B=$A29) *
        ((braves_19_25!$C:$C="FF") +
         (braves_19_25!$C:$C="SI") +
         (braves_19_25!$C:$C="FC")),
        braves_19_25!$K:$K
    )
),0)</f>
        <v>-0.28798000000000001</v>
      </c>
      <c r="G29" s="28" cm="1">
        <f t="array" ref="G29">IFERROR(AVERAGE(
    IF(
        (braves_19_25!$B:$B=$A29) *
        ((braves_19_25!$C:$C="SL") +
         (braves_19_25!$C:$C="ST") +
         (braves_19_25!$C:$C="SV")),
        braves_19_25!$G:$G
    )
),0)</f>
        <v>81.75</v>
      </c>
      <c r="H29" cm="1">
        <f t="array" ref="H29">IFERROR(AVERAGE(
    IF(
        (braves_19_25!$B:$B=$A29) *
        ((braves_19_25!$C:$C="SL") +
         (braves_19_25!$C:$C="ST") +
         (braves_19_25!$C:$C="SV")),
        braves_19_25!$F:$F
    )
),0)</f>
        <v>2303</v>
      </c>
      <c r="I29" cm="1">
        <f t="array" ref="I29">IFERROR(AVERAGE(
    IF(
        (braves_19_25!$B:$B=$A29) *
        ((braves_19_25!$C:$C="SL") +
         (braves_19_25!$C:$C="ST") +
         (braves_19_25!$C:$C="SV")),
        braves_19_25!$I:$I
    )
),0)</f>
        <v>3.1725500000000002</v>
      </c>
      <c r="J29" cm="1">
        <f t="array" ref="J29">IFERROR(AVERAGE(
    IF(
        (braves_19_25!$B:$B=$A29) *
        ((braves_19_25!$C:$C="SL") +
         (braves_19_25!$C:$C="ST") +
         (braves_19_25!$C:$C="SV")),
        braves_19_25!$J:$J
    )
),0)</f>
        <v>-0.51422000000000001</v>
      </c>
      <c r="K29" s="29" cm="1">
        <f t="array" ref="K29">IFERROR(AVERAGE(
    IF(
        (braves_19_25!$B:$B=$A29) *
        ((braves_19_25!$C:$C="SL") +
         (braves_19_25!$C:$C="ST") +
         (braves_19_25!$C:$C="SV")),
        braves_19_25!$K:$K
    )
),0)</f>
        <v>0.17141999999999999</v>
      </c>
      <c r="L29" s="28" cm="1">
        <f t="array" ref="L29">IFERROR(AVERAGE(
    IF(
        (braves_19_25!$B:$B=$A29) *
        ((braves_19_25!$C:$C="CU") +
         (braves_19_25!$C:$C="CS") +
         (braves_19_25!$C:$C="KC")),
        braves_19_25!$G:$G
    )
),0)</f>
        <v>76.849999999999994</v>
      </c>
      <c r="M29" cm="1">
        <f t="array" ref="M29">IFERROR(AVERAGE(
    IF(
        (braves_19_25!$B:$B=$A29) *
        ((braves_19_25!$C:$C="CU") +
         (braves_19_25!$C:$C="CS") +
         (braves_19_25!$C:$C="KC")),
        braves_19_25!$F:$F
    )
),0)</f>
        <v>2003</v>
      </c>
      <c r="N29" cm="1">
        <f t="array" ref="N29">IFERROR(AVERAGE(
    IF(
        (braves_19_25!$B:$B=$A29) *
        ((braves_19_25!$C:$C="CU") +
         (braves_19_25!$C:$C="CS") +
         (braves_19_25!$C:$C="KC")),
        braves_19_25!$I:$I
    )
),0)</f>
        <v>4.4703200000000001</v>
      </c>
      <c r="O29" cm="1">
        <f t="array" ref="O29">IFERROR(AVERAGE(
    IF(
        (braves_19_25!$B:$B=$A29) *
        ((braves_19_25!$C:$C="CU") +
         (braves_19_25!$C:$C="CS") +
         (braves_19_25!$C:$C="KC")),
        braves_19_25!$J:$J
    )
),0)</f>
        <v>-0.73819999999999997</v>
      </c>
      <c r="P29" s="29" cm="1">
        <f t="array" ref="P29">IFERROR(AVERAGE(
    IF(
        (braves_19_25!$B:$B=$A29) *
        ((braves_19_25!$C:$C="CU") +
         (braves_19_25!$C:$C="CS") +
         (braves_19_25!$C:$C="KC")),
        braves_19_25!$K:$K
    )
),0)</f>
        <v>0.59865999999999997</v>
      </c>
      <c r="Q29" s="28" cm="1">
        <f t="array" ref="Q29">IFERROR(AVERAGE(
    IF(
        (braves_19_25!$B:$B=$A29) *
        ((braves_19_25!$C:$C="FS") +
         (braves_19_25!$C:$C="CH") +
         (braves_19_25!$C:$C="FO") +
         (braves_19_25!$C:$C="SC")),
        braves_19_25!$G:$G
    )
),0)</f>
        <v>0</v>
      </c>
      <c r="R29" cm="1">
        <f t="array" ref="R29">IFERROR(AVERAGE(
    IF(
        (braves_19_25!$B:$B=$A29) *
        ((braves_19_25!$C:$C="FS") +
         (braves_19_25!$C:$C="CH") +
         (braves_19_25!$C:$C="FO") +
         (braves_19_25!$C:$C="SC")),
        braves_19_25!$F:$F
    )
),0)</f>
        <v>0</v>
      </c>
      <c r="S29" cm="1">
        <f t="array" ref="S29">IFERROR(AVERAGE(
    IF(
        (braves_19_25!$B:$B=$A29) *
        ((braves_19_25!$C:$C="FS") +
         (braves_19_25!$C:$C="CH") +
         (braves_19_25!$C:$C="FO") +
         (braves_19_25!$C:$C="SC")),
        braves_19_25!$I:$I
    )
),0)</f>
        <v>0</v>
      </c>
      <c r="T29" cm="1">
        <f t="array" ref="T29">IFERROR(AVERAGE(
    IF(
        (braves_19_25!$B:$B=$A29) *
        ((braves_19_25!$C:$C="FS") +
         (braves_19_25!$C:$C="CH") +
         (braves_19_25!$C:$C="FO") +
         (braves_19_25!$C:$C="SC")),
        braves_19_25!$J:$J
    )
),0)</f>
        <v>0</v>
      </c>
      <c r="U29" s="29" cm="1">
        <f t="array" ref="U29">IFERROR(AVERAGE(
    IF(
        (braves_19_25!$B:$B=$A29) *
        ((braves_19_25!$C:$C="FS") +
         (braves_19_25!$C:$C="CH") +
         (braves_19_25!$C:$C="FO") +
         (braves_19_25!$C:$C="SC")),
        braves_19_25!$K:$K
    )
),0)</f>
        <v>0</v>
      </c>
      <c r="V29" s="28" cm="1">
        <f t="array" ref="V29">IFERROR(AVERAGE(
    IF(
        (braves_19_25!$B:$B=$A29) *
        ((braves_19_25!$C:$C="EP") +
         (braves_19_25!$C:$C="FA") +
         (braves_19_25!$C:$C="KN")),
        braves_19_25!$G:$G
    )
),0)</f>
        <v>0</v>
      </c>
      <c r="W29" cm="1">
        <f t="array" ref="W29">IFERROR(AVERAGE(
    IF(
        (braves_19_25!$B:$B=$A29) *
        ((braves_19_25!$C:$C="EP") +
         (braves_19_25!$C:$C="FA") +
         (braves_19_25!$C:$C="KN")),
        braves_19_25!$F:$F
    )
),0)</f>
        <v>0</v>
      </c>
      <c r="X29" cm="1">
        <f t="array" ref="X29">IFERROR(AVERAGE(
    IF(
        (braves_19_25!$B:$B=$A29) *
        ((braves_19_25!$C:$C="EP") +
         (braves_19_25!$C:$C="FA") +
         (braves_19_25!$C:$C="KN")),
        braves_19_25!$I:$I
    )
),0)</f>
        <v>0</v>
      </c>
      <c r="Y29" cm="1">
        <f t="array" ref="Y29">IFERROR(AVERAGE(
    IF(
        (braves_19_25!$B:$B=$A29) *
        ((braves_19_25!$C:$C="EP") +
         (braves_19_25!$C:$C="FA") +
         (braves_19_25!$C:$C="KN")),
        braves_19_25!$J:$J
    )
),0)</f>
        <v>0</v>
      </c>
      <c r="Z29" s="29" cm="1">
        <f t="array" ref="Z29">IFERROR(AVERAGE(
    IF(
        (braves_19_25!$B:$B=$A29) *
        ((braves_19_25!$C:$C="EP") +
         (braves_19_25!$C:$C="FA") +
         (braves_19_25!$C:$C="KN")),
        braves_19_25!$K:$K
    )
),0)</f>
        <v>0</v>
      </c>
    </row>
    <row r="30" spans="1:26" x14ac:dyDescent="0.3">
      <c r="A30" t="str">
        <v>Foltynewicz, Mike</v>
      </c>
      <c r="B30" s="28" cm="1">
        <f t="array" ref="B30">IFERROR(AVERAGE(
    IF(
        (braves_19_25!$B:$B=$A30) *
        ((braves_19_25!$C:$C="FF") +
         (braves_19_25!$C:$C="SI") +
         (braves_19_25!$C:$C="FC")),
        braves_19_25!$G:$G
    )
),0)</f>
        <v>94.62</v>
      </c>
      <c r="C30" cm="1">
        <f t="array" ref="C30">IFERROR(AVERAGE(
    IF(
        (braves_19_25!$B:$B=$A30) *
        ((braves_19_25!$C:$C="FF") +
         (braves_19_25!$C:$C="SI") +
         (braves_19_25!$C:$C="FC")),
        braves_19_25!$F:$F
    )
),0)</f>
        <v>2207.5</v>
      </c>
      <c r="D30" cm="1">
        <f t="array" ref="D30">IFERROR(AVERAGE(
    IF(
        (braves_19_25!$B:$B=$A30) *
        ((braves_19_25!$C:$C="FF") +
         (braves_19_25!$C:$C="SI") +
         (braves_19_25!$C:$C="FC")),
        braves_19_25!$I:$I
    )
),0)</f>
        <v>1.5012799999999999</v>
      </c>
      <c r="E30" cm="1">
        <f t="array" ref="E30">IFERROR(AVERAGE(
    IF(
        (braves_19_25!$B:$B=$A30) *
        ((braves_19_25!$C:$C="FF") +
         (braves_19_25!$C:$C="SI") +
         (braves_19_25!$C:$C="FC")),
        braves_19_25!$J:$J
    )
),0)</f>
        <v>1.0305249999999999</v>
      </c>
      <c r="F30" s="29" cm="1">
        <f t="array" ref="F30">IFERROR(AVERAGE(
    IF(
        (braves_19_25!$B:$B=$A30) *
        ((braves_19_25!$C:$C="FF") +
         (braves_19_25!$C:$C="SI") +
         (braves_19_25!$C:$C="FC")),
        braves_19_25!$K:$K
    )
),0)</f>
        <v>0.13995000000000002</v>
      </c>
      <c r="G30" s="28" cm="1">
        <f t="array" ref="G30">IFERROR(AVERAGE(
    IF(
        (braves_19_25!$B:$B=$A30) *
        ((braves_19_25!$C:$C="SL") +
         (braves_19_25!$C:$C="ST") +
         (braves_19_25!$C:$C="SV")),
        braves_19_25!$G:$G
    )
),0)</f>
        <v>84.85</v>
      </c>
      <c r="H30" cm="1">
        <f t="array" ref="H30">IFERROR(AVERAGE(
    IF(
        (braves_19_25!$B:$B=$A30) *
        ((braves_19_25!$C:$C="SL") +
         (braves_19_25!$C:$C="ST") +
         (braves_19_25!$C:$C="SV")),
        braves_19_25!$F:$F
    )
),0)</f>
        <v>2441</v>
      </c>
      <c r="I30" cm="1">
        <f t="array" ref="I30">IFERROR(AVERAGE(
    IF(
        (braves_19_25!$B:$B=$A30) *
        ((braves_19_25!$C:$C="SL") +
         (braves_19_25!$C:$C="ST") +
         (braves_19_25!$C:$C="SV")),
        braves_19_25!$I:$I
    )
),0)</f>
        <v>2.8569100000000001</v>
      </c>
      <c r="J30" cm="1">
        <f t="array" ref="J30">IFERROR(AVERAGE(
    IF(
        (braves_19_25!$B:$B=$A30) *
        ((braves_19_25!$C:$C="SL") +
         (braves_19_25!$C:$C="ST") +
         (braves_19_25!$C:$C="SV")),
        braves_19_25!$J:$J
    )
),0)</f>
        <v>-0.30081000000000002</v>
      </c>
      <c r="K30" s="29" cm="1">
        <f t="array" ref="K30">IFERROR(AVERAGE(
    IF(
        (braves_19_25!$B:$B=$A30) *
        ((braves_19_25!$C:$C="SL") +
         (braves_19_25!$C:$C="ST") +
         (braves_19_25!$C:$C="SV")),
        braves_19_25!$K:$K
    )
),0)</f>
        <v>-8.7569999999999995E-2</v>
      </c>
      <c r="L30" s="28" cm="1">
        <f t="array" ref="L30">IFERROR(AVERAGE(
    IF(
        (braves_19_25!$B:$B=$A30) *
        ((braves_19_25!$C:$C="CU") +
         (braves_19_25!$C:$C="CS") +
         (braves_19_25!$C:$C="KC")),
        braves_19_25!$G:$G
    )
),0)</f>
        <v>78.650000000000006</v>
      </c>
      <c r="M30" cm="1">
        <f t="array" ref="M30">IFERROR(AVERAGE(
    IF(
        (braves_19_25!$B:$B=$A30) *
        ((braves_19_25!$C:$C="CU") +
         (braves_19_25!$C:$C="CS") +
         (braves_19_25!$C:$C="KC")),
        braves_19_25!$F:$F
    )
),0)</f>
        <v>2433</v>
      </c>
      <c r="N30" cm="1">
        <f t="array" ref="N30">IFERROR(AVERAGE(
    IF(
        (braves_19_25!$B:$B=$A30) *
        ((braves_19_25!$C:$C="CU") +
         (braves_19_25!$C:$C="CS") +
         (braves_19_25!$C:$C="KC")),
        braves_19_25!$I:$I
    )
),0)</f>
        <v>4.0121700000000002</v>
      </c>
      <c r="O30" cm="1">
        <f t="array" ref="O30">IFERROR(AVERAGE(
    IF(
        (braves_19_25!$B:$B=$A30) *
        ((braves_19_25!$C:$C="CU") +
         (braves_19_25!$C:$C="CS") +
         (braves_19_25!$C:$C="KC")),
        braves_19_25!$J:$J
    )
),0)</f>
        <v>-0.39722000000000002</v>
      </c>
      <c r="P30" s="29" cm="1">
        <f t="array" ref="P30">IFERROR(AVERAGE(
    IF(
        (braves_19_25!$B:$B=$A30) *
        ((braves_19_25!$C:$C="CU") +
         (braves_19_25!$C:$C="CS") +
         (braves_19_25!$C:$C="KC")),
        braves_19_25!$K:$K
    )
),0)</f>
        <v>-9.1259999999999994E-2</v>
      </c>
      <c r="Q30" s="28" cm="1">
        <f t="array" ref="Q30">IFERROR(AVERAGE(
    IF(
        (braves_19_25!$B:$B=$A30) *
        ((braves_19_25!$C:$C="FS") +
         (braves_19_25!$C:$C="CH") +
         (braves_19_25!$C:$C="FO") +
         (braves_19_25!$C:$C="SC")),
        braves_19_25!$G:$G
    )
),0)</f>
        <v>86.84</v>
      </c>
      <c r="R30" cm="1">
        <f t="array" ref="R30">IFERROR(AVERAGE(
    IF(
        (braves_19_25!$B:$B=$A30) *
        ((braves_19_25!$C:$C="FS") +
         (braves_19_25!$C:$C="CH") +
         (braves_19_25!$C:$C="FO") +
         (braves_19_25!$C:$C="SC")),
        braves_19_25!$F:$F
    )
),0)</f>
        <v>1880</v>
      </c>
      <c r="S30" cm="1">
        <f t="array" ref="S30">IFERROR(AVERAGE(
    IF(
        (braves_19_25!$B:$B=$A30) *
        ((braves_19_25!$C:$C="FS") +
         (braves_19_25!$C:$C="CH") +
         (braves_19_25!$C:$C="FO") +
         (braves_19_25!$C:$C="SC")),
        braves_19_25!$I:$I
    )
),0)</f>
        <v>2.1233499999999998</v>
      </c>
      <c r="T30" cm="1">
        <f t="array" ref="T30">IFERROR(AVERAGE(
    IF(
        (braves_19_25!$B:$B=$A30) *
        ((braves_19_25!$C:$C="FS") +
         (braves_19_25!$C:$C="CH") +
         (braves_19_25!$C:$C="FO") +
         (braves_19_25!$C:$C="SC")),
        braves_19_25!$J:$J
    )
),0)</f>
        <v>1.14394</v>
      </c>
      <c r="U30" s="29" cm="1">
        <f t="array" ref="U30">IFERROR(AVERAGE(
    IF(
        (braves_19_25!$B:$B=$A30) *
        ((braves_19_25!$C:$C="FS") +
         (braves_19_25!$C:$C="CH") +
         (braves_19_25!$C:$C="FO") +
         (braves_19_25!$C:$C="SC")),
        braves_19_25!$K:$K
    )
),0)</f>
        <v>-0.41415000000000002</v>
      </c>
      <c r="V30" s="28" cm="1">
        <f t="array" ref="V30">IFERROR(AVERAGE(
    IF(
        (braves_19_25!$B:$B=$A30) *
        ((braves_19_25!$C:$C="EP") +
         (braves_19_25!$C:$C="FA") +
         (braves_19_25!$C:$C="KN")),
        braves_19_25!$G:$G
    )
),0)</f>
        <v>0</v>
      </c>
      <c r="W30" cm="1">
        <f t="array" ref="W30">IFERROR(AVERAGE(
    IF(
        (braves_19_25!$B:$B=$A30) *
        ((braves_19_25!$C:$C="EP") +
         (braves_19_25!$C:$C="FA") +
         (braves_19_25!$C:$C="KN")),
        braves_19_25!$F:$F
    )
),0)</f>
        <v>0</v>
      </c>
      <c r="X30" cm="1">
        <f t="array" ref="X30">IFERROR(AVERAGE(
    IF(
        (braves_19_25!$B:$B=$A30) *
        ((braves_19_25!$C:$C="EP") +
         (braves_19_25!$C:$C="FA") +
         (braves_19_25!$C:$C="KN")),
        braves_19_25!$I:$I
    )
),0)</f>
        <v>0</v>
      </c>
      <c r="Y30" cm="1">
        <f t="array" ref="Y30">IFERROR(AVERAGE(
    IF(
        (braves_19_25!$B:$B=$A30) *
        ((braves_19_25!$C:$C="EP") +
         (braves_19_25!$C:$C="FA") +
         (braves_19_25!$C:$C="KN")),
        braves_19_25!$J:$J
    )
),0)</f>
        <v>0</v>
      </c>
      <c r="Z30" s="29" cm="1">
        <f t="array" ref="Z30">IFERROR(AVERAGE(
    IF(
        (braves_19_25!$B:$B=$A30) *
        ((braves_19_25!$C:$C="EP") +
         (braves_19_25!$C:$C="FA") +
         (braves_19_25!$C:$C="KN")),
        braves_19_25!$K:$K
    )
),0)</f>
        <v>0</v>
      </c>
    </row>
    <row r="31" spans="1:26" x14ac:dyDescent="0.3">
      <c r="A31" t="str">
        <v>Bummer, Aaron</v>
      </c>
      <c r="B31" s="28" cm="1">
        <f t="array" ref="B31">IFERROR(AVERAGE(
    IF(
        (braves_19_25!$B:$B=$A31) *
        ((braves_19_25!$C:$C="FF") +
         (braves_19_25!$C:$C="SI") +
         (braves_19_25!$C:$C="FC")),
        braves_19_25!$G:$G
    )
),0)</f>
        <v>90.763333333333335</v>
      </c>
      <c r="C31" cm="1">
        <f t="array" ref="C31">IFERROR(AVERAGE(
    IF(
        (braves_19_25!$B:$B=$A31) *
        ((braves_19_25!$C:$C="FF") +
         (braves_19_25!$C:$C="SI") +
         (braves_19_25!$C:$C="FC")),
        braves_19_25!$F:$F
    )
),0)</f>
        <v>2274.6666666666665</v>
      </c>
      <c r="D31" cm="1">
        <f t="array" ref="D31">IFERROR(AVERAGE(
    IF(
        (braves_19_25!$B:$B=$A31) *
        ((braves_19_25!$C:$C="FF") +
         (braves_19_25!$C:$C="SI") +
         (braves_19_25!$C:$C="FC")),
        braves_19_25!$I:$I
    )
),0)</f>
        <v>2.3700566666666667</v>
      </c>
      <c r="E31" cm="1">
        <f t="array" ref="E31">IFERROR(AVERAGE(
    IF(
        (braves_19_25!$B:$B=$A31) *
        ((braves_19_25!$C:$C="FF") +
         (braves_19_25!$C:$C="SI") +
         (braves_19_25!$C:$C="FC")),
        braves_19_25!$J:$J
    )
),0)</f>
        <v>0.61678333333333335</v>
      </c>
      <c r="F31" s="29" cm="1">
        <f t="array" ref="F31">IFERROR(AVERAGE(
    IF(
        (braves_19_25!$B:$B=$A31) *
        ((braves_19_25!$C:$C="FF") +
         (braves_19_25!$C:$C="SI") +
         (braves_19_25!$C:$C="FC")),
        braves_19_25!$K:$K
    )
),0)</f>
        <v>-0.19154000000000002</v>
      </c>
      <c r="G31" s="28" cm="1">
        <f t="array" ref="G31">IFERROR(AVERAGE(
    IF(
        (braves_19_25!$B:$B=$A31) *
        ((braves_19_25!$C:$C="SL") +
         (braves_19_25!$C:$C="ST") +
         (braves_19_25!$C:$C="SV")),
        braves_19_25!$G:$G
    )
),0)</f>
        <v>81.91</v>
      </c>
      <c r="H31" cm="1">
        <f t="array" ref="H31">IFERROR(AVERAGE(
    IF(
        (braves_19_25!$B:$B=$A31) *
        ((braves_19_25!$C:$C="SL") +
         (braves_19_25!$C:$C="ST") +
         (braves_19_25!$C:$C="SV")),
        braves_19_25!$F:$F
    )
),0)</f>
        <v>2484</v>
      </c>
      <c r="I31" cm="1">
        <f t="array" ref="I31">IFERROR(AVERAGE(
    IF(
        (braves_19_25!$B:$B=$A31) *
        ((braves_19_25!$C:$C="SL") +
         (braves_19_25!$C:$C="ST") +
         (braves_19_25!$C:$C="SV")),
        braves_19_25!$I:$I
    )
),0)</f>
        <v>3.4539800000000001</v>
      </c>
      <c r="J31" cm="1">
        <f t="array" ref="J31">IFERROR(AVERAGE(
    IF(
        (braves_19_25!$B:$B=$A31) *
        ((braves_19_25!$C:$C="SL") +
         (braves_19_25!$C:$C="ST") +
         (braves_19_25!$C:$C="SV")),
        braves_19_25!$J:$J
    )
),0)</f>
        <v>-1.2513700000000001</v>
      </c>
      <c r="K31" s="29" cm="1">
        <f t="array" ref="K31">IFERROR(AVERAGE(
    IF(
        (braves_19_25!$B:$B=$A31) *
        ((braves_19_25!$C:$C="SL") +
         (braves_19_25!$C:$C="ST") +
         (braves_19_25!$C:$C="SV")),
        braves_19_25!$K:$K
    )
),0)</f>
        <v>9.5430000000000001E-2</v>
      </c>
      <c r="L31" s="28" cm="1">
        <f t="array" ref="L31">IFERROR(AVERAGE(
    IF(
        (braves_19_25!$B:$B=$A31) *
        ((braves_19_25!$C:$C="CU") +
         (braves_19_25!$C:$C="CS") +
         (braves_19_25!$C:$C="KC")),
        braves_19_25!$G:$G
    )
),0)</f>
        <v>81.17</v>
      </c>
      <c r="M31" cm="1">
        <f t="array" ref="M31">IFERROR(AVERAGE(
    IF(
        (braves_19_25!$B:$B=$A31) *
        ((braves_19_25!$C:$C="CU") +
         (braves_19_25!$C:$C="CS") +
         (braves_19_25!$C:$C="KC")),
        braves_19_25!$F:$F
    )
),0)</f>
        <v>2374</v>
      </c>
      <c r="N31" cm="1">
        <f t="array" ref="N31">IFERROR(AVERAGE(
    IF(
        (braves_19_25!$B:$B=$A31) *
        ((braves_19_25!$C:$C="CU") +
         (braves_19_25!$C:$C="CS") +
         (braves_19_25!$C:$C="KC")),
        braves_19_25!$I:$I
    )
),0)</f>
        <v>4.1732699999999996</v>
      </c>
      <c r="O31" cm="1">
        <f t="array" ref="O31">IFERROR(AVERAGE(
    IF(
        (braves_19_25!$B:$B=$A31) *
        ((braves_19_25!$C:$C="CU") +
         (braves_19_25!$C:$C="CS") +
         (braves_19_25!$C:$C="KC")),
        braves_19_25!$J:$J
    )
),0)</f>
        <v>-1.04908</v>
      </c>
      <c r="P31" s="29" cm="1">
        <f t="array" ref="P31">IFERROR(AVERAGE(
    IF(
        (braves_19_25!$B:$B=$A31) *
        ((braves_19_25!$C:$C="CU") +
         (braves_19_25!$C:$C="CS") +
         (braves_19_25!$C:$C="KC")),
        braves_19_25!$K:$K
    )
),0)</f>
        <v>0.44947999999999999</v>
      </c>
      <c r="Q31" s="28" cm="1">
        <f t="array" ref="Q31">IFERROR(AVERAGE(
    IF(
        (braves_19_25!$B:$B=$A31) *
        ((braves_19_25!$C:$C="FS") +
         (braves_19_25!$C:$C="CH") +
         (braves_19_25!$C:$C="FO") +
         (braves_19_25!$C:$C="SC")),
        braves_19_25!$G:$G
    )
),0)</f>
        <v>84.74</v>
      </c>
      <c r="R31" cm="1">
        <f t="array" ref="R31">IFERROR(AVERAGE(
    IF(
        (braves_19_25!$B:$B=$A31) *
        ((braves_19_25!$C:$C="FS") +
         (braves_19_25!$C:$C="CH") +
         (braves_19_25!$C:$C="FO") +
         (braves_19_25!$C:$C="SC")),
        braves_19_25!$F:$F
    )
),0)</f>
        <v>1762</v>
      </c>
      <c r="S31" cm="1">
        <f t="array" ref="S31">IFERROR(AVERAGE(
    IF(
        (braves_19_25!$B:$B=$A31) *
        ((braves_19_25!$C:$C="FS") +
         (braves_19_25!$C:$C="CH") +
         (braves_19_25!$C:$C="FO") +
         (braves_19_25!$C:$C="SC")),
        braves_19_25!$I:$I
    )
),0)</f>
        <v>2.9709099999999999</v>
      </c>
      <c r="T31" cm="1">
        <f t="array" ref="T31">IFERROR(AVERAGE(
    IF(
        (braves_19_25!$B:$B=$A31) *
        ((braves_19_25!$C:$C="FS") +
         (braves_19_25!$C:$C="CH") +
         (braves_19_25!$C:$C="FO") +
         (braves_19_25!$C:$C="SC")),
        braves_19_25!$J:$J
    )
),0)</f>
        <v>1.2463599999999999</v>
      </c>
      <c r="U31" s="29" cm="1">
        <f t="array" ref="U31">IFERROR(AVERAGE(
    IF(
        (braves_19_25!$B:$B=$A31) *
        ((braves_19_25!$C:$C="FS") +
         (braves_19_25!$C:$C="CH") +
         (braves_19_25!$C:$C="FO") +
         (braves_19_25!$C:$C="SC")),
        braves_19_25!$K:$K
    )
),0)</f>
        <v>-1.2463599999999999</v>
      </c>
      <c r="V31" s="28" cm="1">
        <f t="array" ref="V31">IFERROR(AVERAGE(
    IF(
        (braves_19_25!$B:$B=$A31) *
        ((braves_19_25!$C:$C="EP") +
         (braves_19_25!$C:$C="FA") +
         (braves_19_25!$C:$C="KN")),
        braves_19_25!$G:$G
    )
),0)</f>
        <v>0</v>
      </c>
      <c r="W31" cm="1">
        <f t="array" ref="W31">IFERROR(AVERAGE(
    IF(
        (braves_19_25!$B:$B=$A31) *
        ((braves_19_25!$C:$C="EP") +
         (braves_19_25!$C:$C="FA") +
         (braves_19_25!$C:$C="KN")),
        braves_19_25!$F:$F
    )
),0)</f>
        <v>0</v>
      </c>
      <c r="X31" cm="1">
        <f t="array" ref="X31">IFERROR(AVERAGE(
    IF(
        (braves_19_25!$B:$B=$A31) *
        ((braves_19_25!$C:$C="EP") +
         (braves_19_25!$C:$C="FA") +
         (braves_19_25!$C:$C="KN")),
        braves_19_25!$I:$I
    )
),0)</f>
        <v>0</v>
      </c>
      <c r="Y31" cm="1">
        <f t="array" ref="Y31">IFERROR(AVERAGE(
    IF(
        (braves_19_25!$B:$B=$A31) *
        ((braves_19_25!$C:$C="EP") +
         (braves_19_25!$C:$C="FA") +
         (braves_19_25!$C:$C="KN")),
        braves_19_25!$J:$J
    )
),0)</f>
        <v>0</v>
      </c>
      <c r="Z31" s="29" cm="1">
        <f t="array" ref="Z31">IFERROR(AVERAGE(
    IF(
        (braves_19_25!$B:$B=$A31) *
        ((braves_19_25!$C:$C="EP") +
         (braves_19_25!$C:$C="FA") +
         (braves_19_25!$C:$C="KN")),
        braves_19_25!$K:$K
    )
),0)</f>
        <v>0</v>
      </c>
    </row>
    <row r="32" spans="1:26" x14ac:dyDescent="0.3">
      <c r="A32" t="str">
        <v>Tonkin, Michael</v>
      </c>
      <c r="B32" s="28" cm="1">
        <f t="array" ref="B32">IFERROR(AVERAGE(
    IF(
        (braves_19_25!$B:$B=$A32) *
        ((braves_19_25!$C:$C="FF") +
         (braves_19_25!$C:$C="SI") +
         (braves_19_25!$C:$C="FC")),
        braves_19_25!$G:$G
    )
),0)</f>
        <v>93.38</v>
      </c>
      <c r="C32" cm="1">
        <f t="array" ref="C32">IFERROR(AVERAGE(
    IF(
        (braves_19_25!$B:$B=$A32) *
        ((braves_19_25!$C:$C="FF") +
         (braves_19_25!$C:$C="SI") +
         (braves_19_25!$C:$C="FC")),
        braves_19_25!$F:$F
    )
),0)</f>
        <v>2304</v>
      </c>
      <c r="D32" cm="1">
        <f t="array" ref="D32">IFERROR(AVERAGE(
    IF(
        (braves_19_25!$B:$B=$A32) *
        ((braves_19_25!$C:$C="FF") +
         (braves_19_25!$C:$C="SI") +
         (braves_19_25!$C:$C="FC")),
        braves_19_25!$I:$I
    )
),0)</f>
        <v>1.70424</v>
      </c>
      <c r="E32" cm="1">
        <f t="array" ref="E32">IFERROR(AVERAGE(
    IF(
        (braves_19_25!$B:$B=$A32) *
        ((braves_19_25!$C:$C="FF") +
         (braves_19_25!$C:$C="SI") +
         (braves_19_25!$C:$C="FC")),
        braves_19_25!$J:$J
    )
),0)</f>
        <v>1.02969</v>
      </c>
      <c r="F32" s="29" cm="1">
        <f t="array" ref="F32">IFERROR(AVERAGE(
    IF(
        (braves_19_25!$B:$B=$A32) *
        ((braves_19_25!$C:$C="FF") +
         (braves_19_25!$C:$C="SI") +
         (braves_19_25!$C:$C="FC")),
        braves_19_25!$K:$K
    )
),0)</f>
        <v>-1.094E-2</v>
      </c>
      <c r="G32" s="28" cm="1">
        <f t="array" ref="G32">IFERROR(AVERAGE(
    IF(
        (braves_19_25!$B:$B=$A32) *
        ((braves_19_25!$C:$C="SL") +
         (braves_19_25!$C:$C="ST") +
         (braves_19_25!$C:$C="SV")),
        braves_19_25!$G:$G
    )
),0)</f>
        <v>81.37</v>
      </c>
      <c r="H32" cm="1">
        <f t="array" ref="H32">IFERROR(AVERAGE(
    IF(
        (braves_19_25!$B:$B=$A32) *
        ((braves_19_25!$C:$C="SL") +
         (braves_19_25!$C:$C="ST") +
         (braves_19_25!$C:$C="SV")),
        braves_19_25!$F:$F
    )
),0)</f>
        <v>2307</v>
      </c>
      <c r="I32" cm="1">
        <f t="array" ref="I32">IFERROR(AVERAGE(
    IF(
        (braves_19_25!$B:$B=$A32) *
        ((braves_19_25!$C:$C="SL") +
         (braves_19_25!$C:$C="ST") +
         (braves_19_25!$C:$C="SV")),
        braves_19_25!$I:$I
    )
),0)</f>
        <v>3.64581</v>
      </c>
      <c r="J32" cm="1">
        <f t="array" ref="J32">IFERROR(AVERAGE(
    IF(
        (braves_19_25!$B:$B=$A32) *
        ((braves_19_25!$C:$C="SL") +
         (braves_19_25!$C:$C="ST") +
         (braves_19_25!$C:$C="SV")),
        braves_19_25!$J:$J
    )
),0)</f>
        <v>-0.8816250000000001</v>
      </c>
      <c r="K32" s="29" cm="1">
        <f t="array" ref="K32">IFERROR(AVERAGE(
    IF(
        (braves_19_25!$B:$B=$A32) *
        ((braves_19_25!$C:$C="SL") +
         (braves_19_25!$C:$C="ST") +
         (braves_19_25!$C:$C="SV")),
        braves_19_25!$K:$K
    )
),0)</f>
        <v>-0.24674499999999999</v>
      </c>
      <c r="L32" s="28" cm="1">
        <f t="array" ref="L32">IFERROR(AVERAGE(
    IF(
        (braves_19_25!$B:$B=$A32) *
        ((braves_19_25!$C:$C="CU") +
         (braves_19_25!$C:$C="CS") +
         (braves_19_25!$C:$C="KC")),
        braves_19_25!$G:$G
    )
),0)</f>
        <v>0</v>
      </c>
      <c r="M32" cm="1">
        <f t="array" ref="M32">IFERROR(AVERAGE(
    IF(
        (braves_19_25!$B:$B=$A32) *
        ((braves_19_25!$C:$C="CU") +
         (braves_19_25!$C:$C="CS") +
         (braves_19_25!$C:$C="KC")),
        braves_19_25!$F:$F
    )
),0)</f>
        <v>0</v>
      </c>
      <c r="N32" cm="1">
        <f t="array" ref="N32">IFERROR(AVERAGE(
    IF(
        (braves_19_25!$B:$B=$A32) *
        ((braves_19_25!$C:$C="CU") +
         (braves_19_25!$C:$C="CS") +
         (braves_19_25!$C:$C="KC")),
        braves_19_25!$I:$I
    )
),0)</f>
        <v>0</v>
      </c>
      <c r="O32" cm="1">
        <f t="array" ref="O32">IFERROR(AVERAGE(
    IF(
        (braves_19_25!$B:$B=$A32) *
        ((braves_19_25!$C:$C="CU") +
         (braves_19_25!$C:$C="CS") +
         (braves_19_25!$C:$C="KC")),
        braves_19_25!$J:$J
    )
),0)</f>
        <v>0</v>
      </c>
      <c r="P32" s="29" cm="1">
        <f t="array" ref="P32">IFERROR(AVERAGE(
    IF(
        (braves_19_25!$B:$B=$A32) *
        ((braves_19_25!$C:$C="CU") +
         (braves_19_25!$C:$C="CS") +
         (braves_19_25!$C:$C="KC")),
        braves_19_25!$K:$K
    )
),0)</f>
        <v>0</v>
      </c>
      <c r="Q32" s="28" cm="1">
        <f t="array" ref="Q32">IFERROR(AVERAGE(
    IF(
        (braves_19_25!$B:$B=$A32) *
        ((braves_19_25!$C:$C="FS") +
         (braves_19_25!$C:$C="CH") +
         (braves_19_25!$C:$C="FO") +
         (braves_19_25!$C:$C="SC")),
        braves_19_25!$G:$G
    )
),0)</f>
        <v>0</v>
      </c>
      <c r="R32" cm="1">
        <f t="array" ref="R32">IFERROR(AVERAGE(
    IF(
        (braves_19_25!$B:$B=$A32) *
        ((braves_19_25!$C:$C="FS") +
         (braves_19_25!$C:$C="CH") +
         (braves_19_25!$C:$C="FO") +
         (braves_19_25!$C:$C="SC")),
        braves_19_25!$F:$F
    )
),0)</f>
        <v>0</v>
      </c>
      <c r="S32" cm="1">
        <f t="array" ref="S32">IFERROR(AVERAGE(
    IF(
        (braves_19_25!$B:$B=$A32) *
        ((braves_19_25!$C:$C="FS") +
         (braves_19_25!$C:$C="CH") +
         (braves_19_25!$C:$C="FO") +
         (braves_19_25!$C:$C="SC")),
        braves_19_25!$I:$I
    )
),0)</f>
        <v>0</v>
      </c>
      <c r="T32" cm="1">
        <f t="array" ref="T32">IFERROR(AVERAGE(
    IF(
        (braves_19_25!$B:$B=$A32) *
        ((braves_19_25!$C:$C="FS") +
         (braves_19_25!$C:$C="CH") +
         (braves_19_25!$C:$C="FO") +
         (braves_19_25!$C:$C="SC")),
        braves_19_25!$J:$J
    )
),0)</f>
        <v>0</v>
      </c>
      <c r="U32" s="29" cm="1">
        <f t="array" ref="U32">IFERROR(AVERAGE(
    IF(
        (braves_19_25!$B:$B=$A32) *
        ((braves_19_25!$C:$C="FS") +
         (braves_19_25!$C:$C="CH") +
         (braves_19_25!$C:$C="FO") +
         (braves_19_25!$C:$C="SC")),
        braves_19_25!$K:$K
    )
),0)</f>
        <v>0</v>
      </c>
      <c r="V32" s="28" cm="1">
        <f t="array" ref="V32">IFERROR(AVERAGE(
    IF(
        (braves_19_25!$B:$B=$A32) *
        ((braves_19_25!$C:$C="EP") +
         (braves_19_25!$C:$C="FA") +
         (braves_19_25!$C:$C="KN")),
        braves_19_25!$G:$G
    )
),0)</f>
        <v>0</v>
      </c>
      <c r="W32" cm="1">
        <f t="array" ref="W32">IFERROR(AVERAGE(
    IF(
        (braves_19_25!$B:$B=$A32) *
        ((braves_19_25!$C:$C="EP") +
         (braves_19_25!$C:$C="FA") +
         (braves_19_25!$C:$C="KN")),
        braves_19_25!$F:$F
    )
),0)</f>
        <v>0</v>
      </c>
      <c r="X32" cm="1">
        <f t="array" ref="X32">IFERROR(AVERAGE(
    IF(
        (braves_19_25!$B:$B=$A32) *
        ((braves_19_25!$C:$C="EP") +
         (braves_19_25!$C:$C="FA") +
         (braves_19_25!$C:$C="KN")),
        braves_19_25!$I:$I
    )
),0)</f>
        <v>0</v>
      </c>
      <c r="Y32" cm="1">
        <f t="array" ref="Y32">IFERROR(AVERAGE(
    IF(
        (braves_19_25!$B:$B=$A32) *
        ((braves_19_25!$C:$C="EP") +
         (braves_19_25!$C:$C="FA") +
         (braves_19_25!$C:$C="KN")),
        braves_19_25!$J:$J
    )
),0)</f>
        <v>0</v>
      </c>
      <c r="Z32" s="29" cm="1">
        <f t="array" ref="Z32">IFERROR(AVERAGE(
    IF(
        (braves_19_25!$B:$B=$A32) *
        ((braves_19_25!$C:$C="EP") +
         (braves_19_25!$C:$C="FA") +
         (braves_19_25!$C:$C="KN")),
        braves_19_25!$K:$K
    )
),0)</f>
        <v>0</v>
      </c>
    </row>
    <row r="33" spans="1:26" x14ac:dyDescent="0.3">
      <c r="A33" t="str">
        <v>Smith-Shawver, AJ</v>
      </c>
      <c r="B33" s="28" cm="1">
        <f t="array" ref="B33">IFERROR(AVERAGE(
    IF(
        (braves_19_25!$B:$B=$A33) *
        ((braves_19_25!$C:$C="FF") +
         (braves_19_25!$C:$C="SI") +
         (braves_19_25!$C:$C="FC")),
        braves_19_25!$G:$G
    )
),0)</f>
        <v>95.93</v>
      </c>
      <c r="C33" cm="1">
        <f t="array" ref="C33">IFERROR(AVERAGE(
    IF(
        (braves_19_25!$B:$B=$A33) *
        ((braves_19_25!$C:$C="FF") +
         (braves_19_25!$C:$C="SI") +
         (braves_19_25!$C:$C="FC")),
        braves_19_25!$F:$F
    )
),0)</f>
        <v>2144</v>
      </c>
      <c r="D33" cm="1">
        <f t="array" ref="D33">IFERROR(AVERAGE(
    IF(
        (braves_19_25!$B:$B=$A33) *
        ((braves_19_25!$C:$C="FF") +
         (braves_19_25!$C:$C="SI") +
         (braves_19_25!$C:$C="FC")),
        braves_19_25!$I:$I
    )
),0)</f>
        <v>1.12337</v>
      </c>
      <c r="E33" cm="1">
        <f t="array" ref="E33">IFERROR(AVERAGE(
    IF(
        (braves_19_25!$B:$B=$A33) *
        ((braves_19_25!$C:$C="FF") +
         (braves_19_25!$C:$C="SI") +
         (braves_19_25!$C:$C="FC")),
        braves_19_25!$J:$J
    )
),0)</f>
        <v>0.66935999999999996</v>
      </c>
      <c r="F33" s="29" cm="1">
        <f t="array" ref="F33">IFERROR(AVERAGE(
    IF(
        (braves_19_25!$B:$B=$A33) *
        ((braves_19_25!$C:$C="FF") +
         (braves_19_25!$C:$C="SI") +
         (braves_19_25!$C:$C="FC")),
        braves_19_25!$K:$K
    )
),0)</f>
        <v>-7.782E-2</v>
      </c>
      <c r="G33" s="28" cm="1">
        <f t="array" ref="G33">IFERROR(AVERAGE(
    IF(
        (braves_19_25!$B:$B=$A33) *
        ((braves_19_25!$C:$C="SL") +
         (braves_19_25!$C:$C="ST") +
         (braves_19_25!$C:$C="SV")),
        braves_19_25!$G:$G
    )
),0)</f>
        <v>86.19</v>
      </c>
      <c r="H33" cm="1">
        <f t="array" ref="H33">IFERROR(AVERAGE(
    IF(
        (braves_19_25!$B:$B=$A33) *
        ((braves_19_25!$C:$C="SL") +
         (braves_19_25!$C:$C="ST") +
         (braves_19_25!$C:$C="SV")),
        braves_19_25!$F:$F
    )
),0)</f>
        <v>1982</v>
      </c>
      <c r="I33" cm="1">
        <f t="array" ref="I33">IFERROR(AVERAGE(
    IF(
        (braves_19_25!$B:$B=$A33) *
        ((braves_19_25!$C:$C="SL") +
         (braves_19_25!$C:$C="ST") +
         (braves_19_25!$C:$C="SV")),
        braves_19_25!$I:$I
    )
),0)</f>
        <v>2.5980099999999999</v>
      </c>
      <c r="J33" cm="1">
        <f t="array" ref="J33">IFERROR(AVERAGE(
    IF(
        (braves_19_25!$B:$B=$A33) *
        ((braves_19_25!$C:$C="SL") +
         (braves_19_25!$C:$C="ST") +
         (braves_19_25!$C:$C="SV")),
        braves_19_25!$J:$J
    )
),0)</f>
        <v>-0.22281000000000001</v>
      </c>
      <c r="K33" s="29" cm="1">
        <f t="array" ref="K33">IFERROR(AVERAGE(
    IF(
        (braves_19_25!$B:$B=$A33) *
        ((braves_19_25!$C:$C="SL") +
         (braves_19_25!$C:$C="ST") +
         (braves_19_25!$C:$C="SV")),
        braves_19_25!$K:$K
    )
),0)</f>
        <v>-4.5039999999999997E-2</v>
      </c>
      <c r="L33" s="28" cm="1">
        <f t="array" ref="L33">IFERROR(AVERAGE(
    IF(
        (braves_19_25!$B:$B=$A33) *
        ((braves_19_25!$C:$C="CU") +
         (braves_19_25!$C:$C="CS") +
         (braves_19_25!$C:$C="KC")),
        braves_19_25!$G:$G
    )
),0)</f>
        <v>77.459999999999994</v>
      </c>
      <c r="M33" cm="1">
        <f t="array" ref="M33">IFERROR(AVERAGE(
    IF(
        (braves_19_25!$B:$B=$A33) *
        ((braves_19_25!$C:$C="CU") +
         (braves_19_25!$C:$C="CS") +
         (braves_19_25!$C:$C="KC")),
        braves_19_25!$F:$F
    )
),0)</f>
        <v>2288</v>
      </c>
      <c r="N33" cm="1">
        <f t="array" ref="N33">IFERROR(AVERAGE(
    IF(
        (braves_19_25!$B:$B=$A33) *
        ((braves_19_25!$C:$C="CU") +
         (braves_19_25!$C:$C="CS") +
         (braves_19_25!$C:$C="KC")),
        braves_19_25!$I:$I
    )
),0)</f>
        <v>4.85243</v>
      </c>
      <c r="O33" cm="1">
        <f t="array" ref="O33">IFERROR(AVERAGE(
    IF(
        (braves_19_25!$B:$B=$A33) *
        ((braves_19_25!$C:$C="CU") +
         (braves_19_25!$C:$C="CS") +
         (braves_19_25!$C:$C="KC")),
        braves_19_25!$J:$J
    )
),0)</f>
        <v>-0.73143999999999998</v>
      </c>
      <c r="P33" s="29" cm="1">
        <f t="array" ref="P33">IFERROR(AVERAGE(
    IF(
        (braves_19_25!$B:$B=$A33) *
        ((braves_19_25!$C:$C="CU") +
         (braves_19_25!$C:$C="CS") +
         (braves_19_25!$C:$C="KC")),
        braves_19_25!$K:$K
    )
),0)</f>
        <v>0.14391999999999999</v>
      </c>
      <c r="Q33" s="28" cm="1">
        <f t="array" ref="Q33">IFERROR(AVERAGE(
    IF(
        (braves_19_25!$B:$B=$A33) *
        ((braves_19_25!$C:$C="FS") +
         (braves_19_25!$C:$C="CH") +
         (braves_19_25!$C:$C="FO") +
         (braves_19_25!$C:$C="SC")),
        braves_19_25!$G:$G
    )
),0)</f>
        <v>85.68</v>
      </c>
      <c r="R33" cm="1">
        <f t="array" ref="R33">IFERROR(AVERAGE(
    IF(
        (braves_19_25!$B:$B=$A33) *
        ((braves_19_25!$C:$C="FS") +
         (braves_19_25!$C:$C="CH") +
         (braves_19_25!$C:$C="FO") +
         (braves_19_25!$C:$C="SC")),
        braves_19_25!$F:$F
    )
),0)</f>
        <v>1226.5</v>
      </c>
      <c r="S33" cm="1">
        <f t="array" ref="S33">IFERROR(AVERAGE(
    IF(
        (braves_19_25!$B:$B=$A33) *
        ((braves_19_25!$C:$C="FS") +
         (braves_19_25!$C:$C="CH") +
         (braves_19_25!$C:$C="FO") +
         (braves_19_25!$C:$C="SC")),
        braves_19_25!$I:$I
    )
),0)</f>
        <v>2.405605</v>
      </c>
      <c r="T33" cm="1">
        <f t="array" ref="T33">IFERROR(AVERAGE(
    IF(
        (braves_19_25!$B:$B=$A33) *
        ((braves_19_25!$C:$C="FS") +
         (braves_19_25!$C:$C="CH") +
         (braves_19_25!$C:$C="FO") +
         (braves_19_25!$C:$C="SC")),
        braves_19_25!$J:$J
    )
),0)</f>
        <v>0.782945</v>
      </c>
      <c r="U33" s="29" cm="1">
        <f t="array" ref="U33">IFERROR(AVERAGE(
    IF(
        (braves_19_25!$B:$B=$A33) *
        ((braves_19_25!$C:$C="FS") +
         (braves_19_25!$C:$C="CH") +
         (braves_19_25!$C:$C="FO") +
         (braves_19_25!$C:$C="SC")),
        braves_19_25!$K:$K
    )
),0)</f>
        <v>-0.37797500000000001</v>
      </c>
      <c r="V33" s="28" cm="1">
        <f t="array" ref="V33">IFERROR(AVERAGE(
    IF(
        (braves_19_25!$B:$B=$A33) *
        ((braves_19_25!$C:$C="EP") +
         (braves_19_25!$C:$C="FA") +
         (braves_19_25!$C:$C="KN")),
        braves_19_25!$G:$G
    )
),0)</f>
        <v>0</v>
      </c>
      <c r="W33" cm="1">
        <f t="array" ref="W33">IFERROR(AVERAGE(
    IF(
        (braves_19_25!$B:$B=$A33) *
        ((braves_19_25!$C:$C="EP") +
         (braves_19_25!$C:$C="FA") +
         (braves_19_25!$C:$C="KN")),
        braves_19_25!$F:$F
    )
),0)</f>
        <v>0</v>
      </c>
      <c r="X33" cm="1">
        <f t="array" ref="X33">IFERROR(AVERAGE(
    IF(
        (braves_19_25!$B:$B=$A33) *
        ((braves_19_25!$C:$C="EP") +
         (braves_19_25!$C:$C="FA") +
         (braves_19_25!$C:$C="KN")),
        braves_19_25!$I:$I
    )
),0)</f>
        <v>0</v>
      </c>
      <c r="Y33" cm="1">
        <f t="array" ref="Y33">IFERROR(AVERAGE(
    IF(
        (braves_19_25!$B:$B=$A33) *
        ((braves_19_25!$C:$C="EP") +
         (braves_19_25!$C:$C="FA") +
         (braves_19_25!$C:$C="KN")),
        braves_19_25!$J:$J
    )
),0)</f>
        <v>0</v>
      </c>
      <c r="Z33" s="29" cm="1">
        <f t="array" ref="Z33">IFERROR(AVERAGE(
    IF(
        (braves_19_25!$B:$B=$A33) *
        ((braves_19_25!$C:$C="EP") +
         (braves_19_25!$C:$C="FA") +
         (braves_19_25!$C:$C="KN")),
        braves_19_25!$K:$K
    )
),0)</f>
        <v>0</v>
      </c>
    </row>
    <row r="34" spans="1:26" x14ac:dyDescent="0.3">
      <c r="A34" t="str">
        <v>Stephens, Jackson</v>
      </c>
      <c r="B34" s="28" cm="1">
        <f t="array" ref="B34">IFERROR(AVERAGE(
    IF(
        (braves_19_25!$B:$B=$A34) *
        ((braves_19_25!$C:$C="FF") +
         (braves_19_25!$C:$C="SI") +
         (braves_19_25!$C:$C="FC")),
        braves_19_25!$G:$G
    )
),0)</f>
        <v>91.970000000000013</v>
      </c>
      <c r="C34" cm="1">
        <f t="array" ref="C34">IFERROR(AVERAGE(
    IF(
        (braves_19_25!$B:$B=$A34) *
        ((braves_19_25!$C:$C="FF") +
         (braves_19_25!$C:$C="SI") +
         (braves_19_25!$C:$C="FC")),
        braves_19_25!$F:$F
    )
),0)</f>
        <v>2103.3333333333335</v>
      </c>
      <c r="D34" cm="1">
        <f t="array" ref="D34">IFERROR(AVERAGE(
    IF(
        (braves_19_25!$B:$B=$A34) *
        ((braves_19_25!$C:$C="FF") +
         (braves_19_25!$C:$C="SI") +
         (braves_19_25!$C:$C="FC")),
        braves_19_25!$I:$I
    )
),0)</f>
        <v>1.7023366666666666</v>
      </c>
      <c r="E34" cm="1">
        <f t="array" ref="E34">IFERROR(AVERAGE(
    IF(
        (braves_19_25!$B:$B=$A34) *
        ((braves_19_25!$C:$C="FF") +
         (braves_19_25!$C:$C="SI") +
         (braves_19_25!$C:$C="FC")),
        braves_19_25!$J:$J
    )
),0)</f>
        <v>0.53819333333333341</v>
      </c>
      <c r="F34" s="29" cm="1">
        <f t="array" ref="F34">IFERROR(AVERAGE(
    IF(
        (braves_19_25!$B:$B=$A34) *
        ((braves_19_25!$C:$C="FF") +
         (braves_19_25!$C:$C="SI") +
         (braves_19_25!$C:$C="FC")),
        braves_19_25!$K:$K
    )
),0)</f>
        <v>0.30912666666666672</v>
      </c>
      <c r="G34" s="28" cm="1">
        <f t="array" ref="G34">IFERROR(AVERAGE(
    IF(
        (braves_19_25!$B:$B=$A34) *
        ((braves_19_25!$C:$C="SL") +
         (braves_19_25!$C:$C="ST") +
         (braves_19_25!$C:$C="SV")),
        braves_19_25!$G:$G
    )
),0)</f>
        <v>87.15</v>
      </c>
      <c r="H34" cm="1">
        <f t="array" ref="H34">IFERROR(AVERAGE(
    IF(
        (braves_19_25!$B:$B=$A34) *
        ((braves_19_25!$C:$C="SL") +
         (braves_19_25!$C:$C="ST") +
         (braves_19_25!$C:$C="SV")),
        braves_19_25!$F:$F
    )
),0)</f>
        <v>2444</v>
      </c>
      <c r="I34" cm="1">
        <f t="array" ref="I34">IFERROR(AVERAGE(
    IF(
        (braves_19_25!$B:$B=$A34) *
        ((braves_19_25!$C:$C="SL") +
         (braves_19_25!$C:$C="ST") +
         (braves_19_25!$C:$C="SV")),
        braves_19_25!$I:$I
    )
),0)</f>
        <v>2.7111299999999998</v>
      </c>
      <c r="J34" cm="1">
        <f t="array" ref="J34">IFERROR(AVERAGE(
    IF(
        (braves_19_25!$B:$B=$A34) *
        ((braves_19_25!$C:$C="SL") +
         (braves_19_25!$C:$C="ST") +
         (braves_19_25!$C:$C="SV")),
        braves_19_25!$J:$J
    )
),0)</f>
        <v>-0.35127000000000003</v>
      </c>
      <c r="K34" s="29" cm="1">
        <f t="array" ref="K34">IFERROR(AVERAGE(
    IF(
        (braves_19_25!$B:$B=$A34) *
        ((braves_19_25!$C:$C="SL") +
         (braves_19_25!$C:$C="ST") +
         (braves_19_25!$C:$C="SV")),
        braves_19_25!$K:$K
    )
),0)</f>
        <v>-0.24254000000000001</v>
      </c>
      <c r="L34" s="28" cm="1">
        <f t="array" ref="L34">IFERROR(AVERAGE(
    IF(
        (braves_19_25!$B:$B=$A34) *
        ((braves_19_25!$C:$C="CU") +
         (braves_19_25!$C:$C="CS") +
         (braves_19_25!$C:$C="KC")),
        braves_19_25!$G:$G
    )
),0)</f>
        <v>75.2</v>
      </c>
      <c r="M34" cm="1">
        <f t="array" ref="M34">IFERROR(AVERAGE(
    IF(
        (braves_19_25!$B:$B=$A34) *
        ((braves_19_25!$C:$C="CU") +
         (braves_19_25!$C:$C="CS") +
         (braves_19_25!$C:$C="KC")),
        braves_19_25!$F:$F
    )
),0)</f>
        <v>2967</v>
      </c>
      <c r="N34" cm="1">
        <f t="array" ref="N34">IFERROR(AVERAGE(
    IF(
        (braves_19_25!$B:$B=$A34) *
        ((braves_19_25!$C:$C="CU") +
         (braves_19_25!$C:$C="CS") +
         (braves_19_25!$C:$C="KC")),
        braves_19_25!$I:$I
    )
),0)</f>
        <v>4.8414599999999997</v>
      </c>
      <c r="O34" cm="1">
        <f t="array" ref="O34">IFERROR(AVERAGE(
    IF(
        (braves_19_25!$B:$B=$A34) *
        ((braves_19_25!$C:$C="CU") +
         (braves_19_25!$C:$C="CS") +
         (braves_19_25!$C:$C="KC")),
        braves_19_25!$J:$J
    )
),0)</f>
        <v>-1.31951</v>
      </c>
      <c r="P34" s="29" cm="1">
        <f t="array" ref="P34">IFERROR(AVERAGE(
    IF(
        (braves_19_25!$B:$B=$A34) *
        ((braves_19_25!$C:$C="CU") +
         (braves_19_25!$C:$C="CS") +
         (braves_19_25!$C:$C="KC")),
        braves_19_25!$K:$K
    )
),0)</f>
        <v>-4.829E-2</v>
      </c>
      <c r="Q34" s="28" cm="1">
        <f t="array" ref="Q34">IFERROR(AVERAGE(
    IF(
        (braves_19_25!$B:$B=$A34) *
        ((braves_19_25!$C:$C="FS") +
         (braves_19_25!$C:$C="CH") +
         (braves_19_25!$C:$C="FO") +
         (braves_19_25!$C:$C="SC")),
        braves_19_25!$G:$G
    )
),0)</f>
        <v>84.99</v>
      </c>
      <c r="R34" cm="1">
        <f t="array" ref="R34">IFERROR(AVERAGE(
    IF(
        (braves_19_25!$B:$B=$A34) *
        ((braves_19_25!$C:$C="FS") +
         (braves_19_25!$C:$C="CH") +
         (braves_19_25!$C:$C="FO") +
         (braves_19_25!$C:$C="SC")),
        braves_19_25!$F:$F
    )
),0)</f>
        <v>1533</v>
      </c>
      <c r="S34" cm="1">
        <f t="array" ref="S34">IFERROR(AVERAGE(
    IF(
        (braves_19_25!$B:$B=$A34) *
        ((braves_19_25!$C:$C="FS") +
         (braves_19_25!$C:$C="CH") +
         (braves_19_25!$C:$C="FO") +
         (braves_19_25!$C:$C="SC")),
        braves_19_25!$I:$I
    )
),0)</f>
        <v>2.9369000000000001</v>
      </c>
      <c r="T34" cm="1">
        <f t="array" ref="T34">IFERROR(AVERAGE(
    IF(
        (braves_19_25!$B:$B=$A34) *
        ((braves_19_25!$C:$C="FS") +
         (braves_19_25!$C:$C="CH") +
         (braves_19_25!$C:$C="FO") +
         (braves_19_25!$C:$C="SC")),
        braves_19_25!$J:$J
    )
),0)</f>
        <v>0.75397999999999998</v>
      </c>
      <c r="U34" s="29" cm="1">
        <f t="array" ref="U34">IFERROR(AVERAGE(
    IF(
        (braves_19_25!$B:$B=$A34) *
        ((braves_19_25!$C:$C="FS") +
         (braves_19_25!$C:$C="CH") +
         (braves_19_25!$C:$C="FO") +
         (braves_19_25!$C:$C="SC")),
        braves_19_25!$K:$K
    )
),0)</f>
        <v>-0.53291999999999995</v>
      </c>
      <c r="V34" s="28" cm="1">
        <f t="array" ref="V34">IFERROR(AVERAGE(
    IF(
        (braves_19_25!$B:$B=$A34) *
        ((braves_19_25!$C:$C="EP") +
         (braves_19_25!$C:$C="FA") +
         (braves_19_25!$C:$C="KN")),
        braves_19_25!$G:$G
    )
),0)</f>
        <v>0</v>
      </c>
      <c r="W34" cm="1">
        <f t="array" ref="W34">IFERROR(AVERAGE(
    IF(
        (braves_19_25!$B:$B=$A34) *
        ((braves_19_25!$C:$C="EP") +
         (braves_19_25!$C:$C="FA") +
         (braves_19_25!$C:$C="KN")),
        braves_19_25!$F:$F
    )
),0)</f>
        <v>0</v>
      </c>
      <c r="X34" cm="1">
        <f t="array" ref="X34">IFERROR(AVERAGE(
    IF(
        (braves_19_25!$B:$B=$A34) *
        ((braves_19_25!$C:$C="EP") +
         (braves_19_25!$C:$C="FA") +
         (braves_19_25!$C:$C="KN")),
        braves_19_25!$I:$I
    )
),0)</f>
        <v>0</v>
      </c>
      <c r="Y34" cm="1">
        <f t="array" ref="Y34">IFERROR(AVERAGE(
    IF(
        (braves_19_25!$B:$B=$A34) *
        ((braves_19_25!$C:$C="EP") +
         (braves_19_25!$C:$C="FA") +
         (braves_19_25!$C:$C="KN")),
        braves_19_25!$J:$J
    )
),0)</f>
        <v>0</v>
      </c>
      <c r="Z34" s="29" cm="1">
        <f t="array" ref="Z34">IFERROR(AVERAGE(
    IF(
        (braves_19_25!$B:$B=$A34) *
        ((braves_19_25!$C:$C="EP") +
         (braves_19_25!$C:$C="FA") +
         (braves_19_25!$C:$C="KN")),
        braves_19_25!$K:$K
    )
),0)</f>
        <v>0</v>
      </c>
    </row>
    <row r="35" spans="1:26" x14ac:dyDescent="0.3">
      <c r="A35" t="str">
        <v>Martin, Chris</v>
      </c>
      <c r="B35" s="28" cm="1">
        <f t="array" ref="B35">IFERROR(AVERAGE(
    IF(
        (braves_19_25!$B:$B=$A35) *
        ((braves_19_25!$C:$C="FF") +
         (braves_19_25!$C:$C="SI") +
         (braves_19_25!$C:$C="FC")),
        braves_19_25!$G:$G
    )
),0)</f>
        <v>93.646666666666661</v>
      </c>
      <c r="C35" cm="1">
        <f t="array" ref="C35">IFERROR(AVERAGE(
    IF(
        (braves_19_25!$B:$B=$A35) *
        ((braves_19_25!$C:$C="FF") +
         (braves_19_25!$C:$C="SI") +
         (braves_19_25!$C:$C="FC")),
        braves_19_25!$F:$F
    )
),0)</f>
        <v>2110.6666666666665</v>
      </c>
      <c r="D35" cm="1">
        <f t="array" ref="D35">IFERROR(AVERAGE(
    IF(
        (braves_19_25!$B:$B=$A35) *
        ((braves_19_25!$C:$C="FF") +
         (braves_19_25!$C:$C="SI") +
         (braves_19_25!$C:$C="FC")),
        braves_19_25!$I:$I
    )
),0)</f>
        <v>1.7579766666666667</v>
      </c>
      <c r="E35" cm="1">
        <f t="array" ref="E35">IFERROR(AVERAGE(
    IF(
        (braves_19_25!$B:$B=$A35) *
        ((braves_19_25!$C:$C="FF") +
         (braves_19_25!$C:$C="SI") +
         (braves_19_25!$C:$C="FC")),
        braves_19_25!$J:$J
    )
),0)</f>
        <v>0.51323666666666667</v>
      </c>
      <c r="F35" s="29" cm="1">
        <f t="array" ref="F35">IFERROR(AVERAGE(
    IF(
        (braves_19_25!$B:$B=$A35) *
        ((braves_19_25!$C:$C="FF") +
         (braves_19_25!$C:$C="SI") +
         (braves_19_25!$C:$C="FC")),
        braves_19_25!$K:$K
    )
),0)</f>
        <v>0.27918666666666664</v>
      </c>
      <c r="G35" s="28" cm="1">
        <f t="array" ref="G35">IFERROR(AVERAGE(
    IF(
        (braves_19_25!$B:$B=$A35) *
        ((braves_19_25!$C:$C="SL") +
         (braves_19_25!$C:$C="ST") +
         (braves_19_25!$C:$C="SV")),
        braves_19_25!$G:$G
    )
),0)</f>
        <v>82.47</v>
      </c>
      <c r="H35" cm="1">
        <f t="array" ref="H35">IFERROR(AVERAGE(
    IF(
        (braves_19_25!$B:$B=$A35) *
        ((braves_19_25!$C:$C="SL") +
         (braves_19_25!$C:$C="ST") +
         (braves_19_25!$C:$C="SV")),
        braves_19_25!$F:$F
    )
),0)</f>
        <v>2528</v>
      </c>
      <c r="I35" cm="1">
        <f t="array" ref="I35">IFERROR(AVERAGE(
    IF(
        (braves_19_25!$B:$B=$A35) *
        ((braves_19_25!$C:$C="SL") +
         (braves_19_25!$C:$C="ST") +
         (braves_19_25!$C:$C="SV")),
        braves_19_25!$I:$I
    )
),0)</f>
        <v>3.69102</v>
      </c>
      <c r="J35" cm="1">
        <f t="array" ref="J35">IFERROR(AVERAGE(
    IF(
        (braves_19_25!$B:$B=$A35) *
        ((braves_19_25!$C:$C="SL") +
         (braves_19_25!$C:$C="ST") +
         (braves_19_25!$C:$C="SV")),
        braves_19_25!$J:$J
    )
),0)</f>
        <v>-1.1776599999999999</v>
      </c>
      <c r="K35" s="29" cm="1">
        <f t="array" ref="K35">IFERROR(AVERAGE(
    IF(
        (braves_19_25!$B:$B=$A35) *
        ((braves_19_25!$C:$C="SL") +
         (braves_19_25!$C:$C="ST") +
         (braves_19_25!$C:$C="SV")),
        braves_19_25!$K:$K
    )
),0)</f>
        <v>-0.60828000000000004</v>
      </c>
      <c r="L35" s="28" cm="1">
        <f t="array" ref="L35">IFERROR(AVERAGE(
    IF(
        (braves_19_25!$B:$B=$A35) *
        ((braves_19_25!$C:$C="CU") +
         (braves_19_25!$C:$C="CS") +
         (braves_19_25!$C:$C="KC")),
        braves_19_25!$G:$G
    )
),0)</f>
        <v>83.9</v>
      </c>
      <c r="M35" cm="1">
        <f t="array" ref="M35">IFERROR(AVERAGE(
    IF(
        (braves_19_25!$B:$B=$A35) *
        ((braves_19_25!$C:$C="CU") +
         (braves_19_25!$C:$C="CS") +
         (braves_19_25!$C:$C="KC")),
        braves_19_25!$F:$F
    )
),0)</f>
        <v>2461</v>
      </c>
      <c r="N35" cm="1">
        <f t="array" ref="N35">IFERROR(AVERAGE(
    IF(
        (braves_19_25!$B:$B=$A35) *
        ((braves_19_25!$C:$C="CU") +
         (braves_19_25!$C:$C="CS") +
         (braves_19_25!$C:$C="KC")),
        braves_19_25!$I:$I
    )
),0)</f>
        <v>3.9265400000000001</v>
      </c>
      <c r="O35" cm="1">
        <f t="array" ref="O35">IFERROR(AVERAGE(
    IF(
        (braves_19_25!$B:$B=$A35) *
        ((braves_19_25!$C:$C="CU") +
         (braves_19_25!$C:$C="CS") +
         (braves_19_25!$C:$C="KC")),
        braves_19_25!$J:$J
    )
),0)</f>
        <v>-0.57115000000000005</v>
      </c>
      <c r="P35" s="29" cm="1">
        <f t="array" ref="P35">IFERROR(AVERAGE(
    IF(
        (braves_19_25!$B:$B=$A35) *
        ((braves_19_25!$C:$C="CU") +
         (braves_19_25!$C:$C="CS") +
         (braves_19_25!$C:$C="KC")),
        braves_19_25!$K:$K
    )
),0)</f>
        <v>-0.18462000000000001</v>
      </c>
      <c r="Q35" s="28" cm="1">
        <f t="array" ref="Q35">IFERROR(AVERAGE(
    IF(
        (braves_19_25!$B:$B=$A35) *
        ((braves_19_25!$C:$C="FS") +
         (braves_19_25!$C:$C="CH") +
         (braves_19_25!$C:$C="FO") +
         (braves_19_25!$C:$C="SC")),
        braves_19_25!$G:$G
    )
),0)</f>
        <v>87.92</v>
      </c>
      <c r="R35" cm="1">
        <f t="array" ref="R35">IFERROR(AVERAGE(
    IF(
        (braves_19_25!$B:$B=$A35) *
        ((braves_19_25!$C:$C="FS") +
         (braves_19_25!$C:$C="CH") +
         (braves_19_25!$C:$C="FO") +
         (braves_19_25!$C:$C="SC")),
        braves_19_25!$F:$F
    )
),0)</f>
        <v>1437</v>
      </c>
      <c r="S35" cm="1">
        <f t="array" ref="S35">IFERROR(AVERAGE(
    IF(
        (braves_19_25!$B:$B=$A35) *
        ((braves_19_25!$C:$C="FS") +
         (braves_19_25!$C:$C="CH") +
         (braves_19_25!$C:$C="FO") +
         (braves_19_25!$C:$C="SC")),
        braves_19_25!$I:$I
    )
),0)</f>
        <v>2.7046600000000001</v>
      </c>
      <c r="T35" cm="1">
        <f t="array" ref="T35">IFERROR(AVERAGE(
    IF(
        (braves_19_25!$B:$B=$A35) *
        ((braves_19_25!$C:$C="FS") +
         (braves_19_25!$C:$C="CH") +
         (braves_19_25!$C:$C="FO") +
         (braves_19_25!$C:$C="SC")),
        braves_19_25!$J:$J
    )
),0)</f>
        <v>0.85204999999999997</v>
      </c>
      <c r="U35" s="29" cm="1">
        <f t="array" ref="U35">IFERROR(AVERAGE(
    IF(
        (braves_19_25!$B:$B=$A35) *
        ((braves_19_25!$C:$C="FS") +
         (braves_19_25!$C:$C="CH") +
         (braves_19_25!$C:$C="FO") +
         (braves_19_25!$C:$C="SC")),
        braves_19_25!$K:$K
    )
),0)</f>
        <v>-0.47677000000000003</v>
      </c>
      <c r="V35" s="28" cm="1">
        <f t="array" ref="V35">IFERROR(AVERAGE(
    IF(
        (braves_19_25!$B:$B=$A35) *
        ((braves_19_25!$C:$C="EP") +
         (braves_19_25!$C:$C="FA") +
         (braves_19_25!$C:$C="KN")),
        braves_19_25!$G:$G
    )
),0)</f>
        <v>0</v>
      </c>
      <c r="W35" cm="1">
        <f t="array" ref="W35">IFERROR(AVERAGE(
    IF(
        (braves_19_25!$B:$B=$A35) *
        ((braves_19_25!$C:$C="EP") +
         (braves_19_25!$C:$C="FA") +
         (braves_19_25!$C:$C="KN")),
        braves_19_25!$F:$F
    )
),0)</f>
        <v>0</v>
      </c>
      <c r="X35" cm="1">
        <f t="array" ref="X35">IFERROR(AVERAGE(
    IF(
        (braves_19_25!$B:$B=$A35) *
        ((braves_19_25!$C:$C="EP") +
         (braves_19_25!$C:$C="FA") +
         (braves_19_25!$C:$C="KN")),
        braves_19_25!$I:$I
    )
),0)</f>
        <v>0</v>
      </c>
      <c r="Y35" cm="1">
        <f t="array" ref="Y35">IFERROR(AVERAGE(
    IF(
        (braves_19_25!$B:$B=$A35) *
        ((braves_19_25!$C:$C="EP") +
         (braves_19_25!$C:$C="FA") +
         (braves_19_25!$C:$C="KN")),
        braves_19_25!$J:$J
    )
),0)</f>
        <v>0</v>
      </c>
      <c r="Z35" s="29" cm="1">
        <f t="array" ref="Z35">IFERROR(AVERAGE(
    IF(
        (braves_19_25!$B:$B=$A35) *
        ((braves_19_25!$C:$C="EP") +
         (braves_19_25!$C:$C="FA") +
         (braves_19_25!$C:$C="KN")),
        braves_19_25!$K:$K
    )
),0)</f>
        <v>0</v>
      </c>
    </row>
    <row r="36" spans="1:26" x14ac:dyDescent="0.3">
      <c r="A36" t="str">
        <v>Yates, Kirby</v>
      </c>
      <c r="B36" s="28" cm="1">
        <f t="array" ref="B36">IFERROR(AVERAGE(
    IF(
        (braves_19_25!$B:$B=$A36) *
        ((braves_19_25!$C:$C="FF") +
         (braves_19_25!$C:$C="SI") +
         (braves_19_25!$C:$C="FC")),
        braves_19_25!$G:$G
    )
),0)</f>
        <v>93.2</v>
      </c>
      <c r="C36" cm="1">
        <f t="array" ref="C36">IFERROR(AVERAGE(
    IF(
        (braves_19_25!$B:$B=$A36) *
        ((braves_19_25!$C:$C="FF") +
         (braves_19_25!$C:$C="SI") +
         (braves_19_25!$C:$C="FC")),
        braves_19_25!$F:$F
    )
),0)</f>
        <v>2316</v>
      </c>
      <c r="D36" cm="1">
        <f t="array" ref="D36">IFERROR(AVERAGE(
    IF(
        (braves_19_25!$B:$B=$A36) *
        ((braves_19_25!$C:$C="FF") +
         (braves_19_25!$C:$C="SI") +
         (braves_19_25!$C:$C="FC")),
        braves_19_25!$I:$I
    )
),0)</f>
        <v>1.4552</v>
      </c>
      <c r="E36" cm="1">
        <f t="array" ref="E36">IFERROR(AVERAGE(
    IF(
        (braves_19_25!$B:$B=$A36) *
        ((braves_19_25!$C:$C="FF") +
         (braves_19_25!$C:$C="SI") +
         (braves_19_25!$C:$C="FC")),
        braves_19_25!$J:$J
    )
),0)</f>
        <v>1.1336999999999999</v>
      </c>
      <c r="F36" s="29" cm="1">
        <f t="array" ref="F36">IFERROR(AVERAGE(
    IF(
        (braves_19_25!$B:$B=$A36) *
        ((braves_19_25!$C:$C="FF") +
         (braves_19_25!$C:$C="SI") +
         (braves_19_25!$C:$C="FC")),
        braves_19_25!$K:$K
    )
),0)</f>
        <v>6.6180000000000003E-2</v>
      </c>
      <c r="G36" s="28" cm="1">
        <f t="array" ref="G36">IFERROR(AVERAGE(
    IF(
        (braves_19_25!$B:$B=$A36) *
        ((braves_19_25!$C:$C="SL") +
         (braves_19_25!$C:$C="ST") +
         (braves_19_25!$C:$C="SV")),
        braves_19_25!$G:$G
    )
),0)</f>
        <v>79.545000000000002</v>
      </c>
      <c r="H36" cm="1">
        <f t="array" ref="H36">IFERROR(AVERAGE(
    IF(
        (braves_19_25!$B:$B=$A36) *
        ((braves_19_25!$C:$C="SL") +
         (braves_19_25!$C:$C="ST") +
         (braves_19_25!$C:$C="SV")),
        braves_19_25!$F:$F
    )
),0)</f>
        <v>2418</v>
      </c>
      <c r="I36" cm="1">
        <f t="array" ref="I36">IFERROR(AVERAGE(
    IF(
        (braves_19_25!$B:$B=$A36) *
        ((braves_19_25!$C:$C="SL") +
         (braves_19_25!$C:$C="ST") +
         (braves_19_25!$C:$C="SV")),
        braves_19_25!$I:$I
    )
),0)</f>
        <v>3.4615499999999999</v>
      </c>
      <c r="J36" cm="1">
        <f t="array" ref="J36">IFERROR(AVERAGE(
    IF(
        (braves_19_25!$B:$B=$A36) *
        ((braves_19_25!$C:$C="SL") +
         (braves_19_25!$C:$C="ST") +
         (braves_19_25!$C:$C="SV")),
        braves_19_25!$J:$J
    )
),0)</f>
        <v>-0.78737999999999997</v>
      </c>
      <c r="K36" s="29" cm="1">
        <f t="array" ref="K36">IFERROR(AVERAGE(
    IF(
        (braves_19_25!$B:$B=$A36) *
        ((braves_19_25!$C:$C="SL") +
         (braves_19_25!$C:$C="ST") +
         (braves_19_25!$C:$C="SV")),
        braves_19_25!$K:$K
    )
),0)</f>
        <v>-0.39095000000000002</v>
      </c>
      <c r="L36" s="28" cm="1">
        <f t="array" ref="L36">IFERROR(AVERAGE(
    IF(
        (braves_19_25!$B:$B=$A36) *
        ((braves_19_25!$C:$C="CU") +
         (braves_19_25!$C:$C="CS") +
         (braves_19_25!$C:$C="KC")),
        braves_19_25!$G:$G
    )
),0)</f>
        <v>0</v>
      </c>
      <c r="M36" cm="1">
        <f t="array" ref="M36">IFERROR(AVERAGE(
    IF(
        (braves_19_25!$B:$B=$A36) *
        ((braves_19_25!$C:$C="CU") +
         (braves_19_25!$C:$C="CS") +
         (braves_19_25!$C:$C="KC")),
        braves_19_25!$F:$F
    )
),0)</f>
        <v>0</v>
      </c>
      <c r="N36" cm="1">
        <f t="array" ref="N36">IFERROR(AVERAGE(
    IF(
        (braves_19_25!$B:$B=$A36) *
        ((braves_19_25!$C:$C="CU") +
         (braves_19_25!$C:$C="CS") +
         (braves_19_25!$C:$C="KC")),
        braves_19_25!$I:$I
    )
),0)</f>
        <v>0</v>
      </c>
      <c r="O36" cm="1">
        <f t="array" ref="O36">IFERROR(AVERAGE(
    IF(
        (braves_19_25!$B:$B=$A36) *
        ((braves_19_25!$C:$C="CU") +
         (braves_19_25!$C:$C="CS") +
         (braves_19_25!$C:$C="KC")),
        braves_19_25!$J:$J
    )
),0)</f>
        <v>0</v>
      </c>
      <c r="P36" s="29" cm="1">
        <f t="array" ref="P36">IFERROR(AVERAGE(
    IF(
        (braves_19_25!$B:$B=$A36) *
        ((braves_19_25!$C:$C="CU") +
         (braves_19_25!$C:$C="CS") +
         (braves_19_25!$C:$C="KC")),
        braves_19_25!$K:$K
    )
),0)</f>
        <v>0</v>
      </c>
      <c r="Q36" s="28" cm="1">
        <f t="array" ref="Q36">IFERROR(AVERAGE(
    IF(
        (braves_19_25!$B:$B=$A36) *
        ((braves_19_25!$C:$C="FS") +
         (braves_19_25!$C:$C="CH") +
         (braves_19_25!$C:$C="FO") +
         (braves_19_25!$C:$C="SC")),
        braves_19_25!$G:$G
    )
),0)</f>
        <v>86.18</v>
      </c>
      <c r="R36" cm="1">
        <f t="array" ref="R36">IFERROR(AVERAGE(
    IF(
        (braves_19_25!$B:$B=$A36) *
        ((braves_19_25!$C:$C="FS") +
         (braves_19_25!$C:$C="CH") +
         (braves_19_25!$C:$C="FO") +
         (braves_19_25!$C:$C="SC")),
        braves_19_25!$F:$F
    )
),0)</f>
        <v>1335</v>
      </c>
      <c r="S36" cm="1">
        <f t="array" ref="S36">IFERROR(AVERAGE(
    IF(
        (braves_19_25!$B:$B=$A36) *
        ((braves_19_25!$C:$C="FS") +
         (braves_19_25!$C:$C="CH") +
         (braves_19_25!$C:$C="FO") +
         (braves_19_25!$C:$C="SC")),
        braves_19_25!$I:$I
    )
),0)</f>
        <v>3.1048100000000001</v>
      </c>
      <c r="T36" cm="1">
        <f t="array" ref="T36">IFERROR(AVERAGE(
    IF(
        (braves_19_25!$B:$B=$A36) *
        ((braves_19_25!$C:$C="FS") +
         (braves_19_25!$C:$C="CH") +
         (braves_19_25!$C:$C="FO") +
         (braves_19_25!$C:$C="SC")),
        braves_19_25!$J:$J
    )
),0)</f>
        <v>1.04894</v>
      </c>
      <c r="U36" s="29" cm="1">
        <f t="array" ref="U36">IFERROR(AVERAGE(
    IF(
        (braves_19_25!$B:$B=$A36) *
        ((braves_19_25!$C:$C="FS") +
         (braves_19_25!$C:$C="CH") +
         (braves_19_25!$C:$C="FO") +
         (braves_19_25!$C:$C="SC")),
        braves_19_25!$K:$K
    )
),0)</f>
        <v>7.6119999999999993E-2</v>
      </c>
      <c r="V36" s="28" cm="1">
        <f t="array" ref="V36">IFERROR(AVERAGE(
    IF(
        (braves_19_25!$B:$B=$A36) *
        ((braves_19_25!$C:$C="EP") +
         (braves_19_25!$C:$C="FA") +
         (braves_19_25!$C:$C="KN")),
        braves_19_25!$G:$G
    )
),0)</f>
        <v>0</v>
      </c>
      <c r="W36" cm="1">
        <f t="array" ref="W36">IFERROR(AVERAGE(
    IF(
        (braves_19_25!$B:$B=$A36) *
        ((braves_19_25!$C:$C="EP") +
         (braves_19_25!$C:$C="FA") +
         (braves_19_25!$C:$C="KN")),
        braves_19_25!$F:$F
    )
),0)</f>
        <v>0</v>
      </c>
      <c r="X36" cm="1">
        <f t="array" ref="X36">IFERROR(AVERAGE(
    IF(
        (braves_19_25!$B:$B=$A36) *
        ((braves_19_25!$C:$C="EP") +
         (braves_19_25!$C:$C="FA") +
         (braves_19_25!$C:$C="KN")),
        braves_19_25!$I:$I
    )
),0)</f>
        <v>0</v>
      </c>
      <c r="Y36" cm="1">
        <f t="array" ref="Y36">IFERROR(AVERAGE(
    IF(
        (braves_19_25!$B:$B=$A36) *
        ((braves_19_25!$C:$C="EP") +
         (braves_19_25!$C:$C="FA") +
         (braves_19_25!$C:$C="KN")),
        braves_19_25!$J:$J
    )
),0)</f>
        <v>0</v>
      </c>
      <c r="Z36" s="29" cm="1">
        <f t="array" ref="Z36">IFERROR(AVERAGE(
    IF(
        (braves_19_25!$B:$B=$A36) *
        ((braves_19_25!$C:$C="EP") +
         (braves_19_25!$C:$C="FA") +
         (braves_19_25!$C:$C="KN")),
        braves_19_25!$K:$K
    )
),0)</f>
        <v>0</v>
      </c>
    </row>
    <row r="37" spans="1:26" x14ac:dyDescent="0.3">
      <c r="A37" t="str">
        <v>Wilson, Bryse</v>
      </c>
      <c r="B37" s="28" cm="1">
        <f t="array" ref="B37">IFERROR(AVERAGE(
    IF(
        (braves_19_25!$B:$B=$A37) *
        ((braves_19_25!$C:$C="FF") +
         (braves_19_25!$C:$C="SI") +
         (braves_19_25!$C:$C="FC")),
        braves_19_25!$G:$G
    )
),0)</f>
        <v>93.91</v>
      </c>
      <c r="C37" cm="1">
        <f t="array" ref="C37">IFERROR(AVERAGE(
    IF(
        (braves_19_25!$B:$B=$A37) *
        ((braves_19_25!$C:$C="FF") +
         (braves_19_25!$C:$C="SI") +
         (braves_19_25!$C:$C="FC")),
        braves_19_25!$F:$F
    )
),0)</f>
        <v>2088.5</v>
      </c>
      <c r="D37" cm="1">
        <f t="array" ref="D37">IFERROR(AVERAGE(
    IF(
        (braves_19_25!$B:$B=$A37) *
        ((braves_19_25!$C:$C="FF") +
         (braves_19_25!$C:$C="SI") +
         (braves_19_25!$C:$C="FC")),
        braves_19_25!$I:$I
    )
),0)</f>
        <v>1.6257450000000002</v>
      </c>
      <c r="E37" cm="1">
        <f t="array" ref="E37">IFERROR(AVERAGE(
    IF(
        (braves_19_25!$B:$B=$A37) *
        ((braves_19_25!$C:$C="FF") +
         (braves_19_25!$C:$C="SI") +
         (braves_19_25!$C:$C="FC")),
        braves_19_25!$J:$J
    )
),0)</f>
        <v>0.92654500000000006</v>
      </c>
      <c r="F37" s="29" cm="1">
        <f t="array" ref="F37">IFERROR(AVERAGE(
    IF(
        (braves_19_25!$B:$B=$A37) *
        ((braves_19_25!$C:$C="FF") +
         (braves_19_25!$C:$C="SI") +
         (braves_19_25!$C:$C="FC")),
        braves_19_25!$K:$K
    )
),0)</f>
        <v>0.33538000000000001</v>
      </c>
      <c r="G37" s="28" cm="1">
        <f t="array" ref="G37">IFERROR(AVERAGE(
    IF(
        (braves_19_25!$B:$B=$A37) *
        ((braves_19_25!$C:$C="SL") +
         (braves_19_25!$C:$C="ST") +
         (braves_19_25!$C:$C="SV")),
        braves_19_25!$G:$G
    )
),0)</f>
        <v>87.69</v>
      </c>
      <c r="H37" cm="1">
        <f t="array" ref="H37">IFERROR(AVERAGE(
    IF(
        (braves_19_25!$B:$B=$A37) *
        ((braves_19_25!$C:$C="SL") +
         (braves_19_25!$C:$C="ST") +
         (braves_19_25!$C:$C="SV")),
        braves_19_25!$F:$F
    )
),0)</f>
        <v>2242</v>
      </c>
      <c r="I37" cm="1">
        <f t="array" ref="I37">IFERROR(AVERAGE(
    IF(
        (braves_19_25!$B:$B=$A37) *
        ((braves_19_25!$C:$C="SL") +
         (braves_19_25!$C:$C="ST") +
         (braves_19_25!$C:$C="SV")),
        braves_19_25!$I:$I
    )
),0)</f>
        <v>2.5392000000000001</v>
      </c>
      <c r="J37" cm="1">
        <f t="array" ref="J37">IFERROR(AVERAGE(
    IF(
        (braves_19_25!$B:$B=$A37) *
        ((braves_19_25!$C:$C="SL") +
         (braves_19_25!$C:$C="ST") +
         (braves_19_25!$C:$C="SV")),
        braves_19_25!$J:$J
    )
),0)</f>
        <v>-0.2717</v>
      </c>
      <c r="K37" s="29" cm="1">
        <f t="array" ref="K37">IFERROR(AVERAGE(
    IF(
        (braves_19_25!$B:$B=$A37) *
        ((braves_19_25!$C:$C="SL") +
         (braves_19_25!$C:$C="ST") +
         (braves_19_25!$C:$C="SV")),
        braves_19_25!$K:$K
    )
),0)</f>
        <v>-4.4200000000000003E-2</v>
      </c>
      <c r="L37" s="28" cm="1">
        <f t="array" ref="L37">IFERROR(AVERAGE(
    IF(
        (braves_19_25!$B:$B=$A37) *
        ((braves_19_25!$C:$C="CU") +
         (braves_19_25!$C:$C="CS") +
         (braves_19_25!$C:$C="KC")),
        braves_19_25!$G:$G
    )
),0)</f>
        <v>78.28</v>
      </c>
      <c r="M37" cm="1">
        <f t="array" ref="M37">IFERROR(AVERAGE(
    IF(
        (braves_19_25!$B:$B=$A37) *
        ((braves_19_25!$C:$C="CU") +
         (braves_19_25!$C:$C="CS") +
         (braves_19_25!$C:$C="KC")),
        braves_19_25!$F:$F
    )
),0)</f>
        <v>2276</v>
      </c>
      <c r="N37" cm="1">
        <f t="array" ref="N37">IFERROR(AVERAGE(
    IF(
        (braves_19_25!$B:$B=$A37) *
        ((braves_19_25!$C:$C="CU") +
         (braves_19_25!$C:$C="CS") +
         (braves_19_25!$C:$C="KC")),
        braves_19_25!$I:$I
    )
),0)</f>
        <v>3.8682400000000001</v>
      </c>
      <c r="O37" cm="1">
        <f t="array" ref="O37">IFERROR(AVERAGE(
    IF(
        (braves_19_25!$B:$B=$A37) *
        ((braves_19_25!$C:$C="CU") +
         (braves_19_25!$C:$C="CS") +
         (braves_19_25!$C:$C="KC")),
        braves_19_25!$J:$J
    )
),0)</f>
        <v>-1.21143</v>
      </c>
      <c r="P37" s="29" cm="1">
        <f t="array" ref="P37">IFERROR(AVERAGE(
    IF(
        (braves_19_25!$B:$B=$A37) *
        ((braves_19_25!$C:$C="CU") +
         (braves_19_25!$C:$C="CS") +
         (braves_19_25!$C:$C="KC")),
        braves_19_25!$K:$K
    )
),0)</f>
        <v>-0.48570999999999998</v>
      </c>
      <c r="Q37" s="28" cm="1">
        <f t="array" ref="Q37">IFERROR(AVERAGE(
    IF(
        (braves_19_25!$B:$B=$A37) *
        ((braves_19_25!$C:$C="FS") +
         (braves_19_25!$C:$C="CH") +
         (braves_19_25!$C:$C="FO") +
         (braves_19_25!$C:$C="SC")),
        braves_19_25!$G:$G
    )
),0)</f>
        <v>87.18</v>
      </c>
      <c r="R37" cm="1">
        <f t="array" ref="R37">IFERROR(AVERAGE(
    IF(
        (braves_19_25!$B:$B=$A37) *
        ((braves_19_25!$C:$C="FS") +
         (braves_19_25!$C:$C="CH") +
         (braves_19_25!$C:$C="FO") +
         (braves_19_25!$C:$C="SC")),
        braves_19_25!$F:$F
    )
),0)</f>
        <v>1639</v>
      </c>
      <c r="S37" cm="1">
        <f t="array" ref="S37">IFERROR(AVERAGE(
    IF(
        (braves_19_25!$B:$B=$A37) *
        ((braves_19_25!$C:$C="FS") +
         (braves_19_25!$C:$C="CH") +
         (braves_19_25!$C:$C="FO") +
         (braves_19_25!$C:$C="SC")),
        braves_19_25!$I:$I
    )
),0)</f>
        <v>2.53105</v>
      </c>
      <c r="T37" cm="1">
        <f t="array" ref="T37">IFERROR(AVERAGE(
    IF(
        (braves_19_25!$B:$B=$A37) *
        ((braves_19_25!$C:$C="FS") +
         (braves_19_25!$C:$C="CH") +
         (braves_19_25!$C:$C="FO") +
         (braves_19_25!$C:$C="SC")),
        braves_19_25!$J:$J
    )
),0)</f>
        <v>1.1387400000000001</v>
      </c>
      <c r="U37" s="29" cm="1">
        <f t="array" ref="U37">IFERROR(AVERAGE(
    IF(
        (braves_19_25!$B:$B=$A37) *
        ((braves_19_25!$C:$C="FS") +
         (braves_19_25!$C:$C="CH") +
         (braves_19_25!$C:$C="FO") +
         (braves_19_25!$C:$C="SC")),
        braves_19_25!$K:$K
    )
),0)</f>
        <v>-0.27442</v>
      </c>
      <c r="V37" s="28" cm="1">
        <f t="array" ref="V37">IFERROR(AVERAGE(
    IF(
        (braves_19_25!$B:$B=$A37) *
        ((braves_19_25!$C:$C="EP") +
         (braves_19_25!$C:$C="FA") +
         (braves_19_25!$C:$C="KN")),
        braves_19_25!$G:$G
    )
),0)</f>
        <v>0</v>
      </c>
      <c r="W37" cm="1">
        <f t="array" ref="W37">IFERROR(AVERAGE(
    IF(
        (braves_19_25!$B:$B=$A37) *
        ((braves_19_25!$C:$C="EP") +
         (braves_19_25!$C:$C="FA") +
         (braves_19_25!$C:$C="KN")),
        braves_19_25!$F:$F
    )
),0)</f>
        <v>0</v>
      </c>
      <c r="X37" cm="1">
        <f t="array" ref="X37">IFERROR(AVERAGE(
    IF(
        (braves_19_25!$B:$B=$A37) *
        ((braves_19_25!$C:$C="EP") +
         (braves_19_25!$C:$C="FA") +
         (braves_19_25!$C:$C="KN")),
        braves_19_25!$I:$I
    )
),0)</f>
        <v>0</v>
      </c>
      <c r="Y37" cm="1">
        <f t="array" ref="Y37">IFERROR(AVERAGE(
    IF(
        (braves_19_25!$B:$B=$A37) *
        ((braves_19_25!$C:$C="EP") +
         (braves_19_25!$C:$C="FA") +
         (braves_19_25!$C:$C="KN")),
        braves_19_25!$J:$J
    )
),0)</f>
        <v>0</v>
      </c>
      <c r="Z37" s="29" cm="1">
        <f t="array" ref="Z37">IFERROR(AVERAGE(
    IF(
        (braves_19_25!$B:$B=$A37) *
        ((braves_19_25!$C:$C="EP") +
         (braves_19_25!$C:$C="FA") +
         (braves_19_25!$C:$C="KN")),
        braves_19_25!$K:$K
    )
),0)</f>
        <v>0</v>
      </c>
    </row>
    <row r="38" spans="1:26" x14ac:dyDescent="0.3">
      <c r="A38" t="str">
        <v>Wentz, Joey</v>
      </c>
      <c r="B38" s="28" cm="1">
        <f t="array" ref="B38">IFERROR(AVERAGE(
    IF(
        (braves_19_25!$B:$B=$A38) *
        ((braves_19_25!$C:$C="FF") +
         (braves_19_25!$C:$C="SI") +
         (braves_19_25!$C:$C="FC")),
        braves_19_25!$G:$G
    )
),0)</f>
        <v>94.29</v>
      </c>
      <c r="C38" cm="1">
        <f t="array" ref="C38">IFERROR(AVERAGE(
    IF(
        (braves_19_25!$B:$B=$A38) *
        ((braves_19_25!$C:$C="FF") +
         (braves_19_25!$C:$C="SI") +
         (braves_19_25!$C:$C="FC")),
        braves_19_25!$F:$F
    )
),0)</f>
        <v>2301</v>
      </c>
      <c r="D38" cm="1">
        <f t="array" ref="D38">IFERROR(AVERAGE(
    IF(
        (braves_19_25!$B:$B=$A38) *
        ((braves_19_25!$C:$C="FF") +
         (braves_19_25!$C:$C="SI") +
         (braves_19_25!$C:$C="FC")),
        braves_19_25!$I:$I
    )
),0)</f>
        <v>1.1114299999999999</v>
      </c>
      <c r="E38" cm="1">
        <f t="array" ref="E38">IFERROR(AVERAGE(
    IF(
        (braves_19_25!$B:$B=$A38) *
        ((braves_19_25!$C:$C="FF") +
         (braves_19_25!$C:$C="SI") +
         (braves_19_25!$C:$C="FC")),
        braves_19_25!$J:$J
    )
),0)</f>
        <v>0.39362000000000003</v>
      </c>
      <c r="F38" s="29" cm="1">
        <f t="array" ref="F38">IFERROR(AVERAGE(
    IF(
        (braves_19_25!$B:$B=$A38) *
        ((braves_19_25!$C:$C="FF") +
         (braves_19_25!$C:$C="SI") +
         (braves_19_25!$C:$C="FC")),
        braves_19_25!$K:$K
    )
),0)</f>
        <v>-0.22738</v>
      </c>
      <c r="G38" s="28" cm="1">
        <f t="array" ref="G38">IFERROR(AVERAGE(
    IF(
        (braves_19_25!$B:$B=$A38) *
        ((braves_19_25!$C:$C="SL") +
         (braves_19_25!$C:$C="ST") +
         (braves_19_25!$C:$C="SV")),
        braves_19_25!$G:$G
    )
),0)</f>
        <v>86.42</v>
      </c>
      <c r="H38" cm="1">
        <f t="array" ref="H38">IFERROR(AVERAGE(
    IF(
        (braves_19_25!$B:$B=$A38) *
        ((braves_19_25!$C:$C="SL") +
         (braves_19_25!$C:$C="ST") +
         (braves_19_25!$C:$C="SV")),
        braves_19_25!$F:$F
    )
),0)</f>
        <v>2516</v>
      </c>
      <c r="I38" cm="1">
        <f t="array" ref="I38">IFERROR(AVERAGE(
    IF(
        (braves_19_25!$B:$B=$A38) *
        ((braves_19_25!$C:$C="SL") +
         (braves_19_25!$C:$C="ST") +
         (braves_19_25!$C:$C="SV")),
        braves_19_25!$I:$I
    )
),0)</f>
        <v>2.9836399999999998</v>
      </c>
      <c r="J38" cm="1">
        <f t="array" ref="J38">IFERROR(AVERAGE(
    IF(
        (braves_19_25!$B:$B=$A38) *
        ((braves_19_25!$C:$C="SL") +
         (braves_19_25!$C:$C="ST") +
         (braves_19_25!$C:$C="SV")),
        braves_19_25!$J:$J
    )
),0)</f>
        <v>-0.38066</v>
      </c>
      <c r="K38" s="29" cm="1">
        <f t="array" ref="K38">IFERROR(AVERAGE(
    IF(
        (braves_19_25!$B:$B=$A38) *
        ((braves_19_25!$C:$C="SL") +
         (braves_19_25!$C:$C="ST") +
         (braves_19_25!$C:$C="SV")),
        braves_19_25!$K:$K
    )
),0)</f>
        <v>0.13669999999999999</v>
      </c>
      <c r="L38" s="28" cm="1">
        <f t="array" ref="L38">IFERROR(AVERAGE(
    IF(
        (braves_19_25!$B:$B=$A38) *
        ((braves_19_25!$C:$C="CU") +
         (braves_19_25!$C:$C="CS") +
         (braves_19_25!$C:$C="KC")),
        braves_19_25!$G:$G
    )
),0)</f>
        <v>80.41</v>
      </c>
      <c r="M38" cm="1">
        <f t="array" ref="M38">IFERROR(AVERAGE(
    IF(
        (braves_19_25!$B:$B=$A38) *
        ((braves_19_25!$C:$C="CU") +
         (braves_19_25!$C:$C="CS") +
         (braves_19_25!$C:$C="KC")),
        braves_19_25!$F:$F
    )
),0)</f>
        <v>2537</v>
      </c>
      <c r="N38" cm="1">
        <f t="array" ref="N38">IFERROR(AVERAGE(
    IF(
        (braves_19_25!$B:$B=$A38) *
        ((braves_19_25!$C:$C="CU") +
         (braves_19_25!$C:$C="CS") +
         (braves_19_25!$C:$C="KC")),
        braves_19_25!$I:$I
    )
),0)</f>
        <v>4.2910300000000001</v>
      </c>
      <c r="O38" cm="1">
        <f t="array" ref="O38">IFERROR(AVERAGE(
    IF(
        (braves_19_25!$B:$B=$A38) *
        ((braves_19_25!$C:$C="CU") +
         (braves_19_25!$C:$C="CS") +
         (braves_19_25!$C:$C="KC")),
        braves_19_25!$J:$J
    )
),0)</f>
        <v>-0.42668</v>
      </c>
      <c r="P38" s="29" cm="1">
        <f t="array" ref="P38">IFERROR(AVERAGE(
    IF(
        (braves_19_25!$B:$B=$A38) *
        ((braves_19_25!$C:$C="CU") +
         (braves_19_25!$C:$C="CS") +
         (braves_19_25!$C:$C="KC")),
        braves_19_25!$K:$K
    )
),0)</f>
        <v>0.32556000000000002</v>
      </c>
      <c r="Q38" s="28" cm="1">
        <f t="array" ref="Q38">IFERROR(AVERAGE(
    IF(
        (braves_19_25!$B:$B=$A38) *
        ((braves_19_25!$C:$C="FS") +
         (braves_19_25!$C:$C="CH") +
         (braves_19_25!$C:$C="FO") +
         (braves_19_25!$C:$C="SC")),
        braves_19_25!$G:$G
    )
),0)</f>
        <v>87.37</v>
      </c>
      <c r="R38" cm="1">
        <f t="array" ref="R38">IFERROR(AVERAGE(
    IF(
        (braves_19_25!$B:$B=$A38) *
        ((braves_19_25!$C:$C="FS") +
         (braves_19_25!$C:$C="CH") +
         (braves_19_25!$C:$C="FO") +
         (braves_19_25!$C:$C="SC")),
        braves_19_25!$F:$F
    )
),0)</f>
        <v>1928</v>
      </c>
      <c r="S38" cm="1">
        <f t="array" ref="S38">IFERROR(AVERAGE(
    IF(
        (braves_19_25!$B:$B=$A38) *
        ((braves_19_25!$C:$C="FS") +
         (braves_19_25!$C:$C="CH") +
         (braves_19_25!$C:$C="FO") +
         (braves_19_25!$C:$C="SC")),
        braves_19_25!$I:$I
    )
),0)</f>
        <v>2.3301799999999999</v>
      </c>
      <c r="T38" cm="1">
        <f t="array" ref="T38">IFERROR(AVERAGE(
    IF(
        (braves_19_25!$B:$B=$A38) *
        ((braves_19_25!$C:$C="FS") +
         (braves_19_25!$C:$C="CH") +
         (braves_19_25!$C:$C="FO") +
         (braves_19_25!$C:$C="SC")),
        braves_19_25!$J:$J
    )
),0)</f>
        <v>1.15164</v>
      </c>
      <c r="U38" s="29" cm="1">
        <f t="array" ref="U38">IFERROR(AVERAGE(
    IF(
        (braves_19_25!$B:$B=$A38) *
        ((braves_19_25!$C:$C="FS") +
         (braves_19_25!$C:$C="CH") +
         (braves_19_25!$C:$C="FO") +
         (braves_19_25!$C:$C="SC")),
        braves_19_25!$K:$K
    )
),0)</f>
        <v>-1.1189100000000001</v>
      </c>
      <c r="V38" s="28" cm="1">
        <f t="array" ref="V38">IFERROR(AVERAGE(
    IF(
        (braves_19_25!$B:$B=$A38) *
        ((braves_19_25!$C:$C="EP") +
         (braves_19_25!$C:$C="FA") +
         (braves_19_25!$C:$C="KN")),
        braves_19_25!$G:$G
    )
),0)</f>
        <v>0</v>
      </c>
      <c r="W38" cm="1">
        <f t="array" ref="W38">IFERROR(AVERAGE(
    IF(
        (braves_19_25!$B:$B=$A38) *
        ((braves_19_25!$C:$C="EP") +
         (braves_19_25!$C:$C="FA") +
         (braves_19_25!$C:$C="KN")),
        braves_19_25!$F:$F
    )
),0)</f>
        <v>0</v>
      </c>
      <c r="X38" cm="1">
        <f t="array" ref="X38">IFERROR(AVERAGE(
    IF(
        (braves_19_25!$B:$B=$A38) *
        ((braves_19_25!$C:$C="EP") +
         (braves_19_25!$C:$C="FA") +
         (braves_19_25!$C:$C="KN")),
        braves_19_25!$I:$I
    )
),0)</f>
        <v>0</v>
      </c>
      <c r="Y38" cm="1">
        <f t="array" ref="Y38">IFERROR(AVERAGE(
    IF(
        (braves_19_25!$B:$B=$A38) *
        ((braves_19_25!$C:$C="EP") +
         (braves_19_25!$C:$C="FA") +
         (braves_19_25!$C:$C="KN")),
        braves_19_25!$J:$J
    )
),0)</f>
        <v>0</v>
      </c>
      <c r="Z38" s="29" cm="1">
        <f t="array" ref="Z38">IFERROR(AVERAGE(
    IF(
        (braves_19_25!$B:$B=$A38) *
        ((braves_19_25!$C:$C="EP") +
         (braves_19_25!$C:$C="FA") +
         (braves_19_25!$C:$C="KN")),
        braves_19_25!$K:$K
    )
),0)</f>
        <v>0</v>
      </c>
    </row>
    <row r="39" spans="1:26" x14ac:dyDescent="0.3">
      <c r="A39" t="str">
        <v>Dodd, Dylan</v>
      </c>
      <c r="B39" s="28" cm="1">
        <f t="array" ref="B39">IFERROR(AVERAGE(
    IF(
        (braves_19_25!$B:$B=$A39) *
        ((braves_19_25!$C:$C="FF") +
         (braves_19_25!$C:$C="SI") +
         (braves_19_25!$C:$C="FC")),
        braves_19_25!$G:$G
    )
),0)</f>
        <v>91.09999999999998</v>
      </c>
      <c r="C39" cm="1">
        <f t="array" ref="C39">IFERROR(AVERAGE(
    IF(
        (braves_19_25!$B:$B=$A39) *
        ((braves_19_25!$C:$C="FF") +
         (braves_19_25!$C:$C="SI") +
         (braves_19_25!$C:$C="FC")),
        braves_19_25!$F:$F
    )
),0)</f>
        <v>2139</v>
      </c>
      <c r="D39" cm="1">
        <f t="array" ref="D39">IFERROR(AVERAGE(
    IF(
        (braves_19_25!$B:$B=$A39) *
        ((braves_19_25!$C:$C="FF") +
         (braves_19_25!$C:$C="SI") +
         (braves_19_25!$C:$C="FC")),
        braves_19_25!$I:$I
    )
),0)</f>
        <v>1.7315333333333331</v>
      </c>
      <c r="E39" cm="1">
        <f t="array" ref="E39">IFERROR(AVERAGE(
    IF(
        (braves_19_25!$B:$B=$A39) *
        ((braves_19_25!$C:$C="FF") +
         (braves_19_25!$C:$C="SI") +
         (braves_19_25!$C:$C="FC")),
        braves_19_25!$J:$J
    )
),0)</f>
        <v>0.62376666666666669</v>
      </c>
      <c r="F39" s="29" cm="1">
        <f t="array" ref="F39">IFERROR(AVERAGE(
    IF(
        (braves_19_25!$B:$B=$A39) *
        ((braves_19_25!$C:$C="FF") +
         (braves_19_25!$C:$C="SI") +
         (braves_19_25!$C:$C="FC")),
        braves_19_25!$K:$K
    )
),0)</f>
        <v>-0.27558666666666665</v>
      </c>
      <c r="G39" s="28" cm="1">
        <f t="array" ref="G39">IFERROR(AVERAGE(
    IF(
        (braves_19_25!$B:$B=$A39) *
        ((braves_19_25!$C:$C="SL") +
         (braves_19_25!$C:$C="ST") +
         (braves_19_25!$C:$C="SV")),
        braves_19_25!$G:$G
    )
),0)</f>
        <v>82.3</v>
      </c>
      <c r="H39" cm="1">
        <f t="array" ref="H39">IFERROR(AVERAGE(
    IF(
        (braves_19_25!$B:$B=$A39) *
        ((braves_19_25!$C:$C="SL") +
         (braves_19_25!$C:$C="ST") +
         (braves_19_25!$C:$C="SV")),
        braves_19_25!$F:$F
    )
),0)</f>
        <v>2070</v>
      </c>
      <c r="I39" cm="1">
        <f t="array" ref="I39">IFERROR(AVERAGE(
    IF(
        (braves_19_25!$B:$B=$A39) *
        ((braves_19_25!$C:$C="SL") +
         (braves_19_25!$C:$C="ST") +
         (braves_19_25!$C:$C="SV")),
        braves_19_25!$I:$I
    )
),0)</f>
        <v>3.1259100000000002</v>
      </c>
      <c r="J39" cm="1">
        <f t="array" ref="J39">IFERROR(AVERAGE(
    IF(
        (braves_19_25!$B:$B=$A39) *
        ((braves_19_25!$C:$C="SL") +
         (braves_19_25!$C:$C="ST") +
         (braves_19_25!$C:$C="SV")),
        braves_19_25!$J:$J
    )
),0)</f>
        <v>-0.14108000000000001</v>
      </c>
      <c r="K39" s="29" cm="1">
        <f t="array" ref="K39">IFERROR(AVERAGE(
    IF(
        (braves_19_25!$B:$B=$A39) *
        ((braves_19_25!$C:$C="SL") +
         (braves_19_25!$C:$C="ST") +
         (braves_19_25!$C:$C="SV")),
        braves_19_25!$K:$K
    )
),0)</f>
        <v>5.2630000000000003E-2</v>
      </c>
      <c r="L39" s="28" cm="1">
        <f t="array" ref="L39">IFERROR(AVERAGE(
    IF(
        (braves_19_25!$B:$B=$A39) *
        ((braves_19_25!$C:$C="CU") +
         (braves_19_25!$C:$C="CS") +
         (braves_19_25!$C:$C="KC")),
        braves_19_25!$G:$G
    )
),0)</f>
        <v>0</v>
      </c>
      <c r="M39" cm="1">
        <f t="array" ref="M39">IFERROR(AVERAGE(
    IF(
        (braves_19_25!$B:$B=$A39) *
        ((braves_19_25!$C:$C="CU") +
         (braves_19_25!$C:$C="CS") +
         (braves_19_25!$C:$C="KC")),
        braves_19_25!$F:$F
    )
),0)</f>
        <v>0</v>
      </c>
      <c r="N39" cm="1">
        <f t="array" ref="N39">IFERROR(AVERAGE(
    IF(
        (braves_19_25!$B:$B=$A39) *
        ((braves_19_25!$C:$C="CU") +
         (braves_19_25!$C:$C="CS") +
         (braves_19_25!$C:$C="KC")),
        braves_19_25!$I:$I
    )
),0)</f>
        <v>0</v>
      </c>
      <c r="O39" cm="1">
        <f t="array" ref="O39">IFERROR(AVERAGE(
    IF(
        (braves_19_25!$B:$B=$A39) *
        ((braves_19_25!$C:$C="CU") +
         (braves_19_25!$C:$C="CS") +
         (braves_19_25!$C:$C="KC")),
        braves_19_25!$J:$J
    )
),0)</f>
        <v>0</v>
      </c>
      <c r="P39" s="29" cm="1">
        <f t="array" ref="P39">IFERROR(AVERAGE(
    IF(
        (braves_19_25!$B:$B=$A39) *
        ((braves_19_25!$C:$C="CU") +
         (braves_19_25!$C:$C="CS") +
         (braves_19_25!$C:$C="KC")),
        braves_19_25!$K:$K
    )
),0)</f>
        <v>0</v>
      </c>
      <c r="Q39" s="28" cm="1">
        <f t="array" ref="Q39">IFERROR(AVERAGE(
    IF(
        (braves_19_25!$B:$B=$A39) *
        ((braves_19_25!$C:$C="FS") +
         (braves_19_25!$C:$C="CH") +
         (braves_19_25!$C:$C="FO") +
         (braves_19_25!$C:$C="SC")),
        braves_19_25!$G:$G
    )
),0)</f>
        <v>83.87</v>
      </c>
      <c r="R39" cm="1">
        <f t="array" ref="R39">IFERROR(AVERAGE(
    IF(
        (braves_19_25!$B:$B=$A39) *
        ((braves_19_25!$C:$C="FS") +
         (braves_19_25!$C:$C="CH") +
         (braves_19_25!$C:$C="FO") +
         (braves_19_25!$C:$C="SC")),
        braves_19_25!$F:$F
    )
),0)</f>
        <v>1799</v>
      </c>
      <c r="S39" cm="1">
        <f t="array" ref="S39">IFERROR(AVERAGE(
    IF(
        (braves_19_25!$B:$B=$A39) *
        ((braves_19_25!$C:$C="FS") +
         (braves_19_25!$C:$C="CH") +
         (braves_19_25!$C:$C="FO") +
         (braves_19_25!$C:$C="SC")),
        braves_19_25!$I:$I
    )
),0)</f>
        <v>2.4858799999999999</v>
      </c>
      <c r="T39" cm="1">
        <f t="array" ref="T39">IFERROR(AVERAGE(
    IF(
        (braves_19_25!$B:$B=$A39) *
        ((braves_19_25!$C:$C="FS") +
         (braves_19_25!$C:$C="CH") +
         (braves_19_25!$C:$C="FO") +
         (braves_19_25!$C:$C="SC")),
        braves_19_25!$J:$J
    )
),0)</f>
        <v>0.90024999999999999</v>
      </c>
      <c r="U39" s="29" cm="1">
        <f t="array" ref="U39">IFERROR(AVERAGE(
    IF(
        (braves_19_25!$B:$B=$A39) *
        ((braves_19_25!$C:$C="FS") +
         (braves_19_25!$C:$C="CH") +
         (braves_19_25!$C:$C="FO") +
         (braves_19_25!$C:$C="SC")),
        braves_19_25!$K:$K
    )
),0)</f>
        <v>-0.75538000000000005</v>
      </c>
      <c r="V39" s="28" cm="1">
        <f t="array" ref="V39">IFERROR(AVERAGE(
    IF(
        (braves_19_25!$B:$B=$A39) *
        ((braves_19_25!$C:$C="EP") +
         (braves_19_25!$C:$C="FA") +
         (braves_19_25!$C:$C="KN")),
        braves_19_25!$G:$G
    )
),0)</f>
        <v>0</v>
      </c>
      <c r="W39" cm="1">
        <f t="array" ref="W39">IFERROR(AVERAGE(
    IF(
        (braves_19_25!$B:$B=$A39) *
        ((braves_19_25!$C:$C="EP") +
         (braves_19_25!$C:$C="FA") +
         (braves_19_25!$C:$C="KN")),
        braves_19_25!$F:$F
    )
),0)</f>
        <v>0</v>
      </c>
      <c r="X39" cm="1">
        <f t="array" ref="X39">IFERROR(AVERAGE(
    IF(
        (braves_19_25!$B:$B=$A39) *
        ((braves_19_25!$C:$C="EP") +
         (braves_19_25!$C:$C="FA") +
         (braves_19_25!$C:$C="KN")),
        braves_19_25!$I:$I
    )
),0)</f>
        <v>0</v>
      </c>
      <c r="Y39" cm="1">
        <f t="array" ref="Y39">IFERROR(AVERAGE(
    IF(
        (braves_19_25!$B:$B=$A39) *
        ((braves_19_25!$C:$C="EP") +
         (braves_19_25!$C:$C="FA") +
         (braves_19_25!$C:$C="KN")),
        braves_19_25!$J:$J
    )
),0)</f>
        <v>0</v>
      </c>
      <c r="Z39" s="29" cm="1">
        <f t="array" ref="Z39">IFERROR(AVERAGE(
    IF(
        (braves_19_25!$B:$B=$A39) *
        ((braves_19_25!$C:$C="EP") +
         (braves_19_25!$C:$C="FA") +
         (braves_19_25!$C:$C="KN")),
        braves_19_25!$K:$K
    )
),0)</f>
        <v>0</v>
      </c>
    </row>
    <row r="40" spans="1:26" x14ac:dyDescent="0.3">
      <c r="A40" t="str">
        <v>Hernández, Daysbel</v>
      </c>
      <c r="B40" s="28" cm="1">
        <f t="array" ref="B40">IFERROR(AVERAGE(
    IF(
        (braves_19_25!$B:$B=$A40) *
        ((braves_19_25!$C:$C="FF") +
         (braves_19_25!$C:$C="SI") +
         (braves_19_25!$C:$C="FC")),
        braves_19_25!$G:$G
    )
),0)</f>
        <v>97.495000000000005</v>
      </c>
      <c r="C40" cm="1">
        <f t="array" ref="C40">IFERROR(AVERAGE(
    IF(
        (braves_19_25!$B:$B=$A40) *
        ((braves_19_25!$C:$C="FF") +
         (braves_19_25!$C:$C="SI") +
         (braves_19_25!$C:$C="FC")),
        braves_19_25!$F:$F
    )
),0)</f>
        <v>2381.5</v>
      </c>
      <c r="D40" cm="1">
        <f t="array" ref="D40">IFERROR(AVERAGE(
    IF(
        (braves_19_25!$B:$B=$A40) *
        ((braves_19_25!$C:$C="FF") +
         (braves_19_25!$C:$C="SI") +
         (braves_19_25!$C:$C="FC")),
        braves_19_25!$I:$I
    )
),0)</f>
        <v>1.0780949999999998</v>
      </c>
      <c r="E40" cm="1">
        <f t="array" ref="E40">IFERROR(AVERAGE(
    IF(
        (braves_19_25!$B:$B=$A40) *
        ((braves_19_25!$C:$C="FF") +
         (braves_19_25!$C:$C="SI") +
         (braves_19_25!$C:$C="FC")),
        braves_19_25!$J:$J
    )
),0)</f>
        <v>0.95478499999999999</v>
      </c>
      <c r="F40" s="29" cm="1">
        <f t="array" ref="F40">IFERROR(AVERAGE(
    IF(
        (braves_19_25!$B:$B=$A40) *
        ((braves_19_25!$C:$C="FF") +
         (braves_19_25!$C:$C="SI") +
         (braves_19_25!$C:$C="FC")),
        braves_19_25!$K:$K
    )
),0)</f>
        <v>-0.16392499999999999</v>
      </c>
      <c r="G40" s="28" cm="1">
        <f t="array" ref="G40">IFERROR(AVERAGE(
    IF(
        (braves_19_25!$B:$B=$A40) *
        ((braves_19_25!$C:$C="SL") +
         (braves_19_25!$C:$C="ST") +
         (braves_19_25!$C:$C="SV")),
        braves_19_25!$G:$G
    )
),0)</f>
        <v>88.49</v>
      </c>
      <c r="H40" cm="1">
        <f t="array" ref="H40">IFERROR(AVERAGE(
    IF(
        (braves_19_25!$B:$B=$A40) *
        ((braves_19_25!$C:$C="SL") +
         (braves_19_25!$C:$C="ST") +
         (braves_19_25!$C:$C="SV")),
        braves_19_25!$F:$F
    )
),0)</f>
        <v>2702</v>
      </c>
      <c r="I40" cm="1">
        <f t="array" ref="I40">IFERROR(AVERAGE(
    IF(
        (braves_19_25!$B:$B=$A40) *
        ((braves_19_25!$C:$C="SL") +
         (braves_19_25!$C:$C="ST") +
         (braves_19_25!$C:$C="SV")),
        braves_19_25!$I:$I
    )
),0)</f>
        <v>2.8162799999999999</v>
      </c>
      <c r="J40" cm="1">
        <f t="array" ref="J40">IFERROR(AVERAGE(
    IF(
        (braves_19_25!$B:$B=$A40) *
        ((braves_19_25!$C:$C="SL") +
         (braves_19_25!$C:$C="ST") +
         (braves_19_25!$C:$C="SV")),
        braves_19_25!$J:$J
    )
),0)</f>
        <v>-0.24637999999999999</v>
      </c>
      <c r="K40" s="29" cm="1">
        <f t="array" ref="K40">IFERROR(AVERAGE(
    IF(
        (braves_19_25!$B:$B=$A40) *
        ((braves_19_25!$C:$C="SL") +
         (braves_19_25!$C:$C="ST") +
         (braves_19_25!$C:$C="SV")),
        braves_19_25!$K:$K
    )
),0)</f>
        <v>-2.1850000000000001E-2</v>
      </c>
      <c r="L40" s="28" cm="1">
        <f t="array" ref="L40">IFERROR(AVERAGE(
    IF(
        (braves_19_25!$B:$B=$A40) *
        ((braves_19_25!$C:$C="CU") +
         (braves_19_25!$C:$C="CS") +
         (braves_19_25!$C:$C="KC")),
        braves_19_25!$G:$G
    )
),0)</f>
        <v>0</v>
      </c>
      <c r="M40" cm="1">
        <f t="array" ref="M40">IFERROR(AVERAGE(
    IF(
        (braves_19_25!$B:$B=$A40) *
        ((braves_19_25!$C:$C="CU") +
         (braves_19_25!$C:$C="CS") +
         (braves_19_25!$C:$C="KC")),
        braves_19_25!$F:$F
    )
),0)</f>
        <v>0</v>
      </c>
      <c r="N40" cm="1">
        <f t="array" ref="N40">IFERROR(AVERAGE(
    IF(
        (braves_19_25!$B:$B=$A40) *
        ((braves_19_25!$C:$C="CU") +
         (braves_19_25!$C:$C="CS") +
         (braves_19_25!$C:$C="KC")),
        braves_19_25!$I:$I
    )
),0)</f>
        <v>0</v>
      </c>
      <c r="O40" cm="1">
        <f t="array" ref="O40">IFERROR(AVERAGE(
    IF(
        (braves_19_25!$B:$B=$A40) *
        ((braves_19_25!$C:$C="CU") +
         (braves_19_25!$C:$C="CS") +
         (braves_19_25!$C:$C="KC")),
        braves_19_25!$J:$J
    )
),0)</f>
        <v>0</v>
      </c>
      <c r="P40" s="29" cm="1">
        <f t="array" ref="P40">IFERROR(AVERAGE(
    IF(
        (braves_19_25!$B:$B=$A40) *
        ((braves_19_25!$C:$C="CU") +
         (braves_19_25!$C:$C="CS") +
         (braves_19_25!$C:$C="KC")),
        braves_19_25!$K:$K
    )
),0)</f>
        <v>0</v>
      </c>
      <c r="Q40" s="28" cm="1">
        <f t="array" ref="Q40">IFERROR(AVERAGE(
    IF(
        (braves_19_25!$B:$B=$A40) *
        ((braves_19_25!$C:$C="FS") +
         (braves_19_25!$C:$C="CH") +
         (braves_19_25!$C:$C="FO") +
         (braves_19_25!$C:$C="SC")),
        braves_19_25!$G:$G
    )
),0)</f>
        <v>0</v>
      </c>
      <c r="R40" cm="1">
        <f t="array" ref="R40">IFERROR(AVERAGE(
    IF(
        (braves_19_25!$B:$B=$A40) *
        ((braves_19_25!$C:$C="FS") +
         (braves_19_25!$C:$C="CH") +
         (braves_19_25!$C:$C="FO") +
         (braves_19_25!$C:$C="SC")),
        braves_19_25!$F:$F
    )
),0)</f>
        <v>0</v>
      </c>
      <c r="S40" cm="1">
        <f t="array" ref="S40">IFERROR(AVERAGE(
    IF(
        (braves_19_25!$B:$B=$A40) *
        ((braves_19_25!$C:$C="FS") +
         (braves_19_25!$C:$C="CH") +
         (braves_19_25!$C:$C="FO") +
         (braves_19_25!$C:$C="SC")),
        braves_19_25!$I:$I
    )
),0)</f>
        <v>0</v>
      </c>
      <c r="T40" cm="1">
        <f t="array" ref="T40">IFERROR(AVERAGE(
    IF(
        (braves_19_25!$B:$B=$A40) *
        ((braves_19_25!$C:$C="FS") +
         (braves_19_25!$C:$C="CH") +
         (braves_19_25!$C:$C="FO") +
         (braves_19_25!$C:$C="SC")),
        braves_19_25!$J:$J
    )
),0)</f>
        <v>0</v>
      </c>
      <c r="U40" s="29" cm="1">
        <f t="array" ref="U40">IFERROR(AVERAGE(
    IF(
        (braves_19_25!$B:$B=$A40) *
        ((braves_19_25!$C:$C="FS") +
         (braves_19_25!$C:$C="CH") +
         (braves_19_25!$C:$C="FO") +
         (braves_19_25!$C:$C="SC")),
        braves_19_25!$K:$K
    )
),0)</f>
        <v>0</v>
      </c>
      <c r="V40" s="28" cm="1">
        <f t="array" ref="V40">IFERROR(AVERAGE(
    IF(
        (braves_19_25!$B:$B=$A40) *
        ((braves_19_25!$C:$C="EP") +
         (braves_19_25!$C:$C="FA") +
         (braves_19_25!$C:$C="KN")),
        braves_19_25!$G:$G
    )
),0)</f>
        <v>0</v>
      </c>
      <c r="W40" cm="1">
        <f t="array" ref="W40">IFERROR(AVERAGE(
    IF(
        (braves_19_25!$B:$B=$A40) *
        ((braves_19_25!$C:$C="EP") +
         (braves_19_25!$C:$C="FA") +
         (braves_19_25!$C:$C="KN")),
        braves_19_25!$F:$F
    )
),0)</f>
        <v>0</v>
      </c>
      <c r="X40" cm="1">
        <f t="array" ref="X40">IFERROR(AVERAGE(
    IF(
        (braves_19_25!$B:$B=$A40) *
        ((braves_19_25!$C:$C="EP") +
         (braves_19_25!$C:$C="FA") +
         (braves_19_25!$C:$C="KN")),
        braves_19_25!$I:$I
    )
),0)</f>
        <v>0</v>
      </c>
      <c r="Y40" cm="1">
        <f t="array" ref="Y40">IFERROR(AVERAGE(
    IF(
        (braves_19_25!$B:$B=$A40) *
        ((braves_19_25!$C:$C="EP") +
         (braves_19_25!$C:$C="FA") +
         (braves_19_25!$C:$C="KN")),
        braves_19_25!$J:$J
    )
),0)</f>
        <v>0</v>
      </c>
      <c r="Z40" s="29" cm="1">
        <f t="array" ref="Z40">IFERROR(AVERAGE(
    IF(
        (braves_19_25!$B:$B=$A40) *
        ((braves_19_25!$C:$C="EP") +
         (braves_19_25!$C:$C="FA") +
         (braves_19_25!$C:$C="KN")),
        braves_19_25!$K:$K
    )
),0)</f>
        <v>0</v>
      </c>
    </row>
    <row r="41" spans="1:26" x14ac:dyDescent="0.3">
      <c r="A41" t="str">
        <v>Greene, Shane</v>
      </c>
      <c r="B41" s="28" cm="1">
        <f t="array" ref="B41">IFERROR(AVERAGE(
    IF(
        (braves_19_25!$B:$B=$A41) *
        ((braves_19_25!$C:$C="FF") +
         (braves_19_25!$C:$C="SI") +
         (braves_19_25!$C:$C="FC")),
        braves_19_25!$G:$G
    )
),0)</f>
        <v>89.99666666666667</v>
      </c>
      <c r="C41" cm="1">
        <f t="array" ref="C41">IFERROR(AVERAGE(
    IF(
        (braves_19_25!$B:$B=$A41) *
        ((braves_19_25!$C:$C="FF") +
         (braves_19_25!$C:$C="SI") +
         (braves_19_25!$C:$C="FC")),
        braves_19_25!$F:$F
    )
),0)</f>
        <v>2292.3333333333335</v>
      </c>
      <c r="D41" cm="1">
        <f t="array" ref="D41">IFERROR(AVERAGE(
    IF(
        (braves_19_25!$B:$B=$A41) *
        ((braves_19_25!$C:$C="FF") +
         (braves_19_25!$C:$C="SI") +
         (braves_19_25!$C:$C="FC")),
        braves_19_25!$I:$I
    )
),0)</f>
        <v>1.9058933333333332</v>
      </c>
      <c r="E41" cm="1">
        <f t="array" ref="E41">IFERROR(AVERAGE(
    IF(
        (braves_19_25!$B:$B=$A41) *
        ((braves_19_25!$C:$C="FF") +
         (braves_19_25!$C:$C="SI") +
         (braves_19_25!$C:$C="FC")),
        braves_19_25!$J:$J
    )
),0)</f>
        <v>0.50428333333333331</v>
      </c>
      <c r="F41" s="29" cm="1">
        <f t="array" ref="F41">IFERROR(AVERAGE(
    IF(
        (braves_19_25!$B:$B=$A41) *
        ((braves_19_25!$C:$C="FF") +
         (braves_19_25!$C:$C="SI") +
         (braves_19_25!$C:$C="FC")),
        braves_19_25!$K:$K
    )
),0)</f>
        <v>0.12093999999999999</v>
      </c>
      <c r="G41" s="28" cm="1">
        <f t="array" ref="G41">IFERROR(AVERAGE(
    IF(
        (braves_19_25!$B:$B=$A41) *
        ((braves_19_25!$C:$C="SL") +
         (braves_19_25!$C:$C="ST") +
         (braves_19_25!$C:$C="SV")),
        braves_19_25!$G:$G
    )
),0)</f>
        <v>79.25</v>
      </c>
      <c r="H41" cm="1">
        <f t="array" ref="H41">IFERROR(AVERAGE(
    IF(
        (braves_19_25!$B:$B=$A41) *
        ((braves_19_25!$C:$C="SL") +
         (braves_19_25!$C:$C="ST") +
         (braves_19_25!$C:$C="SV")),
        braves_19_25!$F:$F
    )
),0)</f>
        <v>2558</v>
      </c>
      <c r="I41" cm="1">
        <f t="array" ref="I41">IFERROR(AVERAGE(
    IF(
        (braves_19_25!$B:$B=$A41) *
        ((braves_19_25!$C:$C="SL") +
         (braves_19_25!$C:$C="ST") +
         (braves_19_25!$C:$C="SV")),
        braves_19_25!$I:$I
    )
),0)</f>
        <v>3.2769599999999999</v>
      </c>
      <c r="J41" cm="1">
        <f t="array" ref="J41">IFERROR(AVERAGE(
    IF(
        (braves_19_25!$B:$B=$A41) *
        ((braves_19_25!$C:$C="SL") +
         (braves_19_25!$C:$C="ST") +
         (braves_19_25!$C:$C="SV")),
        braves_19_25!$J:$J
    )
),0)</f>
        <v>-1.2419800000000001</v>
      </c>
      <c r="K41" s="29" cm="1">
        <f t="array" ref="K41">IFERROR(AVERAGE(
    IF(
        (braves_19_25!$B:$B=$A41) *
        ((braves_19_25!$C:$C="SL") +
         (braves_19_25!$C:$C="ST") +
         (braves_19_25!$C:$C="SV")),
        braves_19_25!$K:$K
    )
),0)</f>
        <v>-0.96631</v>
      </c>
      <c r="L41" s="28" cm="1">
        <f t="array" ref="L41">IFERROR(AVERAGE(
    IF(
        (braves_19_25!$B:$B=$A41) *
        ((braves_19_25!$C:$C="CU") +
         (braves_19_25!$C:$C="CS") +
         (braves_19_25!$C:$C="KC")),
        braves_19_25!$G:$G
    )
),0)</f>
        <v>0</v>
      </c>
      <c r="M41" cm="1">
        <f t="array" ref="M41">IFERROR(AVERAGE(
    IF(
        (braves_19_25!$B:$B=$A41) *
        ((braves_19_25!$C:$C="CU") +
         (braves_19_25!$C:$C="CS") +
         (braves_19_25!$C:$C="KC")),
        braves_19_25!$F:$F
    )
),0)</f>
        <v>0</v>
      </c>
      <c r="N41" cm="1">
        <f t="array" ref="N41">IFERROR(AVERAGE(
    IF(
        (braves_19_25!$B:$B=$A41) *
        ((braves_19_25!$C:$C="CU") +
         (braves_19_25!$C:$C="CS") +
         (braves_19_25!$C:$C="KC")),
        braves_19_25!$I:$I
    )
),0)</f>
        <v>0</v>
      </c>
      <c r="O41" cm="1">
        <f t="array" ref="O41">IFERROR(AVERAGE(
    IF(
        (braves_19_25!$B:$B=$A41) *
        ((braves_19_25!$C:$C="CU") +
         (braves_19_25!$C:$C="CS") +
         (braves_19_25!$C:$C="KC")),
        braves_19_25!$J:$J
    )
),0)</f>
        <v>0</v>
      </c>
      <c r="P41" s="29" cm="1">
        <f t="array" ref="P41">IFERROR(AVERAGE(
    IF(
        (braves_19_25!$B:$B=$A41) *
        ((braves_19_25!$C:$C="CU") +
         (braves_19_25!$C:$C="CS") +
         (braves_19_25!$C:$C="KC")),
        braves_19_25!$K:$K
    )
),0)</f>
        <v>0</v>
      </c>
      <c r="Q41" s="28" cm="1">
        <f t="array" ref="Q41">IFERROR(AVERAGE(
    IF(
        (braves_19_25!$B:$B=$A41) *
        ((braves_19_25!$C:$C="FS") +
         (braves_19_25!$C:$C="CH") +
         (braves_19_25!$C:$C="FO") +
         (braves_19_25!$C:$C="SC")),
        braves_19_25!$G:$G
    )
),0)</f>
        <v>85</v>
      </c>
      <c r="R41" cm="1">
        <f t="array" ref="R41">IFERROR(AVERAGE(
    IF(
        (braves_19_25!$B:$B=$A41) *
        ((braves_19_25!$C:$C="FS") +
         (braves_19_25!$C:$C="CH") +
         (braves_19_25!$C:$C="FO") +
         (braves_19_25!$C:$C="SC")),
        braves_19_25!$F:$F
    )
),0)</f>
        <v>1568</v>
      </c>
      <c r="S41" cm="1">
        <f t="array" ref="S41">IFERROR(AVERAGE(
    IF(
        (braves_19_25!$B:$B=$A41) *
        ((braves_19_25!$C:$C="FS") +
         (braves_19_25!$C:$C="CH") +
         (braves_19_25!$C:$C="FO") +
         (braves_19_25!$C:$C="SC")),
        braves_19_25!$I:$I
    )
),0)</f>
        <v>3.0854300000000001</v>
      </c>
      <c r="T41" cm="1">
        <f t="array" ref="T41">IFERROR(AVERAGE(
    IF(
        (braves_19_25!$B:$B=$A41) *
        ((braves_19_25!$C:$C="FS") +
         (braves_19_25!$C:$C="CH") +
         (braves_19_25!$C:$C="FO") +
         (braves_19_25!$C:$C="SC")),
        braves_19_25!$J:$J
    )
),0)</f>
        <v>1.0921400000000001</v>
      </c>
      <c r="U41" s="29" cm="1">
        <f t="array" ref="U41">IFERROR(AVERAGE(
    IF(
        (braves_19_25!$B:$B=$A41) *
        ((braves_19_25!$C:$C="FS") +
         (braves_19_25!$C:$C="CH") +
         (braves_19_25!$C:$C="FO") +
         (braves_19_25!$C:$C="SC")),
        braves_19_25!$K:$K
    )
),0)</f>
        <v>-0.79500000000000004</v>
      </c>
      <c r="V41" s="28" cm="1">
        <f t="array" ref="V41">IFERROR(AVERAGE(
    IF(
        (braves_19_25!$B:$B=$A41) *
        ((braves_19_25!$C:$C="EP") +
         (braves_19_25!$C:$C="FA") +
         (braves_19_25!$C:$C="KN")),
        braves_19_25!$G:$G
    )
),0)</f>
        <v>0</v>
      </c>
      <c r="W41" cm="1">
        <f t="array" ref="W41">IFERROR(AVERAGE(
    IF(
        (braves_19_25!$B:$B=$A41) *
        ((braves_19_25!$C:$C="EP") +
         (braves_19_25!$C:$C="FA") +
         (braves_19_25!$C:$C="KN")),
        braves_19_25!$F:$F
    )
),0)</f>
        <v>0</v>
      </c>
      <c r="X41" cm="1">
        <f t="array" ref="X41">IFERROR(AVERAGE(
    IF(
        (braves_19_25!$B:$B=$A41) *
        ((braves_19_25!$C:$C="EP") +
         (braves_19_25!$C:$C="FA") +
         (braves_19_25!$C:$C="KN")),
        braves_19_25!$I:$I
    )
),0)</f>
        <v>0</v>
      </c>
      <c r="Y41" cm="1">
        <f t="array" ref="Y41">IFERROR(AVERAGE(
    IF(
        (braves_19_25!$B:$B=$A41) *
        ((braves_19_25!$C:$C="EP") +
         (braves_19_25!$C:$C="FA") +
         (braves_19_25!$C:$C="KN")),
        braves_19_25!$J:$J
    )
),0)</f>
        <v>0</v>
      </c>
      <c r="Z41" s="29" cm="1">
        <f t="array" ref="Z41">IFERROR(AVERAGE(
    IF(
        (braves_19_25!$B:$B=$A41) *
        ((braves_19_25!$C:$C="EP") +
         (braves_19_25!$C:$C="FA") +
         (braves_19_25!$C:$C="KN")),
        braves_19_25!$K:$K
    )
),0)</f>
        <v>0</v>
      </c>
    </row>
    <row r="42" spans="1:26" x14ac:dyDescent="0.3">
      <c r="A42" t="str">
        <v>Webb, Jacob</v>
      </c>
      <c r="B42" s="28" cm="1">
        <f t="array" ref="B42">IFERROR(AVERAGE(
    IF(
        (braves_19_25!$B:$B=$A42) *
        ((braves_19_25!$C:$C="FF") +
         (braves_19_25!$C:$C="SI") +
         (braves_19_25!$C:$C="FC")),
        braves_19_25!$G:$G
    )
),0)</f>
        <v>93.93</v>
      </c>
      <c r="C42" cm="1">
        <f t="array" ref="C42">IFERROR(AVERAGE(
    IF(
        (braves_19_25!$B:$B=$A42) *
        ((braves_19_25!$C:$C="FF") +
         (braves_19_25!$C:$C="SI") +
         (braves_19_25!$C:$C="FC")),
        braves_19_25!$F:$F
    )
),0)</f>
        <v>2434</v>
      </c>
      <c r="D42" cm="1">
        <f t="array" ref="D42">IFERROR(AVERAGE(
    IF(
        (braves_19_25!$B:$B=$A42) *
        ((braves_19_25!$C:$C="FF") +
         (braves_19_25!$C:$C="SI") +
         (braves_19_25!$C:$C="FC")),
        braves_19_25!$I:$I
    )
),0)</f>
        <v>1.23597</v>
      </c>
      <c r="E42" cm="1">
        <f t="array" ref="E42">IFERROR(AVERAGE(
    IF(
        (braves_19_25!$B:$B=$A42) *
        ((braves_19_25!$C:$C="FF") +
         (braves_19_25!$C:$C="SI") +
         (braves_19_25!$C:$C="FC")),
        braves_19_25!$J:$J
    )
),0)</f>
        <v>1.0561100000000001</v>
      </c>
      <c r="F42" s="29" cm="1">
        <f t="array" ref="F42">IFERROR(AVERAGE(
    IF(
        (braves_19_25!$B:$B=$A42) *
        ((braves_19_25!$C:$C="FF") +
         (braves_19_25!$C:$C="SI") +
         (braves_19_25!$C:$C="FC")),
        braves_19_25!$K:$K
    )
),0)</f>
        <v>0.23952999999999999</v>
      </c>
      <c r="G42" s="28" cm="1">
        <f t="array" ref="G42">IFERROR(AVERAGE(
    IF(
        (braves_19_25!$B:$B=$A42) *
        ((braves_19_25!$C:$C="SL") +
         (braves_19_25!$C:$C="ST") +
         (braves_19_25!$C:$C="SV")),
        braves_19_25!$G:$G
    )
),0)</f>
        <v>0</v>
      </c>
      <c r="H42" cm="1">
        <f t="array" ref="H42">IFERROR(AVERAGE(
    IF(
        (braves_19_25!$B:$B=$A42) *
        ((braves_19_25!$C:$C="SL") +
         (braves_19_25!$C:$C="ST") +
         (braves_19_25!$C:$C="SV")),
        braves_19_25!$F:$F
    )
),0)</f>
        <v>0</v>
      </c>
      <c r="I42" cm="1">
        <f t="array" ref="I42">IFERROR(AVERAGE(
    IF(
        (braves_19_25!$B:$B=$A42) *
        ((braves_19_25!$C:$C="SL") +
         (braves_19_25!$C:$C="ST") +
         (braves_19_25!$C:$C="SV")),
        braves_19_25!$I:$I
    )
),0)</f>
        <v>0</v>
      </c>
      <c r="J42" cm="1">
        <f t="array" ref="J42">IFERROR(AVERAGE(
    IF(
        (braves_19_25!$B:$B=$A42) *
        ((braves_19_25!$C:$C="SL") +
         (braves_19_25!$C:$C="ST") +
         (braves_19_25!$C:$C="SV")),
        braves_19_25!$J:$J
    )
),0)</f>
        <v>0</v>
      </c>
      <c r="K42" s="29" cm="1">
        <f t="array" ref="K42">IFERROR(AVERAGE(
    IF(
        (braves_19_25!$B:$B=$A42) *
        ((braves_19_25!$C:$C="SL") +
         (braves_19_25!$C:$C="ST") +
         (braves_19_25!$C:$C="SV")),
        braves_19_25!$K:$K
    )
),0)</f>
        <v>0</v>
      </c>
      <c r="L42" s="28" cm="1">
        <f t="array" ref="L42">IFERROR(AVERAGE(
    IF(
        (braves_19_25!$B:$B=$A42) *
        ((braves_19_25!$C:$C="CU") +
         (braves_19_25!$C:$C="CS") +
         (braves_19_25!$C:$C="KC")),
        braves_19_25!$G:$G
    )
),0)</f>
        <v>80.58</v>
      </c>
      <c r="M42" cm="1">
        <f t="array" ref="M42">IFERROR(AVERAGE(
    IF(
        (braves_19_25!$B:$B=$A42) *
        ((braves_19_25!$C:$C="CU") +
         (braves_19_25!$C:$C="CS") +
         (braves_19_25!$C:$C="KC")),
        braves_19_25!$F:$F
    )
),0)</f>
        <v>2599</v>
      </c>
      <c r="N42" cm="1">
        <f t="array" ref="N42">IFERROR(AVERAGE(
    IF(
        (braves_19_25!$B:$B=$A42) *
        ((braves_19_25!$C:$C="CU") +
         (braves_19_25!$C:$C="CS") +
         (braves_19_25!$C:$C="KC")),
        braves_19_25!$I:$I
    )
),0)</f>
        <v>4.53</v>
      </c>
      <c r="O42" cm="1">
        <f t="array" ref="O42">IFERROR(AVERAGE(
    IF(
        (braves_19_25!$B:$B=$A42) *
        ((braves_19_25!$C:$C="CU") +
         (braves_19_25!$C:$C="CS") +
         (braves_19_25!$C:$C="KC")),
        braves_19_25!$J:$J
    )
),0)</f>
        <v>-0.49717</v>
      </c>
      <c r="P42" s="29" cm="1">
        <f t="array" ref="P42">IFERROR(AVERAGE(
    IF(
        (braves_19_25!$B:$B=$A42) *
        ((braves_19_25!$C:$C="CU") +
         (braves_19_25!$C:$C="CS") +
         (braves_19_25!$C:$C="KC")),
        braves_19_25!$K:$K
    )
),0)</f>
        <v>9.3999999999999997E-4</v>
      </c>
      <c r="Q42" s="28" cm="1">
        <f t="array" ref="Q42">IFERROR(AVERAGE(
    IF(
        (braves_19_25!$B:$B=$A42) *
        ((braves_19_25!$C:$C="FS") +
         (braves_19_25!$C:$C="CH") +
         (braves_19_25!$C:$C="FO") +
         (braves_19_25!$C:$C="SC")),
        braves_19_25!$G:$G
    )
),0)</f>
        <v>83.38</v>
      </c>
      <c r="R42" cm="1">
        <f t="array" ref="R42">IFERROR(AVERAGE(
    IF(
        (braves_19_25!$B:$B=$A42) *
        ((braves_19_25!$C:$C="FS") +
         (braves_19_25!$C:$C="CH") +
         (braves_19_25!$C:$C="FO") +
         (braves_19_25!$C:$C="SC")),
        braves_19_25!$F:$F
    )
),0)</f>
        <v>2265</v>
      </c>
      <c r="S42" cm="1">
        <f t="array" ref="S42">IFERROR(AVERAGE(
    IF(
        (braves_19_25!$B:$B=$A42) *
        ((braves_19_25!$C:$C="FS") +
         (braves_19_25!$C:$C="CH") +
         (braves_19_25!$C:$C="FO") +
         (braves_19_25!$C:$C="SC")),
        braves_19_25!$I:$I
    )
),0)</f>
        <v>2.5855100000000002</v>
      </c>
      <c r="T42" cm="1">
        <f t="array" ref="T42">IFERROR(AVERAGE(
    IF(
        (braves_19_25!$B:$B=$A42) *
        ((braves_19_25!$C:$C="FS") +
         (braves_19_25!$C:$C="CH") +
         (braves_19_25!$C:$C="FO") +
         (braves_19_25!$C:$C="SC")),
        braves_19_25!$J:$J
    )
),0)</f>
        <v>1.43546</v>
      </c>
      <c r="U42" s="29" cm="1">
        <f t="array" ref="U42">IFERROR(AVERAGE(
    IF(
        (braves_19_25!$B:$B=$A42) *
        ((braves_19_25!$C:$C="FS") +
         (braves_19_25!$C:$C="CH") +
         (braves_19_25!$C:$C="FO") +
         (braves_19_25!$C:$C="SC")),
        braves_19_25!$K:$K
    )
),0)</f>
        <v>9.1120000000000007E-2</v>
      </c>
      <c r="V42" s="28" cm="1">
        <f t="array" ref="V42">IFERROR(AVERAGE(
    IF(
        (braves_19_25!$B:$B=$A42) *
        ((braves_19_25!$C:$C="EP") +
         (braves_19_25!$C:$C="FA") +
         (braves_19_25!$C:$C="KN")),
        braves_19_25!$G:$G
    )
),0)</f>
        <v>0</v>
      </c>
      <c r="W42" cm="1">
        <f t="array" ref="W42">IFERROR(AVERAGE(
    IF(
        (braves_19_25!$B:$B=$A42) *
        ((braves_19_25!$C:$C="EP") +
         (braves_19_25!$C:$C="FA") +
         (braves_19_25!$C:$C="KN")),
        braves_19_25!$F:$F
    )
),0)</f>
        <v>0</v>
      </c>
      <c r="X42" cm="1">
        <f t="array" ref="X42">IFERROR(AVERAGE(
    IF(
        (braves_19_25!$B:$B=$A42) *
        ((braves_19_25!$C:$C="EP") +
         (braves_19_25!$C:$C="FA") +
         (braves_19_25!$C:$C="KN")),
        braves_19_25!$I:$I
    )
),0)</f>
        <v>0</v>
      </c>
      <c r="Y42" cm="1">
        <f t="array" ref="Y42">IFERROR(AVERAGE(
    IF(
        (braves_19_25!$B:$B=$A42) *
        ((braves_19_25!$C:$C="EP") +
         (braves_19_25!$C:$C="FA") +
         (braves_19_25!$C:$C="KN")),
        braves_19_25!$J:$J
    )
),0)</f>
        <v>0</v>
      </c>
      <c r="Z42" s="29" cm="1">
        <f t="array" ref="Z42">IFERROR(AVERAGE(
    IF(
        (braves_19_25!$B:$B=$A42) *
        ((braves_19_25!$C:$C="EP") +
         (braves_19_25!$C:$C="FA") +
         (braves_19_25!$C:$C="KN")),
        braves_19_25!$K:$K
    )
),0)</f>
        <v>0</v>
      </c>
    </row>
    <row r="43" spans="1:26" x14ac:dyDescent="0.3">
      <c r="A43" t="str">
        <v>Jansen, Kenley</v>
      </c>
      <c r="B43" s="28" cm="1">
        <f t="array" ref="B43">IFERROR(AVERAGE(
    IF(
        (braves_19_25!$B:$B=$A43) *
        ((braves_19_25!$C:$C="FF") +
         (braves_19_25!$C:$C="SI") +
         (braves_19_25!$C:$C="FC")),
        braves_19_25!$G:$G
    )
),0)</f>
        <v>94.13</v>
      </c>
      <c r="C43" cm="1">
        <f t="array" ref="C43">IFERROR(AVERAGE(
    IF(
        (braves_19_25!$B:$B=$A43) *
        ((braves_19_25!$C:$C="FF") +
         (braves_19_25!$C:$C="SI") +
         (braves_19_25!$C:$C="FC")),
        braves_19_25!$F:$F
    )
),0)</f>
        <v>2398</v>
      </c>
      <c r="D43" cm="1">
        <f t="array" ref="D43">IFERROR(AVERAGE(
    IF(
        (braves_19_25!$B:$B=$A43) *
        ((braves_19_25!$C:$C="FF") +
         (braves_19_25!$C:$C="SI") +
         (braves_19_25!$C:$C="FC")),
        braves_19_25!$I:$I
    )
),0)</f>
        <v>1.1467750000000001</v>
      </c>
      <c r="E43" cm="1">
        <f t="array" ref="E43">IFERROR(AVERAGE(
    IF(
        (braves_19_25!$B:$B=$A43) *
        ((braves_19_25!$C:$C="FF") +
         (braves_19_25!$C:$C="SI") +
         (braves_19_25!$C:$C="FC")),
        braves_19_25!$J:$J
    )
),0)</f>
        <v>-0.15333000000000002</v>
      </c>
      <c r="F43" s="29" cm="1">
        <f t="array" ref="F43">IFERROR(AVERAGE(
    IF(
        (braves_19_25!$B:$B=$A43) *
        ((braves_19_25!$C:$C="FF") +
         (braves_19_25!$C:$C="SI") +
         (braves_19_25!$C:$C="FC")),
        braves_19_25!$K:$K
    )
),0)</f>
        <v>-0.17743999999999999</v>
      </c>
      <c r="G43" s="28" cm="1">
        <f t="array" ref="G43">IFERROR(AVERAGE(
    IF(
        (braves_19_25!$B:$B=$A43) *
        ((braves_19_25!$C:$C="SL") +
         (braves_19_25!$C:$C="ST") +
         (braves_19_25!$C:$C="SV")),
        braves_19_25!$G:$G
    )
),0)</f>
        <v>82.17</v>
      </c>
      <c r="H43" cm="1">
        <f t="array" ref="H43">IFERROR(AVERAGE(
    IF(
        (braves_19_25!$B:$B=$A43) *
        ((braves_19_25!$C:$C="SL") +
         (braves_19_25!$C:$C="ST") +
         (braves_19_25!$C:$C="SV")),
        braves_19_25!$F:$F
    )
),0)</f>
        <v>2459</v>
      </c>
      <c r="I43" cm="1">
        <f t="array" ref="I43">IFERROR(AVERAGE(
    IF(
        (braves_19_25!$B:$B=$A43) *
        ((braves_19_25!$C:$C="SL") +
         (braves_19_25!$C:$C="ST") +
         (braves_19_25!$C:$C="SV")),
        braves_19_25!$I:$I
    )
),0)</f>
        <v>3.9487100000000002</v>
      </c>
      <c r="J43" cm="1">
        <f t="array" ref="J43">IFERROR(AVERAGE(
    IF(
        (braves_19_25!$B:$B=$A43) *
        ((braves_19_25!$C:$C="SL") +
         (braves_19_25!$C:$C="ST") +
         (braves_19_25!$C:$C="SV")),
        braves_19_25!$J:$J
    )
),0)</f>
        <v>-0.38552999999999998</v>
      </c>
      <c r="K43" s="29" cm="1">
        <f t="array" ref="K43">IFERROR(AVERAGE(
    IF(
        (braves_19_25!$B:$B=$A43) *
        ((braves_19_25!$C:$C="SL") +
         (braves_19_25!$C:$C="ST") +
         (braves_19_25!$C:$C="SV")),
        braves_19_25!$K:$K
    )
),0)</f>
        <v>-4.3409999999999997E-2</v>
      </c>
      <c r="L43" s="28" cm="1">
        <f t="array" ref="L43">IFERROR(AVERAGE(
    IF(
        (braves_19_25!$B:$B=$A43) *
        ((braves_19_25!$C:$C="CU") +
         (braves_19_25!$C:$C="CS") +
         (braves_19_25!$C:$C="KC")),
        braves_19_25!$G:$G
    )
),0)</f>
        <v>0</v>
      </c>
      <c r="M43" cm="1">
        <f t="array" ref="M43">IFERROR(AVERAGE(
    IF(
        (braves_19_25!$B:$B=$A43) *
        ((braves_19_25!$C:$C="CU") +
         (braves_19_25!$C:$C="CS") +
         (braves_19_25!$C:$C="KC")),
        braves_19_25!$F:$F
    )
),0)</f>
        <v>0</v>
      </c>
      <c r="N43" cm="1">
        <f t="array" ref="N43">IFERROR(AVERAGE(
    IF(
        (braves_19_25!$B:$B=$A43) *
        ((braves_19_25!$C:$C="CU") +
         (braves_19_25!$C:$C="CS") +
         (braves_19_25!$C:$C="KC")),
        braves_19_25!$I:$I
    )
),0)</f>
        <v>0</v>
      </c>
      <c r="O43" cm="1">
        <f t="array" ref="O43">IFERROR(AVERAGE(
    IF(
        (braves_19_25!$B:$B=$A43) *
        ((braves_19_25!$C:$C="CU") +
         (braves_19_25!$C:$C="CS") +
         (braves_19_25!$C:$C="KC")),
        braves_19_25!$J:$J
    )
),0)</f>
        <v>0</v>
      </c>
      <c r="P43" s="29" cm="1">
        <f t="array" ref="P43">IFERROR(AVERAGE(
    IF(
        (braves_19_25!$B:$B=$A43) *
        ((braves_19_25!$C:$C="CU") +
         (braves_19_25!$C:$C="CS") +
         (braves_19_25!$C:$C="KC")),
        braves_19_25!$K:$K
    )
),0)</f>
        <v>0</v>
      </c>
      <c r="Q43" s="28" cm="1">
        <f t="array" ref="Q43">IFERROR(AVERAGE(
    IF(
        (braves_19_25!$B:$B=$A43) *
        ((braves_19_25!$C:$C="FS") +
         (braves_19_25!$C:$C="CH") +
         (braves_19_25!$C:$C="FO") +
         (braves_19_25!$C:$C="SC")),
        braves_19_25!$G:$G
    )
),0)</f>
        <v>0</v>
      </c>
      <c r="R43" cm="1">
        <f t="array" ref="R43">IFERROR(AVERAGE(
    IF(
        (braves_19_25!$B:$B=$A43) *
        ((braves_19_25!$C:$C="FS") +
         (braves_19_25!$C:$C="CH") +
         (braves_19_25!$C:$C="FO") +
         (braves_19_25!$C:$C="SC")),
        braves_19_25!$F:$F
    )
),0)</f>
        <v>0</v>
      </c>
      <c r="S43" cm="1">
        <f t="array" ref="S43">IFERROR(AVERAGE(
    IF(
        (braves_19_25!$B:$B=$A43) *
        ((braves_19_25!$C:$C="FS") +
         (braves_19_25!$C:$C="CH") +
         (braves_19_25!$C:$C="FO") +
         (braves_19_25!$C:$C="SC")),
        braves_19_25!$I:$I
    )
),0)</f>
        <v>0</v>
      </c>
      <c r="T43" cm="1">
        <f t="array" ref="T43">IFERROR(AVERAGE(
    IF(
        (braves_19_25!$B:$B=$A43) *
        ((braves_19_25!$C:$C="FS") +
         (braves_19_25!$C:$C="CH") +
         (braves_19_25!$C:$C="FO") +
         (braves_19_25!$C:$C="SC")),
        braves_19_25!$J:$J
    )
),0)</f>
        <v>0</v>
      </c>
      <c r="U43" s="29" cm="1">
        <f t="array" ref="U43">IFERROR(AVERAGE(
    IF(
        (braves_19_25!$B:$B=$A43) *
        ((braves_19_25!$C:$C="FS") +
         (braves_19_25!$C:$C="CH") +
         (braves_19_25!$C:$C="FO") +
         (braves_19_25!$C:$C="SC")),
        braves_19_25!$K:$K
    )
),0)</f>
        <v>0</v>
      </c>
      <c r="V43" s="28" cm="1">
        <f t="array" ref="V43">IFERROR(AVERAGE(
    IF(
        (braves_19_25!$B:$B=$A43) *
        ((braves_19_25!$C:$C="EP") +
         (braves_19_25!$C:$C="FA") +
         (braves_19_25!$C:$C="KN")),
        braves_19_25!$G:$G
    )
),0)</f>
        <v>0</v>
      </c>
      <c r="W43" cm="1">
        <f t="array" ref="W43">IFERROR(AVERAGE(
    IF(
        (braves_19_25!$B:$B=$A43) *
        ((braves_19_25!$C:$C="EP") +
         (braves_19_25!$C:$C="FA") +
         (braves_19_25!$C:$C="KN")),
        braves_19_25!$F:$F
    )
),0)</f>
        <v>0</v>
      </c>
      <c r="X43" cm="1">
        <f t="array" ref="X43">IFERROR(AVERAGE(
    IF(
        (braves_19_25!$B:$B=$A43) *
        ((braves_19_25!$C:$C="EP") +
         (braves_19_25!$C:$C="FA") +
         (braves_19_25!$C:$C="KN")),
        braves_19_25!$I:$I
    )
),0)</f>
        <v>0</v>
      </c>
      <c r="Y43" cm="1">
        <f t="array" ref="Y43">IFERROR(AVERAGE(
    IF(
        (braves_19_25!$B:$B=$A43) *
        ((braves_19_25!$C:$C="EP") +
         (braves_19_25!$C:$C="FA") +
         (braves_19_25!$C:$C="KN")),
        braves_19_25!$J:$J
    )
),0)</f>
        <v>0</v>
      </c>
      <c r="Z43" s="29" cm="1">
        <f t="array" ref="Z43">IFERROR(AVERAGE(
    IF(
        (braves_19_25!$B:$B=$A43) *
        ((braves_19_25!$C:$C="EP") +
         (braves_19_25!$C:$C="FA") +
         (braves_19_25!$C:$C="KN")),
        braves_19_25!$K:$K
    )
),0)</f>
        <v>0</v>
      </c>
    </row>
    <row r="44" spans="1:26" x14ac:dyDescent="0.3">
      <c r="A44" t="str">
        <v>Waldrep, Hurston</v>
      </c>
      <c r="B44" s="28" cm="1">
        <f t="array" ref="B44">IFERROR(AVERAGE(
    IF(
        (braves_19_25!$B:$B=$A44) *
        ((braves_19_25!$C:$C="FF") +
         (braves_19_25!$C:$C="SI") +
         (braves_19_25!$C:$C="FC")),
        braves_19_25!$G:$G
    )
),0)</f>
        <v>95.193333333333328</v>
      </c>
      <c r="C44" cm="1">
        <f t="array" ref="C44">IFERROR(AVERAGE(
    IF(
        (braves_19_25!$B:$B=$A44) *
        ((braves_19_25!$C:$C="FF") +
         (braves_19_25!$C:$C="SI") +
         (braves_19_25!$C:$C="FC")),
        braves_19_25!$F:$F
    )
),0)</f>
        <v>2213.3333333333335</v>
      </c>
      <c r="D44" cm="1">
        <f t="array" ref="D44">IFERROR(AVERAGE(
    IF(
        (braves_19_25!$B:$B=$A44) *
        ((braves_19_25!$C:$C="FF") +
         (braves_19_25!$C:$C="SI") +
         (braves_19_25!$C:$C="FC")),
        braves_19_25!$I:$I
    )
),0)</f>
        <v>1.5789</v>
      </c>
      <c r="E44" cm="1">
        <f t="array" ref="E44">IFERROR(AVERAGE(
    IF(
        (braves_19_25!$B:$B=$A44) *
        ((braves_19_25!$C:$C="FF") +
         (braves_19_25!$C:$C="SI") +
         (braves_19_25!$C:$C="FC")),
        braves_19_25!$J:$J
    )
),0)</f>
        <v>0.43104666666666663</v>
      </c>
      <c r="F44" s="29" cm="1">
        <f t="array" ref="F44">IFERROR(AVERAGE(
    IF(
        (braves_19_25!$B:$B=$A44) *
        ((braves_19_25!$C:$C="FF") +
         (braves_19_25!$C:$C="SI") +
         (braves_19_25!$C:$C="FC")),
        braves_19_25!$K:$K
    )
),0)</f>
        <v>-0.10095</v>
      </c>
      <c r="G44" s="28" cm="1">
        <f t="array" ref="G44">IFERROR(AVERAGE(
    IF(
        (braves_19_25!$B:$B=$A44) *
        ((braves_19_25!$C:$C="SL") +
         (braves_19_25!$C:$C="ST") +
         (braves_19_25!$C:$C="SV")),
        braves_19_25!$G:$G
    )
),0)</f>
        <v>87.57</v>
      </c>
      <c r="H44" cm="1">
        <f t="array" ref="H44">IFERROR(AVERAGE(
    IF(
        (braves_19_25!$B:$B=$A44) *
        ((braves_19_25!$C:$C="SL") +
         (braves_19_25!$C:$C="ST") +
         (braves_19_25!$C:$C="SV")),
        braves_19_25!$F:$F
    )
),0)</f>
        <v>2236</v>
      </c>
      <c r="I44" cm="1">
        <f t="array" ref="I44">IFERROR(AVERAGE(
    IF(
        (braves_19_25!$B:$B=$A44) *
        ((braves_19_25!$C:$C="SL") +
         (braves_19_25!$C:$C="ST") +
         (braves_19_25!$C:$C="SV")),
        braves_19_25!$I:$I
    )
),0)</f>
        <v>3.0398499999999999</v>
      </c>
      <c r="J44" cm="1">
        <f t="array" ref="J44">IFERROR(AVERAGE(
    IF(
        (braves_19_25!$B:$B=$A44) *
        ((braves_19_25!$C:$C="SL") +
         (braves_19_25!$C:$C="ST") +
         (braves_19_25!$C:$C="SV")),
        braves_19_25!$J:$J
    )
),0)</f>
        <v>-0.15508</v>
      </c>
      <c r="K44" s="29" cm="1">
        <f t="array" ref="K44">IFERROR(AVERAGE(
    IF(
        (braves_19_25!$B:$B=$A44) *
        ((braves_19_25!$C:$C="SL") +
         (braves_19_25!$C:$C="ST") +
         (braves_19_25!$C:$C="SV")),
        braves_19_25!$K:$K
    )
),0)</f>
        <v>-5.4620000000000002E-2</v>
      </c>
      <c r="L44" s="28" cm="1">
        <f t="array" ref="L44">IFERROR(AVERAGE(
    IF(
        (braves_19_25!$B:$B=$A44) *
        ((braves_19_25!$C:$C="CU") +
         (braves_19_25!$C:$C="CS") +
         (braves_19_25!$C:$C="KC")),
        braves_19_25!$G:$G
    )
),0)</f>
        <v>82.4</v>
      </c>
      <c r="M44" cm="1">
        <f t="array" ref="M44">IFERROR(AVERAGE(
    IF(
        (braves_19_25!$B:$B=$A44) *
        ((braves_19_25!$C:$C="CU") +
         (braves_19_25!$C:$C="CS") +
         (braves_19_25!$C:$C="KC")),
        braves_19_25!$F:$F
    )
),0)</f>
        <v>2296</v>
      </c>
      <c r="N44" cm="1">
        <f t="array" ref="N44">IFERROR(AVERAGE(
    IF(
        (braves_19_25!$B:$B=$A44) *
        ((braves_19_25!$C:$C="CU") +
         (braves_19_25!$C:$C="CS") +
         (braves_19_25!$C:$C="KC")),
        braves_19_25!$I:$I
    )
),0)</f>
        <v>4.4255899999999997</v>
      </c>
      <c r="O44" cm="1">
        <f t="array" ref="O44">IFERROR(AVERAGE(
    IF(
        (braves_19_25!$B:$B=$A44) *
        ((braves_19_25!$C:$C="CU") +
         (braves_19_25!$C:$C="CS") +
         (braves_19_25!$C:$C="KC")),
        braves_19_25!$J:$J
    )
),0)</f>
        <v>-0.58643999999999996</v>
      </c>
      <c r="P44" s="29" cm="1">
        <f t="array" ref="P44">IFERROR(AVERAGE(
    IF(
        (braves_19_25!$B:$B=$A44) *
        ((braves_19_25!$C:$C="CU") +
         (braves_19_25!$C:$C="CS") +
         (braves_19_25!$C:$C="KC")),
        braves_19_25!$K:$K
    )
),0)</f>
        <v>0.24881</v>
      </c>
      <c r="Q44" s="28" cm="1">
        <f t="array" ref="Q44">IFERROR(AVERAGE(
    IF(
        (braves_19_25!$B:$B=$A44) *
        ((braves_19_25!$C:$C="FS") +
         (braves_19_25!$C:$C="CH") +
         (braves_19_25!$C:$C="FO") +
         (braves_19_25!$C:$C="SC")),
        braves_19_25!$G:$G
    )
),0)</f>
        <v>86.92</v>
      </c>
      <c r="R44" cm="1">
        <f t="array" ref="R44">IFERROR(AVERAGE(
    IF(
        (braves_19_25!$B:$B=$A44) *
        ((braves_19_25!$C:$C="FS") +
         (braves_19_25!$C:$C="CH") +
         (braves_19_25!$C:$C="FO") +
         (braves_19_25!$C:$C="SC")),
        braves_19_25!$F:$F
    )
),0)</f>
        <v>752</v>
      </c>
      <c r="S44" cm="1">
        <f t="array" ref="S44">IFERROR(AVERAGE(
    IF(
        (braves_19_25!$B:$B=$A44) *
        ((braves_19_25!$C:$C="FS") +
         (braves_19_25!$C:$C="CH") +
         (braves_19_25!$C:$C="FO") +
         (braves_19_25!$C:$C="SC")),
        braves_19_25!$I:$I
    )
),0)</f>
        <v>2.8633600000000001</v>
      </c>
      <c r="T44" cm="1">
        <f t="array" ref="T44">IFERROR(AVERAGE(
    IF(
        (braves_19_25!$B:$B=$A44) *
        ((braves_19_25!$C:$C="FS") +
         (braves_19_25!$C:$C="CH") +
         (braves_19_25!$C:$C="FO") +
         (braves_19_25!$C:$C="SC")),
        braves_19_25!$J:$J
    )
),0)</f>
        <v>0.54395000000000004</v>
      </c>
      <c r="U44" s="29" cm="1">
        <f t="array" ref="U44">IFERROR(AVERAGE(
    IF(
        (braves_19_25!$B:$B=$A44) *
        ((braves_19_25!$C:$C="FS") +
         (braves_19_25!$C:$C="CH") +
         (braves_19_25!$C:$C="FO") +
         (braves_19_25!$C:$C="SC")),
        braves_19_25!$K:$K
    )
),0)</f>
        <v>-0.20809</v>
      </c>
      <c r="V44" s="28" cm="1">
        <f t="array" ref="V44">IFERROR(AVERAGE(
    IF(
        (braves_19_25!$B:$B=$A44) *
        ((braves_19_25!$C:$C="EP") +
         (braves_19_25!$C:$C="FA") +
         (braves_19_25!$C:$C="KN")),
        braves_19_25!$G:$G
    )
),0)</f>
        <v>0</v>
      </c>
      <c r="W44" cm="1">
        <f t="array" ref="W44">IFERROR(AVERAGE(
    IF(
        (braves_19_25!$B:$B=$A44) *
        ((braves_19_25!$C:$C="EP") +
         (braves_19_25!$C:$C="FA") +
         (braves_19_25!$C:$C="KN")),
        braves_19_25!$F:$F
    )
),0)</f>
        <v>0</v>
      </c>
      <c r="X44" cm="1">
        <f t="array" ref="X44">IFERROR(AVERAGE(
    IF(
        (braves_19_25!$B:$B=$A44) *
        ((braves_19_25!$C:$C="EP") +
         (braves_19_25!$C:$C="FA") +
         (braves_19_25!$C:$C="KN")),
        braves_19_25!$I:$I
    )
),0)</f>
        <v>0</v>
      </c>
      <c r="Y44" cm="1">
        <f t="array" ref="Y44">IFERROR(AVERAGE(
    IF(
        (braves_19_25!$B:$B=$A44) *
        ((braves_19_25!$C:$C="EP") +
         (braves_19_25!$C:$C="FA") +
         (braves_19_25!$C:$C="KN")),
        braves_19_25!$J:$J
    )
),0)</f>
        <v>0</v>
      </c>
      <c r="Z44" s="29" cm="1">
        <f t="array" ref="Z44">IFERROR(AVERAGE(
    IF(
        (braves_19_25!$B:$B=$A44) *
        ((braves_19_25!$C:$C="EP") +
         (braves_19_25!$C:$C="FA") +
         (braves_19_25!$C:$C="KN")),
        braves_19_25!$K:$K
    )
),0)</f>
        <v>0</v>
      </c>
    </row>
    <row r="45" spans="1:26" x14ac:dyDescent="0.3">
      <c r="A45" t="str">
        <v>Dayton, Grant</v>
      </c>
      <c r="B45" s="28" cm="1">
        <f t="array" ref="B45">IFERROR(AVERAGE(
    IF(
        (braves_19_25!$B:$B=$A45) *
        ((braves_19_25!$C:$C="FF") +
         (braves_19_25!$C:$C="SI") +
         (braves_19_25!$C:$C="FC")),
        braves_19_25!$G:$G
    )
),0)</f>
        <v>90.509999999999991</v>
      </c>
      <c r="C45" cm="1">
        <f t="array" ref="C45">IFERROR(AVERAGE(
    IF(
        (braves_19_25!$B:$B=$A45) *
        ((braves_19_25!$C:$C="FF") +
         (braves_19_25!$C:$C="SI") +
         (braves_19_25!$C:$C="FC")),
        braves_19_25!$F:$F
    )
),0)</f>
        <v>2269</v>
      </c>
      <c r="D45" cm="1">
        <f t="array" ref="D45">IFERROR(AVERAGE(
    IF(
        (braves_19_25!$B:$B=$A45) *
        ((braves_19_25!$C:$C="FF") +
         (braves_19_25!$C:$C="SI") +
         (braves_19_25!$C:$C="FC")),
        braves_19_25!$I:$I
    )
),0)</f>
        <v>1.27766</v>
      </c>
      <c r="E45" cm="1">
        <f t="array" ref="E45">IFERROR(AVERAGE(
    IF(
        (braves_19_25!$B:$B=$A45) *
        ((braves_19_25!$C:$C="FF") +
         (braves_19_25!$C:$C="SI") +
         (braves_19_25!$C:$C="FC")),
        braves_19_25!$J:$J
    )
),0)</f>
        <v>0.86717</v>
      </c>
      <c r="F45" s="29" cm="1">
        <f t="array" ref="F45">IFERROR(AVERAGE(
    IF(
        (braves_19_25!$B:$B=$A45) *
        ((braves_19_25!$C:$C="FF") +
         (braves_19_25!$C:$C="SI") +
         (braves_19_25!$C:$C="FC")),
        braves_19_25!$K:$K
    )
),0)</f>
        <v>-0.53300499999999995</v>
      </c>
      <c r="G45" s="28" cm="1">
        <f t="array" ref="G45">IFERROR(AVERAGE(
    IF(
        (braves_19_25!$B:$B=$A45) *
        ((braves_19_25!$C:$C="SL") +
         (braves_19_25!$C:$C="ST") +
         (braves_19_25!$C:$C="SV")),
        braves_19_25!$G:$G
    )
),0)</f>
        <v>0</v>
      </c>
      <c r="H45" cm="1">
        <f t="array" ref="H45">IFERROR(AVERAGE(
    IF(
        (braves_19_25!$B:$B=$A45) *
        ((braves_19_25!$C:$C="SL") +
         (braves_19_25!$C:$C="ST") +
         (braves_19_25!$C:$C="SV")),
        braves_19_25!$F:$F
    )
),0)</f>
        <v>0</v>
      </c>
      <c r="I45" cm="1">
        <f t="array" ref="I45">IFERROR(AVERAGE(
    IF(
        (braves_19_25!$B:$B=$A45) *
        ((braves_19_25!$C:$C="SL") +
         (braves_19_25!$C:$C="ST") +
         (braves_19_25!$C:$C="SV")),
        braves_19_25!$I:$I
    )
),0)</f>
        <v>0</v>
      </c>
      <c r="J45" cm="1">
        <f t="array" ref="J45">IFERROR(AVERAGE(
    IF(
        (braves_19_25!$B:$B=$A45) *
        ((braves_19_25!$C:$C="SL") +
         (braves_19_25!$C:$C="ST") +
         (braves_19_25!$C:$C="SV")),
        braves_19_25!$J:$J
    )
),0)</f>
        <v>0</v>
      </c>
      <c r="K45" s="29" cm="1">
        <f t="array" ref="K45">IFERROR(AVERAGE(
    IF(
        (braves_19_25!$B:$B=$A45) *
        ((braves_19_25!$C:$C="SL") +
         (braves_19_25!$C:$C="ST") +
         (braves_19_25!$C:$C="SV")),
        braves_19_25!$K:$K
    )
),0)</f>
        <v>0</v>
      </c>
      <c r="L45" s="28" cm="1">
        <f t="array" ref="L45">IFERROR(AVERAGE(
    IF(
        (braves_19_25!$B:$B=$A45) *
        ((braves_19_25!$C:$C="CU") +
         (braves_19_25!$C:$C="CS") +
         (braves_19_25!$C:$C="KC")),
        braves_19_25!$G:$G
    )
),0)</f>
        <v>76.13</v>
      </c>
      <c r="M45" cm="1">
        <f t="array" ref="M45">IFERROR(AVERAGE(
    IF(
        (braves_19_25!$B:$B=$A45) *
        ((braves_19_25!$C:$C="CU") +
         (braves_19_25!$C:$C="CS") +
         (braves_19_25!$C:$C="KC")),
        braves_19_25!$F:$F
    )
),0)</f>
        <v>2411</v>
      </c>
      <c r="N45" cm="1">
        <f t="array" ref="N45">IFERROR(AVERAGE(
    IF(
        (braves_19_25!$B:$B=$A45) *
        ((braves_19_25!$C:$C="CU") +
         (braves_19_25!$C:$C="CS") +
         (braves_19_25!$C:$C="KC")),
        braves_19_25!$I:$I
    )
),0)</f>
        <v>4.9944600000000001</v>
      </c>
      <c r="O45" cm="1">
        <f t="array" ref="O45">IFERROR(AVERAGE(
    IF(
        (braves_19_25!$B:$B=$A45) *
        ((braves_19_25!$C:$C="CU") +
         (braves_19_25!$C:$C="CS") +
         (braves_19_25!$C:$C="KC")),
        braves_19_25!$J:$J
    )
),0)</f>
        <v>-0.44441000000000003</v>
      </c>
      <c r="P45" s="29" cm="1">
        <f t="array" ref="P45">IFERROR(AVERAGE(
    IF(
        (braves_19_25!$B:$B=$A45) *
        ((braves_19_25!$C:$C="CU") +
         (braves_19_25!$C:$C="CS") +
         (braves_19_25!$C:$C="KC")),
        braves_19_25!$K:$K
    )
),0)</f>
        <v>0.12645000000000001</v>
      </c>
      <c r="Q45" s="28" cm="1">
        <f t="array" ref="Q45">IFERROR(AVERAGE(
    IF(
        (braves_19_25!$B:$B=$A45) *
        ((braves_19_25!$C:$C="FS") +
         (braves_19_25!$C:$C="CH") +
         (braves_19_25!$C:$C="FO") +
         (braves_19_25!$C:$C="SC")),
        braves_19_25!$G:$G
    )
),0)</f>
        <v>83.35</v>
      </c>
      <c r="R45" cm="1">
        <f t="array" ref="R45">IFERROR(AVERAGE(
    IF(
        (braves_19_25!$B:$B=$A45) *
        ((braves_19_25!$C:$C="FS") +
         (braves_19_25!$C:$C="CH") +
         (braves_19_25!$C:$C="FO") +
         (braves_19_25!$C:$C="SC")),
        braves_19_25!$F:$F
    )
),0)</f>
        <v>1904</v>
      </c>
      <c r="S45" cm="1">
        <f t="array" ref="S45">IFERROR(AVERAGE(
    IF(
        (braves_19_25!$B:$B=$A45) *
        ((braves_19_25!$C:$C="FS") +
         (braves_19_25!$C:$C="CH") +
         (braves_19_25!$C:$C="FO") +
         (braves_19_25!$C:$C="SC")),
        braves_19_25!$I:$I
    )
),0)</f>
        <v>2.395</v>
      </c>
      <c r="T45" cm="1">
        <f t="array" ref="T45">IFERROR(AVERAGE(
    IF(
        (braves_19_25!$B:$B=$A45) *
        ((braves_19_25!$C:$C="FS") +
         (braves_19_25!$C:$C="CH") +
         (braves_19_25!$C:$C="FO") +
         (braves_19_25!$C:$C="SC")),
        braves_19_25!$J:$J
    )
),0)</f>
        <v>1.01</v>
      </c>
      <c r="U45" s="29" cm="1">
        <f t="array" ref="U45">IFERROR(AVERAGE(
    IF(
        (braves_19_25!$B:$B=$A45) *
        ((braves_19_25!$C:$C="FS") +
         (braves_19_25!$C:$C="CH") +
         (braves_19_25!$C:$C="FO") +
         (braves_19_25!$C:$C="SC")),
        braves_19_25!$K:$K
    )
),0)</f>
        <v>-1.01</v>
      </c>
      <c r="V45" s="28" cm="1">
        <f t="array" ref="V45">IFERROR(AVERAGE(
    IF(
        (braves_19_25!$B:$B=$A45) *
        ((braves_19_25!$C:$C="EP") +
         (braves_19_25!$C:$C="FA") +
         (braves_19_25!$C:$C="KN")),
        braves_19_25!$G:$G
    )
),0)</f>
        <v>0</v>
      </c>
      <c r="W45" cm="1">
        <f t="array" ref="W45">IFERROR(AVERAGE(
    IF(
        (braves_19_25!$B:$B=$A45) *
        ((braves_19_25!$C:$C="EP") +
         (braves_19_25!$C:$C="FA") +
         (braves_19_25!$C:$C="KN")),
        braves_19_25!$F:$F
    )
),0)</f>
        <v>0</v>
      </c>
      <c r="X45" cm="1">
        <f t="array" ref="X45">IFERROR(AVERAGE(
    IF(
        (braves_19_25!$B:$B=$A45) *
        ((braves_19_25!$C:$C="EP") +
         (braves_19_25!$C:$C="FA") +
         (braves_19_25!$C:$C="KN")),
        braves_19_25!$I:$I
    )
),0)</f>
        <v>0</v>
      </c>
      <c r="Y45" cm="1">
        <f t="array" ref="Y45">IFERROR(AVERAGE(
    IF(
        (braves_19_25!$B:$B=$A45) *
        ((braves_19_25!$C:$C="EP") +
         (braves_19_25!$C:$C="FA") +
         (braves_19_25!$C:$C="KN")),
        braves_19_25!$J:$J
    )
),0)</f>
        <v>0</v>
      </c>
      <c r="Z45" s="29" cm="1">
        <f t="array" ref="Z45">IFERROR(AVERAGE(
    IF(
        (braves_19_25!$B:$B=$A45) *
        ((braves_19_25!$C:$C="EP") +
         (braves_19_25!$C:$C="FA") +
         (braves_19_25!$C:$C="KN")),
        braves_19_25!$K:$K
    )
),0)</f>
        <v>0</v>
      </c>
    </row>
    <row r="46" spans="1:26" x14ac:dyDescent="0.3">
      <c r="A46" t="str">
        <v>Muller, Kyle</v>
      </c>
      <c r="B46" s="28" cm="1">
        <f t="array" ref="B46">IFERROR(AVERAGE(
    IF(
        (braves_19_25!$B:$B=$A46) *
        ((braves_19_25!$C:$C="FF") +
         (braves_19_25!$C:$C="SI") +
         (braves_19_25!$C:$C="FC")),
        braves_19_25!$G:$G
    )
),0)</f>
        <v>93.7</v>
      </c>
      <c r="C46" cm="1">
        <f t="array" ref="C46">IFERROR(AVERAGE(
    IF(
        (braves_19_25!$B:$B=$A46) *
        ((braves_19_25!$C:$C="FF") +
         (braves_19_25!$C:$C="SI") +
         (braves_19_25!$C:$C="FC")),
        braves_19_25!$F:$F
    )
),0)</f>
        <v>2436.5</v>
      </c>
      <c r="D46" cm="1">
        <f t="array" ref="D46">IFERROR(AVERAGE(
    IF(
        (braves_19_25!$B:$B=$A46) *
        ((braves_19_25!$C:$C="FF") +
         (braves_19_25!$C:$C="SI") +
         (braves_19_25!$C:$C="FC")),
        braves_19_25!$I:$I
    )
),0)</f>
        <v>1.3638949999999999</v>
      </c>
      <c r="E46" cm="1">
        <f t="array" ref="E46">IFERROR(AVERAGE(
    IF(
        (braves_19_25!$B:$B=$A46) *
        ((braves_19_25!$C:$C="FF") +
         (braves_19_25!$C:$C="SI") +
         (braves_19_25!$C:$C="FC")),
        braves_19_25!$J:$J
    )
),0)</f>
        <v>0.75516500000000009</v>
      </c>
      <c r="F46" s="29" cm="1">
        <f t="array" ref="F46">IFERROR(AVERAGE(
    IF(
        (braves_19_25!$B:$B=$A46) *
        ((braves_19_25!$C:$C="FF") +
         (braves_19_25!$C:$C="SI") +
         (braves_19_25!$C:$C="FC")),
        braves_19_25!$K:$K
    )
),0)</f>
        <v>-0.68059000000000003</v>
      </c>
      <c r="G46" s="28" cm="1">
        <f t="array" ref="G46">IFERROR(AVERAGE(
    IF(
        (braves_19_25!$B:$B=$A46) *
        ((braves_19_25!$C:$C="SL") +
         (braves_19_25!$C:$C="ST") +
         (braves_19_25!$C:$C="SV")),
        braves_19_25!$G:$G
    )
),0)</f>
        <v>86.57</v>
      </c>
      <c r="H46" cm="1">
        <f t="array" ref="H46">IFERROR(AVERAGE(
    IF(
        (braves_19_25!$B:$B=$A46) *
        ((braves_19_25!$C:$C="SL") +
         (braves_19_25!$C:$C="ST") +
         (braves_19_25!$C:$C="SV")),
        braves_19_25!$F:$F
    )
),0)</f>
        <v>2084</v>
      </c>
      <c r="I46" cm="1">
        <f t="array" ref="I46">IFERROR(AVERAGE(
    IF(
        (braves_19_25!$B:$B=$A46) *
        ((braves_19_25!$C:$C="SL") +
         (braves_19_25!$C:$C="ST") +
         (braves_19_25!$C:$C="SV")),
        braves_19_25!$I:$I
    )
),0)</f>
        <v>2.7384599999999999</v>
      </c>
      <c r="J46" cm="1">
        <f t="array" ref="J46">IFERROR(AVERAGE(
    IF(
        (braves_19_25!$B:$B=$A46) *
        ((braves_19_25!$C:$C="SL") +
         (braves_19_25!$C:$C="ST") +
         (braves_19_25!$C:$C="SV")),
        braves_19_25!$J:$J
    )
),0)</f>
        <v>-6.0249999999999998E-2</v>
      </c>
      <c r="K46" s="29" cm="1">
        <f t="array" ref="K46">IFERROR(AVERAGE(
    IF(
        (braves_19_25!$B:$B=$A46) *
        ((braves_19_25!$C:$C="SL") +
         (braves_19_25!$C:$C="ST") +
         (braves_19_25!$C:$C="SV")),
        braves_19_25!$K:$K
    )
),0)</f>
        <v>0.01</v>
      </c>
      <c r="L46" s="28" cm="1">
        <f t="array" ref="L46">IFERROR(AVERAGE(
    IF(
        (braves_19_25!$B:$B=$A46) *
        ((braves_19_25!$C:$C="CU") +
         (braves_19_25!$C:$C="CS") +
         (braves_19_25!$C:$C="KC")),
        braves_19_25!$G:$G
    )
),0)</f>
        <v>80.3</v>
      </c>
      <c r="M46" cm="1">
        <f t="array" ref="M46">IFERROR(AVERAGE(
    IF(
        (braves_19_25!$B:$B=$A46) *
        ((braves_19_25!$C:$C="CU") +
         (braves_19_25!$C:$C="CS") +
         (braves_19_25!$C:$C="KC")),
        braves_19_25!$F:$F
    )
),0)</f>
        <v>2427</v>
      </c>
      <c r="N46" cm="1">
        <f t="array" ref="N46">IFERROR(AVERAGE(
    IF(
        (braves_19_25!$B:$B=$A46) *
        ((braves_19_25!$C:$C="CU") +
         (braves_19_25!$C:$C="CS") +
         (braves_19_25!$C:$C="KC")),
        braves_19_25!$I:$I
    )
),0)</f>
        <v>4.3814000000000002</v>
      </c>
      <c r="O46" cm="1">
        <f t="array" ref="O46">IFERROR(AVERAGE(
    IF(
        (braves_19_25!$B:$B=$A46) *
        ((braves_19_25!$C:$C="CU") +
         (braves_19_25!$C:$C="CS") +
         (braves_19_25!$C:$C="KC")),
        braves_19_25!$J:$J
    )
),0)</f>
        <v>-0.51015999999999995</v>
      </c>
      <c r="P46" s="29" cm="1">
        <f t="array" ref="P46">IFERROR(AVERAGE(
    IF(
        (braves_19_25!$B:$B=$A46) *
        ((braves_19_25!$C:$C="CU") +
         (braves_19_25!$C:$C="CS") +
         (braves_19_25!$C:$C="KC")),
        braves_19_25!$K:$K
    )
),0)</f>
        <v>0.34166999999999997</v>
      </c>
      <c r="Q46" s="28" cm="1">
        <f t="array" ref="Q46">IFERROR(AVERAGE(
    IF(
        (braves_19_25!$B:$B=$A46) *
        ((braves_19_25!$C:$C="FS") +
         (braves_19_25!$C:$C="CH") +
         (braves_19_25!$C:$C="FO") +
         (braves_19_25!$C:$C="SC")),
        braves_19_25!$G:$G
    )
),0)</f>
        <v>88.19</v>
      </c>
      <c r="R46" cm="1">
        <f t="array" ref="R46">IFERROR(AVERAGE(
    IF(
        (braves_19_25!$B:$B=$A46) *
        ((braves_19_25!$C:$C="FS") +
         (braves_19_25!$C:$C="CH") +
         (braves_19_25!$C:$C="FO") +
         (braves_19_25!$C:$C="SC")),
        braves_19_25!$F:$F
    )
),0)</f>
        <v>1639</v>
      </c>
      <c r="S46" cm="1">
        <f t="array" ref="S46">IFERROR(AVERAGE(
    IF(
        (braves_19_25!$B:$B=$A46) *
        ((braves_19_25!$C:$C="FS") +
         (braves_19_25!$C:$C="CH") +
         (braves_19_25!$C:$C="FO") +
         (braves_19_25!$C:$C="SC")),
        braves_19_25!$I:$I
    )
),0)</f>
        <v>2.5097200000000002</v>
      </c>
      <c r="T46" cm="1">
        <f t="array" ref="T46">IFERROR(AVERAGE(
    IF(
        (braves_19_25!$B:$B=$A46) *
        ((braves_19_25!$C:$C="FS") +
         (braves_19_25!$C:$C="CH") +
         (braves_19_25!$C:$C="FO") +
         (braves_19_25!$C:$C="SC")),
        braves_19_25!$J:$J
    )
),0)</f>
        <v>1.2008300000000001</v>
      </c>
      <c r="U46" s="29" cm="1">
        <f t="array" ref="U46">IFERROR(AVERAGE(
    IF(
        (braves_19_25!$B:$B=$A46) *
        ((braves_19_25!$C:$C="FS") +
         (braves_19_25!$C:$C="CH") +
         (braves_19_25!$C:$C="FO") +
         (braves_19_25!$C:$C="SC")),
        braves_19_25!$K:$K
    )
),0)</f>
        <v>-1.2008300000000001</v>
      </c>
      <c r="V46" s="28" cm="1">
        <f t="array" ref="V46">IFERROR(AVERAGE(
    IF(
        (braves_19_25!$B:$B=$A46) *
        ((braves_19_25!$C:$C="EP") +
         (braves_19_25!$C:$C="FA") +
         (braves_19_25!$C:$C="KN")),
        braves_19_25!$G:$G
    )
),0)</f>
        <v>0</v>
      </c>
      <c r="W46" cm="1">
        <f t="array" ref="W46">IFERROR(AVERAGE(
    IF(
        (braves_19_25!$B:$B=$A46) *
        ((braves_19_25!$C:$C="EP") +
         (braves_19_25!$C:$C="FA") +
         (braves_19_25!$C:$C="KN")),
        braves_19_25!$F:$F
    )
),0)</f>
        <v>0</v>
      </c>
      <c r="X46" cm="1">
        <f t="array" ref="X46">IFERROR(AVERAGE(
    IF(
        (braves_19_25!$B:$B=$A46) *
        ((braves_19_25!$C:$C="EP") +
         (braves_19_25!$C:$C="FA") +
         (braves_19_25!$C:$C="KN")),
        braves_19_25!$I:$I
    )
),0)</f>
        <v>0</v>
      </c>
      <c r="Y46" cm="1">
        <f t="array" ref="Y46">IFERROR(AVERAGE(
    IF(
        (braves_19_25!$B:$B=$A46) *
        ((braves_19_25!$C:$C="EP") +
         (braves_19_25!$C:$C="FA") +
         (braves_19_25!$C:$C="KN")),
        braves_19_25!$J:$J
    )
),0)</f>
        <v>0</v>
      </c>
      <c r="Z46" s="29" cm="1">
        <f t="array" ref="Z46">IFERROR(AVERAGE(
    IF(
        (braves_19_25!$B:$B=$A46) *
        ((braves_19_25!$C:$C="EP") +
         (braves_19_25!$C:$C="FA") +
         (braves_19_25!$C:$C="KN")),
        braves_19_25!$K:$K
    )
),0)</f>
        <v>0</v>
      </c>
    </row>
    <row r="47" spans="1:26" x14ac:dyDescent="0.3">
      <c r="A47" t="str">
        <v>Shuster, Jared</v>
      </c>
      <c r="B47" s="28" cm="1">
        <f t="array" ref="B47">IFERROR(AVERAGE(
    IF(
        (braves_19_25!$B:$B=$A47) *
        ((braves_19_25!$C:$C="FF") +
         (braves_19_25!$C:$C="SI") +
         (braves_19_25!$C:$C="FC")),
        braves_19_25!$G:$G
    )
),0)</f>
        <v>91.68</v>
      </c>
      <c r="C47" cm="1">
        <f t="array" ref="C47">IFERROR(AVERAGE(
    IF(
        (braves_19_25!$B:$B=$A47) *
        ((braves_19_25!$C:$C="FF") +
         (braves_19_25!$C:$C="SI") +
         (braves_19_25!$C:$C="FC")),
        braves_19_25!$F:$F
    )
),0)</f>
        <v>2258.5</v>
      </c>
      <c r="D47" cm="1">
        <f t="array" ref="D47">IFERROR(AVERAGE(
    IF(
        (braves_19_25!$B:$B=$A47) *
        ((braves_19_25!$C:$C="FF") +
         (braves_19_25!$C:$C="SI") +
         (braves_19_25!$C:$C="FC")),
        braves_19_25!$I:$I
    )
),0)</f>
        <v>1.5341499999999999</v>
      </c>
      <c r="E47" cm="1">
        <f t="array" ref="E47">IFERROR(AVERAGE(
    IF(
        (braves_19_25!$B:$B=$A47) *
        ((braves_19_25!$C:$C="FF") +
         (braves_19_25!$C:$C="SI") +
         (braves_19_25!$C:$C="FC")),
        braves_19_25!$J:$J
    )
),0)</f>
        <v>0.73541000000000001</v>
      </c>
      <c r="F47" s="29" cm="1">
        <f t="array" ref="F47">IFERROR(AVERAGE(
    IF(
        (braves_19_25!$B:$B=$A47) *
        ((braves_19_25!$C:$C="FF") +
         (braves_19_25!$C:$C="SI") +
         (braves_19_25!$C:$C="FC")),
        braves_19_25!$K:$K
    )
),0)</f>
        <v>-0.58190000000000008</v>
      </c>
      <c r="G47" s="28" cm="1">
        <f t="array" ref="G47">IFERROR(AVERAGE(
    IF(
        (braves_19_25!$B:$B=$A47) *
        ((braves_19_25!$C:$C="SL") +
         (braves_19_25!$C:$C="ST") +
         (braves_19_25!$C:$C="SV")),
        braves_19_25!$G:$G
    )
),0)</f>
        <v>85.94</v>
      </c>
      <c r="H47" cm="1">
        <f t="array" ref="H47">IFERROR(AVERAGE(
    IF(
        (braves_19_25!$B:$B=$A47) *
        ((braves_19_25!$C:$C="SL") +
         (braves_19_25!$C:$C="ST") +
         (braves_19_25!$C:$C="SV")),
        braves_19_25!$F:$F
    )
),0)</f>
        <v>2200</v>
      </c>
      <c r="I47" cm="1">
        <f t="array" ref="I47">IFERROR(AVERAGE(
    IF(
        (braves_19_25!$B:$B=$A47) *
        ((braves_19_25!$C:$C="SL") +
         (braves_19_25!$C:$C="ST") +
         (braves_19_25!$C:$C="SV")),
        braves_19_25!$I:$I
    )
),0)</f>
        <v>2.6864400000000002</v>
      </c>
      <c r="J47" cm="1">
        <f t="array" ref="J47">IFERROR(AVERAGE(
    IF(
        (braves_19_25!$B:$B=$A47) *
        ((braves_19_25!$C:$C="SL") +
         (braves_19_25!$C:$C="ST") +
         (braves_19_25!$C:$C="SV")),
        braves_19_25!$J:$J
    )
),0)</f>
        <v>-0.22273999999999999</v>
      </c>
      <c r="K47" s="29" cm="1">
        <f t="array" ref="K47">IFERROR(AVERAGE(
    IF(
        (braves_19_25!$B:$B=$A47) *
        ((braves_19_25!$C:$C="SL") +
         (braves_19_25!$C:$C="ST") +
         (braves_19_25!$C:$C="SV")),
        braves_19_25!$K:$K
    )
),0)</f>
        <v>5.1920000000000001E-2</v>
      </c>
      <c r="L47" s="28" cm="1">
        <f t="array" ref="L47">IFERROR(AVERAGE(
    IF(
        (braves_19_25!$B:$B=$A47) *
        ((braves_19_25!$C:$C="CU") +
         (braves_19_25!$C:$C="CS") +
         (braves_19_25!$C:$C="KC")),
        braves_19_25!$G:$G
    )
),0)</f>
        <v>0</v>
      </c>
      <c r="M47" cm="1">
        <f t="array" ref="M47">IFERROR(AVERAGE(
    IF(
        (braves_19_25!$B:$B=$A47) *
        ((braves_19_25!$C:$C="CU") +
         (braves_19_25!$C:$C="CS") +
         (braves_19_25!$C:$C="KC")),
        braves_19_25!$F:$F
    )
),0)</f>
        <v>0</v>
      </c>
      <c r="N47" cm="1">
        <f t="array" ref="N47">IFERROR(AVERAGE(
    IF(
        (braves_19_25!$B:$B=$A47) *
        ((braves_19_25!$C:$C="CU") +
         (braves_19_25!$C:$C="CS") +
         (braves_19_25!$C:$C="KC")),
        braves_19_25!$I:$I
    )
),0)</f>
        <v>0</v>
      </c>
      <c r="O47" cm="1">
        <f t="array" ref="O47">IFERROR(AVERAGE(
    IF(
        (braves_19_25!$B:$B=$A47) *
        ((braves_19_25!$C:$C="CU") +
         (braves_19_25!$C:$C="CS") +
         (braves_19_25!$C:$C="KC")),
        braves_19_25!$J:$J
    )
),0)</f>
        <v>0</v>
      </c>
      <c r="P47" s="29" cm="1">
        <f t="array" ref="P47">IFERROR(AVERAGE(
    IF(
        (braves_19_25!$B:$B=$A47) *
        ((braves_19_25!$C:$C="CU") +
         (braves_19_25!$C:$C="CS") +
         (braves_19_25!$C:$C="KC")),
        braves_19_25!$K:$K
    )
),0)</f>
        <v>0</v>
      </c>
      <c r="Q47" s="28" cm="1">
        <f t="array" ref="Q47">IFERROR(AVERAGE(
    IF(
        (braves_19_25!$B:$B=$A47) *
        ((braves_19_25!$C:$C="FS") +
         (braves_19_25!$C:$C="CH") +
         (braves_19_25!$C:$C="FO") +
         (braves_19_25!$C:$C="SC")),
        braves_19_25!$G:$G
    )
),0)</f>
        <v>83.05</v>
      </c>
      <c r="R47" cm="1">
        <f t="array" ref="R47">IFERROR(AVERAGE(
    IF(
        (braves_19_25!$B:$B=$A47) *
        ((braves_19_25!$C:$C="FS") +
         (braves_19_25!$C:$C="CH") +
         (braves_19_25!$C:$C="FO") +
         (braves_19_25!$C:$C="SC")),
        braves_19_25!$F:$F
    )
),0)</f>
        <v>1513</v>
      </c>
      <c r="S47" cm="1">
        <f t="array" ref="S47">IFERROR(AVERAGE(
    IF(
        (braves_19_25!$B:$B=$A47) *
        ((braves_19_25!$C:$C="FS") +
         (braves_19_25!$C:$C="CH") +
         (braves_19_25!$C:$C="FO") +
         (braves_19_25!$C:$C="SC")),
        braves_19_25!$I:$I
    )
),0)</f>
        <v>2.5181900000000002</v>
      </c>
      <c r="T47" cm="1">
        <f t="array" ref="T47">IFERROR(AVERAGE(
    IF(
        (braves_19_25!$B:$B=$A47) *
        ((braves_19_25!$C:$C="FS") +
         (braves_19_25!$C:$C="CH") +
         (braves_19_25!$C:$C="FO") +
         (braves_19_25!$C:$C="SC")),
        braves_19_25!$J:$J
    )
),0)</f>
        <v>0.82743999999999995</v>
      </c>
      <c r="U47" s="29" cm="1">
        <f t="array" ref="U47">IFERROR(AVERAGE(
    IF(
        (braves_19_25!$B:$B=$A47) *
        ((braves_19_25!$C:$C="FS") +
         (braves_19_25!$C:$C="CH") +
         (braves_19_25!$C:$C="FO") +
         (braves_19_25!$C:$C="SC")),
        braves_19_25!$K:$K
    )
),0)</f>
        <v>-0.75819000000000003</v>
      </c>
      <c r="V47" s="28" cm="1">
        <f t="array" ref="V47">IFERROR(AVERAGE(
    IF(
        (braves_19_25!$B:$B=$A47) *
        ((braves_19_25!$C:$C="EP") +
         (braves_19_25!$C:$C="FA") +
         (braves_19_25!$C:$C="KN")),
        braves_19_25!$G:$G
    )
),0)</f>
        <v>0</v>
      </c>
      <c r="W47" cm="1">
        <f t="array" ref="W47">IFERROR(AVERAGE(
    IF(
        (braves_19_25!$B:$B=$A47) *
        ((braves_19_25!$C:$C="EP") +
         (braves_19_25!$C:$C="FA") +
         (braves_19_25!$C:$C="KN")),
        braves_19_25!$F:$F
    )
),0)</f>
        <v>0</v>
      </c>
      <c r="X47" cm="1">
        <f t="array" ref="X47">IFERROR(AVERAGE(
    IF(
        (braves_19_25!$B:$B=$A47) *
        ((braves_19_25!$C:$C="EP") +
         (braves_19_25!$C:$C="FA") +
         (braves_19_25!$C:$C="KN")),
        braves_19_25!$I:$I
    )
),0)</f>
        <v>0</v>
      </c>
      <c r="Y47" cm="1">
        <f t="array" ref="Y47">IFERROR(AVERAGE(
    IF(
        (braves_19_25!$B:$B=$A47) *
        ((braves_19_25!$C:$C="EP") +
         (braves_19_25!$C:$C="FA") +
         (braves_19_25!$C:$C="KN")),
        braves_19_25!$J:$J
    )
),0)</f>
        <v>0</v>
      </c>
      <c r="Z47" s="29" cm="1">
        <f t="array" ref="Z47">IFERROR(AVERAGE(
    IF(
        (braves_19_25!$B:$B=$A47) *
        ((braves_19_25!$C:$C="EP") +
         (braves_19_25!$C:$C="FA") +
         (braves_19_25!$C:$C="KN")),
        braves_19_25!$K:$K
    )
),0)</f>
        <v>0</v>
      </c>
    </row>
    <row r="48" spans="1:26" x14ac:dyDescent="0.3">
      <c r="A48" t="str">
        <v>Odorizzi, Jake</v>
      </c>
      <c r="B48" s="28" cm="1">
        <f t="array" ref="B48">IFERROR(AVERAGE(
    IF(
        (braves_19_25!$B:$B=$A48) *
        ((braves_19_25!$C:$C="FF") +
         (braves_19_25!$C:$C="SI") +
         (braves_19_25!$C:$C="FC")),
        braves_19_25!$G:$G
    )
),0)</f>
        <v>90.33</v>
      </c>
      <c r="C48" cm="1">
        <f t="array" ref="C48">IFERROR(AVERAGE(
    IF(
        (braves_19_25!$B:$B=$A48) *
        ((braves_19_25!$C:$C="FF") +
         (braves_19_25!$C:$C="SI") +
         (braves_19_25!$C:$C="FC")),
        braves_19_25!$F:$F
    )
),0)</f>
        <v>2117.6666666666665</v>
      </c>
      <c r="D48" cm="1">
        <f t="array" ref="D48">IFERROR(AVERAGE(
    IF(
        (braves_19_25!$B:$B=$A48) *
        ((braves_19_25!$C:$C="FF") +
         (braves_19_25!$C:$C="SI") +
         (braves_19_25!$C:$C="FC")),
        braves_19_25!$I:$I
    )
),0)</f>
        <v>1.4995033333333332</v>
      </c>
      <c r="E48" cm="1">
        <f t="array" ref="E48">IFERROR(AVERAGE(
    IF(
        (braves_19_25!$B:$B=$A48) *
        ((braves_19_25!$C:$C="FF") +
         (braves_19_25!$C:$C="SI") +
         (braves_19_25!$C:$C="FC")),
        braves_19_25!$J:$J
    )
),0)</f>
        <v>0.52473666666666663</v>
      </c>
      <c r="F48" s="29" cm="1">
        <f t="array" ref="F48">IFERROR(AVERAGE(
    IF(
        (braves_19_25!$B:$B=$A48) *
        ((braves_19_25!$C:$C="FF") +
         (braves_19_25!$C:$C="SI") +
         (braves_19_25!$C:$C="FC")),
        braves_19_25!$K:$K
    )
),0)</f>
        <v>-0.19310333333333332</v>
      </c>
      <c r="G48" s="28" cm="1">
        <f t="array" ref="G48">IFERROR(AVERAGE(
    IF(
        (braves_19_25!$B:$B=$A48) *
        ((braves_19_25!$C:$C="SL") +
         (braves_19_25!$C:$C="ST") +
         (braves_19_25!$C:$C="SV")),
        braves_19_25!$G:$G
    )
),0)</f>
        <v>82.42</v>
      </c>
      <c r="H48" cm="1">
        <f t="array" ref="H48">IFERROR(AVERAGE(
    IF(
        (braves_19_25!$B:$B=$A48) *
        ((braves_19_25!$C:$C="SL") +
         (braves_19_25!$C:$C="ST") +
         (braves_19_25!$C:$C="SV")),
        braves_19_25!$F:$F
    )
),0)</f>
        <v>2052</v>
      </c>
      <c r="I48" cm="1">
        <f t="array" ref="I48">IFERROR(AVERAGE(
    IF(
        (braves_19_25!$B:$B=$A48) *
        ((braves_19_25!$C:$C="SL") +
         (braves_19_25!$C:$C="ST") +
         (braves_19_25!$C:$C="SV")),
        braves_19_25!$I:$I
    )
),0)</f>
        <v>3.0748600000000001</v>
      </c>
      <c r="J48" cm="1">
        <f t="array" ref="J48">IFERROR(AVERAGE(
    IF(
        (braves_19_25!$B:$B=$A48) *
        ((braves_19_25!$C:$C="SL") +
         (braves_19_25!$C:$C="ST") +
         (braves_19_25!$C:$C="SV")),
        braves_19_25!$J:$J
    )
),0)</f>
        <v>-0.53297000000000005</v>
      </c>
      <c r="K48" s="29" cm="1">
        <f t="array" ref="K48">IFERROR(AVERAGE(
    IF(
        (braves_19_25!$B:$B=$A48) *
        ((braves_19_25!$C:$C="SL") +
         (braves_19_25!$C:$C="ST") +
         (braves_19_25!$C:$C="SV")),
        braves_19_25!$K:$K
    )
),0)</f>
        <v>-0.38973000000000002</v>
      </c>
      <c r="L48" s="28" cm="1">
        <f t="array" ref="L48">IFERROR(AVERAGE(
    IF(
        (braves_19_25!$B:$B=$A48) *
        ((braves_19_25!$C:$C="CU") +
         (braves_19_25!$C:$C="CS") +
         (braves_19_25!$C:$C="KC")),
        braves_19_25!$G:$G
    )
),0)</f>
        <v>71.13</v>
      </c>
      <c r="M48" cm="1">
        <f t="array" ref="M48">IFERROR(AVERAGE(
    IF(
        (braves_19_25!$B:$B=$A48) *
        ((braves_19_25!$C:$C="CU") +
         (braves_19_25!$C:$C="CS") +
         (braves_19_25!$C:$C="KC")),
        braves_19_25!$F:$F
    )
),0)</f>
        <v>2230</v>
      </c>
      <c r="N48" cm="1">
        <f t="array" ref="N48">IFERROR(AVERAGE(
    IF(
        (braves_19_25!$B:$B=$A48) *
        ((braves_19_25!$C:$C="CU") +
         (braves_19_25!$C:$C="CS") +
         (braves_19_25!$C:$C="KC")),
        braves_19_25!$I:$I
    )
),0)</f>
        <v>5.2188499999999998</v>
      </c>
      <c r="O48" cm="1">
        <f t="array" ref="O48">IFERROR(AVERAGE(
    IF(
        (braves_19_25!$B:$B=$A48) *
        ((braves_19_25!$C:$C="CU") +
         (braves_19_25!$C:$C="CS") +
         (braves_19_25!$C:$C="KC")),
        braves_19_25!$J:$J
    )
),0)</f>
        <v>-0.84384999999999999</v>
      </c>
      <c r="P48" s="29" cm="1">
        <f t="array" ref="P48">IFERROR(AVERAGE(
    IF(
        (braves_19_25!$B:$B=$A48) *
        ((braves_19_25!$C:$C="CU") +
         (braves_19_25!$C:$C="CS") +
         (braves_19_25!$C:$C="KC")),
        braves_19_25!$K:$K
    )
),0)</f>
        <v>0.57999999999999996</v>
      </c>
      <c r="Q48" s="28" cm="1">
        <f t="array" ref="Q48">IFERROR(AVERAGE(
    IF(
        (braves_19_25!$B:$B=$A48) *
        ((braves_19_25!$C:$C="FS") +
         (braves_19_25!$C:$C="CH") +
         (braves_19_25!$C:$C="FO") +
         (braves_19_25!$C:$C="SC")),
        braves_19_25!$G:$G
    )
),0)</f>
        <v>84.94</v>
      </c>
      <c r="R48" cm="1">
        <f t="array" ref="R48">IFERROR(AVERAGE(
    IF(
        (braves_19_25!$B:$B=$A48) *
        ((braves_19_25!$C:$C="FS") +
         (braves_19_25!$C:$C="CH") +
         (braves_19_25!$C:$C="FO") +
         (braves_19_25!$C:$C="SC")),
        braves_19_25!$F:$F
    )
),0)</f>
        <v>1304</v>
      </c>
      <c r="S48" cm="1">
        <f t="array" ref="S48">IFERROR(AVERAGE(
    IF(
        (braves_19_25!$B:$B=$A48) *
        ((braves_19_25!$C:$C="FS") +
         (braves_19_25!$C:$C="CH") +
         (braves_19_25!$C:$C="FO") +
         (braves_19_25!$C:$C="SC")),
        braves_19_25!$I:$I
    )
),0)</f>
        <v>2.6186400000000001</v>
      </c>
      <c r="T48" cm="1">
        <f t="array" ref="T48">IFERROR(AVERAGE(
    IF(
        (braves_19_25!$B:$B=$A48) *
        ((braves_19_25!$C:$C="FS") +
         (braves_19_25!$C:$C="CH") +
         (braves_19_25!$C:$C="FO") +
         (braves_19_25!$C:$C="SC")),
        braves_19_25!$J:$J
    )
),0)</f>
        <v>0.94652000000000003</v>
      </c>
      <c r="U48" s="29" cm="1">
        <f t="array" ref="U48">IFERROR(AVERAGE(
    IF(
        (braves_19_25!$B:$B=$A48) *
        ((braves_19_25!$C:$C="FS") +
         (braves_19_25!$C:$C="CH") +
         (braves_19_25!$C:$C="FO") +
         (braves_19_25!$C:$C="SC")),
        braves_19_25!$K:$K
    )
),0)</f>
        <v>-0.25608999999999998</v>
      </c>
      <c r="V48" s="28" cm="1">
        <f t="array" ref="V48">IFERROR(AVERAGE(
    IF(
        (braves_19_25!$B:$B=$A48) *
        ((braves_19_25!$C:$C="EP") +
         (braves_19_25!$C:$C="FA") +
         (braves_19_25!$C:$C="KN")),
        braves_19_25!$G:$G
    )
),0)</f>
        <v>0</v>
      </c>
      <c r="W48" cm="1">
        <f t="array" ref="W48">IFERROR(AVERAGE(
    IF(
        (braves_19_25!$B:$B=$A48) *
        ((braves_19_25!$C:$C="EP") +
         (braves_19_25!$C:$C="FA") +
         (braves_19_25!$C:$C="KN")),
        braves_19_25!$F:$F
    )
),0)</f>
        <v>0</v>
      </c>
      <c r="X48" cm="1">
        <f t="array" ref="X48">IFERROR(AVERAGE(
    IF(
        (braves_19_25!$B:$B=$A48) *
        ((braves_19_25!$C:$C="EP") +
         (braves_19_25!$C:$C="FA") +
         (braves_19_25!$C:$C="KN")),
        braves_19_25!$I:$I
    )
),0)</f>
        <v>0</v>
      </c>
      <c r="Y48" cm="1">
        <f t="array" ref="Y48">IFERROR(AVERAGE(
    IF(
        (braves_19_25!$B:$B=$A48) *
        ((braves_19_25!$C:$C="EP") +
         (braves_19_25!$C:$C="FA") +
         (braves_19_25!$C:$C="KN")),
        braves_19_25!$J:$J
    )
),0)</f>
        <v>0</v>
      </c>
      <c r="Z48" s="29" cm="1">
        <f t="array" ref="Z48">IFERROR(AVERAGE(
    IF(
        (braves_19_25!$B:$B=$A48) *
        ((braves_19_25!$C:$C="EP") +
         (braves_19_25!$C:$C="FA") +
         (braves_19_25!$C:$C="KN")),
        braves_19_25!$K:$K
    )
),0)</f>
        <v>0</v>
      </c>
    </row>
    <row r="49" spans="1:26" x14ac:dyDescent="0.3">
      <c r="A49" t="str">
        <v>De Los Santos, Enyel</v>
      </c>
      <c r="B49" s="28" cm="1">
        <f t="array" ref="B49">IFERROR(AVERAGE(
    IF(
        (braves_19_25!$B:$B=$A49) *
        ((braves_19_25!$C:$C="FF") +
         (braves_19_25!$C:$C="SI") +
         (braves_19_25!$C:$C="FC")),
        braves_19_25!$G:$G
    )
),0)</f>
        <v>96.22</v>
      </c>
      <c r="C49" cm="1">
        <f t="array" ref="C49">IFERROR(AVERAGE(
    IF(
        (braves_19_25!$B:$B=$A49) *
        ((braves_19_25!$C:$C="FF") +
         (braves_19_25!$C:$C="SI") +
         (braves_19_25!$C:$C="FC")),
        braves_19_25!$F:$F
    )
),0)</f>
        <v>2270</v>
      </c>
      <c r="D49" cm="1">
        <f t="array" ref="D49">IFERROR(AVERAGE(
    IF(
        (braves_19_25!$B:$B=$A49) *
        ((braves_19_25!$C:$C="FF") +
         (braves_19_25!$C:$C="SI") +
         (braves_19_25!$C:$C="FC")),
        braves_19_25!$I:$I
    )
),0)</f>
        <v>1.40774</v>
      </c>
      <c r="E49" cm="1">
        <f t="array" ref="E49">IFERROR(AVERAGE(
    IF(
        (braves_19_25!$B:$B=$A49) *
        ((braves_19_25!$C:$C="FF") +
         (braves_19_25!$C:$C="SI") +
         (braves_19_25!$C:$C="FC")),
        braves_19_25!$J:$J
    )
),0)</f>
        <v>0.88868000000000003</v>
      </c>
      <c r="F49" s="29" cm="1">
        <f t="array" ref="F49">IFERROR(AVERAGE(
    IF(
        (braves_19_25!$B:$B=$A49) *
        ((braves_19_25!$C:$C="FF") +
         (braves_19_25!$C:$C="SI") +
         (braves_19_25!$C:$C="FC")),
        braves_19_25!$K:$K
    )
),0)</f>
        <v>0.28005999999999998</v>
      </c>
      <c r="G49" s="28" cm="1">
        <f t="array" ref="G49">IFERROR(AVERAGE(
    IF(
        (braves_19_25!$B:$B=$A49) *
        ((braves_19_25!$C:$C="SL") +
         (braves_19_25!$C:$C="ST") +
         (braves_19_25!$C:$C="SV")),
        braves_19_25!$G:$G
    )
),0)</f>
        <v>89</v>
      </c>
      <c r="H49" cm="1">
        <f t="array" ref="H49">IFERROR(AVERAGE(
    IF(
        (braves_19_25!$B:$B=$A49) *
        ((braves_19_25!$C:$C="SL") +
         (braves_19_25!$C:$C="ST") +
         (braves_19_25!$C:$C="SV")),
        braves_19_25!$F:$F
    )
),0)</f>
        <v>2208</v>
      </c>
      <c r="I49" cm="1">
        <f t="array" ref="I49">IFERROR(AVERAGE(
    IF(
        (braves_19_25!$B:$B=$A49) *
        ((braves_19_25!$C:$C="SL") +
         (braves_19_25!$C:$C="ST") +
         (braves_19_25!$C:$C="SV")),
        braves_19_25!$I:$I
    )
),0)</f>
        <v>2.3496000000000001</v>
      </c>
      <c r="J49" cm="1">
        <f t="array" ref="J49">IFERROR(AVERAGE(
    IF(
        (braves_19_25!$B:$B=$A49) *
        ((braves_19_25!$C:$C="SL") +
         (braves_19_25!$C:$C="ST") +
         (braves_19_25!$C:$C="SV")),
        braves_19_25!$J:$J
    )
),0)</f>
        <v>-0.11785</v>
      </c>
      <c r="K49" s="29" cm="1">
        <f t="array" ref="K49">IFERROR(AVERAGE(
    IF(
        (braves_19_25!$B:$B=$A49) *
        ((braves_19_25!$C:$C="SL") +
         (braves_19_25!$C:$C="ST") +
         (braves_19_25!$C:$C="SV")),
        braves_19_25!$K:$K
    )
),0)</f>
        <v>-9.6640000000000004E-2</v>
      </c>
      <c r="L49" s="28" cm="1">
        <f t="array" ref="L49">IFERROR(AVERAGE(
    IF(
        (braves_19_25!$B:$B=$A49) *
        ((braves_19_25!$C:$C="CU") +
         (braves_19_25!$C:$C="CS") +
         (braves_19_25!$C:$C="KC")),
        braves_19_25!$G:$G
    )
),0)</f>
        <v>0</v>
      </c>
      <c r="M49" cm="1">
        <f t="array" ref="M49">IFERROR(AVERAGE(
    IF(
        (braves_19_25!$B:$B=$A49) *
        ((braves_19_25!$C:$C="CU") +
         (braves_19_25!$C:$C="CS") +
         (braves_19_25!$C:$C="KC")),
        braves_19_25!$F:$F
    )
),0)</f>
        <v>0</v>
      </c>
      <c r="N49" cm="1">
        <f t="array" ref="N49">IFERROR(AVERAGE(
    IF(
        (braves_19_25!$B:$B=$A49) *
        ((braves_19_25!$C:$C="CU") +
         (braves_19_25!$C:$C="CS") +
         (braves_19_25!$C:$C="KC")),
        braves_19_25!$I:$I
    )
),0)</f>
        <v>0</v>
      </c>
      <c r="O49" cm="1">
        <f t="array" ref="O49">IFERROR(AVERAGE(
    IF(
        (braves_19_25!$B:$B=$A49) *
        ((braves_19_25!$C:$C="CU") +
         (braves_19_25!$C:$C="CS") +
         (braves_19_25!$C:$C="KC")),
        braves_19_25!$J:$J
    )
),0)</f>
        <v>0</v>
      </c>
      <c r="P49" s="29" cm="1">
        <f t="array" ref="P49">IFERROR(AVERAGE(
    IF(
        (braves_19_25!$B:$B=$A49) *
        ((braves_19_25!$C:$C="CU") +
         (braves_19_25!$C:$C="CS") +
         (braves_19_25!$C:$C="KC")),
        braves_19_25!$K:$K
    )
),0)</f>
        <v>0</v>
      </c>
      <c r="Q49" s="28" cm="1">
        <f t="array" ref="Q49">IFERROR(AVERAGE(
    IF(
        (braves_19_25!$B:$B=$A49) *
        ((braves_19_25!$C:$C="FS") +
         (braves_19_25!$C:$C="CH") +
         (braves_19_25!$C:$C="FO") +
         (braves_19_25!$C:$C="SC")),
        braves_19_25!$G:$G
    )
),0)</f>
        <v>88.12</v>
      </c>
      <c r="R49" cm="1">
        <f t="array" ref="R49">IFERROR(AVERAGE(
    IF(
        (braves_19_25!$B:$B=$A49) *
        ((braves_19_25!$C:$C="FS") +
         (braves_19_25!$C:$C="CH") +
         (braves_19_25!$C:$C="FO") +
         (braves_19_25!$C:$C="SC")),
        braves_19_25!$F:$F
    )
),0)</f>
        <v>1901</v>
      </c>
      <c r="S49" cm="1">
        <f t="array" ref="S49">IFERROR(AVERAGE(
    IF(
        (braves_19_25!$B:$B=$A49) *
        ((braves_19_25!$C:$C="FS") +
         (braves_19_25!$C:$C="CH") +
         (braves_19_25!$C:$C="FO") +
         (braves_19_25!$C:$C="SC")),
        braves_19_25!$I:$I
    )
),0)</f>
        <v>2.3437800000000002</v>
      </c>
      <c r="T49" cm="1">
        <f t="array" ref="T49">IFERROR(AVERAGE(
    IF(
        (braves_19_25!$B:$B=$A49) *
        ((braves_19_25!$C:$C="FS") +
         (braves_19_25!$C:$C="CH") +
         (braves_19_25!$C:$C="FO") +
         (braves_19_25!$C:$C="SC")),
        braves_19_25!$J:$J
    )
),0)</f>
        <v>1.34541</v>
      </c>
      <c r="U49" s="29" cm="1">
        <f t="array" ref="U49">IFERROR(AVERAGE(
    IF(
        (braves_19_25!$B:$B=$A49) *
        ((braves_19_25!$C:$C="FS") +
         (braves_19_25!$C:$C="CH") +
         (braves_19_25!$C:$C="FO") +
         (braves_19_25!$C:$C="SC")),
        braves_19_25!$K:$K
    )
),0)</f>
        <v>-1.2470300000000001</v>
      </c>
      <c r="V49" s="28" cm="1">
        <f t="array" ref="V49">IFERROR(AVERAGE(
    IF(
        (braves_19_25!$B:$B=$A49) *
        ((braves_19_25!$C:$C="EP") +
         (braves_19_25!$C:$C="FA") +
         (braves_19_25!$C:$C="KN")),
        braves_19_25!$G:$G
    )
),0)</f>
        <v>0</v>
      </c>
      <c r="W49" cm="1">
        <f t="array" ref="W49">IFERROR(AVERAGE(
    IF(
        (braves_19_25!$B:$B=$A49) *
        ((braves_19_25!$C:$C="EP") +
         (braves_19_25!$C:$C="FA") +
         (braves_19_25!$C:$C="KN")),
        braves_19_25!$F:$F
    )
),0)</f>
        <v>0</v>
      </c>
      <c r="X49" cm="1">
        <f t="array" ref="X49">IFERROR(AVERAGE(
    IF(
        (braves_19_25!$B:$B=$A49) *
        ((braves_19_25!$C:$C="EP") +
         (braves_19_25!$C:$C="FA") +
         (braves_19_25!$C:$C="KN")),
        braves_19_25!$I:$I
    )
),0)</f>
        <v>0</v>
      </c>
      <c r="Y49" cm="1">
        <f t="array" ref="Y49">IFERROR(AVERAGE(
    IF(
        (braves_19_25!$B:$B=$A49) *
        ((braves_19_25!$C:$C="EP") +
         (braves_19_25!$C:$C="FA") +
         (braves_19_25!$C:$C="KN")),
        braves_19_25!$J:$J
    )
),0)</f>
        <v>0</v>
      </c>
      <c r="Z49" s="29" cm="1">
        <f t="array" ref="Z49">IFERROR(AVERAGE(
    IF(
        (braves_19_25!$B:$B=$A49) *
        ((braves_19_25!$C:$C="EP") +
         (braves_19_25!$C:$C="FA") +
         (braves_19_25!$C:$C="KN")),
        braves_19_25!$K:$K
    )
),0)</f>
        <v>0</v>
      </c>
    </row>
    <row r="50" spans="1:26" x14ac:dyDescent="0.3">
      <c r="A50" t="str">
        <v>O'Day, Darren</v>
      </c>
      <c r="B50" s="28" cm="1">
        <f t="array" ref="B50">IFERROR(AVERAGE(
    IF(
        (braves_19_25!$B:$B=$A50) *
        ((braves_19_25!$C:$C="FF") +
         (braves_19_25!$C:$C="SI") +
         (braves_19_25!$C:$C="FC")),
        braves_19_25!$G:$G
    )
),0)</f>
        <v>86.574999999999989</v>
      </c>
      <c r="C50" cm="1">
        <f t="array" ref="C50">IFERROR(AVERAGE(
    IF(
        (braves_19_25!$B:$B=$A50) *
        ((braves_19_25!$C:$C="FF") +
         (braves_19_25!$C:$C="SI") +
         (braves_19_25!$C:$C="FC")),
        braves_19_25!$F:$F
    )
),0)</f>
        <v>2265</v>
      </c>
      <c r="D50" cm="1">
        <f t="array" ref="D50">IFERROR(AVERAGE(
    IF(
        (braves_19_25!$B:$B=$A50) *
        ((braves_19_25!$C:$C="FF") +
         (braves_19_25!$C:$C="SI") +
         (braves_19_25!$C:$C="FC")),
        braves_19_25!$I:$I
    )
),0)</f>
        <v>2.7895849999999998</v>
      </c>
      <c r="E50" cm="1">
        <f t="array" ref="E50">IFERROR(AVERAGE(
    IF(
        (braves_19_25!$B:$B=$A50) *
        ((braves_19_25!$C:$C="FF") +
         (braves_19_25!$C:$C="SI") +
         (braves_19_25!$C:$C="FC")),
        braves_19_25!$J:$J
    )
),0)</f>
        <v>1.1153900000000001</v>
      </c>
      <c r="F50" s="29" cm="1">
        <f t="array" ref="F50">IFERROR(AVERAGE(
    IF(
        (braves_19_25!$B:$B=$A50) *
        ((braves_19_25!$C:$C="FF") +
         (braves_19_25!$C:$C="SI") +
         (braves_19_25!$C:$C="FC")),
        braves_19_25!$K:$K
    )
),0)</f>
        <v>0.65215499999999993</v>
      </c>
      <c r="G50" s="28" cm="1">
        <f t="array" ref="G50">IFERROR(AVERAGE(
    IF(
        (braves_19_25!$B:$B=$A50) *
        ((braves_19_25!$C:$C="SL") +
         (braves_19_25!$C:$C="ST") +
         (braves_19_25!$C:$C="SV")),
        braves_19_25!$G:$G
    )
),0)</f>
        <v>78.83</v>
      </c>
      <c r="H50" cm="1">
        <f t="array" ref="H50">IFERROR(AVERAGE(
    IF(
        (braves_19_25!$B:$B=$A50) *
        ((braves_19_25!$C:$C="SL") +
         (braves_19_25!$C:$C="ST") +
         (braves_19_25!$C:$C="SV")),
        braves_19_25!$F:$F
    )
),0)</f>
        <v>2292</v>
      </c>
      <c r="I50" cm="1">
        <f t="array" ref="I50">IFERROR(AVERAGE(
    IF(
        (braves_19_25!$B:$B=$A50) *
        ((braves_19_25!$C:$C="SL") +
         (braves_19_25!$C:$C="ST") +
         (braves_19_25!$C:$C="SV")),
        braves_19_25!$I:$I
    )
),0)</f>
        <v>3.5186999999999999</v>
      </c>
      <c r="J50" cm="1">
        <f t="array" ref="J50">IFERROR(AVERAGE(
    IF(
        (braves_19_25!$B:$B=$A50) *
        ((braves_19_25!$C:$C="SL") +
         (braves_19_25!$C:$C="ST") +
         (braves_19_25!$C:$C="SV")),
        braves_19_25!$J:$J
    )
),0)</f>
        <v>-0.64492000000000005</v>
      </c>
      <c r="K50" s="29" cm="1">
        <f t="array" ref="K50">IFERROR(AVERAGE(
    IF(
        (braves_19_25!$B:$B=$A50) *
        ((braves_19_25!$C:$C="SL") +
         (braves_19_25!$C:$C="ST") +
         (braves_19_25!$C:$C="SV")),
        braves_19_25!$K:$K
    )
),0)</f>
        <v>-0.33211000000000002</v>
      </c>
      <c r="L50" s="28" cm="1">
        <f t="array" ref="L50">IFERROR(AVERAGE(
    IF(
        (braves_19_25!$B:$B=$A50) *
        ((braves_19_25!$C:$C="CU") +
         (braves_19_25!$C:$C="CS") +
         (braves_19_25!$C:$C="KC")),
        braves_19_25!$G:$G
    )
),0)</f>
        <v>0</v>
      </c>
      <c r="M50" cm="1">
        <f t="array" ref="M50">IFERROR(AVERAGE(
    IF(
        (braves_19_25!$B:$B=$A50) *
        ((braves_19_25!$C:$C="CU") +
         (braves_19_25!$C:$C="CS") +
         (braves_19_25!$C:$C="KC")),
        braves_19_25!$F:$F
    )
),0)</f>
        <v>0</v>
      </c>
      <c r="N50" cm="1">
        <f t="array" ref="N50">IFERROR(AVERAGE(
    IF(
        (braves_19_25!$B:$B=$A50) *
        ((braves_19_25!$C:$C="CU") +
         (braves_19_25!$C:$C="CS") +
         (braves_19_25!$C:$C="KC")),
        braves_19_25!$I:$I
    )
),0)</f>
        <v>0</v>
      </c>
      <c r="O50" cm="1">
        <f t="array" ref="O50">IFERROR(AVERAGE(
    IF(
        (braves_19_25!$B:$B=$A50) *
        ((braves_19_25!$C:$C="CU") +
         (braves_19_25!$C:$C="CS") +
         (braves_19_25!$C:$C="KC")),
        braves_19_25!$J:$J
    )
),0)</f>
        <v>0</v>
      </c>
      <c r="P50" s="29" cm="1">
        <f t="array" ref="P50">IFERROR(AVERAGE(
    IF(
        (braves_19_25!$B:$B=$A50) *
        ((braves_19_25!$C:$C="CU") +
         (braves_19_25!$C:$C="CS") +
         (braves_19_25!$C:$C="KC")),
        braves_19_25!$K:$K
    )
),0)</f>
        <v>0</v>
      </c>
      <c r="Q50" s="28" cm="1">
        <f t="array" ref="Q50">IFERROR(AVERAGE(
    IF(
        (braves_19_25!$B:$B=$A50) *
        ((braves_19_25!$C:$C="FS") +
         (braves_19_25!$C:$C="CH") +
         (braves_19_25!$C:$C="FO") +
         (braves_19_25!$C:$C="SC")),
        braves_19_25!$G:$G
    )
),0)</f>
        <v>0</v>
      </c>
      <c r="R50" cm="1">
        <f t="array" ref="R50">IFERROR(AVERAGE(
    IF(
        (braves_19_25!$B:$B=$A50) *
        ((braves_19_25!$C:$C="FS") +
         (braves_19_25!$C:$C="CH") +
         (braves_19_25!$C:$C="FO") +
         (braves_19_25!$C:$C="SC")),
        braves_19_25!$F:$F
    )
),0)</f>
        <v>0</v>
      </c>
      <c r="S50" cm="1">
        <f t="array" ref="S50">IFERROR(AVERAGE(
    IF(
        (braves_19_25!$B:$B=$A50) *
        ((braves_19_25!$C:$C="FS") +
         (braves_19_25!$C:$C="CH") +
         (braves_19_25!$C:$C="FO") +
         (braves_19_25!$C:$C="SC")),
        braves_19_25!$I:$I
    )
),0)</f>
        <v>0</v>
      </c>
      <c r="T50" cm="1">
        <f t="array" ref="T50">IFERROR(AVERAGE(
    IF(
        (braves_19_25!$B:$B=$A50) *
        ((braves_19_25!$C:$C="FS") +
         (braves_19_25!$C:$C="CH") +
         (braves_19_25!$C:$C="FO") +
         (braves_19_25!$C:$C="SC")),
        braves_19_25!$J:$J
    )
),0)</f>
        <v>0</v>
      </c>
      <c r="U50" s="29" cm="1">
        <f t="array" ref="U50">IFERROR(AVERAGE(
    IF(
        (braves_19_25!$B:$B=$A50) *
        ((braves_19_25!$C:$C="FS") +
         (braves_19_25!$C:$C="CH") +
         (braves_19_25!$C:$C="FO") +
         (braves_19_25!$C:$C="SC")),
        braves_19_25!$K:$K
    )
),0)</f>
        <v>0</v>
      </c>
      <c r="V50" s="28" cm="1">
        <f t="array" ref="V50">IFERROR(AVERAGE(
    IF(
        (braves_19_25!$B:$B=$A50) *
        ((braves_19_25!$C:$C="EP") +
         (braves_19_25!$C:$C="FA") +
         (braves_19_25!$C:$C="KN")),
        braves_19_25!$G:$G
    )
),0)</f>
        <v>0</v>
      </c>
      <c r="W50" cm="1">
        <f t="array" ref="W50">IFERROR(AVERAGE(
    IF(
        (braves_19_25!$B:$B=$A50) *
        ((braves_19_25!$C:$C="EP") +
         (braves_19_25!$C:$C="FA") +
         (braves_19_25!$C:$C="KN")),
        braves_19_25!$F:$F
    )
),0)</f>
        <v>0</v>
      </c>
      <c r="X50" cm="1">
        <f t="array" ref="X50">IFERROR(AVERAGE(
    IF(
        (braves_19_25!$B:$B=$A50) *
        ((braves_19_25!$C:$C="EP") +
         (braves_19_25!$C:$C="FA") +
         (braves_19_25!$C:$C="KN")),
        braves_19_25!$I:$I
    )
),0)</f>
        <v>0</v>
      </c>
      <c r="Y50" cm="1">
        <f t="array" ref="Y50">IFERROR(AVERAGE(
    IF(
        (braves_19_25!$B:$B=$A50) *
        ((braves_19_25!$C:$C="EP") +
         (braves_19_25!$C:$C="FA") +
         (braves_19_25!$C:$C="KN")),
        braves_19_25!$J:$J
    )
),0)</f>
        <v>0</v>
      </c>
      <c r="Z50" s="29" cm="1">
        <f t="array" ref="Z50">IFERROR(AVERAGE(
    IF(
        (braves_19_25!$B:$B=$A50) *
        ((braves_19_25!$C:$C="EP") +
         (braves_19_25!$C:$C="FA") +
         (braves_19_25!$C:$C="KN")),
        braves_19_25!$K:$K
    )
),0)</f>
        <v>0</v>
      </c>
    </row>
    <row r="51" spans="1:26" x14ac:dyDescent="0.3">
      <c r="A51" t="str">
        <v>Winans, Allan</v>
      </c>
      <c r="B51" s="28" cm="1">
        <f t="array" ref="B51">IFERROR(AVERAGE(
    IF(
        (braves_19_25!$B:$B=$A51) *
        ((braves_19_25!$C:$C="FF") +
         (braves_19_25!$C:$C="SI") +
         (braves_19_25!$C:$C="FC")),
        braves_19_25!$G:$G
    )
),0)</f>
        <v>90.685000000000002</v>
      </c>
      <c r="C51" cm="1">
        <f t="array" ref="C51">IFERROR(AVERAGE(
    IF(
        (braves_19_25!$B:$B=$A51) *
        ((braves_19_25!$C:$C="FF") +
         (braves_19_25!$C:$C="SI") +
         (braves_19_25!$C:$C="FC")),
        braves_19_25!$F:$F
    )
),0)</f>
        <v>2162</v>
      </c>
      <c r="D51" cm="1">
        <f t="array" ref="D51">IFERROR(AVERAGE(
    IF(
        (braves_19_25!$B:$B=$A51) *
        ((braves_19_25!$C:$C="FF") +
         (braves_19_25!$C:$C="SI") +
         (braves_19_25!$C:$C="FC")),
        braves_19_25!$I:$I
    )
),0)</f>
        <v>1.9589699999999999</v>
      </c>
      <c r="E51" cm="1">
        <f t="array" ref="E51">IFERROR(AVERAGE(
    IF(
        (braves_19_25!$B:$B=$A51) *
        ((braves_19_25!$C:$C="FF") +
         (braves_19_25!$C:$C="SI") +
         (braves_19_25!$C:$C="FC")),
        braves_19_25!$J:$J
    )
),0)</f>
        <v>1.0807249999999999</v>
      </c>
      <c r="F51" s="29" cm="1">
        <f t="array" ref="F51">IFERROR(AVERAGE(
    IF(
        (braves_19_25!$B:$B=$A51) *
        ((braves_19_25!$C:$C="FF") +
         (braves_19_25!$C:$C="SI") +
         (braves_19_25!$C:$C="FC")),
        braves_19_25!$K:$K
    )
),0)</f>
        <v>-0.26100000000000001</v>
      </c>
      <c r="G51" s="28" cm="1">
        <f t="array" ref="G51">IFERROR(AVERAGE(
    IF(
        (braves_19_25!$B:$B=$A51) *
        ((braves_19_25!$C:$C="SL") +
         (braves_19_25!$C:$C="ST") +
         (braves_19_25!$C:$C="SV")),
        braves_19_25!$G:$G
    )
),0)</f>
        <v>79.16</v>
      </c>
      <c r="H51" cm="1">
        <f t="array" ref="H51">IFERROR(AVERAGE(
    IF(
        (braves_19_25!$B:$B=$A51) *
        ((braves_19_25!$C:$C="SL") +
         (braves_19_25!$C:$C="ST") +
         (braves_19_25!$C:$C="SV")),
        braves_19_25!$F:$F
    )
),0)</f>
        <v>2573</v>
      </c>
      <c r="I51" cm="1">
        <f t="array" ref="I51">IFERROR(AVERAGE(
    IF(
        (braves_19_25!$B:$B=$A51) *
        ((braves_19_25!$C:$C="SL") +
         (braves_19_25!$C:$C="ST") +
         (braves_19_25!$C:$C="SV")),
        braves_19_25!$I:$I
    )
),0)</f>
        <v>3.9528599999999998</v>
      </c>
      <c r="J51" cm="1">
        <f t="array" ref="J51">IFERROR(AVERAGE(
    IF(
        (braves_19_25!$B:$B=$A51) *
        ((braves_19_25!$C:$C="SL") +
         (braves_19_25!$C:$C="ST") +
         (braves_19_25!$C:$C="SV")),
        braves_19_25!$J:$J
    )
),0)</f>
        <v>-1.0747199999999999</v>
      </c>
      <c r="K51" s="29" cm="1">
        <f t="array" ref="K51">IFERROR(AVERAGE(
    IF(
        (braves_19_25!$B:$B=$A51) *
        ((braves_19_25!$C:$C="SL") +
         (braves_19_25!$C:$C="ST") +
         (braves_19_25!$C:$C="SV")),
        braves_19_25!$K:$K
    )
),0)</f>
        <v>-9.8070000000000004E-2</v>
      </c>
      <c r="L51" s="28" cm="1">
        <f t="array" ref="L51">IFERROR(AVERAGE(
    IF(
        (braves_19_25!$B:$B=$A51) *
        ((braves_19_25!$C:$C="CU") +
         (braves_19_25!$C:$C="CS") +
         (braves_19_25!$C:$C="KC")),
        braves_19_25!$G:$G
    )
),0)</f>
        <v>0</v>
      </c>
      <c r="M51" cm="1">
        <f t="array" ref="M51">IFERROR(AVERAGE(
    IF(
        (braves_19_25!$B:$B=$A51) *
        ((braves_19_25!$C:$C="CU") +
         (braves_19_25!$C:$C="CS") +
         (braves_19_25!$C:$C="KC")),
        braves_19_25!$F:$F
    )
),0)</f>
        <v>0</v>
      </c>
      <c r="N51" cm="1">
        <f t="array" ref="N51">IFERROR(AVERAGE(
    IF(
        (braves_19_25!$B:$B=$A51) *
        ((braves_19_25!$C:$C="CU") +
         (braves_19_25!$C:$C="CS") +
         (braves_19_25!$C:$C="KC")),
        braves_19_25!$I:$I
    )
),0)</f>
        <v>0</v>
      </c>
      <c r="O51" cm="1">
        <f t="array" ref="O51">IFERROR(AVERAGE(
    IF(
        (braves_19_25!$B:$B=$A51) *
        ((braves_19_25!$C:$C="CU") +
         (braves_19_25!$C:$C="CS") +
         (braves_19_25!$C:$C="KC")),
        braves_19_25!$J:$J
    )
),0)</f>
        <v>0</v>
      </c>
      <c r="P51" s="29" cm="1">
        <f t="array" ref="P51">IFERROR(AVERAGE(
    IF(
        (braves_19_25!$B:$B=$A51) *
        ((braves_19_25!$C:$C="CU") +
         (braves_19_25!$C:$C="CS") +
         (braves_19_25!$C:$C="KC")),
        braves_19_25!$K:$K
    )
),0)</f>
        <v>0</v>
      </c>
      <c r="Q51" s="28" cm="1">
        <f t="array" ref="Q51">IFERROR(AVERAGE(
    IF(
        (braves_19_25!$B:$B=$A51) *
        ((braves_19_25!$C:$C="FS") +
         (braves_19_25!$C:$C="CH") +
         (braves_19_25!$C:$C="FO") +
         (braves_19_25!$C:$C="SC")),
        braves_19_25!$G:$G
    )
),0)</f>
        <v>83.39</v>
      </c>
      <c r="R51" cm="1">
        <f t="array" ref="R51">IFERROR(AVERAGE(
    IF(
        (braves_19_25!$B:$B=$A51) *
        ((braves_19_25!$C:$C="FS") +
         (braves_19_25!$C:$C="CH") +
         (braves_19_25!$C:$C="FO") +
         (braves_19_25!$C:$C="SC")),
        braves_19_25!$F:$F
    )
),0)</f>
        <v>1856</v>
      </c>
      <c r="S51" cm="1">
        <f t="array" ref="S51">IFERROR(AVERAGE(
    IF(
        (braves_19_25!$B:$B=$A51) *
        ((braves_19_25!$C:$C="FS") +
         (braves_19_25!$C:$C="CH") +
         (braves_19_25!$C:$C="FO") +
         (braves_19_25!$C:$C="SC")),
        braves_19_25!$I:$I
    )
),0)</f>
        <v>3.12385</v>
      </c>
      <c r="T51" cm="1">
        <f t="array" ref="T51">IFERROR(AVERAGE(
    IF(
        (braves_19_25!$B:$B=$A51) *
        ((braves_19_25!$C:$C="FS") +
         (braves_19_25!$C:$C="CH") +
         (braves_19_25!$C:$C="FO") +
         (braves_19_25!$C:$C="SC")),
        braves_19_25!$J:$J
    )
),0)</f>
        <v>1.15106</v>
      </c>
      <c r="U51" s="29" cm="1">
        <f t="array" ref="U51">IFERROR(AVERAGE(
    IF(
        (braves_19_25!$B:$B=$A51) *
        ((braves_19_25!$C:$C="FS") +
         (braves_19_25!$C:$C="CH") +
         (braves_19_25!$C:$C="FO") +
         (braves_19_25!$C:$C="SC")),
        braves_19_25!$K:$K
    )
),0)</f>
        <v>-0.74865000000000004</v>
      </c>
      <c r="V51" s="28" cm="1">
        <f t="array" ref="V51">IFERROR(AVERAGE(
    IF(
        (braves_19_25!$B:$B=$A51) *
        ((braves_19_25!$C:$C="EP") +
         (braves_19_25!$C:$C="FA") +
         (braves_19_25!$C:$C="KN")),
        braves_19_25!$G:$G
    )
),0)</f>
        <v>0</v>
      </c>
      <c r="W51" cm="1">
        <f t="array" ref="W51">IFERROR(AVERAGE(
    IF(
        (braves_19_25!$B:$B=$A51) *
        ((braves_19_25!$C:$C="EP") +
         (braves_19_25!$C:$C="FA") +
         (braves_19_25!$C:$C="KN")),
        braves_19_25!$F:$F
    )
),0)</f>
        <v>0</v>
      </c>
      <c r="X51" cm="1">
        <f t="array" ref="X51">IFERROR(AVERAGE(
    IF(
        (braves_19_25!$B:$B=$A51) *
        ((braves_19_25!$C:$C="EP") +
         (braves_19_25!$C:$C="FA") +
         (braves_19_25!$C:$C="KN")),
        braves_19_25!$I:$I
    )
),0)</f>
        <v>0</v>
      </c>
      <c r="Y51" cm="1">
        <f t="array" ref="Y51">IFERROR(AVERAGE(
    IF(
        (braves_19_25!$B:$B=$A51) *
        ((braves_19_25!$C:$C="EP") +
         (braves_19_25!$C:$C="FA") +
         (braves_19_25!$C:$C="KN")),
        braves_19_25!$J:$J
    )
),0)</f>
        <v>0</v>
      </c>
      <c r="Z51" s="29" cm="1">
        <f t="array" ref="Z51">IFERROR(AVERAGE(
    IF(
        (braves_19_25!$B:$B=$A51) *
        ((braves_19_25!$C:$C="EP") +
         (braves_19_25!$C:$C="FA") +
         (braves_19_25!$C:$C="KN")),
        braves_19_25!$K:$K
    )
),0)</f>
        <v>0</v>
      </c>
    </row>
    <row r="52" spans="1:26" x14ac:dyDescent="0.3">
      <c r="A52" t="str">
        <v>Melancon, Mark</v>
      </c>
      <c r="B52" s="28" cm="1">
        <f t="array" ref="B52">IFERROR(AVERAGE(
    IF(
        (braves_19_25!$B:$B=$A52) *
        ((braves_19_25!$C:$C="FF") +
         (braves_19_25!$C:$C="SI") +
         (braves_19_25!$C:$C="FC")),
        braves_19_25!$G:$G
    )
),0)</f>
        <v>92.094999999999999</v>
      </c>
      <c r="C52" cm="1">
        <f t="array" ref="C52">IFERROR(AVERAGE(
    IF(
        (braves_19_25!$B:$B=$A52) *
        ((braves_19_25!$C:$C="FF") +
         (braves_19_25!$C:$C="SI") +
         (braves_19_25!$C:$C="FC")),
        braves_19_25!$F:$F
    )
),0)</f>
        <v>2327</v>
      </c>
      <c r="D52" cm="1">
        <f t="array" ref="D52">IFERROR(AVERAGE(
    IF(
        (braves_19_25!$B:$B=$A52) *
        ((braves_19_25!$C:$C="FF") +
         (braves_19_25!$C:$C="SI") +
         (braves_19_25!$C:$C="FC")),
        braves_19_25!$I:$I
    )
),0)</f>
        <v>1.7641450000000001</v>
      </c>
      <c r="E52" cm="1">
        <f t="array" ref="E52">IFERROR(AVERAGE(
    IF(
        (braves_19_25!$B:$B=$A52) *
        ((braves_19_25!$C:$C="FF") +
         (braves_19_25!$C:$C="SI") +
         (braves_19_25!$C:$C="FC")),
        braves_19_25!$J:$J
    )
),0)</f>
        <v>0.22501499999999999</v>
      </c>
      <c r="F52" s="29" cm="1">
        <f t="array" ref="F52">IFERROR(AVERAGE(
    IF(
        (braves_19_25!$B:$B=$A52) *
        ((braves_19_25!$C:$C="FF") +
         (braves_19_25!$C:$C="SI") +
         (braves_19_25!$C:$C="FC")),
        braves_19_25!$K:$K
    )
),0)</f>
        <v>0.21373</v>
      </c>
      <c r="G52" s="28" cm="1">
        <f t="array" ref="G52">IFERROR(AVERAGE(
    IF(
        (braves_19_25!$B:$B=$A52) *
        ((braves_19_25!$C:$C="SL") +
         (braves_19_25!$C:$C="ST") +
         (braves_19_25!$C:$C="SV")),
        braves_19_25!$G:$G
    )
),0)</f>
        <v>0</v>
      </c>
      <c r="H52" cm="1">
        <f t="array" ref="H52">IFERROR(AVERAGE(
    IF(
        (braves_19_25!$B:$B=$A52) *
        ((braves_19_25!$C:$C="SL") +
         (braves_19_25!$C:$C="ST") +
         (braves_19_25!$C:$C="SV")),
        braves_19_25!$F:$F
    )
),0)</f>
        <v>0</v>
      </c>
      <c r="I52" cm="1">
        <f t="array" ref="I52">IFERROR(AVERAGE(
    IF(
        (braves_19_25!$B:$B=$A52) *
        ((braves_19_25!$C:$C="SL") +
         (braves_19_25!$C:$C="ST") +
         (braves_19_25!$C:$C="SV")),
        braves_19_25!$I:$I
    )
),0)</f>
        <v>0</v>
      </c>
      <c r="J52" cm="1">
        <f t="array" ref="J52">IFERROR(AVERAGE(
    IF(
        (braves_19_25!$B:$B=$A52) *
        ((braves_19_25!$C:$C="SL") +
         (braves_19_25!$C:$C="ST") +
         (braves_19_25!$C:$C="SV")),
        braves_19_25!$J:$J
    )
),0)</f>
        <v>0</v>
      </c>
      <c r="K52" s="29" cm="1">
        <f t="array" ref="K52">IFERROR(AVERAGE(
    IF(
        (braves_19_25!$B:$B=$A52) *
        ((braves_19_25!$C:$C="SL") +
         (braves_19_25!$C:$C="ST") +
         (braves_19_25!$C:$C="SV")),
        braves_19_25!$K:$K
    )
),0)</f>
        <v>0</v>
      </c>
      <c r="L52" s="28" cm="1">
        <f t="array" ref="L52">IFERROR(AVERAGE(
    IF(
        (braves_19_25!$B:$B=$A52) *
        ((braves_19_25!$C:$C="CU") +
         (braves_19_25!$C:$C="CS") +
         (braves_19_25!$C:$C="KC")),
        braves_19_25!$G:$G
    )
),0)</f>
        <v>80.83</v>
      </c>
      <c r="M52" cm="1">
        <f t="array" ref="M52">IFERROR(AVERAGE(
    IF(
        (braves_19_25!$B:$B=$A52) *
        ((braves_19_25!$C:$C="CU") +
         (braves_19_25!$C:$C="CS") +
         (braves_19_25!$C:$C="KC")),
        braves_19_25!$F:$F
    )
),0)</f>
        <v>2660</v>
      </c>
      <c r="N52" cm="1">
        <f t="array" ref="N52">IFERROR(AVERAGE(
    IF(
        (braves_19_25!$B:$B=$A52) *
        ((braves_19_25!$C:$C="CU") +
         (braves_19_25!$C:$C="CS") +
         (braves_19_25!$C:$C="KC")),
        braves_19_25!$I:$I
    )
),0)</f>
        <v>4.80755</v>
      </c>
      <c r="O52" cm="1">
        <f t="array" ref="O52">IFERROR(AVERAGE(
    IF(
        (braves_19_25!$B:$B=$A52) *
        ((braves_19_25!$C:$C="CU") +
         (braves_19_25!$C:$C="CS") +
         (braves_19_25!$C:$C="KC")),
        braves_19_25!$J:$J
    )
),0)</f>
        <v>-0.32972000000000001</v>
      </c>
      <c r="P52" s="29" cm="1">
        <f t="array" ref="P52">IFERROR(AVERAGE(
    IF(
        (braves_19_25!$B:$B=$A52) *
        ((braves_19_25!$C:$C="CU") +
         (braves_19_25!$C:$C="CS") +
         (braves_19_25!$C:$C="KC")),
        braves_19_25!$K:$K
    )
),0)</f>
        <v>-8.5559999999999997E-2</v>
      </c>
      <c r="Q52" s="28" cm="1">
        <f t="array" ref="Q52">IFERROR(AVERAGE(
    IF(
        (braves_19_25!$B:$B=$A52) *
        ((braves_19_25!$C:$C="FS") +
         (braves_19_25!$C:$C="CH") +
         (braves_19_25!$C:$C="FO") +
         (braves_19_25!$C:$C="SC")),
        braves_19_25!$G:$G
    )
),0)</f>
        <v>84.33</v>
      </c>
      <c r="R52" cm="1">
        <f t="array" ref="R52">IFERROR(AVERAGE(
    IF(
        (braves_19_25!$B:$B=$A52) *
        ((braves_19_25!$C:$C="FS") +
         (braves_19_25!$C:$C="CH") +
         (braves_19_25!$C:$C="FO") +
         (braves_19_25!$C:$C="SC")),
        braves_19_25!$F:$F
    )
),0)</f>
        <v>1878</v>
      </c>
      <c r="S52" cm="1">
        <f t="array" ref="S52">IFERROR(AVERAGE(
    IF(
        (braves_19_25!$B:$B=$A52) *
        ((braves_19_25!$C:$C="FS") +
         (braves_19_25!$C:$C="CH") +
         (braves_19_25!$C:$C="FO") +
         (braves_19_25!$C:$C="SC")),
        braves_19_25!$I:$I
    )
),0)</f>
        <v>2.3166699999999998</v>
      </c>
      <c r="T52" cm="1">
        <f t="array" ref="T52">IFERROR(AVERAGE(
    IF(
        (braves_19_25!$B:$B=$A52) *
        ((braves_19_25!$C:$C="FS") +
         (braves_19_25!$C:$C="CH") +
         (braves_19_25!$C:$C="FO") +
         (braves_19_25!$C:$C="SC")),
        braves_19_25!$J:$J
    )
),0)</f>
        <v>1.0693299999999999</v>
      </c>
      <c r="U52" s="29" cm="1">
        <f t="array" ref="U52">IFERROR(AVERAGE(
    IF(
        (braves_19_25!$B:$B=$A52) *
        ((braves_19_25!$C:$C="FS") +
         (braves_19_25!$C:$C="CH") +
         (braves_19_25!$C:$C="FO") +
         (braves_19_25!$C:$C="SC")),
        braves_19_25!$K:$K
    )
),0)</f>
        <v>-0.49732999999999999</v>
      </c>
      <c r="V52" s="28" cm="1">
        <f t="array" ref="V52">IFERROR(AVERAGE(
    IF(
        (braves_19_25!$B:$B=$A52) *
        ((braves_19_25!$C:$C="EP") +
         (braves_19_25!$C:$C="FA") +
         (braves_19_25!$C:$C="KN")),
        braves_19_25!$G:$G
    )
),0)</f>
        <v>0</v>
      </c>
      <c r="W52" cm="1">
        <f t="array" ref="W52">IFERROR(AVERAGE(
    IF(
        (braves_19_25!$B:$B=$A52) *
        ((braves_19_25!$C:$C="EP") +
         (braves_19_25!$C:$C="FA") +
         (braves_19_25!$C:$C="KN")),
        braves_19_25!$F:$F
    )
),0)</f>
        <v>0</v>
      </c>
      <c r="X52" cm="1">
        <f t="array" ref="X52">IFERROR(AVERAGE(
    IF(
        (braves_19_25!$B:$B=$A52) *
        ((braves_19_25!$C:$C="EP") +
         (braves_19_25!$C:$C="FA") +
         (braves_19_25!$C:$C="KN")),
        braves_19_25!$I:$I
    )
),0)</f>
        <v>0</v>
      </c>
      <c r="Y52" cm="1">
        <f t="array" ref="Y52">IFERROR(AVERAGE(
    IF(
        (braves_19_25!$B:$B=$A52) *
        ((braves_19_25!$C:$C="EP") +
         (braves_19_25!$C:$C="FA") +
         (braves_19_25!$C:$C="KN")),
        braves_19_25!$J:$J
    )
),0)</f>
        <v>0</v>
      </c>
      <c r="Z52" s="29" cm="1">
        <f t="array" ref="Z52">IFERROR(AVERAGE(
    IF(
        (braves_19_25!$B:$B=$A52) *
        ((braves_19_25!$C:$C="EP") +
         (braves_19_25!$C:$C="FA") +
         (braves_19_25!$C:$C="KN")),
        braves_19_25!$K:$K
    )
),0)</f>
        <v>0</v>
      </c>
    </row>
    <row r="53" spans="1:26" x14ac:dyDescent="0.3">
      <c r="A53" t="str">
        <v>Montero, Rafael</v>
      </c>
      <c r="B53" s="28" cm="1">
        <f t="array" ref="B53">IFERROR(AVERAGE(
    IF(
        (braves_19_25!$B:$B=$A53) *
        ((braves_19_25!$C:$C="FF") +
         (braves_19_25!$C:$C="SI") +
         (braves_19_25!$C:$C="FC")),
        braves_19_25!$G:$G
    )
),0)</f>
        <v>95.110000000000014</v>
      </c>
      <c r="C53" cm="1">
        <f t="array" ref="C53">IFERROR(AVERAGE(
    IF(
        (braves_19_25!$B:$B=$A53) *
        ((braves_19_25!$C:$C="FF") +
         (braves_19_25!$C:$C="SI") +
         (braves_19_25!$C:$C="FC")),
        braves_19_25!$F:$F
    )
),0)</f>
        <v>2348.5</v>
      </c>
      <c r="D53" cm="1">
        <f t="array" ref="D53">IFERROR(AVERAGE(
    IF(
        (braves_19_25!$B:$B=$A53) *
        ((braves_19_25!$C:$C="FF") +
         (braves_19_25!$C:$C="SI") +
         (braves_19_25!$C:$C="FC")),
        braves_19_25!$I:$I
    )
),0)</f>
        <v>1.531085</v>
      </c>
      <c r="E53" cm="1">
        <f t="array" ref="E53">IFERROR(AVERAGE(
    IF(
        (braves_19_25!$B:$B=$A53) *
        ((braves_19_25!$C:$C="FF") +
         (braves_19_25!$C:$C="SI") +
         (braves_19_25!$C:$C="FC")),
        braves_19_25!$J:$J
    )
),0)</f>
        <v>1.0808249999999999</v>
      </c>
      <c r="F53" s="29" cm="1">
        <f t="array" ref="F53">IFERROR(AVERAGE(
    IF(
        (braves_19_25!$B:$B=$A53) *
        ((braves_19_25!$C:$C="FF") +
         (braves_19_25!$C:$C="SI") +
         (braves_19_25!$C:$C="FC")),
        braves_19_25!$K:$K
    )
),0)</f>
        <v>0.81820499999999996</v>
      </c>
      <c r="G53" s="28" cm="1">
        <f t="array" ref="G53">IFERROR(AVERAGE(
    IF(
        (braves_19_25!$B:$B=$A53) *
        ((braves_19_25!$C:$C="SL") +
         (braves_19_25!$C:$C="ST") +
         (braves_19_25!$C:$C="SV")),
        braves_19_25!$G:$G
    )
),0)</f>
        <v>85.1</v>
      </c>
      <c r="H53" cm="1">
        <f t="array" ref="H53">IFERROR(AVERAGE(
    IF(
        (braves_19_25!$B:$B=$A53) *
        ((braves_19_25!$C:$C="SL") +
         (braves_19_25!$C:$C="ST") +
         (braves_19_25!$C:$C="SV")),
        braves_19_25!$F:$F
    )
),0)</f>
        <v>2408</v>
      </c>
      <c r="I53" cm="1">
        <f t="array" ref="I53">IFERROR(AVERAGE(
    IF(
        (braves_19_25!$B:$B=$A53) *
        ((braves_19_25!$C:$C="SL") +
         (braves_19_25!$C:$C="ST") +
         (braves_19_25!$C:$C="SV")),
        braves_19_25!$I:$I
    )
),0)</f>
        <v>3.04766</v>
      </c>
      <c r="J53" cm="1">
        <f t="array" ref="J53">IFERROR(AVERAGE(
    IF(
        (braves_19_25!$B:$B=$A53) *
        ((braves_19_25!$C:$C="SL") +
         (braves_19_25!$C:$C="ST") +
         (braves_19_25!$C:$C="SV")),
        braves_19_25!$J:$J
    )
),0)</f>
        <v>-0.63978999999999997</v>
      </c>
      <c r="K53" s="29" cm="1">
        <f t="array" ref="K53">IFERROR(AVERAGE(
    IF(
        (braves_19_25!$B:$B=$A53) *
        ((braves_19_25!$C:$C="SL") +
         (braves_19_25!$C:$C="ST") +
         (braves_19_25!$C:$C="SV")),
        braves_19_25!$K:$K
    )
),0)</f>
        <v>-0.59979000000000005</v>
      </c>
      <c r="L53" s="28" cm="1">
        <f t="array" ref="L53">IFERROR(AVERAGE(
    IF(
        (braves_19_25!$B:$B=$A53) *
        ((braves_19_25!$C:$C="CU") +
         (braves_19_25!$C:$C="CS") +
         (braves_19_25!$C:$C="KC")),
        braves_19_25!$G:$G
    )
),0)</f>
        <v>0</v>
      </c>
      <c r="M53" cm="1">
        <f t="array" ref="M53">IFERROR(AVERAGE(
    IF(
        (braves_19_25!$B:$B=$A53) *
        ((braves_19_25!$C:$C="CU") +
         (braves_19_25!$C:$C="CS") +
         (braves_19_25!$C:$C="KC")),
        braves_19_25!$F:$F
    )
),0)</f>
        <v>0</v>
      </c>
      <c r="N53" cm="1">
        <f t="array" ref="N53">IFERROR(AVERAGE(
    IF(
        (braves_19_25!$B:$B=$A53) *
        ((braves_19_25!$C:$C="CU") +
         (braves_19_25!$C:$C="CS") +
         (braves_19_25!$C:$C="KC")),
        braves_19_25!$I:$I
    )
),0)</f>
        <v>0</v>
      </c>
      <c r="O53" cm="1">
        <f t="array" ref="O53">IFERROR(AVERAGE(
    IF(
        (braves_19_25!$B:$B=$A53) *
        ((braves_19_25!$C:$C="CU") +
         (braves_19_25!$C:$C="CS") +
         (braves_19_25!$C:$C="KC")),
        braves_19_25!$J:$J
    )
),0)</f>
        <v>0</v>
      </c>
      <c r="P53" s="29" cm="1">
        <f t="array" ref="P53">IFERROR(AVERAGE(
    IF(
        (braves_19_25!$B:$B=$A53) *
        ((braves_19_25!$C:$C="CU") +
         (braves_19_25!$C:$C="CS") +
         (braves_19_25!$C:$C="KC")),
        braves_19_25!$K:$K
    )
),0)</f>
        <v>0</v>
      </c>
      <c r="Q53" s="28" cm="1">
        <f t="array" ref="Q53">IFERROR(AVERAGE(
    IF(
        (braves_19_25!$B:$B=$A53) *
        ((braves_19_25!$C:$C="FS") +
         (braves_19_25!$C:$C="CH") +
         (braves_19_25!$C:$C="FO") +
         (braves_19_25!$C:$C="SC")),
        braves_19_25!$G:$G
    )
),0)</f>
        <v>88.14</v>
      </c>
      <c r="R53" cm="1">
        <f t="array" ref="R53">IFERROR(AVERAGE(
    IF(
        (braves_19_25!$B:$B=$A53) *
        ((braves_19_25!$C:$C="FS") +
         (braves_19_25!$C:$C="CH") +
         (braves_19_25!$C:$C="FO") +
         (braves_19_25!$C:$C="SC")),
        braves_19_25!$F:$F
    )
),0)</f>
        <v>1606</v>
      </c>
      <c r="S53" cm="1">
        <f t="array" ref="S53">IFERROR(AVERAGE(
    IF(
        (braves_19_25!$B:$B=$A53) *
        ((braves_19_25!$C:$C="FS") +
         (braves_19_25!$C:$C="CH") +
         (braves_19_25!$C:$C="FO") +
         (braves_19_25!$C:$C="SC")),
        braves_19_25!$I:$I
    )
),0)</f>
        <v>2.8505500000000001</v>
      </c>
      <c r="T53" cm="1">
        <f t="array" ref="T53">IFERROR(AVERAGE(
    IF(
        (braves_19_25!$B:$B=$A53) *
        ((braves_19_25!$C:$C="FS") +
         (braves_19_25!$C:$C="CH") +
         (braves_19_25!$C:$C="FO") +
         (braves_19_25!$C:$C="SC")),
        braves_19_25!$J:$J
    )
),0)</f>
        <v>1.0369200000000001</v>
      </c>
      <c r="U53" s="29" cm="1">
        <f t="array" ref="U53">IFERROR(AVERAGE(
    IF(
        (braves_19_25!$B:$B=$A53) *
        ((braves_19_25!$C:$C="FS") +
         (braves_19_25!$C:$C="CH") +
         (braves_19_25!$C:$C="FO") +
         (braves_19_25!$C:$C="SC")),
        braves_19_25!$K:$K
    )
),0)</f>
        <v>-0.12911</v>
      </c>
      <c r="V53" s="28" cm="1">
        <f t="array" ref="V53">IFERROR(AVERAGE(
    IF(
        (braves_19_25!$B:$B=$A53) *
        ((braves_19_25!$C:$C="EP") +
         (braves_19_25!$C:$C="FA") +
         (braves_19_25!$C:$C="KN")),
        braves_19_25!$G:$G
    )
),0)</f>
        <v>0</v>
      </c>
      <c r="W53" cm="1">
        <f t="array" ref="W53">IFERROR(AVERAGE(
    IF(
        (braves_19_25!$B:$B=$A53) *
        ((braves_19_25!$C:$C="EP") +
         (braves_19_25!$C:$C="FA") +
         (braves_19_25!$C:$C="KN")),
        braves_19_25!$F:$F
    )
),0)</f>
        <v>0</v>
      </c>
      <c r="X53" cm="1">
        <f t="array" ref="X53">IFERROR(AVERAGE(
    IF(
        (braves_19_25!$B:$B=$A53) *
        ((braves_19_25!$C:$C="EP") +
         (braves_19_25!$C:$C="FA") +
         (braves_19_25!$C:$C="KN")),
        braves_19_25!$I:$I
    )
),0)</f>
        <v>0</v>
      </c>
      <c r="Y53" cm="1">
        <f t="array" ref="Y53">IFERROR(AVERAGE(
    IF(
        (braves_19_25!$B:$B=$A53) *
        ((braves_19_25!$C:$C="EP") +
         (braves_19_25!$C:$C="FA") +
         (braves_19_25!$C:$C="KN")),
        braves_19_25!$J:$J
    )
),0)</f>
        <v>0</v>
      </c>
      <c r="Z53" s="29" cm="1">
        <f t="array" ref="Z53">IFERROR(AVERAGE(
    IF(
        (braves_19_25!$B:$B=$A53) *
        ((braves_19_25!$C:$C="EP") +
         (braves_19_25!$C:$C="FA") +
         (braves_19_25!$C:$C="KN")),
        braves_19_25!$K:$K
    )
),0)</f>
        <v>0</v>
      </c>
    </row>
    <row r="54" spans="1:26" x14ac:dyDescent="0.3">
      <c r="A54" t="str">
        <v>Sobotka, Chad</v>
      </c>
      <c r="B54" s="28" cm="1">
        <f t="array" ref="B54">IFERROR(AVERAGE(
    IF(
        (braves_19_25!$B:$B=$A54) *
        ((braves_19_25!$C:$C="FF") +
         (braves_19_25!$C:$C="SI") +
         (braves_19_25!$C:$C="FC")),
        braves_19_25!$G:$G
    )
),0)</f>
        <v>92.27</v>
      </c>
      <c r="C54" cm="1">
        <f t="array" ref="C54">IFERROR(AVERAGE(
    IF(
        (braves_19_25!$B:$B=$A54) *
        ((braves_19_25!$C:$C="FF") +
         (braves_19_25!$C:$C="SI") +
         (braves_19_25!$C:$C="FC")),
        braves_19_25!$F:$F
    )
),0)</f>
        <v>2569</v>
      </c>
      <c r="D54" cm="1">
        <f t="array" ref="D54">IFERROR(AVERAGE(
    IF(
        (braves_19_25!$B:$B=$A54) *
        ((braves_19_25!$C:$C="FF") +
         (braves_19_25!$C:$C="SI") +
         (braves_19_25!$C:$C="FC")),
        braves_19_25!$I:$I
    )
),0)</f>
        <v>1.5796399999999999</v>
      </c>
      <c r="E54" cm="1">
        <f t="array" ref="E54">IFERROR(AVERAGE(
    IF(
        (braves_19_25!$B:$B=$A54) *
        ((braves_19_25!$C:$C="FF") +
         (braves_19_25!$C:$C="SI") +
         (braves_19_25!$C:$C="FC")),
        braves_19_25!$J:$J
    )
),0)</f>
        <v>9.4884999999999983E-2</v>
      </c>
      <c r="F54" s="29" cm="1">
        <f t="array" ref="F54">IFERROR(AVERAGE(
    IF(
        (braves_19_25!$B:$B=$A54) *
        ((braves_19_25!$C:$C="FF") +
         (braves_19_25!$C:$C="SI") +
         (braves_19_25!$C:$C="FC")),
        braves_19_25!$K:$K
    )
),0)</f>
        <v>-8.6360000000000006E-2</v>
      </c>
      <c r="G54" s="28" cm="1">
        <f t="array" ref="G54">IFERROR(AVERAGE(
    IF(
        (braves_19_25!$B:$B=$A54) *
        ((braves_19_25!$C:$C="SL") +
         (braves_19_25!$C:$C="ST") +
         (braves_19_25!$C:$C="SV")),
        braves_19_25!$G:$G
    )
),0)</f>
        <v>83.56</v>
      </c>
      <c r="H54" cm="1">
        <f t="array" ref="H54">IFERROR(AVERAGE(
    IF(
        (braves_19_25!$B:$B=$A54) *
        ((braves_19_25!$C:$C="SL") +
         (braves_19_25!$C:$C="ST") +
         (braves_19_25!$C:$C="SV")),
        braves_19_25!$F:$F
    )
),0)</f>
        <v>2958</v>
      </c>
      <c r="I54" cm="1">
        <f t="array" ref="I54">IFERROR(AVERAGE(
    IF(
        (braves_19_25!$B:$B=$A54) *
        ((braves_19_25!$C:$C="SL") +
         (braves_19_25!$C:$C="ST") +
         (braves_19_25!$C:$C="SV")),
        braves_19_25!$I:$I
    )
),0)</f>
        <v>3.5651600000000001</v>
      </c>
      <c r="J54" cm="1">
        <f t="array" ref="J54">IFERROR(AVERAGE(
    IF(
        (braves_19_25!$B:$B=$A54) *
        ((braves_19_25!$C:$C="SL") +
         (braves_19_25!$C:$C="ST") +
         (braves_19_25!$C:$C="SV")),
        braves_19_25!$J:$J
    )
),0)</f>
        <v>-0.94967000000000001</v>
      </c>
      <c r="K54" s="29" cm="1">
        <f t="array" ref="K54">IFERROR(AVERAGE(
    IF(
        (braves_19_25!$B:$B=$A54) *
        ((braves_19_25!$C:$C="SL") +
         (braves_19_25!$C:$C="ST") +
         (braves_19_25!$C:$C="SV")),
        braves_19_25!$K:$K
    )
),0)</f>
        <v>-0.27252999999999999</v>
      </c>
      <c r="L54" s="28" cm="1">
        <f t="array" ref="L54">IFERROR(AVERAGE(
    IF(
        (braves_19_25!$B:$B=$A54) *
        ((braves_19_25!$C:$C="CU") +
         (braves_19_25!$C:$C="CS") +
         (braves_19_25!$C:$C="KC")),
        braves_19_25!$G:$G
    )
),0)</f>
        <v>0</v>
      </c>
      <c r="M54" cm="1">
        <f t="array" ref="M54">IFERROR(AVERAGE(
    IF(
        (braves_19_25!$B:$B=$A54) *
        ((braves_19_25!$C:$C="CU") +
         (braves_19_25!$C:$C="CS") +
         (braves_19_25!$C:$C="KC")),
        braves_19_25!$F:$F
    )
),0)</f>
        <v>0</v>
      </c>
      <c r="N54" cm="1">
        <f t="array" ref="N54">IFERROR(AVERAGE(
    IF(
        (braves_19_25!$B:$B=$A54) *
        ((braves_19_25!$C:$C="CU") +
         (braves_19_25!$C:$C="CS") +
         (braves_19_25!$C:$C="KC")),
        braves_19_25!$I:$I
    )
),0)</f>
        <v>0</v>
      </c>
      <c r="O54" cm="1">
        <f t="array" ref="O54">IFERROR(AVERAGE(
    IF(
        (braves_19_25!$B:$B=$A54) *
        ((braves_19_25!$C:$C="CU") +
         (braves_19_25!$C:$C="CS") +
         (braves_19_25!$C:$C="KC")),
        braves_19_25!$J:$J
    )
),0)</f>
        <v>0</v>
      </c>
      <c r="P54" s="29" cm="1">
        <f t="array" ref="P54">IFERROR(AVERAGE(
    IF(
        (braves_19_25!$B:$B=$A54) *
        ((braves_19_25!$C:$C="CU") +
         (braves_19_25!$C:$C="CS") +
         (braves_19_25!$C:$C="KC")),
        braves_19_25!$K:$K
    )
),0)</f>
        <v>0</v>
      </c>
      <c r="Q54" s="28" cm="1">
        <f t="array" ref="Q54">IFERROR(AVERAGE(
    IF(
        (braves_19_25!$B:$B=$A54) *
        ((braves_19_25!$C:$C="FS") +
         (braves_19_25!$C:$C="CH") +
         (braves_19_25!$C:$C="FO") +
         (braves_19_25!$C:$C="SC")),
        braves_19_25!$G:$G
    )
),0)</f>
        <v>0</v>
      </c>
      <c r="R54" cm="1">
        <f t="array" ref="R54">IFERROR(AVERAGE(
    IF(
        (braves_19_25!$B:$B=$A54) *
        ((braves_19_25!$C:$C="FS") +
         (braves_19_25!$C:$C="CH") +
         (braves_19_25!$C:$C="FO") +
         (braves_19_25!$C:$C="SC")),
        braves_19_25!$F:$F
    )
),0)</f>
        <v>0</v>
      </c>
      <c r="S54" cm="1">
        <f t="array" ref="S54">IFERROR(AVERAGE(
    IF(
        (braves_19_25!$B:$B=$A54) *
        ((braves_19_25!$C:$C="FS") +
         (braves_19_25!$C:$C="CH") +
         (braves_19_25!$C:$C="FO") +
         (braves_19_25!$C:$C="SC")),
        braves_19_25!$I:$I
    )
),0)</f>
        <v>0</v>
      </c>
      <c r="T54" cm="1">
        <f t="array" ref="T54">IFERROR(AVERAGE(
    IF(
        (braves_19_25!$B:$B=$A54) *
        ((braves_19_25!$C:$C="FS") +
         (braves_19_25!$C:$C="CH") +
         (braves_19_25!$C:$C="FO") +
         (braves_19_25!$C:$C="SC")),
        braves_19_25!$J:$J
    )
),0)</f>
        <v>0</v>
      </c>
      <c r="U54" s="29" cm="1">
        <f t="array" ref="U54">IFERROR(AVERAGE(
    IF(
        (braves_19_25!$B:$B=$A54) *
        ((braves_19_25!$C:$C="FS") +
         (braves_19_25!$C:$C="CH") +
         (braves_19_25!$C:$C="FO") +
         (braves_19_25!$C:$C="SC")),
        braves_19_25!$K:$K
    )
),0)</f>
        <v>0</v>
      </c>
      <c r="V54" s="28" cm="1">
        <f t="array" ref="V54">IFERROR(AVERAGE(
    IF(
        (braves_19_25!$B:$B=$A54) *
        ((braves_19_25!$C:$C="EP") +
         (braves_19_25!$C:$C="FA") +
         (braves_19_25!$C:$C="KN")),
        braves_19_25!$G:$G
    )
),0)</f>
        <v>0</v>
      </c>
      <c r="W54" cm="1">
        <f t="array" ref="W54">IFERROR(AVERAGE(
    IF(
        (braves_19_25!$B:$B=$A54) *
        ((braves_19_25!$C:$C="EP") +
         (braves_19_25!$C:$C="FA") +
         (braves_19_25!$C:$C="KN")),
        braves_19_25!$F:$F
    )
),0)</f>
        <v>0</v>
      </c>
      <c r="X54" cm="1">
        <f t="array" ref="X54">IFERROR(AVERAGE(
    IF(
        (braves_19_25!$B:$B=$A54) *
        ((braves_19_25!$C:$C="EP") +
         (braves_19_25!$C:$C="FA") +
         (braves_19_25!$C:$C="KN")),
        braves_19_25!$I:$I
    )
),0)</f>
        <v>0</v>
      </c>
      <c r="Y54" cm="1">
        <f t="array" ref="Y54">IFERROR(AVERAGE(
    IF(
        (braves_19_25!$B:$B=$A54) *
        ((braves_19_25!$C:$C="EP") +
         (braves_19_25!$C:$C="FA") +
         (braves_19_25!$C:$C="KN")),
        braves_19_25!$J:$J
    )
),0)</f>
        <v>0</v>
      </c>
      <c r="Z54" s="29" cm="1">
        <f t="array" ref="Z54">IFERROR(AVERAGE(
    IF(
        (braves_19_25!$B:$B=$A54) *
        ((braves_19_25!$C:$C="EP") +
         (braves_19_25!$C:$C="FA") +
         (braves_19_25!$C:$C="KN")),
        braves_19_25!$K:$K
    )
),0)</f>
        <v>0</v>
      </c>
    </row>
    <row r="55" spans="1:26" x14ac:dyDescent="0.3">
      <c r="A55" t="str">
        <v>Davidson, Tucker</v>
      </c>
      <c r="B55" s="28" cm="1">
        <f t="array" ref="B55">IFERROR(AVERAGE(
    IF(
        (braves_19_25!$B:$B=$A55) *
        ((braves_19_25!$C:$C="FF") +
         (braves_19_25!$C:$C="SI") +
         (braves_19_25!$C:$C="FC")),
        braves_19_25!$G:$G
    )
),0)</f>
        <v>93.27</v>
      </c>
      <c r="C55" cm="1">
        <f t="array" ref="C55">IFERROR(AVERAGE(
    IF(
        (braves_19_25!$B:$B=$A55) *
        ((braves_19_25!$C:$C="FF") +
         (braves_19_25!$C:$C="SI") +
         (braves_19_25!$C:$C="FC")),
        braves_19_25!$F:$F
    )
),0)</f>
        <v>2019</v>
      </c>
      <c r="D55" cm="1">
        <f t="array" ref="D55">IFERROR(AVERAGE(
    IF(
        (braves_19_25!$B:$B=$A55) *
        ((braves_19_25!$C:$C="FF") +
         (braves_19_25!$C:$C="SI") +
         (braves_19_25!$C:$C="FC")),
        braves_19_25!$I:$I
    )
),0)</f>
        <v>1.2224900000000001</v>
      </c>
      <c r="E55" cm="1">
        <f t="array" ref="E55">IFERROR(AVERAGE(
    IF(
        (braves_19_25!$B:$B=$A55) *
        ((braves_19_25!$C:$C="FF") +
         (braves_19_25!$C:$C="SI") +
         (braves_19_25!$C:$C="FC")),
        braves_19_25!$J:$J
    )
),0)</f>
        <v>0.23657</v>
      </c>
      <c r="F55" s="29" cm="1">
        <f t="array" ref="F55">IFERROR(AVERAGE(
    IF(
        (braves_19_25!$B:$B=$A55) *
        ((braves_19_25!$C:$C="FF") +
         (braves_19_25!$C:$C="SI") +
         (braves_19_25!$C:$C="FC")),
        braves_19_25!$K:$K
    )
),0)</f>
        <v>-0.105</v>
      </c>
      <c r="G55" s="28" cm="1">
        <f t="array" ref="G55">IFERROR(AVERAGE(
    IF(
        (braves_19_25!$B:$B=$A55) *
        ((braves_19_25!$C:$C="SL") +
         (braves_19_25!$C:$C="ST") +
         (braves_19_25!$C:$C="SV")),
        braves_19_25!$G:$G
    )
),0)</f>
        <v>87.06</v>
      </c>
      <c r="H55" cm="1">
        <f t="array" ref="H55">IFERROR(AVERAGE(
    IF(
        (braves_19_25!$B:$B=$A55) *
        ((braves_19_25!$C:$C="SL") +
         (braves_19_25!$C:$C="ST") +
         (braves_19_25!$C:$C="SV")),
        braves_19_25!$F:$F
    )
),0)</f>
        <v>2248</v>
      </c>
      <c r="I55" cm="1">
        <f t="array" ref="I55">IFERROR(AVERAGE(
    IF(
        (braves_19_25!$B:$B=$A55) *
        ((braves_19_25!$C:$C="SL") +
         (braves_19_25!$C:$C="ST") +
         (braves_19_25!$C:$C="SV")),
        braves_19_25!$I:$I
    )
),0)</f>
        <v>2.93418</v>
      </c>
      <c r="J55" cm="1">
        <f t="array" ref="J55">IFERROR(AVERAGE(
    IF(
        (braves_19_25!$B:$B=$A55) *
        ((braves_19_25!$C:$C="SL") +
         (braves_19_25!$C:$C="ST") +
         (braves_19_25!$C:$C="SV")),
        braves_19_25!$J:$J
    )
),0)</f>
        <v>-0.37664999999999998</v>
      </c>
      <c r="K55" s="29" cm="1">
        <f t="array" ref="K55">IFERROR(AVERAGE(
    IF(
        (braves_19_25!$B:$B=$A55) *
        ((braves_19_25!$C:$C="SL") +
         (braves_19_25!$C:$C="ST") +
         (braves_19_25!$C:$C="SV")),
        braves_19_25!$K:$K
    )
),0)</f>
        <v>0.15765999999999999</v>
      </c>
      <c r="L55" s="28" cm="1">
        <f t="array" ref="L55">IFERROR(AVERAGE(
    IF(
        (braves_19_25!$B:$B=$A55) *
        ((braves_19_25!$C:$C="CU") +
         (braves_19_25!$C:$C="CS") +
         (braves_19_25!$C:$C="KC")),
        braves_19_25!$G:$G
    )
),0)</f>
        <v>78.5</v>
      </c>
      <c r="M55" cm="1">
        <f t="array" ref="M55">IFERROR(AVERAGE(
    IF(
        (braves_19_25!$B:$B=$A55) *
        ((braves_19_25!$C:$C="CU") +
         (braves_19_25!$C:$C="CS") +
         (braves_19_25!$C:$C="KC")),
        braves_19_25!$F:$F
    )
),0)</f>
        <v>2465</v>
      </c>
      <c r="N55" cm="1">
        <f t="array" ref="N55">IFERROR(AVERAGE(
    IF(
        (braves_19_25!$B:$B=$A55) *
        ((braves_19_25!$C:$C="CU") +
         (braves_19_25!$C:$C="CS") +
         (braves_19_25!$C:$C="KC")),
        braves_19_25!$I:$I
    )
),0)</f>
        <v>4.3724999999999996</v>
      </c>
      <c r="O55" cm="1">
        <f t="array" ref="O55">IFERROR(AVERAGE(
    IF(
        (braves_19_25!$B:$B=$A55) *
        ((braves_19_25!$C:$C="CU") +
         (braves_19_25!$C:$C="CS") +
         (braves_19_25!$C:$C="KC")),
        braves_19_25!$J:$J
    )
),0)</f>
        <v>-0.63610999999999995</v>
      </c>
      <c r="P55" s="29" cm="1">
        <f t="array" ref="P55">IFERROR(AVERAGE(
    IF(
        (braves_19_25!$B:$B=$A55) *
        ((braves_19_25!$C:$C="CU") +
         (braves_19_25!$C:$C="CS") +
         (braves_19_25!$C:$C="KC")),
        braves_19_25!$K:$K
    )
),0)</f>
        <v>0.37193999999999999</v>
      </c>
      <c r="Q55" s="28" cm="1">
        <f t="array" ref="Q55">IFERROR(AVERAGE(
    IF(
        (braves_19_25!$B:$B=$A55) *
        ((braves_19_25!$C:$C="FS") +
         (braves_19_25!$C:$C="CH") +
         (braves_19_25!$C:$C="FO") +
         (braves_19_25!$C:$C="SC")),
        braves_19_25!$G:$G
    )
),0)</f>
        <v>85.28</v>
      </c>
      <c r="R55" cm="1">
        <f t="array" ref="R55">IFERROR(AVERAGE(
    IF(
        (braves_19_25!$B:$B=$A55) *
        ((braves_19_25!$C:$C="FS") +
         (braves_19_25!$C:$C="CH") +
         (braves_19_25!$C:$C="FO") +
         (braves_19_25!$C:$C="SC")),
        braves_19_25!$F:$F
    )
),0)</f>
        <v>1639</v>
      </c>
      <c r="S55" cm="1">
        <f t="array" ref="S55">IFERROR(AVERAGE(
    IF(
        (braves_19_25!$B:$B=$A55) *
        ((braves_19_25!$C:$C="FS") +
         (braves_19_25!$C:$C="CH") +
         (braves_19_25!$C:$C="FO") +
         (braves_19_25!$C:$C="SC")),
        braves_19_25!$I:$I
    )
),0)</f>
        <v>2.25</v>
      </c>
      <c r="T55" cm="1">
        <f t="array" ref="T55">IFERROR(AVERAGE(
    IF(
        (braves_19_25!$B:$B=$A55) *
        ((braves_19_25!$C:$C="FS") +
         (braves_19_25!$C:$C="CH") +
         (braves_19_25!$C:$C="FO") +
         (braves_19_25!$C:$C="SC")),
        braves_19_25!$J:$J
    )
),0)</f>
        <v>1.0225</v>
      </c>
      <c r="U55" s="29" cm="1">
        <f t="array" ref="U55">IFERROR(AVERAGE(
    IF(
        (braves_19_25!$B:$B=$A55) *
        ((braves_19_25!$C:$C="FS") +
         (braves_19_25!$C:$C="CH") +
         (braves_19_25!$C:$C="FO") +
         (braves_19_25!$C:$C="SC")),
        braves_19_25!$K:$K
    )
),0)</f>
        <v>-1.0225</v>
      </c>
      <c r="V55" s="28" cm="1">
        <f t="array" ref="V55">IFERROR(AVERAGE(
    IF(
        (braves_19_25!$B:$B=$A55) *
        ((braves_19_25!$C:$C="EP") +
         (braves_19_25!$C:$C="FA") +
         (braves_19_25!$C:$C="KN")),
        braves_19_25!$G:$G
    )
),0)</f>
        <v>0</v>
      </c>
      <c r="W55" cm="1">
        <f t="array" ref="W55">IFERROR(AVERAGE(
    IF(
        (braves_19_25!$B:$B=$A55) *
        ((braves_19_25!$C:$C="EP") +
         (braves_19_25!$C:$C="FA") +
         (braves_19_25!$C:$C="KN")),
        braves_19_25!$F:$F
    )
),0)</f>
        <v>0</v>
      </c>
      <c r="X55" cm="1">
        <f t="array" ref="X55">IFERROR(AVERAGE(
    IF(
        (braves_19_25!$B:$B=$A55) *
        ((braves_19_25!$C:$C="EP") +
         (braves_19_25!$C:$C="FA") +
         (braves_19_25!$C:$C="KN")),
        braves_19_25!$I:$I
    )
),0)</f>
        <v>0</v>
      </c>
      <c r="Y55" cm="1">
        <f t="array" ref="Y55">IFERROR(AVERAGE(
    IF(
        (braves_19_25!$B:$B=$A55) *
        ((braves_19_25!$C:$C="EP") +
         (braves_19_25!$C:$C="FA") +
         (braves_19_25!$C:$C="KN")),
        braves_19_25!$J:$J
    )
),0)</f>
        <v>0</v>
      </c>
      <c r="Z55" s="29" cm="1">
        <f t="array" ref="Z55">IFERROR(AVERAGE(
    IF(
        (braves_19_25!$B:$B=$A55) *
        ((braves_19_25!$C:$C="EP") +
         (braves_19_25!$C:$C="FA") +
         (braves_19_25!$C:$C="KN")),
        braves_19_25!$K:$K
    )
),0)</f>
        <v>0</v>
      </c>
    </row>
    <row r="56" spans="1:26" x14ac:dyDescent="0.3">
      <c r="A56" t="str">
        <v>Santana, Edgar</v>
      </c>
      <c r="B56" s="28" cm="1">
        <f t="array" ref="B56">IFERROR(AVERAGE(
    IF(
        (braves_19_25!$B:$B=$A56) *
        ((braves_19_25!$C:$C="FF") +
         (braves_19_25!$C:$C="SI") +
         (braves_19_25!$C:$C="FC")),
        braves_19_25!$G:$G
    )
),0)</f>
        <v>92.615000000000009</v>
      </c>
      <c r="C56" cm="1">
        <f t="array" ref="C56">IFERROR(AVERAGE(
    IF(
        (braves_19_25!$B:$B=$A56) *
        ((braves_19_25!$C:$C="FF") +
         (braves_19_25!$C:$C="SI") +
         (braves_19_25!$C:$C="FC")),
        braves_19_25!$F:$F
    )
),0)</f>
        <v>2153.5</v>
      </c>
      <c r="D56" cm="1">
        <f t="array" ref="D56">IFERROR(AVERAGE(
    IF(
        (braves_19_25!$B:$B=$A56) *
        ((braves_19_25!$C:$C="FF") +
         (braves_19_25!$C:$C="SI") +
         (braves_19_25!$C:$C="FC")),
        braves_19_25!$I:$I
    )
),0)</f>
        <v>2.0867199999999997</v>
      </c>
      <c r="E56" cm="1">
        <f t="array" ref="E56">IFERROR(AVERAGE(
    IF(
        (braves_19_25!$B:$B=$A56) *
        ((braves_19_25!$C:$C="FF") +
         (braves_19_25!$C:$C="SI") +
         (braves_19_25!$C:$C="FC")),
        braves_19_25!$J:$J
    )
),0)</f>
        <v>1.02335</v>
      </c>
      <c r="F56" s="29" cm="1">
        <f t="array" ref="F56">IFERROR(AVERAGE(
    IF(
        (braves_19_25!$B:$B=$A56) *
        ((braves_19_25!$C:$C="FF") +
         (braves_19_25!$C:$C="SI") +
         (braves_19_25!$C:$C="FC")),
        braves_19_25!$K:$K
    )
),0)</f>
        <v>-1.3009999999999994E-2</v>
      </c>
      <c r="G56" s="28" cm="1">
        <f t="array" ref="G56">IFERROR(AVERAGE(
    IF(
        (braves_19_25!$B:$B=$A56) *
        ((braves_19_25!$C:$C="SL") +
         (braves_19_25!$C:$C="ST") +
         (braves_19_25!$C:$C="SV")),
        braves_19_25!$G:$G
    )
),0)</f>
        <v>85.08</v>
      </c>
      <c r="H56" cm="1">
        <f t="array" ref="H56">IFERROR(AVERAGE(
    IF(
        (braves_19_25!$B:$B=$A56) *
        ((braves_19_25!$C:$C="SL") +
         (braves_19_25!$C:$C="ST") +
         (braves_19_25!$C:$C="SV")),
        braves_19_25!$F:$F
    )
),0)</f>
        <v>2210</v>
      </c>
      <c r="I56" cm="1">
        <f t="array" ref="I56">IFERROR(AVERAGE(
    IF(
        (braves_19_25!$B:$B=$A56) *
        ((braves_19_25!$C:$C="SL") +
         (braves_19_25!$C:$C="ST") +
         (braves_19_25!$C:$C="SV")),
        braves_19_25!$I:$I
    )
),0)</f>
        <v>3.0269200000000001</v>
      </c>
      <c r="J56" cm="1">
        <f t="array" ref="J56">IFERROR(AVERAGE(
    IF(
        (braves_19_25!$B:$B=$A56) *
        ((braves_19_25!$C:$C="SL") +
         (braves_19_25!$C:$C="ST") +
         (braves_19_25!$C:$C="SV")),
        braves_19_25!$J:$J
    )
),0)</f>
        <v>0.11787</v>
      </c>
      <c r="K56" s="29" cm="1">
        <f t="array" ref="K56">IFERROR(AVERAGE(
    IF(
        (braves_19_25!$B:$B=$A56) *
        ((braves_19_25!$C:$C="SL") +
         (braves_19_25!$C:$C="ST") +
         (braves_19_25!$C:$C="SV")),
        braves_19_25!$K:$K
    )
),0)</f>
        <v>2.589E-2</v>
      </c>
      <c r="L56" s="28" cm="1">
        <f t="array" ref="L56">IFERROR(AVERAGE(
    IF(
        (braves_19_25!$B:$B=$A56) *
        ((braves_19_25!$C:$C="CU") +
         (braves_19_25!$C:$C="CS") +
         (braves_19_25!$C:$C="KC")),
        braves_19_25!$G:$G
    )
),0)</f>
        <v>0</v>
      </c>
      <c r="M56" cm="1">
        <f t="array" ref="M56">IFERROR(AVERAGE(
    IF(
        (braves_19_25!$B:$B=$A56) *
        ((braves_19_25!$C:$C="CU") +
         (braves_19_25!$C:$C="CS") +
         (braves_19_25!$C:$C="KC")),
        braves_19_25!$F:$F
    )
),0)</f>
        <v>0</v>
      </c>
      <c r="N56" cm="1">
        <f t="array" ref="N56">IFERROR(AVERAGE(
    IF(
        (braves_19_25!$B:$B=$A56) *
        ((braves_19_25!$C:$C="CU") +
         (braves_19_25!$C:$C="CS") +
         (braves_19_25!$C:$C="KC")),
        braves_19_25!$I:$I
    )
),0)</f>
        <v>0</v>
      </c>
      <c r="O56" cm="1">
        <f t="array" ref="O56">IFERROR(AVERAGE(
    IF(
        (braves_19_25!$B:$B=$A56) *
        ((braves_19_25!$C:$C="CU") +
         (braves_19_25!$C:$C="CS") +
         (braves_19_25!$C:$C="KC")),
        braves_19_25!$J:$J
    )
),0)</f>
        <v>0</v>
      </c>
      <c r="P56" s="29" cm="1">
        <f t="array" ref="P56">IFERROR(AVERAGE(
    IF(
        (braves_19_25!$B:$B=$A56) *
        ((braves_19_25!$C:$C="CU") +
         (braves_19_25!$C:$C="CS") +
         (braves_19_25!$C:$C="KC")),
        braves_19_25!$K:$K
    )
),0)</f>
        <v>0</v>
      </c>
      <c r="Q56" s="28" cm="1">
        <f t="array" ref="Q56">IFERROR(AVERAGE(
    IF(
        (braves_19_25!$B:$B=$A56) *
        ((braves_19_25!$C:$C="FS") +
         (braves_19_25!$C:$C="CH") +
         (braves_19_25!$C:$C="FO") +
         (braves_19_25!$C:$C="SC")),
        braves_19_25!$G:$G
    )
),0)</f>
        <v>0</v>
      </c>
      <c r="R56" cm="1">
        <f t="array" ref="R56">IFERROR(AVERAGE(
    IF(
        (braves_19_25!$B:$B=$A56) *
        ((braves_19_25!$C:$C="FS") +
         (braves_19_25!$C:$C="CH") +
         (braves_19_25!$C:$C="FO") +
         (braves_19_25!$C:$C="SC")),
        braves_19_25!$F:$F
    )
),0)</f>
        <v>0</v>
      </c>
      <c r="S56" cm="1">
        <f t="array" ref="S56">IFERROR(AVERAGE(
    IF(
        (braves_19_25!$B:$B=$A56) *
        ((braves_19_25!$C:$C="FS") +
         (braves_19_25!$C:$C="CH") +
         (braves_19_25!$C:$C="FO") +
         (braves_19_25!$C:$C="SC")),
        braves_19_25!$I:$I
    )
),0)</f>
        <v>0</v>
      </c>
      <c r="T56" cm="1">
        <f t="array" ref="T56">IFERROR(AVERAGE(
    IF(
        (braves_19_25!$B:$B=$A56) *
        ((braves_19_25!$C:$C="FS") +
         (braves_19_25!$C:$C="CH") +
         (braves_19_25!$C:$C="FO") +
         (braves_19_25!$C:$C="SC")),
        braves_19_25!$J:$J
    )
),0)</f>
        <v>0</v>
      </c>
      <c r="U56" s="29" cm="1">
        <f t="array" ref="U56">IFERROR(AVERAGE(
    IF(
        (braves_19_25!$B:$B=$A56) *
        ((braves_19_25!$C:$C="FS") +
         (braves_19_25!$C:$C="CH") +
         (braves_19_25!$C:$C="FO") +
         (braves_19_25!$C:$C="SC")),
        braves_19_25!$K:$K
    )
),0)</f>
        <v>0</v>
      </c>
      <c r="V56" s="28" cm="1">
        <f t="array" ref="V56">IFERROR(AVERAGE(
    IF(
        (braves_19_25!$B:$B=$A56) *
        ((braves_19_25!$C:$C="EP") +
         (braves_19_25!$C:$C="FA") +
         (braves_19_25!$C:$C="KN")),
        braves_19_25!$G:$G
    )
),0)</f>
        <v>0</v>
      </c>
      <c r="W56" cm="1">
        <f t="array" ref="W56">IFERROR(AVERAGE(
    IF(
        (braves_19_25!$B:$B=$A56) *
        ((braves_19_25!$C:$C="EP") +
         (braves_19_25!$C:$C="FA") +
         (braves_19_25!$C:$C="KN")),
        braves_19_25!$F:$F
    )
),0)</f>
        <v>0</v>
      </c>
      <c r="X56" cm="1">
        <f t="array" ref="X56">IFERROR(AVERAGE(
    IF(
        (braves_19_25!$B:$B=$A56) *
        ((braves_19_25!$C:$C="EP") +
         (braves_19_25!$C:$C="FA") +
         (braves_19_25!$C:$C="KN")),
        braves_19_25!$I:$I
    )
),0)</f>
        <v>0</v>
      </c>
      <c r="Y56" cm="1">
        <f t="array" ref="Y56">IFERROR(AVERAGE(
    IF(
        (braves_19_25!$B:$B=$A56) *
        ((braves_19_25!$C:$C="EP") +
         (braves_19_25!$C:$C="FA") +
         (braves_19_25!$C:$C="KN")),
        braves_19_25!$J:$J
    )
),0)</f>
        <v>0</v>
      </c>
      <c r="Z56" s="29" cm="1">
        <f t="array" ref="Z56">IFERROR(AVERAGE(
    IF(
        (braves_19_25!$B:$B=$A56) *
        ((braves_19_25!$C:$C="EP") +
         (braves_19_25!$C:$C="FA") +
         (braves_19_25!$C:$C="KN")),
        braves_19_25!$K:$K
    )
),0)</f>
        <v>0</v>
      </c>
    </row>
    <row r="57" spans="1:26" x14ac:dyDescent="0.3">
      <c r="A57" t="str">
        <v>Vines, Darius</v>
      </c>
      <c r="B57" s="28" cm="1">
        <f t="array" ref="B57">IFERROR(AVERAGE(
    IF(
        (braves_19_25!$B:$B=$A57) *
        ((braves_19_25!$C:$C="FF") +
         (braves_19_25!$C:$C="SI") +
         (braves_19_25!$C:$C="FC")),
        braves_19_25!$G:$G
    )
),0)</f>
        <v>87.83</v>
      </c>
      <c r="C57" cm="1">
        <f t="array" ref="C57">IFERROR(AVERAGE(
    IF(
        (braves_19_25!$B:$B=$A57) *
        ((braves_19_25!$C:$C="FF") +
         (braves_19_25!$C:$C="SI") +
         (braves_19_25!$C:$C="FC")),
        braves_19_25!$F:$F
    )
),0)</f>
        <v>2269</v>
      </c>
      <c r="D57" cm="1">
        <f t="array" ref="D57">IFERROR(AVERAGE(
    IF(
        (braves_19_25!$B:$B=$A57) *
        ((braves_19_25!$C:$C="FF") +
         (braves_19_25!$C:$C="SI") +
         (braves_19_25!$C:$C="FC")),
        braves_19_25!$I:$I
    )
),0)</f>
        <v>1.87541</v>
      </c>
      <c r="E57" cm="1">
        <f t="array" ref="E57">IFERROR(AVERAGE(
    IF(
        (braves_19_25!$B:$B=$A57) *
        ((braves_19_25!$C:$C="FF") +
         (braves_19_25!$C:$C="SI") +
         (braves_19_25!$C:$C="FC")),
        braves_19_25!$J:$J
    )
),0)</f>
        <v>0.25017</v>
      </c>
      <c r="F57" s="29" cm="1">
        <f t="array" ref="F57">IFERROR(AVERAGE(
    IF(
        (braves_19_25!$B:$B=$A57) *
        ((braves_19_25!$C:$C="FF") +
         (braves_19_25!$C:$C="SI") +
         (braves_19_25!$C:$C="FC")),
        braves_19_25!$K:$K
    )
),0)</f>
        <v>-2.7185000000000001E-2</v>
      </c>
      <c r="G57" s="28" cm="1">
        <f t="array" ref="G57">IFERROR(AVERAGE(
    IF(
        (braves_19_25!$B:$B=$A57) *
        ((braves_19_25!$C:$C="SL") +
         (braves_19_25!$C:$C="ST") +
         (braves_19_25!$C:$C="SV")),
        braves_19_25!$G:$G
    )
),0)</f>
        <v>81.95</v>
      </c>
      <c r="H57" cm="1">
        <f t="array" ref="H57">IFERROR(AVERAGE(
    IF(
        (braves_19_25!$B:$B=$A57) *
        ((braves_19_25!$C:$C="SL") +
         (braves_19_25!$C:$C="ST") +
         (braves_19_25!$C:$C="SV")),
        braves_19_25!$F:$F
    )
),0)</f>
        <v>2379</v>
      </c>
      <c r="I57" cm="1">
        <f t="array" ref="I57">IFERROR(AVERAGE(
    IF(
        (braves_19_25!$B:$B=$A57) *
        ((braves_19_25!$C:$C="SL") +
         (braves_19_25!$C:$C="ST") +
         (braves_19_25!$C:$C="SV")),
        braves_19_25!$I:$I
    )
),0)</f>
        <v>3.19767</v>
      </c>
      <c r="J57" cm="1">
        <f t="array" ref="J57">IFERROR(AVERAGE(
    IF(
        (braves_19_25!$B:$B=$A57) *
        ((braves_19_25!$C:$C="SL") +
         (braves_19_25!$C:$C="ST") +
         (braves_19_25!$C:$C="SV")),
        braves_19_25!$J:$J
    )
),0)</f>
        <v>-2.912E-2</v>
      </c>
      <c r="K57" s="29" cm="1">
        <f t="array" ref="K57">IFERROR(AVERAGE(
    IF(
        (braves_19_25!$B:$B=$A57) *
        ((braves_19_25!$C:$C="SL") +
         (braves_19_25!$C:$C="ST") +
         (braves_19_25!$C:$C="SV")),
        braves_19_25!$K:$K
    )
),0)</f>
        <v>-2.5610000000000001E-2</v>
      </c>
      <c r="L57" s="28" cm="1">
        <f t="array" ref="L57">IFERROR(AVERAGE(
    IF(
        (braves_19_25!$B:$B=$A57) *
        ((braves_19_25!$C:$C="CU") +
         (braves_19_25!$C:$C="CS") +
         (braves_19_25!$C:$C="KC")),
        braves_19_25!$G:$G
    )
),0)</f>
        <v>77.709999999999994</v>
      </c>
      <c r="M57" cm="1">
        <f t="array" ref="M57">IFERROR(AVERAGE(
    IF(
        (braves_19_25!$B:$B=$A57) *
        ((braves_19_25!$C:$C="CU") +
         (braves_19_25!$C:$C="CS") +
         (braves_19_25!$C:$C="KC")),
        braves_19_25!$F:$F
    )
),0)</f>
        <v>2664</v>
      </c>
      <c r="N57" cm="1">
        <f t="array" ref="N57">IFERROR(AVERAGE(
    IF(
        (braves_19_25!$B:$B=$A57) *
        ((braves_19_25!$C:$C="CU") +
         (braves_19_25!$C:$C="CS") +
         (braves_19_25!$C:$C="KC")),
        braves_19_25!$I:$I
    )
),0)</f>
        <v>4.3292900000000003</v>
      </c>
      <c r="O57" cm="1">
        <f t="array" ref="O57">IFERROR(AVERAGE(
    IF(
        (braves_19_25!$B:$B=$A57) *
        ((braves_19_25!$C:$C="CU") +
         (braves_19_25!$C:$C="CS") +
         (braves_19_25!$C:$C="KC")),
        braves_19_25!$J:$J
    )
),0)</f>
        <v>-0.4</v>
      </c>
      <c r="P57" s="29" cm="1">
        <f t="array" ref="P57">IFERROR(AVERAGE(
    IF(
        (braves_19_25!$B:$B=$A57) *
        ((braves_19_25!$C:$C="CU") +
         (braves_19_25!$C:$C="CS") +
         (braves_19_25!$C:$C="KC")),
        braves_19_25!$K:$K
    )
),0)</f>
        <v>-0.15</v>
      </c>
      <c r="Q57" s="28" cm="1">
        <f t="array" ref="Q57">IFERROR(AVERAGE(
    IF(
        (braves_19_25!$B:$B=$A57) *
        ((braves_19_25!$C:$C="FS") +
         (braves_19_25!$C:$C="CH") +
         (braves_19_25!$C:$C="FO") +
         (braves_19_25!$C:$C="SC")),
        braves_19_25!$G:$G
    )
),0)</f>
        <v>81.400000000000006</v>
      </c>
      <c r="R57" cm="1">
        <f t="array" ref="R57">IFERROR(AVERAGE(
    IF(
        (braves_19_25!$B:$B=$A57) *
        ((braves_19_25!$C:$C="FS") +
         (braves_19_25!$C:$C="CH") +
         (braves_19_25!$C:$C="FO") +
         (braves_19_25!$C:$C="SC")),
        braves_19_25!$F:$F
    )
),0)</f>
        <v>1485</v>
      </c>
      <c r="S57" cm="1">
        <f t="array" ref="S57">IFERROR(AVERAGE(
    IF(
        (braves_19_25!$B:$B=$A57) *
        ((braves_19_25!$C:$C="FS") +
         (braves_19_25!$C:$C="CH") +
         (braves_19_25!$C:$C="FO") +
         (braves_19_25!$C:$C="SC")),
        braves_19_25!$I:$I
    )
),0)</f>
        <v>2.5237799999999999</v>
      </c>
      <c r="T57" cm="1">
        <f t="array" ref="T57">IFERROR(AVERAGE(
    IF(
        (braves_19_25!$B:$B=$A57) *
        ((braves_19_25!$C:$C="FS") +
         (braves_19_25!$C:$C="CH") +
         (braves_19_25!$C:$C="FO") +
         (braves_19_25!$C:$C="SC")),
        braves_19_25!$J:$J
    )
),0)</f>
        <v>0.82057999999999998</v>
      </c>
      <c r="U57" s="29" cm="1">
        <f t="array" ref="U57">IFERROR(AVERAGE(
    IF(
        (braves_19_25!$B:$B=$A57) *
        ((braves_19_25!$C:$C="FS") +
         (braves_19_25!$C:$C="CH") +
         (braves_19_25!$C:$C="FO") +
         (braves_19_25!$C:$C="SC")),
        braves_19_25!$K:$K
    )
),0)</f>
        <v>-5.391E-2</v>
      </c>
      <c r="V57" s="28" cm="1">
        <f t="array" ref="V57">IFERROR(AVERAGE(
    IF(
        (braves_19_25!$B:$B=$A57) *
        ((braves_19_25!$C:$C="EP") +
         (braves_19_25!$C:$C="FA") +
         (braves_19_25!$C:$C="KN")),
        braves_19_25!$G:$G
    )
),0)</f>
        <v>0</v>
      </c>
      <c r="W57" cm="1">
        <f t="array" ref="W57">IFERROR(AVERAGE(
    IF(
        (braves_19_25!$B:$B=$A57) *
        ((braves_19_25!$C:$C="EP") +
         (braves_19_25!$C:$C="FA") +
         (braves_19_25!$C:$C="KN")),
        braves_19_25!$F:$F
    )
),0)</f>
        <v>0</v>
      </c>
      <c r="X57" cm="1">
        <f t="array" ref="X57">IFERROR(AVERAGE(
    IF(
        (braves_19_25!$B:$B=$A57) *
        ((braves_19_25!$C:$C="EP") +
         (braves_19_25!$C:$C="FA") +
         (braves_19_25!$C:$C="KN")),
        braves_19_25!$I:$I
    )
),0)</f>
        <v>0</v>
      </c>
      <c r="Y57" cm="1">
        <f t="array" ref="Y57">IFERROR(AVERAGE(
    IF(
        (braves_19_25!$B:$B=$A57) *
        ((braves_19_25!$C:$C="EP") +
         (braves_19_25!$C:$C="FA") +
         (braves_19_25!$C:$C="KN")),
        braves_19_25!$J:$J
    )
),0)</f>
        <v>0</v>
      </c>
      <c r="Z57" s="29" cm="1">
        <f t="array" ref="Z57">IFERROR(AVERAGE(
    IF(
        (braves_19_25!$B:$B=$A57) *
        ((braves_19_25!$C:$C="EP") +
         (braves_19_25!$C:$C="FA") +
         (braves_19_25!$C:$C="KN")),
        braves_19_25!$K:$K
    )
),0)</f>
        <v>0</v>
      </c>
    </row>
    <row r="58" spans="1:26" x14ac:dyDescent="0.3">
      <c r="A58" t="str">
        <v>Anderson, Nick</v>
      </c>
      <c r="B58" s="28" cm="1">
        <f t="array" ref="B58">IFERROR(AVERAGE(
    IF(
        (braves_19_25!$B:$B=$A58) *
        ((braves_19_25!$C:$C="FF") +
         (braves_19_25!$C:$C="SI") +
         (braves_19_25!$C:$C="FC")),
        braves_19_25!$G:$G
    )
),0)</f>
        <v>94.295000000000002</v>
      </c>
      <c r="C58" cm="1">
        <f t="array" ref="C58">IFERROR(AVERAGE(
    IF(
        (braves_19_25!$B:$B=$A58) *
        ((braves_19_25!$C:$C="FF") +
         (braves_19_25!$C:$C="SI") +
         (braves_19_25!$C:$C="FC")),
        braves_19_25!$F:$F
    )
),0)</f>
        <v>2095.5</v>
      </c>
      <c r="D58" cm="1">
        <f t="array" ref="D58">IFERROR(AVERAGE(
    IF(
        (braves_19_25!$B:$B=$A58) *
        ((braves_19_25!$C:$C="FF") +
         (braves_19_25!$C:$C="SI") +
         (braves_19_25!$C:$C="FC")),
        braves_19_25!$I:$I
    )
),0)</f>
        <v>1.1381950000000001</v>
      </c>
      <c r="E58" cm="1">
        <f t="array" ref="E58">IFERROR(AVERAGE(
    IF(
        (braves_19_25!$B:$B=$A58) *
        ((braves_19_25!$C:$C="FF") +
         (braves_19_25!$C:$C="SI") +
         (braves_19_25!$C:$C="FC")),
        braves_19_25!$J:$J
    )
),0)</f>
        <v>0.59594999999999998</v>
      </c>
      <c r="F58" s="29" cm="1">
        <f t="array" ref="F58">IFERROR(AVERAGE(
    IF(
        (braves_19_25!$B:$B=$A58) *
        ((braves_19_25!$C:$C="FF") +
         (braves_19_25!$C:$C="SI") +
         (braves_19_25!$C:$C="FC")),
        braves_19_25!$K:$K
    )
),0)</f>
        <v>6.0554999999999998E-2</v>
      </c>
      <c r="G58" s="28" cm="1">
        <f t="array" ref="G58">IFERROR(AVERAGE(
    IF(
        (braves_19_25!$B:$B=$A58) *
        ((braves_19_25!$C:$C="SL") +
         (braves_19_25!$C:$C="ST") +
         (braves_19_25!$C:$C="SV")),
        braves_19_25!$G:$G
    )
),0)</f>
        <v>0</v>
      </c>
      <c r="H58" cm="1">
        <f t="array" ref="H58">IFERROR(AVERAGE(
    IF(
        (braves_19_25!$B:$B=$A58) *
        ((braves_19_25!$C:$C="SL") +
         (braves_19_25!$C:$C="ST") +
         (braves_19_25!$C:$C="SV")),
        braves_19_25!$F:$F
    )
),0)</f>
        <v>0</v>
      </c>
      <c r="I58" cm="1">
        <f t="array" ref="I58">IFERROR(AVERAGE(
    IF(
        (braves_19_25!$B:$B=$A58) *
        ((braves_19_25!$C:$C="SL") +
         (braves_19_25!$C:$C="ST") +
         (braves_19_25!$C:$C="SV")),
        braves_19_25!$I:$I
    )
),0)</f>
        <v>0</v>
      </c>
      <c r="J58" cm="1">
        <f t="array" ref="J58">IFERROR(AVERAGE(
    IF(
        (braves_19_25!$B:$B=$A58) *
        ((braves_19_25!$C:$C="SL") +
         (braves_19_25!$C:$C="ST") +
         (braves_19_25!$C:$C="SV")),
        braves_19_25!$J:$J
    )
),0)</f>
        <v>0</v>
      </c>
      <c r="K58" s="29" cm="1">
        <f t="array" ref="K58">IFERROR(AVERAGE(
    IF(
        (braves_19_25!$B:$B=$A58) *
        ((braves_19_25!$C:$C="SL") +
         (braves_19_25!$C:$C="ST") +
         (braves_19_25!$C:$C="SV")),
        braves_19_25!$K:$K
    )
),0)</f>
        <v>0</v>
      </c>
      <c r="L58" s="28" cm="1">
        <f t="array" ref="L58">IFERROR(AVERAGE(
    IF(
        (braves_19_25!$B:$B=$A58) *
        ((braves_19_25!$C:$C="CU") +
         (braves_19_25!$C:$C="CS") +
         (braves_19_25!$C:$C="KC")),
        braves_19_25!$G:$G
    )
),0)</f>
        <v>80.25</v>
      </c>
      <c r="M58" cm="1">
        <f t="array" ref="M58">IFERROR(AVERAGE(
    IF(
        (braves_19_25!$B:$B=$A58) *
        ((braves_19_25!$C:$C="CU") +
         (braves_19_25!$C:$C="CS") +
         (braves_19_25!$C:$C="KC")),
        braves_19_25!$F:$F
    )
),0)</f>
        <v>1933</v>
      </c>
      <c r="N58" cm="1">
        <f t="array" ref="N58">IFERROR(AVERAGE(
    IF(
        (braves_19_25!$B:$B=$A58) *
        ((braves_19_25!$C:$C="CU") +
         (braves_19_25!$C:$C="CS") +
         (braves_19_25!$C:$C="KC")),
        braves_19_25!$I:$I
    )
),0)</f>
        <v>3.7271200000000002</v>
      </c>
      <c r="O58" cm="1">
        <f t="array" ref="O58">IFERROR(AVERAGE(
    IF(
        (braves_19_25!$B:$B=$A58) *
        ((braves_19_25!$C:$C="CU") +
         (braves_19_25!$C:$C="CS") +
         (braves_19_25!$C:$C="KC")),
        braves_19_25!$J:$J
    )
),0)</f>
        <v>-0.20376</v>
      </c>
      <c r="P58" s="29" cm="1">
        <f t="array" ref="P58">IFERROR(AVERAGE(
    IF(
        (braves_19_25!$B:$B=$A58) *
        ((braves_19_25!$C:$C="CU") +
         (braves_19_25!$C:$C="CS") +
         (braves_19_25!$C:$C="KC")),
        braves_19_25!$K:$K
    )
),0)</f>
        <v>-4.6199999999999998E-2</v>
      </c>
      <c r="Q58" s="28" cm="1">
        <f t="array" ref="Q58">IFERROR(AVERAGE(
    IF(
        (braves_19_25!$B:$B=$A58) *
        ((braves_19_25!$C:$C="FS") +
         (braves_19_25!$C:$C="CH") +
         (braves_19_25!$C:$C="FO") +
         (braves_19_25!$C:$C="SC")),
        braves_19_25!$G:$G
    )
),0)</f>
        <v>0</v>
      </c>
      <c r="R58" cm="1">
        <f t="array" ref="R58">IFERROR(AVERAGE(
    IF(
        (braves_19_25!$B:$B=$A58) *
        ((braves_19_25!$C:$C="FS") +
         (braves_19_25!$C:$C="CH") +
         (braves_19_25!$C:$C="FO") +
         (braves_19_25!$C:$C="SC")),
        braves_19_25!$F:$F
    )
),0)</f>
        <v>0</v>
      </c>
      <c r="S58" cm="1">
        <f t="array" ref="S58">IFERROR(AVERAGE(
    IF(
        (braves_19_25!$B:$B=$A58) *
        ((braves_19_25!$C:$C="FS") +
         (braves_19_25!$C:$C="CH") +
         (braves_19_25!$C:$C="FO") +
         (braves_19_25!$C:$C="SC")),
        braves_19_25!$I:$I
    )
),0)</f>
        <v>0</v>
      </c>
      <c r="T58" cm="1">
        <f t="array" ref="T58">IFERROR(AVERAGE(
    IF(
        (braves_19_25!$B:$B=$A58) *
        ((braves_19_25!$C:$C="FS") +
         (braves_19_25!$C:$C="CH") +
         (braves_19_25!$C:$C="FO") +
         (braves_19_25!$C:$C="SC")),
        braves_19_25!$J:$J
    )
),0)</f>
        <v>0</v>
      </c>
      <c r="U58" s="29" cm="1">
        <f t="array" ref="U58">IFERROR(AVERAGE(
    IF(
        (braves_19_25!$B:$B=$A58) *
        ((braves_19_25!$C:$C="FS") +
         (braves_19_25!$C:$C="CH") +
         (braves_19_25!$C:$C="FO") +
         (braves_19_25!$C:$C="SC")),
        braves_19_25!$K:$K
    )
),0)</f>
        <v>0</v>
      </c>
      <c r="V58" s="28" cm="1">
        <f t="array" ref="V58">IFERROR(AVERAGE(
    IF(
        (braves_19_25!$B:$B=$A58) *
        ((braves_19_25!$C:$C="EP") +
         (braves_19_25!$C:$C="FA") +
         (braves_19_25!$C:$C="KN")),
        braves_19_25!$G:$G
    )
),0)</f>
        <v>0</v>
      </c>
      <c r="W58" cm="1">
        <f t="array" ref="W58">IFERROR(AVERAGE(
    IF(
        (braves_19_25!$B:$B=$A58) *
        ((braves_19_25!$C:$C="EP") +
         (braves_19_25!$C:$C="FA") +
         (braves_19_25!$C:$C="KN")),
        braves_19_25!$F:$F
    )
),0)</f>
        <v>0</v>
      </c>
      <c r="X58" cm="1">
        <f t="array" ref="X58">IFERROR(AVERAGE(
    IF(
        (braves_19_25!$B:$B=$A58) *
        ((braves_19_25!$C:$C="EP") +
         (braves_19_25!$C:$C="FA") +
         (braves_19_25!$C:$C="KN")),
        braves_19_25!$I:$I
    )
),0)</f>
        <v>0</v>
      </c>
      <c r="Y58" cm="1">
        <f t="array" ref="Y58">IFERROR(AVERAGE(
    IF(
        (braves_19_25!$B:$B=$A58) *
        ((braves_19_25!$C:$C="EP") +
         (braves_19_25!$C:$C="FA") +
         (braves_19_25!$C:$C="KN")),
        braves_19_25!$J:$J
    )
),0)</f>
        <v>0</v>
      </c>
      <c r="Z58" s="29" cm="1">
        <f t="array" ref="Z58">IFERROR(AVERAGE(
    IF(
        (braves_19_25!$B:$B=$A58) *
        ((braves_19_25!$C:$C="EP") +
         (braves_19_25!$C:$C="FA") +
         (braves_19_25!$C:$C="KN")),
        braves_19_25!$K:$K
    )
),0)</f>
        <v>0</v>
      </c>
    </row>
    <row r="59" spans="1:26" x14ac:dyDescent="0.3">
      <c r="A59" t="str">
        <v>Fedde, Erick</v>
      </c>
      <c r="B59" s="28" cm="1">
        <f t="array" ref="B59">IFERROR(AVERAGE(
    IF(
        (braves_19_25!$B:$B=$A59) *
        ((braves_19_25!$C:$C="FF") +
         (braves_19_25!$C:$C="SI") +
         (braves_19_25!$C:$C="FC")),
        braves_19_25!$G:$G
    )
),0)</f>
        <v>92.9</v>
      </c>
      <c r="C59" cm="1">
        <f t="array" ref="C59">IFERROR(AVERAGE(
    IF(
        (braves_19_25!$B:$B=$A59) *
        ((braves_19_25!$C:$C="FF") +
         (braves_19_25!$C:$C="SI") +
         (braves_19_25!$C:$C="FC")),
        braves_19_25!$F:$F
    )
),0)</f>
        <v>2082.5</v>
      </c>
      <c r="D59" cm="1">
        <f t="array" ref="D59">IFERROR(AVERAGE(
    IF(
        (braves_19_25!$B:$B=$A59) *
        ((braves_19_25!$C:$C="FF") +
         (braves_19_25!$C:$C="SI") +
         (braves_19_25!$C:$C="FC")),
        braves_19_25!$I:$I
    )
),0)</f>
        <v>1.9722599999999999</v>
      </c>
      <c r="E59" cm="1">
        <f t="array" ref="E59">IFERROR(AVERAGE(
    IF(
        (braves_19_25!$B:$B=$A59) *
        ((braves_19_25!$C:$C="FF") +
         (braves_19_25!$C:$C="SI") +
         (braves_19_25!$C:$C="FC")),
        braves_19_25!$J:$J
    )
),0)</f>
        <v>0.35865000000000002</v>
      </c>
      <c r="F59" s="29" cm="1">
        <f t="array" ref="F59">IFERROR(AVERAGE(
    IF(
        (braves_19_25!$B:$B=$A59) *
        ((braves_19_25!$C:$C="FF") +
         (braves_19_25!$C:$C="SI") +
         (braves_19_25!$C:$C="FC")),
        braves_19_25!$K:$K
    )
),0)</f>
        <v>-4.2885000000000006E-2</v>
      </c>
      <c r="G59" s="28" cm="1">
        <f t="array" ref="G59">IFERROR(AVERAGE(
    IF(
        (braves_19_25!$B:$B=$A59) *
        ((braves_19_25!$C:$C="SL") +
         (braves_19_25!$C:$C="ST") +
         (braves_19_25!$C:$C="SV")),
        braves_19_25!$G:$G
    )
),0)</f>
        <v>83.74</v>
      </c>
      <c r="H59" cm="1">
        <f t="array" ref="H59">IFERROR(AVERAGE(
    IF(
        (braves_19_25!$B:$B=$A59) *
        ((braves_19_25!$C:$C="SL") +
         (braves_19_25!$C:$C="ST") +
         (braves_19_25!$C:$C="SV")),
        braves_19_25!$F:$F
    )
),0)</f>
        <v>2501</v>
      </c>
      <c r="I59" cm="1">
        <f t="array" ref="I59">IFERROR(AVERAGE(
    IF(
        (braves_19_25!$B:$B=$A59) *
        ((braves_19_25!$C:$C="SL") +
         (braves_19_25!$C:$C="ST") +
         (braves_19_25!$C:$C="SV")),
        braves_19_25!$I:$I
    )
),0)</f>
        <v>2.91018</v>
      </c>
      <c r="J59" cm="1">
        <f t="array" ref="J59">IFERROR(AVERAGE(
    IF(
        (braves_19_25!$B:$B=$A59) *
        ((braves_19_25!$C:$C="SL") +
         (braves_19_25!$C:$C="ST") +
         (braves_19_25!$C:$C="SV")),
        braves_19_25!$J:$J
    )
),0)</f>
        <v>-1.02573</v>
      </c>
      <c r="K59" s="29" cm="1">
        <f t="array" ref="K59">IFERROR(AVERAGE(
    IF(
        (braves_19_25!$B:$B=$A59) *
        ((braves_19_25!$C:$C="SL") +
         (braves_19_25!$C:$C="ST") +
         (braves_19_25!$C:$C="SV")),
        braves_19_25!$K:$K
    )
),0)</f>
        <v>4.2270000000000002E-2</v>
      </c>
      <c r="L59" s="28" cm="1">
        <f t="array" ref="L59">IFERROR(AVERAGE(
    IF(
        (braves_19_25!$B:$B=$A59) *
        ((braves_19_25!$C:$C="CU") +
         (braves_19_25!$C:$C="CS") +
         (braves_19_25!$C:$C="KC")),
        braves_19_25!$G:$G
    )
),0)</f>
        <v>0</v>
      </c>
      <c r="M59" cm="1">
        <f t="array" ref="M59">IFERROR(AVERAGE(
    IF(
        (braves_19_25!$B:$B=$A59) *
        ((braves_19_25!$C:$C="CU") +
         (braves_19_25!$C:$C="CS") +
         (braves_19_25!$C:$C="KC")),
        braves_19_25!$F:$F
    )
),0)</f>
        <v>0</v>
      </c>
      <c r="N59" cm="1">
        <f t="array" ref="N59">IFERROR(AVERAGE(
    IF(
        (braves_19_25!$B:$B=$A59) *
        ((braves_19_25!$C:$C="CU") +
         (braves_19_25!$C:$C="CS") +
         (braves_19_25!$C:$C="KC")),
        braves_19_25!$I:$I
    )
),0)</f>
        <v>0</v>
      </c>
      <c r="O59" cm="1">
        <f t="array" ref="O59">IFERROR(AVERAGE(
    IF(
        (braves_19_25!$B:$B=$A59) *
        ((braves_19_25!$C:$C="CU") +
         (braves_19_25!$C:$C="CS") +
         (braves_19_25!$C:$C="KC")),
        braves_19_25!$J:$J
    )
),0)</f>
        <v>0</v>
      </c>
      <c r="P59" s="29" cm="1">
        <f t="array" ref="P59">IFERROR(AVERAGE(
    IF(
        (braves_19_25!$B:$B=$A59) *
        ((braves_19_25!$C:$C="CU") +
         (braves_19_25!$C:$C="CS") +
         (braves_19_25!$C:$C="KC")),
        braves_19_25!$K:$K
    )
),0)</f>
        <v>0</v>
      </c>
      <c r="Q59" s="28" cm="1">
        <f t="array" ref="Q59">IFERROR(AVERAGE(
    IF(
        (braves_19_25!$B:$B=$A59) *
        ((braves_19_25!$C:$C="FS") +
         (braves_19_25!$C:$C="CH") +
         (braves_19_25!$C:$C="FO") +
         (braves_19_25!$C:$C="SC")),
        braves_19_25!$G:$G
    )
),0)</f>
        <v>88.92</v>
      </c>
      <c r="R59" cm="1">
        <f t="array" ref="R59">IFERROR(AVERAGE(
    IF(
        (braves_19_25!$B:$B=$A59) *
        ((braves_19_25!$C:$C="FS") +
         (braves_19_25!$C:$C="CH") +
         (braves_19_25!$C:$C="FO") +
         (braves_19_25!$C:$C="SC")),
        braves_19_25!$F:$F
    )
),0)</f>
        <v>1782</v>
      </c>
      <c r="S59" cm="1">
        <f t="array" ref="S59">IFERROR(AVERAGE(
    IF(
        (braves_19_25!$B:$B=$A59) *
        ((braves_19_25!$C:$C="FS") +
         (braves_19_25!$C:$C="CH") +
         (braves_19_25!$C:$C="FO") +
         (braves_19_25!$C:$C="SC")),
        braves_19_25!$I:$I
    )
),0)</f>
        <v>2.7163599999999999</v>
      </c>
      <c r="T59" cm="1">
        <f t="array" ref="T59">IFERROR(AVERAGE(
    IF(
        (braves_19_25!$B:$B=$A59) *
        ((braves_19_25!$C:$C="FS") +
         (braves_19_25!$C:$C="CH") +
         (braves_19_25!$C:$C="FO") +
         (braves_19_25!$C:$C="SC")),
        braves_19_25!$J:$J
    )
),0)</f>
        <v>0.95818000000000003</v>
      </c>
      <c r="U59" s="29" cm="1">
        <f t="array" ref="U59">IFERROR(AVERAGE(
    IF(
        (braves_19_25!$B:$B=$A59) *
        ((braves_19_25!$C:$C="FS") +
         (braves_19_25!$C:$C="CH") +
         (braves_19_25!$C:$C="FO") +
         (braves_19_25!$C:$C="SC")),
        braves_19_25!$K:$K
    )
),0)</f>
        <v>-0.85152000000000005</v>
      </c>
      <c r="V59" s="28" cm="1">
        <f t="array" ref="V59">IFERROR(AVERAGE(
    IF(
        (braves_19_25!$B:$B=$A59) *
        ((braves_19_25!$C:$C="EP") +
         (braves_19_25!$C:$C="FA") +
         (braves_19_25!$C:$C="KN")),
        braves_19_25!$G:$G
    )
),0)</f>
        <v>0</v>
      </c>
      <c r="W59" cm="1">
        <f t="array" ref="W59">IFERROR(AVERAGE(
    IF(
        (braves_19_25!$B:$B=$A59) *
        ((braves_19_25!$C:$C="EP") +
         (braves_19_25!$C:$C="FA") +
         (braves_19_25!$C:$C="KN")),
        braves_19_25!$F:$F
    )
),0)</f>
        <v>0</v>
      </c>
      <c r="X59" cm="1">
        <f t="array" ref="X59">IFERROR(AVERAGE(
    IF(
        (braves_19_25!$B:$B=$A59) *
        ((braves_19_25!$C:$C="EP") +
         (braves_19_25!$C:$C="FA") +
         (braves_19_25!$C:$C="KN")),
        braves_19_25!$I:$I
    )
),0)</f>
        <v>0</v>
      </c>
      <c r="Y59" cm="1">
        <f t="array" ref="Y59">IFERROR(AVERAGE(
    IF(
        (braves_19_25!$B:$B=$A59) *
        ((braves_19_25!$C:$C="EP") +
         (braves_19_25!$C:$C="FA") +
         (braves_19_25!$C:$C="KN")),
        braves_19_25!$J:$J
    )
),0)</f>
        <v>0</v>
      </c>
      <c r="Z59" s="29" cm="1">
        <f t="array" ref="Z59">IFERROR(AVERAGE(
    IF(
        (braves_19_25!$B:$B=$A59) *
        ((braves_19_25!$C:$C="EP") +
         (braves_19_25!$C:$C="FA") +
         (braves_19_25!$C:$C="KN")),
        braves_19_25!$K:$K
    )
),0)</f>
        <v>0</v>
      </c>
    </row>
    <row r="60" spans="1:26" x14ac:dyDescent="0.3">
      <c r="A60" t="str">
        <v>Biddle, Jesse</v>
      </c>
      <c r="B60" s="28" cm="1">
        <f t="array" ref="B60">IFERROR(AVERAGE(
    IF(
        (braves_19_25!$B:$B=$A60) *
        ((braves_19_25!$C:$C="FF") +
         (braves_19_25!$C:$C="SI") +
         (braves_19_25!$C:$C="FC")),
        braves_19_25!$G:$G
    )
),0)</f>
        <v>93.625</v>
      </c>
      <c r="C60" cm="1">
        <f t="array" ref="C60">IFERROR(AVERAGE(
    IF(
        (braves_19_25!$B:$B=$A60) *
        ((braves_19_25!$C:$C="FF") +
         (braves_19_25!$C:$C="SI") +
         (braves_19_25!$C:$C="FC")),
        braves_19_25!$F:$F
    )
),0)</f>
        <v>2607</v>
      </c>
      <c r="D60" cm="1">
        <f t="array" ref="D60">IFERROR(AVERAGE(
    IF(
        (braves_19_25!$B:$B=$A60) *
        ((braves_19_25!$C:$C="FF") +
         (braves_19_25!$C:$C="SI") +
         (braves_19_25!$C:$C="FC")),
        braves_19_25!$I:$I
    )
),0)</f>
        <v>1.5805899999999999</v>
      </c>
      <c r="E60" cm="1">
        <f t="array" ref="E60">IFERROR(AVERAGE(
    IF(
        (braves_19_25!$B:$B=$A60) *
        ((braves_19_25!$C:$C="FF") +
         (braves_19_25!$C:$C="SI") +
         (braves_19_25!$C:$C="FC")),
        braves_19_25!$J:$J
    )
),0)</f>
        <v>0.81203000000000003</v>
      </c>
      <c r="F60" s="29" cm="1">
        <f t="array" ref="F60">IFERROR(AVERAGE(
    IF(
        (braves_19_25!$B:$B=$A60) *
        ((braves_19_25!$C:$C="FF") +
         (braves_19_25!$C:$C="SI") +
         (braves_19_25!$C:$C="FC")),
        braves_19_25!$K:$K
    )
),0)</f>
        <v>0.14534</v>
      </c>
      <c r="G60" s="28" cm="1">
        <f t="array" ref="G60">IFERROR(AVERAGE(
    IF(
        (braves_19_25!$B:$B=$A60) *
        ((braves_19_25!$C:$C="SL") +
         (braves_19_25!$C:$C="ST") +
         (braves_19_25!$C:$C="SV")),
        braves_19_25!$G:$G
    )
),0)</f>
        <v>86.08</v>
      </c>
      <c r="H60" cm="1">
        <f t="array" ref="H60">IFERROR(AVERAGE(
    IF(
        (braves_19_25!$B:$B=$A60) *
        ((braves_19_25!$C:$C="SL") +
         (braves_19_25!$C:$C="ST") +
         (braves_19_25!$C:$C="SV")),
        braves_19_25!$F:$F
    )
),0)</f>
        <v>2436</v>
      </c>
      <c r="I60" cm="1">
        <f t="array" ref="I60">IFERROR(AVERAGE(
    IF(
        (braves_19_25!$B:$B=$A60) *
        ((braves_19_25!$C:$C="SL") +
         (braves_19_25!$C:$C="ST") +
         (braves_19_25!$C:$C="SV")),
        braves_19_25!$I:$I
    )
),0)</f>
        <v>2.9485999999999999</v>
      </c>
      <c r="J60" cm="1">
        <f t="array" ref="J60">IFERROR(AVERAGE(
    IF(
        (braves_19_25!$B:$B=$A60) *
        ((braves_19_25!$C:$C="SL") +
         (braves_19_25!$C:$C="ST") +
         (braves_19_25!$C:$C="SV")),
        braves_19_25!$J:$J
    )
),0)</f>
        <v>-0.52569999999999995</v>
      </c>
      <c r="K60" s="29" cm="1">
        <f t="array" ref="K60">IFERROR(AVERAGE(
    IF(
        (braves_19_25!$B:$B=$A60) *
        ((braves_19_25!$C:$C="SL") +
         (braves_19_25!$C:$C="ST") +
         (braves_19_25!$C:$C="SV")),
        braves_19_25!$K:$K
    )
),0)</f>
        <v>-0.12010999999999999</v>
      </c>
      <c r="L60" s="28" cm="1">
        <f t="array" ref="L60">IFERROR(AVERAGE(
    IF(
        (braves_19_25!$B:$B=$A60) *
        ((braves_19_25!$C:$C="CU") +
         (braves_19_25!$C:$C="CS") +
         (braves_19_25!$C:$C="KC")),
        braves_19_25!$G:$G
    )
),0)</f>
        <v>76.64</v>
      </c>
      <c r="M60" cm="1">
        <f t="array" ref="M60">IFERROR(AVERAGE(
    IF(
        (braves_19_25!$B:$B=$A60) *
        ((braves_19_25!$C:$C="CU") +
         (braves_19_25!$C:$C="CS") +
         (braves_19_25!$C:$C="KC")),
        braves_19_25!$F:$F
    )
),0)</f>
        <v>2598</v>
      </c>
      <c r="N60" cm="1">
        <f t="array" ref="N60">IFERROR(AVERAGE(
    IF(
        (braves_19_25!$B:$B=$A60) *
        ((braves_19_25!$C:$C="CU") +
         (braves_19_25!$C:$C="CS") +
         (braves_19_25!$C:$C="KC")),
        braves_19_25!$I:$I
    )
),0)</f>
        <v>5.1468100000000003</v>
      </c>
      <c r="O60" cm="1">
        <f t="array" ref="O60">IFERROR(AVERAGE(
    IF(
        (braves_19_25!$B:$B=$A60) *
        ((braves_19_25!$C:$C="CU") +
         (braves_19_25!$C:$C="CS") +
         (braves_19_25!$C:$C="KC")),
        braves_19_25!$J:$J
    )
),0)</f>
        <v>-0.97513000000000005</v>
      </c>
      <c r="P60" s="29" cm="1">
        <f t="array" ref="P60">IFERROR(AVERAGE(
    IF(
        (braves_19_25!$B:$B=$A60) *
        ((braves_19_25!$C:$C="CU") +
         (braves_19_25!$C:$C="CS") +
         (braves_19_25!$C:$C="KC")),
        braves_19_25!$K:$K
    )
),0)</f>
        <v>0.59092</v>
      </c>
      <c r="Q60" s="28" cm="1">
        <f t="array" ref="Q60">IFERROR(AVERAGE(
    IF(
        (braves_19_25!$B:$B=$A60) *
        ((braves_19_25!$C:$C="FS") +
         (braves_19_25!$C:$C="CH") +
         (braves_19_25!$C:$C="FO") +
         (braves_19_25!$C:$C="SC")),
        braves_19_25!$G:$G
    )
),0)</f>
        <v>0</v>
      </c>
      <c r="R60" cm="1">
        <f t="array" ref="R60">IFERROR(AVERAGE(
    IF(
        (braves_19_25!$B:$B=$A60) *
        ((braves_19_25!$C:$C="FS") +
         (braves_19_25!$C:$C="CH") +
         (braves_19_25!$C:$C="FO") +
         (braves_19_25!$C:$C="SC")),
        braves_19_25!$F:$F
    )
),0)</f>
        <v>0</v>
      </c>
      <c r="S60" cm="1">
        <f t="array" ref="S60">IFERROR(AVERAGE(
    IF(
        (braves_19_25!$B:$B=$A60) *
        ((braves_19_25!$C:$C="FS") +
         (braves_19_25!$C:$C="CH") +
         (braves_19_25!$C:$C="FO") +
         (braves_19_25!$C:$C="SC")),
        braves_19_25!$I:$I
    )
),0)</f>
        <v>0</v>
      </c>
      <c r="T60" cm="1">
        <f t="array" ref="T60">IFERROR(AVERAGE(
    IF(
        (braves_19_25!$B:$B=$A60) *
        ((braves_19_25!$C:$C="FS") +
         (braves_19_25!$C:$C="CH") +
         (braves_19_25!$C:$C="FO") +
         (braves_19_25!$C:$C="SC")),
        braves_19_25!$J:$J
    )
),0)</f>
        <v>0</v>
      </c>
      <c r="U60" s="29" cm="1">
        <f t="array" ref="U60">IFERROR(AVERAGE(
    IF(
        (braves_19_25!$B:$B=$A60) *
        ((braves_19_25!$C:$C="FS") +
         (braves_19_25!$C:$C="CH") +
         (braves_19_25!$C:$C="FO") +
         (braves_19_25!$C:$C="SC")),
        braves_19_25!$K:$K
    )
),0)</f>
        <v>0</v>
      </c>
      <c r="V60" s="28" cm="1">
        <f t="array" ref="V60">IFERROR(AVERAGE(
    IF(
        (braves_19_25!$B:$B=$A60) *
        ((braves_19_25!$C:$C="EP") +
         (braves_19_25!$C:$C="FA") +
         (braves_19_25!$C:$C="KN")),
        braves_19_25!$G:$G
    )
),0)</f>
        <v>0</v>
      </c>
      <c r="W60" cm="1">
        <f t="array" ref="W60">IFERROR(AVERAGE(
    IF(
        (braves_19_25!$B:$B=$A60) *
        ((braves_19_25!$C:$C="EP") +
         (braves_19_25!$C:$C="FA") +
         (braves_19_25!$C:$C="KN")),
        braves_19_25!$F:$F
    )
),0)</f>
        <v>0</v>
      </c>
      <c r="X60" cm="1">
        <f t="array" ref="X60">IFERROR(AVERAGE(
    IF(
        (braves_19_25!$B:$B=$A60) *
        ((braves_19_25!$C:$C="EP") +
         (braves_19_25!$C:$C="FA") +
         (braves_19_25!$C:$C="KN")),
        braves_19_25!$I:$I
    )
),0)</f>
        <v>0</v>
      </c>
      <c r="Y60" cm="1">
        <f t="array" ref="Y60">IFERROR(AVERAGE(
    IF(
        (braves_19_25!$B:$B=$A60) *
        ((braves_19_25!$C:$C="EP") +
         (braves_19_25!$C:$C="FA") +
         (braves_19_25!$C:$C="KN")),
        braves_19_25!$J:$J
    )
),0)</f>
        <v>0</v>
      </c>
      <c r="Z60" s="29" cm="1">
        <f t="array" ref="Z60">IFERROR(AVERAGE(
    IF(
        (braves_19_25!$B:$B=$A60) *
        ((braves_19_25!$C:$C="EP") +
         (braves_19_25!$C:$C="FA") +
         (braves_19_25!$C:$C="KN")),
        braves_19_25!$K:$K
    )
),0)</f>
        <v>0</v>
      </c>
    </row>
    <row r="61" spans="1:26" x14ac:dyDescent="0.3">
      <c r="A61" t="str">
        <v>Cox, Austin</v>
      </c>
      <c r="B61" s="28" cm="1">
        <f t="array" ref="B61">IFERROR(AVERAGE(
    IF(
        (braves_19_25!$B:$B=$A61) *
        ((braves_19_25!$C:$C="FF") +
         (braves_19_25!$C:$C="SI") +
         (braves_19_25!$C:$C="FC")),
        braves_19_25!$G:$G
    )
),0)</f>
        <v>92.09333333333332</v>
      </c>
      <c r="C61" cm="1">
        <f t="array" ref="C61">IFERROR(AVERAGE(
    IF(
        (braves_19_25!$B:$B=$A61) *
        ((braves_19_25!$C:$C="FF") +
         (braves_19_25!$C:$C="SI") +
         (braves_19_25!$C:$C="FC")),
        braves_19_25!$F:$F
    )
),0)</f>
        <v>2188</v>
      </c>
      <c r="D61" cm="1">
        <f t="array" ref="D61">IFERROR(AVERAGE(
    IF(
        (braves_19_25!$B:$B=$A61) *
        ((braves_19_25!$C:$C="FF") +
         (braves_19_25!$C:$C="SI") +
         (braves_19_25!$C:$C="FC")),
        braves_19_25!$I:$I
    )
),0)</f>
        <v>1.3894766666666667</v>
      </c>
      <c r="E61" cm="1">
        <f t="array" ref="E61">IFERROR(AVERAGE(
    IF(
        (braves_19_25!$B:$B=$A61) *
        ((braves_19_25!$C:$C="FF") +
         (braves_19_25!$C:$C="SI") +
         (braves_19_25!$C:$C="FC")),
        braves_19_25!$J:$J
    )
),0)</f>
        <v>0.48254666666666668</v>
      </c>
      <c r="F61" s="29" cm="1">
        <f t="array" ref="F61">IFERROR(AVERAGE(
    IF(
        (braves_19_25!$B:$B=$A61) *
        ((braves_19_25!$C:$C="FF") +
         (braves_19_25!$C:$C="SI") +
         (braves_19_25!$C:$C="FC")),
        braves_19_25!$K:$K
    )
),0)</f>
        <v>6.9376666666666656E-2</v>
      </c>
      <c r="G61" s="28" cm="1">
        <f t="array" ref="G61">IFERROR(AVERAGE(
    IF(
        (braves_19_25!$B:$B=$A61) *
        ((braves_19_25!$C:$C="SL") +
         (braves_19_25!$C:$C="ST") +
         (braves_19_25!$C:$C="SV")),
        braves_19_25!$G:$G
    )
),0)</f>
        <v>86.84</v>
      </c>
      <c r="H61" cm="1">
        <f t="array" ref="H61">IFERROR(AVERAGE(
    IF(
        (braves_19_25!$B:$B=$A61) *
        ((braves_19_25!$C:$C="SL") +
         (braves_19_25!$C:$C="ST") +
         (braves_19_25!$C:$C="SV")),
        braves_19_25!$F:$F
    )
),0)</f>
        <v>2351</v>
      </c>
      <c r="I61" cm="1">
        <f t="array" ref="I61">IFERROR(AVERAGE(
    IF(
        (braves_19_25!$B:$B=$A61) *
        ((braves_19_25!$C:$C="SL") +
         (braves_19_25!$C:$C="ST") +
         (braves_19_25!$C:$C="SV")),
        braves_19_25!$I:$I
    )
),0)</f>
        <v>2.6688499999999999</v>
      </c>
      <c r="J61" cm="1">
        <f t="array" ref="J61">IFERROR(AVERAGE(
    IF(
        (braves_19_25!$B:$B=$A61) *
        ((braves_19_25!$C:$C="SL") +
         (braves_19_25!$C:$C="ST") +
         (braves_19_25!$C:$C="SV")),
        braves_19_25!$J:$J
    )
),0)</f>
        <v>-0.38396000000000002</v>
      </c>
      <c r="K61" s="29" cm="1">
        <f t="array" ref="K61">IFERROR(AVERAGE(
    IF(
        (braves_19_25!$B:$B=$A61) *
        ((braves_19_25!$C:$C="SL") +
         (braves_19_25!$C:$C="ST") +
         (braves_19_25!$C:$C="SV")),
        braves_19_25!$K:$K
    )
),0)</f>
        <v>-6.3670000000000004E-2</v>
      </c>
      <c r="L61" s="28" cm="1">
        <f t="array" ref="L61">IFERROR(AVERAGE(
    IF(
        (braves_19_25!$B:$B=$A61) *
        ((braves_19_25!$C:$C="CU") +
         (braves_19_25!$C:$C="CS") +
         (braves_19_25!$C:$C="KC")),
        braves_19_25!$G:$G
    )
),0)</f>
        <v>80.47</v>
      </c>
      <c r="M61" cm="1">
        <f t="array" ref="M61">IFERROR(AVERAGE(
    IF(
        (braves_19_25!$B:$B=$A61) *
        ((braves_19_25!$C:$C="CU") +
         (braves_19_25!$C:$C="CS") +
         (braves_19_25!$C:$C="KC")),
        braves_19_25!$F:$F
    )
),0)</f>
        <v>2489</v>
      </c>
      <c r="N61" cm="1">
        <f t="array" ref="N61">IFERROR(AVERAGE(
    IF(
        (braves_19_25!$B:$B=$A61) *
        ((braves_19_25!$C:$C="CU") +
         (braves_19_25!$C:$C="CS") +
         (braves_19_25!$C:$C="KC")),
        braves_19_25!$I:$I
    )
),0)</f>
        <v>4.2193300000000002</v>
      </c>
      <c r="O61" cm="1">
        <f t="array" ref="O61">IFERROR(AVERAGE(
    IF(
        (braves_19_25!$B:$B=$A61) *
        ((braves_19_25!$C:$C="CU") +
         (braves_19_25!$C:$C="CS") +
         (braves_19_25!$C:$C="KC")),
        braves_19_25!$J:$J
    )
),0)</f>
        <v>-0.20338000000000001</v>
      </c>
      <c r="P61" s="29" cm="1">
        <f t="array" ref="P61">IFERROR(AVERAGE(
    IF(
        (braves_19_25!$B:$B=$A61) *
        ((braves_19_25!$C:$C="CU") +
         (braves_19_25!$C:$C="CS") +
         (braves_19_25!$C:$C="KC")),
        braves_19_25!$K:$K
    )
),0)</f>
        <v>3.635E-2</v>
      </c>
      <c r="Q61" s="28" cm="1">
        <f t="array" ref="Q61">IFERROR(AVERAGE(
    IF(
        (braves_19_25!$B:$B=$A61) *
        ((braves_19_25!$C:$C="FS") +
         (braves_19_25!$C:$C="CH") +
         (braves_19_25!$C:$C="FO") +
         (braves_19_25!$C:$C="SC")),
        braves_19_25!$G:$G
    )
),0)</f>
        <v>82.19</v>
      </c>
      <c r="R61" cm="1">
        <f t="array" ref="R61">IFERROR(AVERAGE(
    IF(
        (braves_19_25!$B:$B=$A61) *
        ((braves_19_25!$C:$C="FS") +
         (braves_19_25!$C:$C="CH") +
         (braves_19_25!$C:$C="FO") +
         (braves_19_25!$C:$C="SC")),
        braves_19_25!$F:$F
    )
),0)</f>
        <v>645</v>
      </c>
      <c r="S61" cm="1">
        <f t="array" ref="S61">IFERROR(AVERAGE(
    IF(
        (braves_19_25!$B:$B=$A61) *
        ((braves_19_25!$C:$C="FS") +
         (braves_19_25!$C:$C="CH") +
         (braves_19_25!$C:$C="FO") +
         (braves_19_25!$C:$C="SC")),
        braves_19_25!$I:$I
    )
),0)</f>
        <v>2.8995500000000001</v>
      </c>
      <c r="T61" cm="1">
        <f t="array" ref="T61">IFERROR(AVERAGE(
    IF(
        (braves_19_25!$B:$B=$A61) *
        ((braves_19_25!$C:$C="FS") +
         (braves_19_25!$C:$C="CH") +
         (braves_19_25!$C:$C="FO") +
         (braves_19_25!$C:$C="SC")),
        braves_19_25!$J:$J
    )
),0)</f>
        <v>0.53205000000000002</v>
      </c>
      <c r="U61" s="29" cm="1">
        <f t="array" ref="U61">IFERROR(AVERAGE(
    IF(
        (braves_19_25!$B:$B=$A61) *
        ((braves_19_25!$C:$C="FS") +
         (braves_19_25!$C:$C="CH") +
         (braves_19_25!$C:$C="FO") +
         (braves_19_25!$C:$C="SC")),
        braves_19_25!$K:$K
    )
),0)</f>
        <v>-0.45705000000000001</v>
      </c>
      <c r="V61" s="28" cm="1">
        <f t="array" ref="V61">IFERROR(AVERAGE(
    IF(
        (braves_19_25!$B:$B=$A61) *
        ((braves_19_25!$C:$C="EP") +
         (braves_19_25!$C:$C="FA") +
         (braves_19_25!$C:$C="KN")),
        braves_19_25!$G:$G
    )
),0)</f>
        <v>0</v>
      </c>
      <c r="W61" cm="1">
        <f t="array" ref="W61">IFERROR(AVERAGE(
    IF(
        (braves_19_25!$B:$B=$A61) *
        ((braves_19_25!$C:$C="EP") +
         (braves_19_25!$C:$C="FA") +
         (braves_19_25!$C:$C="KN")),
        braves_19_25!$F:$F
    )
),0)</f>
        <v>0</v>
      </c>
      <c r="X61" cm="1">
        <f t="array" ref="X61">IFERROR(AVERAGE(
    IF(
        (braves_19_25!$B:$B=$A61) *
        ((braves_19_25!$C:$C="EP") +
         (braves_19_25!$C:$C="FA") +
         (braves_19_25!$C:$C="KN")),
        braves_19_25!$I:$I
    )
),0)</f>
        <v>0</v>
      </c>
      <c r="Y61" cm="1">
        <f t="array" ref="Y61">IFERROR(AVERAGE(
    IF(
        (braves_19_25!$B:$B=$A61) *
        ((braves_19_25!$C:$C="EP") +
         (braves_19_25!$C:$C="FA") +
         (braves_19_25!$C:$C="KN")),
        braves_19_25!$J:$J
    )
),0)</f>
        <v>0</v>
      </c>
      <c r="Z61" s="29" cm="1">
        <f t="array" ref="Z61">IFERROR(AVERAGE(
    IF(
        (braves_19_25!$B:$B=$A61) *
        ((braves_19_25!$C:$C="EP") +
         (braves_19_25!$C:$C="FA") +
         (braves_19_25!$C:$C="KN")),
        braves_19_25!$K:$K
    )
),0)</f>
        <v>0</v>
      </c>
    </row>
    <row r="62" spans="1:26" x14ac:dyDescent="0.3">
      <c r="A62" t="str">
        <v>Erlin, Robbie</v>
      </c>
      <c r="B62" s="28" cm="1">
        <f t="array" ref="B62">IFERROR(AVERAGE(
    IF(
        (braves_19_25!$B:$B=$A62) *
        ((braves_19_25!$C:$C="FF") +
         (braves_19_25!$C:$C="SI") +
         (braves_19_25!$C:$C="FC")),
        braves_19_25!$G:$G
    )
),0)</f>
        <v>89.35</v>
      </c>
      <c r="C62" cm="1">
        <f t="array" ref="C62">IFERROR(AVERAGE(
    IF(
        (braves_19_25!$B:$B=$A62) *
        ((braves_19_25!$C:$C="FF") +
         (braves_19_25!$C:$C="SI") +
         (braves_19_25!$C:$C="FC")),
        braves_19_25!$F:$F
    )
),0)</f>
        <v>2289</v>
      </c>
      <c r="D62" cm="1">
        <f t="array" ref="D62">IFERROR(AVERAGE(
    IF(
        (braves_19_25!$B:$B=$A62) *
        ((braves_19_25!$C:$C="FF") +
         (braves_19_25!$C:$C="SI") +
         (braves_19_25!$C:$C="FC")),
        braves_19_25!$I:$I
    )
),0)</f>
        <v>1.475835</v>
      </c>
      <c r="E62" cm="1">
        <f t="array" ref="E62">IFERROR(AVERAGE(
    IF(
        (braves_19_25!$B:$B=$A62) *
        ((braves_19_25!$C:$C="FF") +
         (braves_19_25!$C:$C="SI") +
         (braves_19_25!$C:$C="FC")),
        braves_19_25!$J:$J
    )
),0)</f>
        <v>0.85481499999999988</v>
      </c>
      <c r="F62" s="29" cm="1">
        <f t="array" ref="F62">IFERROR(AVERAGE(
    IF(
        (braves_19_25!$B:$B=$A62) *
        ((braves_19_25!$C:$C="FF") +
         (braves_19_25!$C:$C="SI") +
         (braves_19_25!$C:$C="FC")),
        braves_19_25!$K:$K
    )
),0)</f>
        <v>-0.16953499999999999</v>
      </c>
      <c r="G62" s="28" cm="1">
        <f t="array" ref="G62">IFERROR(AVERAGE(
    IF(
        (braves_19_25!$B:$B=$A62) *
        ((braves_19_25!$C:$C="SL") +
         (braves_19_25!$C:$C="ST") +
         (braves_19_25!$C:$C="SV")),
        braves_19_25!$G:$G
    )
),0)</f>
        <v>0</v>
      </c>
      <c r="H62" cm="1">
        <f t="array" ref="H62">IFERROR(AVERAGE(
    IF(
        (braves_19_25!$B:$B=$A62) *
        ((braves_19_25!$C:$C="SL") +
         (braves_19_25!$C:$C="ST") +
         (braves_19_25!$C:$C="SV")),
        braves_19_25!$F:$F
    )
),0)</f>
        <v>0</v>
      </c>
      <c r="I62" cm="1">
        <f t="array" ref="I62">IFERROR(AVERAGE(
    IF(
        (braves_19_25!$B:$B=$A62) *
        ((braves_19_25!$C:$C="SL") +
         (braves_19_25!$C:$C="ST") +
         (braves_19_25!$C:$C="SV")),
        braves_19_25!$I:$I
    )
),0)</f>
        <v>0</v>
      </c>
      <c r="J62" cm="1">
        <f t="array" ref="J62">IFERROR(AVERAGE(
    IF(
        (braves_19_25!$B:$B=$A62) *
        ((braves_19_25!$C:$C="SL") +
         (braves_19_25!$C:$C="ST") +
         (braves_19_25!$C:$C="SV")),
        braves_19_25!$J:$J
    )
),0)</f>
        <v>0</v>
      </c>
      <c r="K62" s="29" cm="1">
        <f t="array" ref="K62">IFERROR(AVERAGE(
    IF(
        (braves_19_25!$B:$B=$A62) *
        ((braves_19_25!$C:$C="SL") +
         (braves_19_25!$C:$C="ST") +
         (braves_19_25!$C:$C="SV")),
        braves_19_25!$K:$K
    )
),0)</f>
        <v>0</v>
      </c>
      <c r="L62" s="28" cm="1">
        <f t="array" ref="L62">IFERROR(AVERAGE(
    IF(
        (braves_19_25!$B:$B=$A62) *
        ((braves_19_25!$C:$C="CU") +
         (braves_19_25!$C:$C="CS") +
         (braves_19_25!$C:$C="KC")),
        braves_19_25!$G:$G
    )
),0)</f>
        <v>75.17</v>
      </c>
      <c r="M62" cm="1">
        <f t="array" ref="M62">IFERROR(AVERAGE(
    IF(
        (braves_19_25!$B:$B=$A62) *
        ((braves_19_25!$C:$C="CU") +
         (braves_19_25!$C:$C="CS") +
         (braves_19_25!$C:$C="KC")),
        braves_19_25!$F:$F
    )
),0)</f>
        <v>2584</v>
      </c>
      <c r="N62" cm="1">
        <f t="array" ref="N62">IFERROR(AVERAGE(
    IF(
        (braves_19_25!$B:$B=$A62) *
        ((braves_19_25!$C:$C="CU") +
         (braves_19_25!$C:$C="CS") +
         (braves_19_25!$C:$C="KC")),
        braves_19_25!$I:$I
    )
),0)</f>
        <v>5.2916699999999999</v>
      </c>
      <c r="O62" cm="1">
        <f t="array" ref="O62">IFERROR(AVERAGE(
    IF(
        (braves_19_25!$B:$B=$A62) *
        ((braves_19_25!$C:$C="CU") +
         (braves_19_25!$C:$C="CS") +
         (braves_19_25!$C:$C="KC")),
        braves_19_25!$J:$J
    )
),0)</f>
        <v>-0.60228000000000004</v>
      </c>
      <c r="P62" s="29" cm="1">
        <f t="array" ref="P62">IFERROR(AVERAGE(
    IF(
        (braves_19_25!$B:$B=$A62) *
        ((braves_19_25!$C:$C="CU") +
         (braves_19_25!$C:$C="CS") +
         (braves_19_25!$C:$C="KC")),
        braves_19_25!$K:$K
    )
),0)</f>
        <v>0.28719</v>
      </c>
      <c r="Q62" s="28" cm="1">
        <f t="array" ref="Q62">IFERROR(AVERAGE(
    IF(
        (braves_19_25!$B:$B=$A62) *
        ((braves_19_25!$C:$C="FS") +
         (braves_19_25!$C:$C="CH") +
         (braves_19_25!$C:$C="FO") +
         (braves_19_25!$C:$C="SC")),
        braves_19_25!$G:$G
    )
),0)</f>
        <v>82.73</v>
      </c>
      <c r="R62" cm="1">
        <f t="array" ref="R62">IFERROR(AVERAGE(
    IF(
        (braves_19_25!$B:$B=$A62) *
        ((braves_19_25!$C:$C="FS") +
         (braves_19_25!$C:$C="CH") +
         (braves_19_25!$C:$C="FO") +
         (braves_19_25!$C:$C="SC")),
        braves_19_25!$F:$F
    )
),0)</f>
        <v>1465</v>
      </c>
      <c r="S62" cm="1">
        <f t="array" ref="S62">IFERROR(AVERAGE(
    IF(
        (braves_19_25!$B:$B=$A62) *
        ((braves_19_25!$C:$C="FS") +
         (braves_19_25!$C:$C="CH") +
         (braves_19_25!$C:$C="FO") +
         (braves_19_25!$C:$C="SC")),
        braves_19_25!$I:$I
    )
),0)</f>
        <v>2.61415</v>
      </c>
      <c r="T62" cm="1">
        <f t="array" ref="T62">IFERROR(AVERAGE(
    IF(
        (braves_19_25!$B:$B=$A62) *
        ((braves_19_25!$C:$C="FS") +
         (braves_19_25!$C:$C="CH") +
         (braves_19_25!$C:$C="FO") +
         (braves_19_25!$C:$C="SC")),
        braves_19_25!$J:$J
    )
),0)</f>
        <v>0.81830999999999998</v>
      </c>
      <c r="U62" s="29" cm="1">
        <f t="array" ref="U62">IFERROR(AVERAGE(
    IF(
        (braves_19_25!$B:$B=$A62) *
        ((braves_19_25!$C:$C="FS") +
         (braves_19_25!$C:$C="CH") +
         (braves_19_25!$C:$C="FO") +
         (braves_19_25!$C:$C="SC")),
        braves_19_25!$K:$K
    )
),0)</f>
        <v>-0.42137999999999998</v>
      </c>
      <c r="V62" s="28" cm="1">
        <f t="array" ref="V62">IFERROR(AVERAGE(
    IF(
        (braves_19_25!$B:$B=$A62) *
        ((braves_19_25!$C:$C="EP") +
         (braves_19_25!$C:$C="FA") +
         (braves_19_25!$C:$C="KN")),
        braves_19_25!$G:$G
    )
),0)</f>
        <v>0</v>
      </c>
      <c r="W62" cm="1">
        <f t="array" ref="W62">IFERROR(AVERAGE(
    IF(
        (braves_19_25!$B:$B=$A62) *
        ((braves_19_25!$C:$C="EP") +
         (braves_19_25!$C:$C="FA") +
         (braves_19_25!$C:$C="KN")),
        braves_19_25!$F:$F
    )
),0)</f>
        <v>0</v>
      </c>
      <c r="X62" cm="1">
        <f t="array" ref="X62">IFERROR(AVERAGE(
    IF(
        (braves_19_25!$B:$B=$A62) *
        ((braves_19_25!$C:$C="EP") +
         (braves_19_25!$C:$C="FA") +
         (braves_19_25!$C:$C="KN")),
        braves_19_25!$I:$I
    )
),0)</f>
        <v>0</v>
      </c>
      <c r="Y62" cm="1">
        <f t="array" ref="Y62">IFERROR(AVERAGE(
    IF(
        (braves_19_25!$B:$B=$A62) *
        ((braves_19_25!$C:$C="EP") +
         (braves_19_25!$C:$C="FA") +
         (braves_19_25!$C:$C="KN")),
        braves_19_25!$J:$J
    )
),0)</f>
        <v>0</v>
      </c>
      <c r="Z62" s="29" cm="1">
        <f t="array" ref="Z62">IFERROR(AVERAGE(
    IF(
        (braves_19_25!$B:$B=$A62) *
        ((braves_19_25!$C:$C="EP") +
         (braves_19_25!$C:$C="FA") +
         (braves_19_25!$C:$C="KN")),
        braves_19_25!$K:$K
    )
),0)</f>
        <v>0</v>
      </c>
    </row>
    <row r="63" spans="1:26" x14ac:dyDescent="0.3">
      <c r="A63" t="str">
        <v>Chirinos, Yonny</v>
      </c>
      <c r="B63" s="28" cm="1">
        <f t="array" ref="B63">IFERROR(AVERAGE(
    IF(
        (braves_19_25!$B:$B=$A63) *
        ((braves_19_25!$C:$C="FF") +
         (braves_19_25!$C:$C="SI") +
         (braves_19_25!$C:$C="FC")),
        braves_19_25!$G:$G
    )
),0)</f>
        <v>92.935000000000002</v>
      </c>
      <c r="C63" cm="1">
        <f t="array" ref="C63">IFERROR(AVERAGE(
    IF(
        (braves_19_25!$B:$B=$A63) *
        ((braves_19_25!$C:$C="FF") +
         (braves_19_25!$C:$C="SI") +
         (braves_19_25!$C:$C="FC")),
        braves_19_25!$F:$F
    )
),0)</f>
        <v>2113</v>
      </c>
      <c r="D63" cm="1">
        <f t="array" ref="D63">IFERROR(AVERAGE(
    IF(
        (braves_19_25!$B:$B=$A63) *
        ((braves_19_25!$C:$C="FF") +
         (braves_19_25!$C:$C="SI") +
         (braves_19_25!$C:$C="FC")),
        braves_19_25!$I:$I
    )
),0)</f>
        <v>1.7751699999999999</v>
      </c>
      <c r="E63" cm="1">
        <f t="array" ref="E63">IFERROR(AVERAGE(
    IF(
        (braves_19_25!$B:$B=$A63) *
        ((braves_19_25!$C:$C="FF") +
         (braves_19_25!$C:$C="SI") +
         (braves_19_25!$C:$C="FC")),
        braves_19_25!$J:$J
    )
),0)</f>
        <v>1.0713299999999999</v>
      </c>
      <c r="F63" s="29" cm="1">
        <f t="array" ref="F63">IFERROR(AVERAGE(
    IF(
        (braves_19_25!$B:$B=$A63) *
        ((braves_19_25!$C:$C="FF") +
         (braves_19_25!$C:$C="SI") +
         (braves_19_25!$C:$C="FC")),
        braves_19_25!$K:$K
    )
),0)</f>
        <v>-0.26889000000000002</v>
      </c>
      <c r="G63" s="28" cm="1">
        <f t="array" ref="G63">IFERROR(AVERAGE(
    IF(
        (braves_19_25!$B:$B=$A63) *
        ((braves_19_25!$C:$C="SL") +
         (braves_19_25!$C:$C="ST") +
         (braves_19_25!$C:$C="SV")),
        braves_19_25!$G:$G
    )
),0)</f>
        <v>90.51</v>
      </c>
      <c r="H63" cm="1">
        <f t="array" ref="H63">IFERROR(AVERAGE(
    IF(
        (braves_19_25!$B:$B=$A63) *
        ((braves_19_25!$C:$C="SL") +
         (braves_19_25!$C:$C="ST") +
         (braves_19_25!$C:$C="SV")),
        braves_19_25!$F:$F
    )
),0)</f>
        <v>2211</v>
      </c>
      <c r="I63" cm="1">
        <f t="array" ref="I63">IFERROR(AVERAGE(
    IF(
        (braves_19_25!$B:$B=$A63) *
        ((braves_19_25!$C:$C="SL") +
         (braves_19_25!$C:$C="ST") +
         (braves_19_25!$C:$C="SV")),
        braves_19_25!$I:$I
    )
),0)</f>
        <v>2.1939199999999999</v>
      </c>
      <c r="J63" cm="1">
        <f t="array" ref="J63">IFERROR(AVERAGE(
    IF(
        (braves_19_25!$B:$B=$A63) *
        ((braves_19_25!$C:$C="SL") +
         (braves_19_25!$C:$C="ST") +
         (braves_19_25!$C:$C="SV")),
        braves_19_25!$J:$J
    )
),0)</f>
        <v>0.12</v>
      </c>
      <c r="K63" s="29" cm="1">
        <f t="array" ref="K63">IFERROR(AVERAGE(
    IF(
        (braves_19_25!$B:$B=$A63) *
        ((braves_19_25!$C:$C="SL") +
         (braves_19_25!$C:$C="ST") +
         (braves_19_25!$C:$C="SV")),
        braves_19_25!$K:$K
    )
),0)</f>
        <v>-2.3140000000000001E-2</v>
      </c>
      <c r="L63" s="28" cm="1">
        <f t="array" ref="L63">IFERROR(AVERAGE(
    IF(
        (braves_19_25!$B:$B=$A63) *
        ((braves_19_25!$C:$C="CU") +
         (braves_19_25!$C:$C="CS") +
         (braves_19_25!$C:$C="KC")),
        braves_19_25!$G:$G
    )
),0)</f>
        <v>0</v>
      </c>
      <c r="M63" cm="1">
        <f t="array" ref="M63">IFERROR(AVERAGE(
    IF(
        (braves_19_25!$B:$B=$A63) *
        ((braves_19_25!$C:$C="CU") +
         (braves_19_25!$C:$C="CS") +
         (braves_19_25!$C:$C="KC")),
        braves_19_25!$F:$F
    )
),0)</f>
        <v>0</v>
      </c>
      <c r="N63" cm="1">
        <f t="array" ref="N63">IFERROR(AVERAGE(
    IF(
        (braves_19_25!$B:$B=$A63) *
        ((braves_19_25!$C:$C="CU") +
         (braves_19_25!$C:$C="CS") +
         (braves_19_25!$C:$C="KC")),
        braves_19_25!$I:$I
    )
),0)</f>
        <v>0</v>
      </c>
      <c r="O63" cm="1">
        <f t="array" ref="O63">IFERROR(AVERAGE(
    IF(
        (braves_19_25!$B:$B=$A63) *
        ((braves_19_25!$C:$C="CU") +
         (braves_19_25!$C:$C="CS") +
         (braves_19_25!$C:$C="KC")),
        braves_19_25!$J:$J
    )
),0)</f>
        <v>0</v>
      </c>
      <c r="P63" s="29" cm="1">
        <f t="array" ref="P63">IFERROR(AVERAGE(
    IF(
        (braves_19_25!$B:$B=$A63) *
        ((braves_19_25!$C:$C="CU") +
         (braves_19_25!$C:$C="CS") +
         (braves_19_25!$C:$C="KC")),
        braves_19_25!$K:$K
    )
),0)</f>
        <v>0</v>
      </c>
      <c r="Q63" s="28" cm="1">
        <f t="array" ref="Q63">IFERROR(AVERAGE(
    IF(
        (braves_19_25!$B:$B=$A63) *
        ((braves_19_25!$C:$C="FS") +
         (braves_19_25!$C:$C="CH") +
         (braves_19_25!$C:$C="FO") +
         (braves_19_25!$C:$C="SC")),
        braves_19_25!$G:$G
    )
),0)</f>
        <v>85.92</v>
      </c>
      <c r="R63" cm="1">
        <f t="array" ref="R63">IFERROR(AVERAGE(
    IF(
        (braves_19_25!$B:$B=$A63) *
        ((braves_19_25!$C:$C="FS") +
         (braves_19_25!$C:$C="CH") +
         (braves_19_25!$C:$C="FO") +
         (braves_19_25!$C:$C="SC")),
        braves_19_25!$F:$F
    )
),0)</f>
        <v>1356</v>
      </c>
      <c r="S63" cm="1">
        <f t="array" ref="S63">IFERROR(AVERAGE(
    IF(
        (braves_19_25!$B:$B=$A63) *
        ((braves_19_25!$C:$C="FS") +
         (braves_19_25!$C:$C="CH") +
         (braves_19_25!$C:$C="FO") +
         (braves_19_25!$C:$C="SC")),
        braves_19_25!$I:$I
    )
),0)</f>
        <v>2.7916400000000001</v>
      </c>
      <c r="T63" cm="1">
        <f t="array" ref="T63">IFERROR(AVERAGE(
    IF(
        (braves_19_25!$B:$B=$A63) *
        ((braves_19_25!$C:$C="FS") +
         (braves_19_25!$C:$C="CH") +
         (braves_19_25!$C:$C="FO") +
         (braves_19_25!$C:$C="SC")),
        braves_19_25!$J:$J
    )
),0)</f>
        <v>0.50519999999999998</v>
      </c>
      <c r="U63" s="29" cm="1">
        <f t="array" ref="U63">IFERROR(AVERAGE(
    IF(
        (braves_19_25!$B:$B=$A63) *
        ((braves_19_25!$C:$C="FS") +
         (braves_19_25!$C:$C="CH") +
         (braves_19_25!$C:$C="FO") +
         (braves_19_25!$C:$C="SC")),
        braves_19_25!$K:$K
    )
),0)</f>
        <v>-0.11888</v>
      </c>
      <c r="V63" s="28" cm="1">
        <f t="array" ref="V63">IFERROR(AVERAGE(
    IF(
        (braves_19_25!$B:$B=$A63) *
        ((braves_19_25!$C:$C="EP") +
         (braves_19_25!$C:$C="FA") +
         (braves_19_25!$C:$C="KN")),
        braves_19_25!$G:$G
    )
),0)</f>
        <v>0</v>
      </c>
      <c r="W63" cm="1">
        <f t="array" ref="W63">IFERROR(AVERAGE(
    IF(
        (braves_19_25!$B:$B=$A63) *
        ((braves_19_25!$C:$C="EP") +
         (braves_19_25!$C:$C="FA") +
         (braves_19_25!$C:$C="KN")),
        braves_19_25!$F:$F
    )
),0)</f>
        <v>0</v>
      </c>
      <c r="X63" cm="1">
        <f t="array" ref="X63">IFERROR(AVERAGE(
    IF(
        (braves_19_25!$B:$B=$A63) *
        ((braves_19_25!$C:$C="EP") +
         (braves_19_25!$C:$C="FA") +
         (braves_19_25!$C:$C="KN")),
        braves_19_25!$I:$I
    )
),0)</f>
        <v>0</v>
      </c>
      <c r="Y63" cm="1">
        <f t="array" ref="Y63">IFERROR(AVERAGE(
    IF(
        (braves_19_25!$B:$B=$A63) *
        ((braves_19_25!$C:$C="EP") +
         (braves_19_25!$C:$C="FA") +
         (braves_19_25!$C:$C="KN")),
        braves_19_25!$J:$J
    )
),0)</f>
        <v>0</v>
      </c>
      <c r="Z63" s="29" cm="1">
        <f t="array" ref="Z63">IFERROR(AVERAGE(
    IF(
        (braves_19_25!$B:$B=$A63) *
        ((braves_19_25!$C:$C="EP") +
         (braves_19_25!$C:$C="FA") +
         (braves_19_25!$C:$C="KN")),
        braves_19_25!$K:$K
    )
),0)</f>
        <v>0</v>
      </c>
    </row>
    <row r="64" spans="1:26" x14ac:dyDescent="0.3">
      <c r="A64" t="str">
        <v>Rodríguez, Richard</v>
      </c>
      <c r="B64" s="28" cm="1">
        <f t="array" ref="B64">IFERROR(AVERAGE(
    IF(
        (braves_19_25!$B:$B=$A64) *
        ((braves_19_25!$C:$C="FF") +
         (braves_19_25!$C:$C="SI") +
         (braves_19_25!$C:$C="FC")),
        braves_19_25!$G:$G
    )
),0)</f>
        <v>93.56</v>
      </c>
      <c r="C64" cm="1">
        <f t="array" ref="C64">IFERROR(AVERAGE(
    IF(
        (braves_19_25!$B:$B=$A64) *
        ((braves_19_25!$C:$C="FF") +
         (braves_19_25!$C:$C="SI") +
         (braves_19_25!$C:$C="FC")),
        braves_19_25!$F:$F
    )
),0)</f>
        <v>2312</v>
      </c>
      <c r="D64" cm="1">
        <f t="array" ref="D64">IFERROR(AVERAGE(
    IF(
        (braves_19_25!$B:$B=$A64) *
        ((braves_19_25!$C:$C="FF") +
         (braves_19_25!$C:$C="SI") +
         (braves_19_25!$C:$C="FC")),
        braves_19_25!$I:$I
    )
),0)</f>
        <v>1.4457100000000001</v>
      </c>
      <c r="E64" cm="1">
        <f t="array" ref="E64">IFERROR(AVERAGE(
    IF(
        (braves_19_25!$B:$B=$A64) *
        ((braves_19_25!$C:$C="FF") +
         (braves_19_25!$C:$C="SI") +
         (braves_19_25!$C:$C="FC")),
        braves_19_25!$J:$J
    )
),0)</f>
        <v>1.06233</v>
      </c>
      <c r="F64" s="29" cm="1">
        <f t="array" ref="F64">IFERROR(AVERAGE(
    IF(
        (braves_19_25!$B:$B=$A64) *
        ((braves_19_25!$C:$C="FF") +
         (braves_19_25!$C:$C="SI") +
         (braves_19_25!$C:$C="FC")),
        braves_19_25!$K:$K
    )
),0)</f>
        <v>0.23626</v>
      </c>
      <c r="G64" s="28" cm="1">
        <f t="array" ref="G64">IFERROR(AVERAGE(
    IF(
        (braves_19_25!$B:$B=$A64) *
        ((braves_19_25!$C:$C="SL") +
         (braves_19_25!$C:$C="ST") +
         (braves_19_25!$C:$C="SV")),
        braves_19_25!$G:$G
    )
),0)</f>
        <v>81.52</v>
      </c>
      <c r="H64" cm="1">
        <f t="array" ref="H64">IFERROR(AVERAGE(
    IF(
        (braves_19_25!$B:$B=$A64) *
        ((braves_19_25!$C:$C="SL") +
         (braves_19_25!$C:$C="ST") +
         (braves_19_25!$C:$C="SV")),
        braves_19_25!$F:$F
    )
),0)</f>
        <v>1950</v>
      </c>
      <c r="I64" cm="1">
        <f t="array" ref="I64">IFERROR(AVERAGE(
    IF(
        (braves_19_25!$B:$B=$A64) *
        ((braves_19_25!$C:$C="SL") +
         (braves_19_25!$C:$C="ST") +
         (braves_19_25!$C:$C="SV")),
        braves_19_25!$I:$I
    )
),0)</f>
        <v>3.92672</v>
      </c>
      <c r="J64" cm="1">
        <f t="array" ref="J64">IFERROR(AVERAGE(
    IF(
        (braves_19_25!$B:$B=$A64) *
        ((braves_19_25!$C:$C="SL") +
         (braves_19_25!$C:$C="ST") +
         (braves_19_25!$C:$C="SV")),
        braves_19_25!$J:$J
    )
),0)</f>
        <v>-0.51385999999999998</v>
      </c>
      <c r="K64" s="29" cm="1">
        <f t="array" ref="K64">IFERROR(AVERAGE(
    IF(
        (braves_19_25!$B:$B=$A64) *
        ((braves_19_25!$C:$C="SL") +
         (braves_19_25!$C:$C="ST") +
         (braves_19_25!$C:$C="SV")),
        braves_19_25!$K:$K
    )
),0)</f>
        <v>0.15561</v>
      </c>
      <c r="L64" s="28" cm="1">
        <f t="array" ref="L64">IFERROR(AVERAGE(
    IF(
        (braves_19_25!$B:$B=$A64) *
        ((braves_19_25!$C:$C="CU") +
         (braves_19_25!$C:$C="CS") +
         (braves_19_25!$C:$C="KC")),
        braves_19_25!$G:$G
    )
),0)</f>
        <v>0</v>
      </c>
      <c r="M64" cm="1">
        <f t="array" ref="M64">IFERROR(AVERAGE(
    IF(
        (braves_19_25!$B:$B=$A64) *
        ((braves_19_25!$C:$C="CU") +
         (braves_19_25!$C:$C="CS") +
         (braves_19_25!$C:$C="KC")),
        braves_19_25!$F:$F
    )
),0)</f>
        <v>0</v>
      </c>
      <c r="N64" cm="1">
        <f t="array" ref="N64">IFERROR(AVERAGE(
    IF(
        (braves_19_25!$B:$B=$A64) *
        ((braves_19_25!$C:$C="CU") +
         (braves_19_25!$C:$C="CS") +
         (braves_19_25!$C:$C="KC")),
        braves_19_25!$I:$I
    )
),0)</f>
        <v>0</v>
      </c>
      <c r="O64" cm="1">
        <f t="array" ref="O64">IFERROR(AVERAGE(
    IF(
        (braves_19_25!$B:$B=$A64) *
        ((braves_19_25!$C:$C="CU") +
         (braves_19_25!$C:$C="CS") +
         (braves_19_25!$C:$C="KC")),
        braves_19_25!$J:$J
    )
),0)</f>
        <v>0</v>
      </c>
      <c r="P64" s="29" cm="1">
        <f t="array" ref="P64">IFERROR(AVERAGE(
    IF(
        (braves_19_25!$B:$B=$A64) *
        ((braves_19_25!$C:$C="CU") +
         (braves_19_25!$C:$C="CS") +
         (braves_19_25!$C:$C="KC")),
        braves_19_25!$K:$K
    )
),0)</f>
        <v>0</v>
      </c>
      <c r="Q64" s="28" cm="1">
        <f t="array" ref="Q64">IFERROR(AVERAGE(
    IF(
        (braves_19_25!$B:$B=$A64) *
        ((braves_19_25!$C:$C="FS") +
         (braves_19_25!$C:$C="CH") +
         (braves_19_25!$C:$C="FO") +
         (braves_19_25!$C:$C="SC")),
        braves_19_25!$G:$G
    )
),0)</f>
        <v>0</v>
      </c>
      <c r="R64" cm="1">
        <f t="array" ref="R64">IFERROR(AVERAGE(
    IF(
        (braves_19_25!$B:$B=$A64) *
        ((braves_19_25!$C:$C="FS") +
         (braves_19_25!$C:$C="CH") +
         (braves_19_25!$C:$C="FO") +
         (braves_19_25!$C:$C="SC")),
        braves_19_25!$F:$F
    )
),0)</f>
        <v>0</v>
      </c>
      <c r="S64" cm="1">
        <f t="array" ref="S64">IFERROR(AVERAGE(
    IF(
        (braves_19_25!$B:$B=$A64) *
        ((braves_19_25!$C:$C="FS") +
         (braves_19_25!$C:$C="CH") +
         (braves_19_25!$C:$C="FO") +
         (braves_19_25!$C:$C="SC")),
        braves_19_25!$I:$I
    )
),0)</f>
        <v>0</v>
      </c>
      <c r="T64" cm="1">
        <f t="array" ref="T64">IFERROR(AVERAGE(
    IF(
        (braves_19_25!$B:$B=$A64) *
        ((braves_19_25!$C:$C="FS") +
         (braves_19_25!$C:$C="CH") +
         (braves_19_25!$C:$C="FO") +
         (braves_19_25!$C:$C="SC")),
        braves_19_25!$J:$J
    )
),0)</f>
        <v>0</v>
      </c>
      <c r="U64" s="29" cm="1">
        <f t="array" ref="U64">IFERROR(AVERAGE(
    IF(
        (braves_19_25!$B:$B=$A64) *
        ((braves_19_25!$C:$C="FS") +
         (braves_19_25!$C:$C="CH") +
         (braves_19_25!$C:$C="FO") +
         (braves_19_25!$C:$C="SC")),
        braves_19_25!$K:$K
    )
),0)</f>
        <v>0</v>
      </c>
      <c r="V64" s="28" cm="1">
        <f t="array" ref="V64">IFERROR(AVERAGE(
    IF(
        (braves_19_25!$B:$B=$A64) *
        ((braves_19_25!$C:$C="EP") +
         (braves_19_25!$C:$C="FA") +
         (braves_19_25!$C:$C="KN")),
        braves_19_25!$G:$G
    )
),0)</f>
        <v>0</v>
      </c>
      <c r="W64" cm="1">
        <f t="array" ref="W64">IFERROR(AVERAGE(
    IF(
        (braves_19_25!$B:$B=$A64) *
        ((braves_19_25!$C:$C="EP") +
         (braves_19_25!$C:$C="FA") +
         (braves_19_25!$C:$C="KN")),
        braves_19_25!$F:$F
    )
),0)</f>
        <v>0</v>
      </c>
      <c r="X64" cm="1">
        <f t="array" ref="X64">IFERROR(AVERAGE(
    IF(
        (braves_19_25!$B:$B=$A64) *
        ((braves_19_25!$C:$C="EP") +
         (braves_19_25!$C:$C="FA") +
         (braves_19_25!$C:$C="KN")),
        braves_19_25!$I:$I
    )
),0)</f>
        <v>0</v>
      </c>
      <c r="Y64" cm="1">
        <f t="array" ref="Y64">IFERROR(AVERAGE(
    IF(
        (braves_19_25!$B:$B=$A64) *
        ((braves_19_25!$C:$C="EP") +
         (braves_19_25!$C:$C="FA") +
         (braves_19_25!$C:$C="KN")),
        braves_19_25!$J:$J
    )
),0)</f>
        <v>0</v>
      </c>
      <c r="Z64" s="29" cm="1">
        <f t="array" ref="Z64">IFERROR(AVERAGE(
    IF(
        (braves_19_25!$B:$B=$A64) *
        ((braves_19_25!$C:$C="EP") +
         (braves_19_25!$C:$C="FA") +
         (braves_19_25!$C:$C="KN")),
        braves_19_25!$K:$K
    )
),0)</f>
        <v>0</v>
      </c>
    </row>
    <row r="65" spans="1:26" x14ac:dyDescent="0.3">
      <c r="A65" t="str">
        <v>Kerr, Ray</v>
      </c>
      <c r="B65" s="28" cm="1">
        <f t="array" ref="B65">IFERROR(AVERAGE(
    IF(
        (braves_19_25!$B:$B=$A65) *
        ((braves_19_25!$C:$C="FF") +
         (braves_19_25!$C:$C="SI") +
         (braves_19_25!$C:$C="FC")),
        braves_19_25!$G:$G
    )
),0)</f>
        <v>92.525000000000006</v>
      </c>
      <c r="C65" cm="1">
        <f t="array" ref="C65">IFERROR(AVERAGE(
    IF(
        (braves_19_25!$B:$B=$A65) *
        ((braves_19_25!$C:$C="FF") +
         (braves_19_25!$C:$C="SI") +
         (braves_19_25!$C:$C="FC")),
        braves_19_25!$F:$F
    )
),0)</f>
        <v>2171</v>
      </c>
      <c r="D65" cm="1">
        <f t="array" ref="D65">IFERROR(AVERAGE(
    IF(
        (braves_19_25!$B:$B=$A65) *
        ((braves_19_25!$C:$C="FF") +
         (braves_19_25!$C:$C="SI") +
         (braves_19_25!$C:$C="FC")),
        braves_19_25!$I:$I
    )
),0)</f>
        <v>1.6603400000000001</v>
      </c>
      <c r="E65" cm="1">
        <f t="array" ref="E65">IFERROR(AVERAGE(
    IF(
        (braves_19_25!$B:$B=$A65) *
        ((braves_19_25!$C:$C="FF") +
         (braves_19_25!$C:$C="SI") +
         (braves_19_25!$C:$C="FC")),
        braves_19_25!$J:$J
    )
),0)</f>
        <v>0.27635500000000002</v>
      </c>
      <c r="F65" s="29" cm="1">
        <f t="array" ref="F65">IFERROR(AVERAGE(
    IF(
        (braves_19_25!$B:$B=$A65) *
        ((braves_19_25!$C:$C="FF") +
         (braves_19_25!$C:$C="SI") +
         (braves_19_25!$C:$C="FC")),
        braves_19_25!$K:$K
    )
),0)</f>
        <v>-1.7639999999999996E-2</v>
      </c>
      <c r="G65" s="28" cm="1">
        <f t="array" ref="G65">IFERROR(AVERAGE(
    IF(
        (braves_19_25!$B:$B=$A65) *
        ((braves_19_25!$C:$C="SL") +
         (braves_19_25!$C:$C="ST") +
         (braves_19_25!$C:$C="SV")),
        braves_19_25!$G:$G
    )
),0)</f>
        <v>0</v>
      </c>
      <c r="H65" cm="1">
        <f t="array" ref="H65">IFERROR(AVERAGE(
    IF(
        (braves_19_25!$B:$B=$A65) *
        ((braves_19_25!$C:$C="SL") +
         (braves_19_25!$C:$C="ST") +
         (braves_19_25!$C:$C="SV")),
        braves_19_25!$F:$F
    )
),0)</f>
        <v>0</v>
      </c>
      <c r="I65" cm="1">
        <f t="array" ref="I65">IFERROR(AVERAGE(
    IF(
        (braves_19_25!$B:$B=$A65) *
        ((braves_19_25!$C:$C="SL") +
         (braves_19_25!$C:$C="ST") +
         (braves_19_25!$C:$C="SV")),
        braves_19_25!$I:$I
    )
),0)</f>
        <v>0</v>
      </c>
      <c r="J65" cm="1">
        <f t="array" ref="J65">IFERROR(AVERAGE(
    IF(
        (braves_19_25!$B:$B=$A65) *
        ((braves_19_25!$C:$C="SL") +
         (braves_19_25!$C:$C="ST") +
         (braves_19_25!$C:$C="SV")),
        braves_19_25!$J:$J
    )
),0)</f>
        <v>0</v>
      </c>
      <c r="K65" s="29" cm="1">
        <f t="array" ref="K65">IFERROR(AVERAGE(
    IF(
        (braves_19_25!$B:$B=$A65) *
        ((braves_19_25!$C:$C="SL") +
         (braves_19_25!$C:$C="ST") +
         (braves_19_25!$C:$C="SV")),
        braves_19_25!$K:$K
    )
),0)</f>
        <v>0</v>
      </c>
      <c r="L65" s="28" cm="1">
        <f t="array" ref="L65">IFERROR(AVERAGE(
    IF(
        (braves_19_25!$B:$B=$A65) *
        ((braves_19_25!$C:$C="CU") +
         (braves_19_25!$C:$C="CS") +
         (braves_19_25!$C:$C="KC")),
        braves_19_25!$G:$G
    )
),0)</f>
        <v>82.01</v>
      </c>
      <c r="M65" cm="1">
        <f t="array" ref="M65">IFERROR(AVERAGE(
    IF(
        (braves_19_25!$B:$B=$A65) *
        ((braves_19_25!$C:$C="CU") +
         (braves_19_25!$C:$C="CS") +
         (braves_19_25!$C:$C="KC")),
        braves_19_25!$F:$F
    )
),0)</f>
        <v>1966</v>
      </c>
      <c r="N65" cm="1">
        <f t="array" ref="N65">IFERROR(AVERAGE(
    IF(
        (braves_19_25!$B:$B=$A65) *
        ((braves_19_25!$C:$C="CU") +
         (braves_19_25!$C:$C="CS") +
         (braves_19_25!$C:$C="KC")),
        braves_19_25!$I:$I
    )
),0)</f>
        <v>3.5862799999999999</v>
      </c>
      <c r="O65" cm="1">
        <f t="array" ref="O65">IFERROR(AVERAGE(
    IF(
        (braves_19_25!$B:$B=$A65) *
        ((braves_19_25!$C:$C="CU") +
         (braves_19_25!$C:$C="CS") +
         (braves_19_25!$C:$C="KC")),
        braves_19_25!$J:$J
    )
),0)</f>
        <v>-4.7099999999999998E-3</v>
      </c>
      <c r="P65" s="29" cm="1">
        <f t="array" ref="P65">IFERROR(AVERAGE(
    IF(
        (braves_19_25!$B:$B=$A65) *
        ((braves_19_25!$C:$C="CU") +
         (braves_19_25!$C:$C="CS") +
         (braves_19_25!$C:$C="KC")),
        braves_19_25!$K:$K
    )
),0)</f>
        <v>3.0799999999999998E-3</v>
      </c>
      <c r="Q65" s="28" cm="1">
        <f t="array" ref="Q65">IFERROR(AVERAGE(
    IF(
        (braves_19_25!$B:$B=$A65) *
        ((braves_19_25!$C:$C="FS") +
         (braves_19_25!$C:$C="CH") +
         (braves_19_25!$C:$C="FO") +
         (braves_19_25!$C:$C="SC")),
        braves_19_25!$G:$G
    )
),0)</f>
        <v>89.68</v>
      </c>
      <c r="R65" cm="1">
        <f t="array" ref="R65">IFERROR(AVERAGE(
    IF(
        (braves_19_25!$B:$B=$A65) *
        ((braves_19_25!$C:$C="FS") +
         (braves_19_25!$C:$C="CH") +
         (braves_19_25!$C:$C="FO") +
         (braves_19_25!$C:$C="SC")),
        braves_19_25!$F:$F
    )
),0)</f>
        <v>1523</v>
      </c>
      <c r="S65" cm="1">
        <f t="array" ref="S65">IFERROR(AVERAGE(
    IF(
        (braves_19_25!$B:$B=$A65) *
        ((braves_19_25!$C:$C="FS") +
         (braves_19_25!$C:$C="CH") +
         (braves_19_25!$C:$C="FO") +
         (braves_19_25!$C:$C="SC")),
        braves_19_25!$I:$I
    )
),0)</f>
        <v>2.2017600000000002</v>
      </c>
      <c r="T65" cm="1">
        <f t="array" ref="T65">IFERROR(AVERAGE(
    IF(
        (braves_19_25!$B:$B=$A65) *
        ((braves_19_25!$C:$C="FS") +
         (braves_19_25!$C:$C="CH") +
         (braves_19_25!$C:$C="FO") +
         (braves_19_25!$C:$C="SC")),
        braves_19_25!$J:$J
    )
),0)</f>
        <v>1.0605899999999999</v>
      </c>
      <c r="U65" s="29" cm="1">
        <f t="array" ref="U65">IFERROR(AVERAGE(
    IF(
        (braves_19_25!$B:$B=$A65) *
        ((braves_19_25!$C:$C="FS") +
         (braves_19_25!$C:$C="CH") +
         (braves_19_25!$C:$C="FO") +
         (braves_19_25!$C:$C="SC")),
        braves_19_25!$K:$K
    )
),0)</f>
        <v>-0.92528999999999995</v>
      </c>
      <c r="V65" s="28" cm="1">
        <f t="array" ref="V65">IFERROR(AVERAGE(
    IF(
        (braves_19_25!$B:$B=$A65) *
        ((braves_19_25!$C:$C="EP") +
         (braves_19_25!$C:$C="FA") +
         (braves_19_25!$C:$C="KN")),
        braves_19_25!$G:$G
    )
),0)</f>
        <v>0</v>
      </c>
      <c r="W65" cm="1">
        <f t="array" ref="W65">IFERROR(AVERAGE(
    IF(
        (braves_19_25!$B:$B=$A65) *
        ((braves_19_25!$C:$C="EP") +
         (braves_19_25!$C:$C="FA") +
         (braves_19_25!$C:$C="KN")),
        braves_19_25!$F:$F
    )
),0)</f>
        <v>0</v>
      </c>
      <c r="X65" cm="1">
        <f t="array" ref="X65">IFERROR(AVERAGE(
    IF(
        (braves_19_25!$B:$B=$A65) *
        ((braves_19_25!$C:$C="EP") +
         (braves_19_25!$C:$C="FA") +
         (braves_19_25!$C:$C="KN")),
        braves_19_25!$I:$I
    )
),0)</f>
        <v>0</v>
      </c>
      <c r="Y65" cm="1">
        <f t="array" ref="Y65">IFERROR(AVERAGE(
    IF(
        (braves_19_25!$B:$B=$A65) *
        ((braves_19_25!$C:$C="EP") +
         (braves_19_25!$C:$C="FA") +
         (braves_19_25!$C:$C="KN")),
        braves_19_25!$J:$J
    )
),0)</f>
        <v>0</v>
      </c>
      <c r="Z65" s="29" cm="1">
        <f t="array" ref="Z65">IFERROR(AVERAGE(
    IF(
        (braves_19_25!$B:$B=$A65) *
        ((braves_19_25!$C:$C="EP") +
         (braves_19_25!$C:$C="FA") +
         (braves_19_25!$C:$C="KN")),
        braves_19_25!$K:$K
    )
),0)</f>
        <v>0</v>
      </c>
    </row>
    <row r="66" spans="1:26" x14ac:dyDescent="0.3">
      <c r="A66" t="str">
        <v>Kinley, Tyler</v>
      </c>
      <c r="B66" s="28" cm="1">
        <f t="array" ref="B66">IFERROR(AVERAGE(
    IF(
        (braves_19_25!$B:$B=$A66) *
        ((braves_19_25!$C:$C="FF") +
         (braves_19_25!$C:$C="SI") +
         (braves_19_25!$C:$C="FC")),
        braves_19_25!$G:$G
    )
),0)</f>
        <v>93.86</v>
      </c>
      <c r="C66" cm="1">
        <f t="array" ref="C66">IFERROR(AVERAGE(
    IF(
        (braves_19_25!$B:$B=$A66) *
        ((braves_19_25!$C:$C="FF") +
         (braves_19_25!$C:$C="SI") +
         (braves_19_25!$C:$C="FC")),
        braves_19_25!$F:$F
    )
),0)</f>
        <v>2407</v>
      </c>
      <c r="D66" cm="1">
        <f t="array" ref="D66">IFERROR(AVERAGE(
    IF(
        (braves_19_25!$B:$B=$A66) *
        ((braves_19_25!$C:$C="FF") +
         (braves_19_25!$C:$C="SI") +
         (braves_19_25!$C:$C="FC")),
        braves_19_25!$I:$I
    )
),0)</f>
        <v>1.2110000000000001</v>
      </c>
      <c r="E66" cm="1">
        <f t="array" ref="E66">IFERROR(AVERAGE(
    IF(
        (braves_19_25!$B:$B=$A66) *
        ((braves_19_25!$C:$C="FF") +
         (braves_19_25!$C:$C="SI") +
         (braves_19_25!$C:$C="FC")),
        braves_19_25!$J:$J
    )
),0)</f>
        <v>0.25646000000000002</v>
      </c>
      <c r="F66" s="29" cm="1">
        <f t="array" ref="F66">IFERROR(AVERAGE(
    IF(
        (braves_19_25!$B:$B=$A66) *
        ((braves_19_25!$C:$C="FF") +
         (braves_19_25!$C:$C="SI") +
         (braves_19_25!$C:$C="FC")),
        braves_19_25!$K:$K
    )
),0)</f>
        <v>-5.1459999999999999E-2</v>
      </c>
      <c r="G66" s="28" cm="1">
        <f t="array" ref="G66">IFERROR(AVERAGE(
    IF(
        (braves_19_25!$B:$B=$A66) *
        ((braves_19_25!$C:$C="SL") +
         (braves_19_25!$C:$C="ST") +
         (braves_19_25!$C:$C="SV")),
        braves_19_25!$G:$G
    )
),0)</f>
        <v>86.78</v>
      </c>
      <c r="H66" cm="1">
        <f t="array" ref="H66">IFERROR(AVERAGE(
    IF(
        (braves_19_25!$B:$B=$A66) *
        ((braves_19_25!$C:$C="SL") +
         (braves_19_25!$C:$C="ST") +
         (braves_19_25!$C:$C="SV")),
        braves_19_25!$F:$F
    )
),0)</f>
        <v>2553</v>
      </c>
      <c r="I66" cm="1">
        <f t="array" ref="I66">IFERROR(AVERAGE(
    IF(
        (braves_19_25!$B:$B=$A66) *
        ((braves_19_25!$C:$C="SL") +
         (braves_19_25!$C:$C="ST") +
         (braves_19_25!$C:$C="SV")),
        braves_19_25!$I:$I
    )
),0)</f>
        <v>2.66865</v>
      </c>
      <c r="J66" cm="1">
        <f t="array" ref="J66">IFERROR(AVERAGE(
    IF(
        (braves_19_25!$B:$B=$A66) *
        ((braves_19_25!$C:$C="SL") +
         (braves_19_25!$C:$C="ST") +
         (braves_19_25!$C:$C="SV")),
        braves_19_25!$J:$J
    )
),0)</f>
        <v>-0.16925999999999999</v>
      </c>
      <c r="K66" s="29" cm="1">
        <f t="array" ref="K66">IFERROR(AVERAGE(
    IF(
        (braves_19_25!$B:$B=$A66) *
        ((braves_19_25!$C:$C="SL") +
         (braves_19_25!$C:$C="ST") +
         (braves_19_25!$C:$C="SV")),
        braves_19_25!$K:$K
    )
),0)</f>
        <v>-3.4709999999999998E-2</v>
      </c>
      <c r="L66" s="28" cm="1">
        <f t="array" ref="L66">IFERROR(AVERAGE(
    IF(
        (braves_19_25!$B:$B=$A66) *
        ((braves_19_25!$C:$C="CU") +
         (braves_19_25!$C:$C="CS") +
         (braves_19_25!$C:$C="KC")),
        braves_19_25!$G:$G
    )
),0)</f>
        <v>83.35</v>
      </c>
      <c r="M66" cm="1">
        <f t="array" ref="M66">IFERROR(AVERAGE(
    IF(
        (braves_19_25!$B:$B=$A66) *
        ((braves_19_25!$C:$C="CU") +
         (braves_19_25!$C:$C="CS") +
         (braves_19_25!$C:$C="KC")),
        braves_19_25!$F:$F
    )
),0)</f>
        <v>2783</v>
      </c>
      <c r="N66" cm="1">
        <f t="array" ref="N66">IFERROR(AVERAGE(
    IF(
        (braves_19_25!$B:$B=$A66) *
        ((braves_19_25!$C:$C="CU") +
         (braves_19_25!$C:$C="CS") +
         (braves_19_25!$C:$C="KC")),
        braves_19_25!$I:$I
    )
),0)</f>
        <v>3.84023</v>
      </c>
      <c r="O66" cm="1">
        <f t="array" ref="O66">IFERROR(AVERAGE(
    IF(
        (braves_19_25!$B:$B=$A66) *
        ((braves_19_25!$C:$C="CU") +
         (braves_19_25!$C:$C="CS") +
         (braves_19_25!$C:$C="KC")),
        braves_19_25!$J:$J
    )
),0)</f>
        <v>-0.24953</v>
      </c>
      <c r="P66" s="29" cm="1">
        <f t="array" ref="P66">IFERROR(AVERAGE(
    IF(
        (braves_19_25!$B:$B=$A66) *
        ((braves_19_25!$C:$C="CU") +
         (braves_19_25!$C:$C="CS") +
         (braves_19_25!$C:$C="KC")),
        braves_19_25!$K:$K
    )
),0)</f>
        <v>6.7400000000000003E-3</v>
      </c>
      <c r="Q66" s="28" cm="1">
        <f t="array" ref="Q66">IFERROR(AVERAGE(
    IF(
        (braves_19_25!$B:$B=$A66) *
        ((braves_19_25!$C:$C="FS") +
         (braves_19_25!$C:$C="CH") +
         (braves_19_25!$C:$C="FO") +
         (braves_19_25!$C:$C="SC")),
        braves_19_25!$G:$G
    )
),0)</f>
        <v>0</v>
      </c>
      <c r="R66" cm="1">
        <f t="array" ref="R66">IFERROR(AVERAGE(
    IF(
        (braves_19_25!$B:$B=$A66) *
        ((braves_19_25!$C:$C="FS") +
         (braves_19_25!$C:$C="CH") +
         (braves_19_25!$C:$C="FO") +
         (braves_19_25!$C:$C="SC")),
        braves_19_25!$F:$F
    )
),0)</f>
        <v>0</v>
      </c>
      <c r="S66" cm="1">
        <f t="array" ref="S66">IFERROR(AVERAGE(
    IF(
        (braves_19_25!$B:$B=$A66) *
        ((braves_19_25!$C:$C="FS") +
         (braves_19_25!$C:$C="CH") +
         (braves_19_25!$C:$C="FO") +
         (braves_19_25!$C:$C="SC")),
        braves_19_25!$I:$I
    )
),0)</f>
        <v>0</v>
      </c>
      <c r="T66" cm="1">
        <f t="array" ref="T66">IFERROR(AVERAGE(
    IF(
        (braves_19_25!$B:$B=$A66) *
        ((braves_19_25!$C:$C="FS") +
         (braves_19_25!$C:$C="CH") +
         (braves_19_25!$C:$C="FO") +
         (braves_19_25!$C:$C="SC")),
        braves_19_25!$J:$J
    )
),0)</f>
        <v>0</v>
      </c>
      <c r="U66" s="29" cm="1">
        <f t="array" ref="U66">IFERROR(AVERAGE(
    IF(
        (braves_19_25!$B:$B=$A66) *
        ((braves_19_25!$C:$C="FS") +
         (braves_19_25!$C:$C="CH") +
         (braves_19_25!$C:$C="FO") +
         (braves_19_25!$C:$C="SC")),
        braves_19_25!$K:$K
    )
),0)</f>
        <v>0</v>
      </c>
      <c r="V66" s="28" cm="1">
        <f t="array" ref="V66">IFERROR(AVERAGE(
    IF(
        (braves_19_25!$B:$B=$A66) *
        ((braves_19_25!$C:$C="EP") +
         (braves_19_25!$C:$C="FA") +
         (braves_19_25!$C:$C="KN")),
        braves_19_25!$G:$G
    )
),0)</f>
        <v>0</v>
      </c>
      <c r="W66" cm="1">
        <f t="array" ref="W66">IFERROR(AVERAGE(
    IF(
        (braves_19_25!$B:$B=$A66) *
        ((braves_19_25!$C:$C="EP") +
         (braves_19_25!$C:$C="FA") +
         (braves_19_25!$C:$C="KN")),
        braves_19_25!$F:$F
    )
),0)</f>
        <v>0</v>
      </c>
      <c r="X66" cm="1">
        <f t="array" ref="X66">IFERROR(AVERAGE(
    IF(
        (braves_19_25!$B:$B=$A66) *
        ((braves_19_25!$C:$C="EP") +
         (braves_19_25!$C:$C="FA") +
         (braves_19_25!$C:$C="KN")),
        braves_19_25!$I:$I
    )
),0)</f>
        <v>0</v>
      </c>
      <c r="Y66" cm="1">
        <f t="array" ref="Y66">IFERROR(AVERAGE(
    IF(
        (braves_19_25!$B:$B=$A66) *
        ((braves_19_25!$C:$C="EP") +
         (braves_19_25!$C:$C="FA") +
         (braves_19_25!$C:$C="KN")),
        braves_19_25!$J:$J
    )
),0)</f>
        <v>0</v>
      </c>
      <c r="Z66" s="29" cm="1">
        <f t="array" ref="Z66">IFERROR(AVERAGE(
    IF(
        (braves_19_25!$B:$B=$A66) *
        ((braves_19_25!$C:$C="EP") +
         (braves_19_25!$C:$C="FA") +
         (braves_19_25!$C:$C="KN")),
        braves_19_25!$K:$K
    )
),0)</f>
        <v>0</v>
      </c>
    </row>
    <row r="67" spans="1:26" x14ac:dyDescent="0.3">
      <c r="A67" t="str">
        <v>Hand, Brad</v>
      </c>
      <c r="B67" s="28" cm="1">
        <f t="array" ref="B67">IFERROR(AVERAGE(
    IF(
        (braves_19_25!$B:$B=$A67) *
        ((braves_19_25!$C:$C="FF") +
         (braves_19_25!$C:$C="SI") +
         (braves_19_25!$C:$C="FC")),
        braves_19_25!$G:$G
    )
),0)</f>
        <v>91.965000000000003</v>
      </c>
      <c r="C67" cm="1">
        <f t="array" ref="C67">IFERROR(AVERAGE(
    IF(
        (braves_19_25!$B:$B=$A67) *
        ((braves_19_25!$C:$C="FF") +
         (braves_19_25!$C:$C="SI") +
         (braves_19_25!$C:$C="FC")),
        braves_19_25!$F:$F
    )
),0)</f>
        <v>2253.5</v>
      </c>
      <c r="D67" cm="1">
        <f t="array" ref="D67">IFERROR(AVERAGE(
    IF(
        (braves_19_25!$B:$B=$A67) *
        ((braves_19_25!$C:$C="FF") +
         (braves_19_25!$C:$C="SI") +
         (braves_19_25!$C:$C="FC")),
        braves_19_25!$I:$I
    )
),0)</f>
        <v>1.845715</v>
      </c>
      <c r="E67" cm="1">
        <f t="array" ref="E67">IFERROR(AVERAGE(
    IF(
        (braves_19_25!$B:$B=$A67) *
        ((braves_19_25!$C:$C="FF") +
         (braves_19_25!$C:$C="SI") +
         (braves_19_25!$C:$C="FC")),
        braves_19_25!$J:$J
    )
),0)</f>
        <v>1.17737</v>
      </c>
      <c r="F67" s="29" cm="1">
        <f t="array" ref="F67">IFERROR(AVERAGE(
    IF(
        (braves_19_25!$B:$B=$A67) *
        ((braves_19_25!$C:$C="FF") +
         (braves_19_25!$C:$C="SI") +
         (braves_19_25!$C:$C="FC")),
        braves_19_25!$K:$K
    )
),0)</f>
        <v>-0.33389999999999997</v>
      </c>
      <c r="G67" s="28" cm="1">
        <f t="array" ref="G67">IFERROR(AVERAGE(
    IF(
        (braves_19_25!$B:$B=$A67) *
        ((braves_19_25!$C:$C="SL") +
         (braves_19_25!$C:$C="ST") +
         (braves_19_25!$C:$C="SV")),
        braves_19_25!$G:$G
    )
),0)</f>
        <v>79.56</v>
      </c>
      <c r="H67" cm="1">
        <f t="array" ref="H67">IFERROR(AVERAGE(
    IF(
        (braves_19_25!$B:$B=$A67) *
        ((braves_19_25!$C:$C="SL") +
         (braves_19_25!$C:$C="ST") +
         (braves_19_25!$C:$C="SV")),
        braves_19_25!$F:$F
    )
),0)</f>
        <v>2424</v>
      </c>
      <c r="I67" cm="1">
        <f t="array" ref="I67">IFERROR(AVERAGE(
    IF(
        (braves_19_25!$B:$B=$A67) *
        ((braves_19_25!$C:$C="SL") +
         (braves_19_25!$C:$C="ST") +
         (braves_19_25!$C:$C="SV")),
        braves_19_25!$I:$I
    )
),0)</f>
        <v>3.6162399999999999</v>
      </c>
      <c r="J67" cm="1">
        <f t="array" ref="J67">IFERROR(AVERAGE(
    IF(
        (braves_19_25!$B:$B=$A67) *
        ((braves_19_25!$C:$C="SL") +
         (braves_19_25!$C:$C="ST") +
         (braves_19_25!$C:$C="SV")),
        braves_19_25!$J:$J
    )
),0)</f>
        <v>-1.28729</v>
      </c>
      <c r="K67" s="29" cm="1">
        <f t="array" ref="K67">IFERROR(AVERAGE(
    IF(
        (braves_19_25!$B:$B=$A67) *
        ((braves_19_25!$C:$C="SL") +
         (braves_19_25!$C:$C="ST") +
         (braves_19_25!$C:$C="SV")),
        braves_19_25!$K:$K
    )
),0)</f>
        <v>4.4200000000000003E-2</v>
      </c>
      <c r="L67" s="28" cm="1">
        <f t="array" ref="L67">IFERROR(AVERAGE(
    IF(
        (braves_19_25!$B:$B=$A67) *
        ((braves_19_25!$C:$C="CU") +
         (braves_19_25!$C:$C="CS") +
         (braves_19_25!$C:$C="KC")),
        braves_19_25!$G:$G
    )
),0)</f>
        <v>0</v>
      </c>
      <c r="M67" cm="1">
        <f t="array" ref="M67">IFERROR(AVERAGE(
    IF(
        (braves_19_25!$B:$B=$A67) *
        ((braves_19_25!$C:$C="CU") +
         (braves_19_25!$C:$C="CS") +
         (braves_19_25!$C:$C="KC")),
        braves_19_25!$F:$F
    )
),0)</f>
        <v>0</v>
      </c>
      <c r="N67" cm="1">
        <f t="array" ref="N67">IFERROR(AVERAGE(
    IF(
        (braves_19_25!$B:$B=$A67) *
        ((braves_19_25!$C:$C="CU") +
         (braves_19_25!$C:$C="CS") +
         (braves_19_25!$C:$C="KC")),
        braves_19_25!$I:$I
    )
),0)</f>
        <v>0</v>
      </c>
      <c r="O67" cm="1">
        <f t="array" ref="O67">IFERROR(AVERAGE(
    IF(
        (braves_19_25!$B:$B=$A67) *
        ((braves_19_25!$C:$C="CU") +
         (braves_19_25!$C:$C="CS") +
         (braves_19_25!$C:$C="KC")),
        braves_19_25!$J:$J
    )
),0)</f>
        <v>0</v>
      </c>
      <c r="P67" s="29" cm="1">
        <f t="array" ref="P67">IFERROR(AVERAGE(
    IF(
        (braves_19_25!$B:$B=$A67) *
        ((braves_19_25!$C:$C="CU") +
         (braves_19_25!$C:$C="CS") +
         (braves_19_25!$C:$C="KC")),
        braves_19_25!$K:$K
    )
),0)</f>
        <v>0</v>
      </c>
      <c r="Q67" s="28" cm="1">
        <f t="array" ref="Q67">IFERROR(AVERAGE(
    IF(
        (braves_19_25!$B:$B=$A67) *
        ((braves_19_25!$C:$C="FS") +
         (braves_19_25!$C:$C="CH") +
         (braves_19_25!$C:$C="FO") +
         (braves_19_25!$C:$C="SC")),
        braves_19_25!$G:$G
    )
),0)</f>
        <v>0</v>
      </c>
      <c r="R67" cm="1">
        <f t="array" ref="R67">IFERROR(AVERAGE(
    IF(
        (braves_19_25!$B:$B=$A67) *
        ((braves_19_25!$C:$C="FS") +
         (braves_19_25!$C:$C="CH") +
         (braves_19_25!$C:$C="FO") +
         (braves_19_25!$C:$C="SC")),
        braves_19_25!$F:$F
    )
),0)</f>
        <v>0</v>
      </c>
      <c r="S67" cm="1">
        <f t="array" ref="S67">IFERROR(AVERAGE(
    IF(
        (braves_19_25!$B:$B=$A67) *
        ((braves_19_25!$C:$C="FS") +
         (braves_19_25!$C:$C="CH") +
         (braves_19_25!$C:$C="FO") +
         (braves_19_25!$C:$C="SC")),
        braves_19_25!$I:$I
    )
),0)</f>
        <v>0</v>
      </c>
      <c r="T67" cm="1">
        <f t="array" ref="T67">IFERROR(AVERAGE(
    IF(
        (braves_19_25!$B:$B=$A67) *
        ((braves_19_25!$C:$C="FS") +
         (braves_19_25!$C:$C="CH") +
         (braves_19_25!$C:$C="FO") +
         (braves_19_25!$C:$C="SC")),
        braves_19_25!$J:$J
    )
),0)</f>
        <v>0</v>
      </c>
      <c r="U67" s="29" cm="1">
        <f t="array" ref="U67">IFERROR(AVERAGE(
    IF(
        (braves_19_25!$B:$B=$A67) *
        ((braves_19_25!$C:$C="FS") +
         (braves_19_25!$C:$C="CH") +
         (braves_19_25!$C:$C="FO") +
         (braves_19_25!$C:$C="SC")),
        braves_19_25!$K:$K
    )
),0)</f>
        <v>0</v>
      </c>
      <c r="V67" s="28" cm="1">
        <f t="array" ref="V67">IFERROR(AVERAGE(
    IF(
        (braves_19_25!$B:$B=$A67) *
        ((braves_19_25!$C:$C="EP") +
         (braves_19_25!$C:$C="FA") +
         (braves_19_25!$C:$C="KN")),
        braves_19_25!$G:$G
    )
),0)</f>
        <v>0</v>
      </c>
      <c r="W67" cm="1">
        <f t="array" ref="W67">IFERROR(AVERAGE(
    IF(
        (braves_19_25!$B:$B=$A67) *
        ((braves_19_25!$C:$C="EP") +
         (braves_19_25!$C:$C="FA") +
         (braves_19_25!$C:$C="KN")),
        braves_19_25!$F:$F
    )
),0)</f>
        <v>0</v>
      </c>
      <c r="X67" cm="1">
        <f t="array" ref="X67">IFERROR(AVERAGE(
    IF(
        (braves_19_25!$B:$B=$A67) *
        ((braves_19_25!$C:$C="EP") +
         (braves_19_25!$C:$C="FA") +
         (braves_19_25!$C:$C="KN")),
        braves_19_25!$I:$I
    )
),0)</f>
        <v>0</v>
      </c>
      <c r="Y67" cm="1">
        <f t="array" ref="Y67">IFERROR(AVERAGE(
    IF(
        (braves_19_25!$B:$B=$A67) *
        ((braves_19_25!$C:$C="EP") +
         (braves_19_25!$C:$C="FA") +
         (braves_19_25!$C:$C="KN")),
        braves_19_25!$J:$J
    )
),0)</f>
        <v>0</v>
      </c>
      <c r="Z67" s="29" cm="1">
        <f t="array" ref="Z67">IFERROR(AVERAGE(
    IF(
        (braves_19_25!$B:$B=$A67) *
        ((braves_19_25!$C:$C="EP") +
         (braves_19_25!$C:$C="FA") +
         (braves_19_25!$C:$C="KN")),
        braves_19_25!$K:$K
    )
),0)</f>
        <v>0</v>
      </c>
    </row>
    <row r="68" spans="1:26" x14ac:dyDescent="0.3">
      <c r="A68" t="str">
        <v>Heller, Ben</v>
      </c>
      <c r="B68" s="28" cm="1">
        <f t="array" ref="B68">IFERROR(AVERAGE(
    IF(
        (braves_19_25!$B:$B=$A68) *
        ((braves_19_25!$C:$C="FF") +
         (braves_19_25!$C:$C="SI") +
         (braves_19_25!$C:$C="FC")),
        braves_19_25!$G:$G
    )
),0)</f>
        <v>93.466666666666654</v>
      </c>
      <c r="C68" cm="1">
        <f t="array" ref="C68">IFERROR(AVERAGE(
    IF(
        (braves_19_25!$B:$B=$A68) *
        ((braves_19_25!$C:$C="FF") +
         (braves_19_25!$C:$C="SI") +
         (braves_19_25!$C:$C="FC")),
        braves_19_25!$F:$F
    )
),0)</f>
        <v>2237.6666666666665</v>
      </c>
      <c r="D68" cm="1">
        <f t="array" ref="D68">IFERROR(AVERAGE(
    IF(
        (braves_19_25!$B:$B=$A68) *
        ((braves_19_25!$C:$C="FF") +
         (braves_19_25!$C:$C="SI") +
         (braves_19_25!$C:$C="FC")),
        braves_19_25!$I:$I
    )
),0)</f>
        <v>2.0136666666666665</v>
      </c>
      <c r="E68" cm="1">
        <f t="array" ref="E68">IFERROR(AVERAGE(
    IF(
        (braves_19_25!$B:$B=$A68) *
        ((braves_19_25!$C:$C="FF") +
         (braves_19_25!$C:$C="SI") +
         (braves_19_25!$C:$C="FC")),
        braves_19_25!$J:$J
    )
),0)</f>
        <v>0.96207333333333322</v>
      </c>
      <c r="F68" s="29" cm="1">
        <f t="array" ref="F68">IFERROR(AVERAGE(
    IF(
        (braves_19_25!$B:$B=$A68) *
        ((braves_19_25!$C:$C="FF") +
         (braves_19_25!$C:$C="SI") +
         (braves_19_25!$C:$C="FC")),
        braves_19_25!$K:$K
    )
),0)</f>
        <v>-0.18979000000000001</v>
      </c>
      <c r="G68" s="28" cm="1">
        <f t="array" ref="G68">IFERROR(AVERAGE(
    IF(
        (braves_19_25!$B:$B=$A68) *
        ((braves_19_25!$C:$C="SL") +
         (braves_19_25!$C:$C="ST") +
         (braves_19_25!$C:$C="SV")),
        braves_19_25!$G:$G
    )
),0)</f>
        <v>78.349999999999994</v>
      </c>
      <c r="H68" cm="1">
        <f t="array" ref="H68">IFERROR(AVERAGE(
    IF(
        (braves_19_25!$B:$B=$A68) *
        ((braves_19_25!$C:$C="SL") +
         (braves_19_25!$C:$C="ST") +
         (braves_19_25!$C:$C="SV")),
        braves_19_25!$F:$F
    )
),0)</f>
        <v>2477</v>
      </c>
      <c r="I68" cm="1">
        <f t="array" ref="I68">IFERROR(AVERAGE(
    IF(
        (braves_19_25!$B:$B=$A68) *
        ((braves_19_25!$C:$C="SL") +
         (braves_19_25!$C:$C="ST") +
         (braves_19_25!$C:$C="SV")),
        braves_19_25!$I:$I
    )
),0)</f>
        <v>3.8102399999999998</v>
      </c>
      <c r="J68" cm="1">
        <f t="array" ref="J68">IFERROR(AVERAGE(
    IF(
        (braves_19_25!$B:$B=$A68) *
        ((braves_19_25!$C:$C="SL") +
         (braves_19_25!$C:$C="ST") +
         (braves_19_25!$C:$C="SV")),
        braves_19_25!$J:$J
    )
),0)</f>
        <v>-1.2868299999999999</v>
      </c>
      <c r="K68" s="29" cm="1">
        <f t="array" ref="K68">IFERROR(AVERAGE(
    IF(
        (braves_19_25!$B:$B=$A68) *
        ((braves_19_25!$C:$C="SL") +
         (braves_19_25!$C:$C="ST") +
         (braves_19_25!$C:$C="SV")),
        braves_19_25!$K:$K
    )
),0)</f>
        <v>-0.77268000000000003</v>
      </c>
      <c r="L68" s="28" cm="1">
        <f t="array" ref="L68">IFERROR(AVERAGE(
    IF(
        (braves_19_25!$B:$B=$A68) *
        ((braves_19_25!$C:$C="CU") +
         (braves_19_25!$C:$C="CS") +
         (braves_19_25!$C:$C="KC")),
        braves_19_25!$G:$G
    )
),0)</f>
        <v>0</v>
      </c>
      <c r="M68" cm="1">
        <f t="array" ref="M68">IFERROR(AVERAGE(
    IF(
        (braves_19_25!$B:$B=$A68) *
        ((braves_19_25!$C:$C="CU") +
         (braves_19_25!$C:$C="CS") +
         (braves_19_25!$C:$C="KC")),
        braves_19_25!$F:$F
    )
),0)</f>
        <v>0</v>
      </c>
      <c r="N68" cm="1">
        <f t="array" ref="N68">IFERROR(AVERAGE(
    IF(
        (braves_19_25!$B:$B=$A68) *
        ((braves_19_25!$C:$C="CU") +
         (braves_19_25!$C:$C="CS") +
         (braves_19_25!$C:$C="KC")),
        braves_19_25!$I:$I
    )
),0)</f>
        <v>0</v>
      </c>
      <c r="O68" cm="1">
        <f t="array" ref="O68">IFERROR(AVERAGE(
    IF(
        (braves_19_25!$B:$B=$A68) *
        ((braves_19_25!$C:$C="CU") +
         (braves_19_25!$C:$C="CS") +
         (braves_19_25!$C:$C="KC")),
        braves_19_25!$J:$J
    )
),0)</f>
        <v>0</v>
      </c>
      <c r="P68" s="29" cm="1">
        <f t="array" ref="P68">IFERROR(AVERAGE(
    IF(
        (braves_19_25!$B:$B=$A68) *
        ((braves_19_25!$C:$C="CU") +
         (braves_19_25!$C:$C="CS") +
         (braves_19_25!$C:$C="KC")),
        braves_19_25!$K:$K
    )
),0)</f>
        <v>0</v>
      </c>
      <c r="Q68" s="28" cm="1">
        <f t="array" ref="Q68">IFERROR(AVERAGE(
    IF(
        (braves_19_25!$B:$B=$A68) *
        ((braves_19_25!$C:$C="FS") +
         (braves_19_25!$C:$C="CH") +
         (braves_19_25!$C:$C="FO") +
         (braves_19_25!$C:$C="SC")),
        braves_19_25!$G:$G
    )
),0)</f>
        <v>84.72</v>
      </c>
      <c r="R68" cm="1">
        <f t="array" ref="R68">IFERROR(AVERAGE(
    IF(
        (braves_19_25!$B:$B=$A68) *
        ((braves_19_25!$C:$C="FS") +
         (braves_19_25!$C:$C="CH") +
         (braves_19_25!$C:$C="FO") +
         (braves_19_25!$C:$C="SC")),
        braves_19_25!$F:$F
    )
),0)</f>
        <v>1516</v>
      </c>
      <c r="S68" cm="1">
        <f t="array" ref="S68">IFERROR(AVERAGE(
    IF(
        (braves_19_25!$B:$B=$A68) *
        ((braves_19_25!$C:$C="FS") +
         (braves_19_25!$C:$C="CH") +
         (braves_19_25!$C:$C="FO") +
         (braves_19_25!$C:$C="SC")),
        braves_19_25!$I:$I
    )
),0)</f>
        <v>2.9123100000000002</v>
      </c>
      <c r="T68" cm="1">
        <f t="array" ref="T68">IFERROR(AVERAGE(
    IF(
        (braves_19_25!$B:$B=$A68) *
        ((braves_19_25!$C:$C="FS") +
         (braves_19_25!$C:$C="CH") +
         (braves_19_25!$C:$C="FO") +
         (braves_19_25!$C:$C="SC")),
        braves_19_25!$J:$J
    )
),0)</f>
        <v>1.17154</v>
      </c>
      <c r="U68" s="29" cm="1">
        <f t="array" ref="U68">IFERROR(AVERAGE(
    IF(
        (braves_19_25!$B:$B=$A68) *
        ((braves_19_25!$C:$C="FS") +
         (braves_19_25!$C:$C="CH") +
         (braves_19_25!$C:$C="FO") +
         (braves_19_25!$C:$C="SC")),
        braves_19_25!$K:$K
    )
),0)</f>
        <v>-1.0464100000000001</v>
      </c>
      <c r="V68" s="28" cm="1">
        <f t="array" ref="V68">IFERROR(AVERAGE(
    IF(
        (braves_19_25!$B:$B=$A68) *
        ((braves_19_25!$C:$C="EP") +
         (braves_19_25!$C:$C="FA") +
         (braves_19_25!$C:$C="KN")),
        braves_19_25!$G:$G
    )
),0)</f>
        <v>0</v>
      </c>
      <c r="W68" cm="1">
        <f t="array" ref="W68">IFERROR(AVERAGE(
    IF(
        (braves_19_25!$B:$B=$A68) *
        ((braves_19_25!$C:$C="EP") +
         (braves_19_25!$C:$C="FA") +
         (braves_19_25!$C:$C="KN")),
        braves_19_25!$F:$F
    )
),0)</f>
        <v>0</v>
      </c>
      <c r="X68" cm="1">
        <f t="array" ref="X68">IFERROR(AVERAGE(
    IF(
        (braves_19_25!$B:$B=$A68) *
        ((braves_19_25!$C:$C="EP") +
         (braves_19_25!$C:$C="FA") +
         (braves_19_25!$C:$C="KN")),
        braves_19_25!$I:$I
    )
),0)</f>
        <v>0</v>
      </c>
      <c r="Y68" cm="1">
        <f t="array" ref="Y68">IFERROR(AVERAGE(
    IF(
        (braves_19_25!$B:$B=$A68) *
        ((braves_19_25!$C:$C="EP") +
         (braves_19_25!$C:$C="FA") +
         (braves_19_25!$C:$C="KN")),
        braves_19_25!$J:$J
    )
),0)</f>
        <v>0</v>
      </c>
      <c r="Z68" s="29" cm="1">
        <f t="array" ref="Z68">IFERROR(AVERAGE(
    IF(
        (braves_19_25!$B:$B=$A68) *
        ((braves_19_25!$C:$C="EP") +
         (braves_19_25!$C:$C="FA") +
         (braves_19_25!$C:$C="KN")),
        braves_19_25!$K:$K
    )
),0)</f>
        <v>0</v>
      </c>
    </row>
    <row r="69" spans="1:26" x14ac:dyDescent="0.3">
      <c r="A69" t="str">
        <v>Suarez, José</v>
      </c>
      <c r="B69" s="28" cm="1">
        <f t="array" ref="B69">IFERROR(AVERAGE(
    IF(
        (braves_19_25!$B:$B=$A69) *
        ((braves_19_25!$C:$C="FF") +
         (braves_19_25!$C:$C="SI") +
         (braves_19_25!$C:$C="FC")),
        braves_19_25!$G:$G
    )
),0)</f>
        <v>92.504999999999995</v>
      </c>
      <c r="C69" cm="1">
        <f t="array" ref="C69">IFERROR(AVERAGE(
    IF(
        (braves_19_25!$B:$B=$A69) *
        ((braves_19_25!$C:$C="FF") +
         (braves_19_25!$C:$C="SI") +
         (braves_19_25!$C:$C="FC")),
        braves_19_25!$F:$F
    )
),0)</f>
        <v>2368.5</v>
      </c>
      <c r="D69" cm="1">
        <f t="array" ref="D69">IFERROR(AVERAGE(
    IF(
        (braves_19_25!$B:$B=$A69) *
        ((braves_19_25!$C:$C="FF") +
         (braves_19_25!$C:$C="SI") +
         (braves_19_25!$C:$C="FC")),
        braves_19_25!$I:$I
    )
),0)</f>
        <v>1.3734199999999999</v>
      </c>
      <c r="E69" cm="1">
        <f t="array" ref="E69">IFERROR(AVERAGE(
    IF(
        (braves_19_25!$B:$B=$A69) *
        ((braves_19_25!$C:$C="FF") +
         (braves_19_25!$C:$C="SI") +
         (braves_19_25!$C:$C="FC")),
        braves_19_25!$J:$J
    )
),0)</f>
        <v>1.030465</v>
      </c>
      <c r="F69" s="29" cm="1">
        <f t="array" ref="F69">IFERROR(AVERAGE(
    IF(
        (braves_19_25!$B:$B=$A69) *
        ((braves_19_25!$C:$C="FF") +
         (braves_19_25!$C:$C="SI") +
         (braves_19_25!$C:$C="FC")),
        braves_19_25!$K:$K
    )
),0)</f>
        <v>0.65696999999999994</v>
      </c>
      <c r="G69" s="28" cm="1">
        <f t="array" ref="G69">IFERROR(AVERAGE(
    IF(
        (braves_19_25!$B:$B=$A69) *
        ((braves_19_25!$C:$C="SL") +
         (braves_19_25!$C:$C="ST") +
         (braves_19_25!$C:$C="SV")),
        braves_19_25!$G:$G
    )
),0)</f>
        <v>78.664999999999992</v>
      </c>
      <c r="H69" cm="1">
        <f t="array" ref="H69">IFERROR(AVERAGE(
    IF(
        (braves_19_25!$B:$B=$A69) *
        ((braves_19_25!$C:$C="SL") +
         (braves_19_25!$C:$C="ST") +
         (braves_19_25!$C:$C="SV")),
        braves_19_25!$F:$F
    )
),0)</f>
        <v>2864</v>
      </c>
      <c r="I69" cm="1">
        <f t="array" ref="I69">IFERROR(AVERAGE(
    IF(
        (braves_19_25!$B:$B=$A69) *
        ((braves_19_25!$C:$C="SL") +
         (braves_19_25!$C:$C="ST") +
         (braves_19_25!$C:$C="SV")),
        braves_19_25!$I:$I
    )
),0)</f>
        <v>3.8112250000000003</v>
      </c>
      <c r="J69" cm="1">
        <f t="array" ref="J69">IFERROR(AVERAGE(
    IF(
        (braves_19_25!$B:$B=$A69) *
        ((braves_19_25!$C:$C="SL") +
         (braves_19_25!$C:$C="ST") +
         (braves_19_25!$C:$C="SV")),
        braves_19_25!$J:$J
    )
),0)</f>
        <v>-0.91009499999999999</v>
      </c>
      <c r="K69" s="29" cm="1">
        <f t="array" ref="K69">IFERROR(AVERAGE(
    IF(
        (braves_19_25!$B:$B=$A69) *
        ((braves_19_25!$C:$C="SL") +
         (braves_19_25!$C:$C="ST") +
         (braves_19_25!$C:$C="SV")),
        braves_19_25!$K:$K
    )
),0)</f>
        <v>-0.70945000000000003</v>
      </c>
      <c r="L69" s="28" cm="1">
        <f t="array" ref="L69">IFERROR(AVERAGE(
    IF(
        (braves_19_25!$B:$B=$A69) *
        ((braves_19_25!$C:$C="CU") +
         (braves_19_25!$C:$C="CS") +
         (braves_19_25!$C:$C="KC")),
        braves_19_25!$G:$G
    )
),0)</f>
        <v>77.599999999999994</v>
      </c>
      <c r="M69" cm="1">
        <f t="array" ref="M69">IFERROR(AVERAGE(
    IF(
        (braves_19_25!$B:$B=$A69) *
        ((braves_19_25!$C:$C="CU") +
         (braves_19_25!$C:$C="CS") +
         (braves_19_25!$C:$C="KC")),
        braves_19_25!$F:$F
    )
),0)</f>
        <v>2944</v>
      </c>
      <c r="N69" cm="1">
        <f t="array" ref="N69">IFERROR(AVERAGE(
    IF(
        (braves_19_25!$B:$B=$A69) *
        ((braves_19_25!$C:$C="CU") +
         (braves_19_25!$C:$C="CS") +
         (braves_19_25!$C:$C="KC")),
        braves_19_25!$I:$I
    )
),0)</f>
        <v>4.49</v>
      </c>
      <c r="O69" cm="1">
        <f t="array" ref="O69">IFERROR(AVERAGE(
    IF(
        (braves_19_25!$B:$B=$A69) *
        ((braves_19_25!$C:$C="CU") +
         (braves_19_25!$C:$C="CS") +
         (braves_19_25!$C:$C="KC")),
        braves_19_25!$J:$J
    )
),0)</f>
        <v>-0.91</v>
      </c>
      <c r="P69" s="29" cm="1">
        <f t="array" ref="P69">IFERROR(AVERAGE(
    IF(
        (braves_19_25!$B:$B=$A69) *
        ((braves_19_25!$C:$C="CU") +
         (braves_19_25!$C:$C="CS") +
         (braves_19_25!$C:$C="KC")),
        braves_19_25!$K:$K
    )
),0)</f>
        <v>0.91</v>
      </c>
      <c r="Q69" s="28" cm="1">
        <f t="array" ref="Q69">IFERROR(AVERAGE(
    IF(
        (braves_19_25!$B:$B=$A69) *
        ((braves_19_25!$C:$C="FS") +
         (braves_19_25!$C:$C="CH") +
         (braves_19_25!$C:$C="FO") +
         (braves_19_25!$C:$C="SC")),
        braves_19_25!$G:$G
    )
),0)</f>
        <v>83.06</v>
      </c>
      <c r="R69" cm="1">
        <f t="array" ref="R69">IFERROR(AVERAGE(
    IF(
        (braves_19_25!$B:$B=$A69) *
        ((braves_19_25!$C:$C="FS") +
         (braves_19_25!$C:$C="CH") +
         (braves_19_25!$C:$C="FO") +
         (braves_19_25!$C:$C="SC")),
        braves_19_25!$F:$F
    )
),0)</f>
        <v>1589</v>
      </c>
      <c r="S69" cm="1">
        <f t="array" ref="S69">IFERROR(AVERAGE(
    IF(
        (braves_19_25!$B:$B=$A69) *
        ((braves_19_25!$C:$C="FS") +
         (braves_19_25!$C:$C="CH") +
         (braves_19_25!$C:$C="FO") +
         (braves_19_25!$C:$C="SC")),
        braves_19_25!$I:$I
    )
),0)</f>
        <v>3.0247600000000001</v>
      </c>
      <c r="T69" cm="1">
        <f t="array" ref="T69">IFERROR(AVERAGE(
    IF(
        (braves_19_25!$B:$B=$A69) *
        ((braves_19_25!$C:$C="FS") +
         (braves_19_25!$C:$C="CH") +
         (braves_19_25!$C:$C="FO") +
         (braves_19_25!$C:$C="SC")),
        braves_19_25!$J:$J
    )
),0)</f>
        <v>1.2661899999999999</v>
      </c>
      <c r="U69" s="29" cm="1">
        <f t="array" ref="U69">IFERROR(AVERAGE(
    IF(
        (braves_19_25!$B:$B=$A69) *
        ((braves_19_25!$C:$C="FS") +
         (braves_19_25!$C:$C="CH") +
         (braves_19_25!$C:$C="FO") +
         (braves_19_25!$C:$C="SC")),
        braves_19_25!$K:$K
    )
),0)</f>
        <v>-0.71904999999999997</v>
      </c>
      <c r="V69" s="28" cm="1">
        <f t="array" ref="V69">IFERROR(AVERAGE(
    IF(
        (braves_19_25!$B:$B=$A69) *
        ((braves_19_25!$C:$C="EP") +
         (braves_19_25!$C:$C="FA") +
         (braves_19_25!$C:$C="KN")),
        braves_19_25!$G:$G
    )
),0)</f>
        <v>0</v>
      </c>
      <c r="W69" cm="1">
        <f t="array" ref="W69">IFERROR(AVERAGE(
    IF(
        (braves_19_25!$B:$B=$A69) *
        ((braves_19_25!$C:$C="EP") +
         (braves_19_25!$C:$C="FA") +
         (braves_19_25!$C:$C="KN")),
        braves_19_25!$F:$F
    )
),0)</f>
        <v>0</v>
      </c>
      <c r="X69" cm="1">
        <f t="array" ref="X69">IFERROR(AVERAGE(
    IF(
        (braves_19_25!$B:$B=$A69) *
        ((braves_19_25!$C:$C="EP") +
         (braves_19_25!$C:$C="FA") +
         (braves_19_25!$C:$C="KN")),
        braves_19_25!$I:$I
    )
),0)</f>
        <v>0</v>
      </c>
      <c r="Y69" cm="1">
        <f t="array" ref="Y69">IFERROR(AVERAGE(
    IF(
        (braves_19_25!$B:$B=$A69) *
        ((braves_19_25!$C:$C="EP") +
         (braves_19_25!$C:$C="FA") +
         (braves_19_25!$C:$C="KN")),
        braves_19_25!$J:$J
    )
),0)</f>
        <v>0</v>
      </c>
      <c r="Z69" s="29" cm="1">
        <f t="array" ref="Z69">IFERROR(AVERAGE(
    IF(
        (braves_19_25!$B:$B=$A69) *
        ((braves_19_25!$C:$C="EP") +
         (braves_19_25!$C:$C="FA") +
         (braves_19_25!$C:$C="KN")),
        braves_19_25!$K:$K
    )
),0)</f>
        <v>0</v>
      </c>
    </row>
    <row r="70" spans="1:26" x14ac:dyDescent="0.3">
      <c r="A70" t="str">
        <v>Fuentes, Didier</v>
      </c>
      <c r="B70" s="28" cm="1">
        <f t="array" ref="B70">IFERROR(AVERAGE(
    IF(
        (braves_19_25!$B:$B=$A70) *
        ((braves_19_25!$C:$C="FF") +
         (braves_19_25!$C:$C="SI") +
         (braves_19_25!$C:$C="FC")),
        braves_19_25!$G:$G
    )
),0)</f>
        <v>96.54</v>
      </c>
      <c r="C70" cm="1">
        <f t="array" ref="C70">IFERROR(AVERAGE(
    IF(
        (braves_19_25!$B:$B=$A70) *
        ((braves_19_25!$C:$C="FF") +
         (braves_19_25!$C:$C="SI") +
         (braves_19_25!$C:$C="FC")),
        braves_19_25!$F:$F
    )
),0)</f>
        <v>2199</v>
      </c>
      <c r="D70" cm="1">
        <f t="array" ref="D70">IFERROR(AVERAGE(
    IF(
        (braves_19_25!$B:$B=$A70) *
        ((braves_19_25!$C:$C="FF") +
         (braves_19_25!$C:$C="SI") +
         (braves_19_25!$C:$C="FC")),
        braves_19_25!$I:$I
    )
),0)</f>
        <v>1.17828</v>
      </c>
      <c r="E70" cm="1">
        <f t="array" ref="E70">IFERROR(AVERAGE(
    IF(
        (braves_19_25!$B:$B=$A70) *
        ((braves_19_25!$C:$C="FF") +
         (braves_19_25!$C:$C="SI") +
         (braves_19_25!$C:$C="FC")),
        braves_19_25!$J:$J
    )
),0)</f>
        <v>0.77981999999999996</v>
      </c>
      <c r="F70" s="29" cm="1">
        <f t="array" ref="F70">IFERROR(AVERAGE(
    IF(
        (braves_19_25!$B:$B=$A70) *
        ((braves_19_25!$C:$C="FF") +
         (braves_19_25!$C:$C="SI") +
         (braves_19_25!$C:$C="FC")),
        braves_19_25!$K:$K
    )
),0)</f>
        <v>0.11792999999999999</v>
      </c>
      <c r="G70" s="28" cm="1">
        <f t="array" ref="G70">IFERROR(AVERAGE(
    IF(
        (braves_19_25!$B:$B=$A70) *
        ((braves_19_25!$C:$C="SL") +
         (braves_19_25!$C:$C="ST") +
         (braves_19_25!$C:$C="SV")),
        braves_19_25!$G:$G
    )
),0)</f>
        <v>84.1</v>
      </c>
      <c r="H70" cm="1">
        <f t="array" ref="H70">IFERROR(AVERAGE(
    IF(
        (braves_19_25!$B:$B=$A70) *
        ((braves_19_25!$C:$C="SL") +
         (braves_19_25!$C:$C="ST") +
         (braves_19_25!$C:$C="SV")),
        braves_19_25!$F:$F
    )
),0)</f>
        <v>2488</v>
      </c>
      <c r="I70" cm="1">
        <f t="array" ref="I70">IFERROR(AVERAGE(
    IF(
        (braves_19_25!$B:$B=$A70) *
        ((braves_19_25!$C:$C="SL") +
         (braves_19_25!$C:$C="ST") +
         (braves_19_25!$C:$C="SV")),
        braves_19_25!$I:$I
    )
),0)</f>
        <v>3.3612500000000001</v>
      </c>
      <c r="J70" cm="1">
        <f t="array" ref="J70">IFERROR(AVERAGE(
    IF(
        (braves_19_25!$B:$B=$A70) *
        ((braves_19_25!$C:$C="SL") +
         (braves_19_25!$C:$C="ST") +
         (braves_19_25!$C:$C="SV")),
        braves_19_25!$J:$J
    )
),0)</f>
        <v>-0.68788000000000005</v>
      </c>
      <c r="K70" s="29" cm="1">
        <f t="array" ref="K70">IFERROR(AVERAGE(
    IF(
        (braves_19_25!$B:$B=$A70) *
        ((braves_19_25!$C:$C="SL") +
         (braves_19_25!$C:$C="ST") +
         (braves_19_25!$C:$C="SV")),
        braves_19_25!$K:$K
    )
),0)</f>
        <v>-0.31986999999999999</v>
      </c>
      <c r="L70" s="28" cm="1">
        <f t="array" ref="L70">IFERROR(AVERAGE(
    IF(
        (braves_19_25!$B:$B=$A70) *
        ((braves_19_25!$C:$C="CU") +
         (braves_19_25!$C:$C="CS") +
         (braves_19_25!$C:$C="KC")),
        braves_19_25!$G:$G
    )
),0)</f>
        <v>79.66</v>
      </c>
      <c r="M70" cm="1">
        <f t="array" ref="M70">IFERROR(AVERAGE(
    IF(
        (braves_19_25!$B:$B=$A70) *
        ((braves_19_25!$C:$C="CU") +
         (braves_19_25!$C:$C="CS") +
         (braves_19_25!$C:$C="KC")),
        braves_19_25!$F:$F
    )
),0)</f>
        <v>2634</v>
      </c>
      <c r="N70" cm="1">
        <f t="array" ref="N70">IFERROR(AVERAGE(
    IF(
        (braves_19_25!$B:$B=$A70) *
        ((braves_19_25!$C:$C="CU") +
         (braves_19_25!$C:$C="CS") +
         (braves_19_25!$C:$C="KC")),
        braves_19_25!$I:$I
    )
),0)</f>
        <v>4.4785700000000004</v>
      </c>
      <c r="O70" cm="1">
        <f t="array" ref="O70">IFERROR(AVERAGE(
    IF(
        (braves_19_25!$B:$B=$A70) *
        ((braves_19_25!$C:$C="CU") +
         (braves_19_25!$C:$C="CS") +
         (braves_19_25!$C:$C="KC")),
        braves_19_25!$J:$J
    )
),0)</f>
        <v>-1.216</v>
      </c>
      <c r="P70" s="29" cm="1">
        <f t="array" ref="P70">IFERROR(AVERAGE(
    IF(
        (braves_19_25!$B:$B=$A70) *
        ((braves_19_25!$C:$C="CU") +
         (braves_19_25!$C:$C="CS") +
         (braves_19_25!$C:$C="KC")),
        braves_19_25!$K:$K
    )
),0)</f>
        <v>0.60114000000000001</v>
      </c>
      <c r="Q70" s="28" cm="1">
        <f t="array" ref="Q70">IFERROR(AVERAGE(
    IF(
        (braves_19_25!$B:$B=$A70) *
        ((braves_19_25!$C:$C="FS") +
         (braves_19_25!$C:$C="CH") +
         (braves_19_25!$C:$C="FO") +
         (braves_19_25!$C:$C="SC")),
        braves_19_25!$G:$G
    )
),0)</f>
        <v>89.07</v>
      </c>
      <c r="R70" cm="1">
        <f t="array" ref="R70">IFERROR(AVERAGE(
    IF(
        (braves_19_25!$B:$B=$A70) *
        ((braves_19_25!$C:$C="FS") +
         (braves_19_25!$C:$C="CH") +
         (braves_19_25!$C:$C="FO") +
         (braves_19_25!$C:$C="SC")),
        braves_19_25!$F:$F
    )
),0)</f>
        <v>1802</v>
      </c>
      <c r="S70" cm="1">
        <f t="array" ref="S70">IFERROR(AVERAGE(
    IF(
        (braves_19_25!$B:$B=$A70) *
        ((braves_19_25!$C:$C="FS") +
         (braves_19_25!$C:$C="CH") +
         (braves_19_25!$C:$C="FO") +
         (braves_19_25!$C:$C="SC")),
        braves_19_25!$I:$I
    )
),0)</f>
        <v>2.3511099999999998</v>
      </c>
      <c r="T70" cm="1">
        <f t="array" ref="T70">IFERROR(AVERAGE(
    IF(
        (braves_19_25!$B:$B=$A70) *
        ((braves_19_25!$C:$C="FS") +
         (braves_19_25!$C:$C="CH") +
         (braves_19_25!$C:$C="FO") +
         (braves_19_25!$C:$C="SC")),
        braves_19_25!$J:$J
    )
),0)</f>
        <v>1.22</v>
      </c>
      <c r="U70" s="29" cm="1">
        <f t="array" ref="U70">IFERROR(AVERAGE(
    IF(
        (braves_19_25!$B:$B=$A70) *
        ((braves_19_25!$C:$C="FS") +
         (braves_19_25!$C:$C="CH") +
         (braves_19_25!$C:$C="FO") +
         (braves_19_25!$C:$C="SC")),
        braves_19_25!$K:$K
    )
),0)</f>
        <v>1.7780000000000001E-2</v>
      </c>
      <c r="V70" s="28" cm="1">
        <f t="array" ref="V70">IFERROR(AVERAGE(
    IF(
        (braves_19_25!$B:$B=$A70) *
        ((braves_19_25!$C:$C="EP") +
         (braves_19_25!$C:$C="FA") +
         (braves_19_25!$C:$C="KN")),
        braves_19_25!$G:$G
    )
),0)</f>
        <v>0</v>
      </c>
      <c r="W70" cm="1">
        <f t="array" ref="W70">IFERROR(AVERAGE(
    IF(
        (braves_19_25!$B:$B=$A70) *
        ((braves_19_25!$C:$C="EP") +
         (braves_19_25!$C:$C="FA") +
         (braves_19_25!$C:$C="KN")),
        braves_19_25!$F:$F
    )
),0)</f>
        <v>0</v>
      </c>
      <c r="X70" cm="1">
        <f t="array" ref="X70">IFERROR(AVERAGE(
    IF(
        (braves_19_25!$B:$B=$A70) *
        ((braves_19_25!$C:$C="EP") +
         (braves_19_25!$C:$C="FA") +
         (braves_19_25!$C:$C="KN")),
        braves_19_25!$I:$I
    )
),0)</f>
        <v>0</v>
      </c>
      <c r="Y70" cm="1">
        <f t="array" ref="Y70">IFERROR(AVERAGE(
    IF(
        (braves_19_25!$B:$B=$A70) *
        ((braves_19_25!$C:$C="EP") +
         (braves_19_25!$C:$C="FA") +
         (braves_19_25!$C:$C="KN")),
        braves_19_25!$J:$J
    )
),0)</f>
        <v>0</v>
      </c>
      <c r="Z70" s="29" cm="1">
        <f t="array" ref="Z70">IFERROR(AVERAGE(
    IF(
        (braves_19_25!$B:$B=$A70) *
        ((braves_19_25!$C:$C="EP") +
         (braves_19_25!$C:$C="FA") +
         (braves_19_25!$C:$C="KN")),
        braves_19_25!$K:$K
    )
),0)</f>
        <v>0</v>
      </c>
    </row>
    <row r="71" spans="1:26" x14ac:dyDescent="0.3">
      <c r="A71" t="str">
        <v>Luetge, Lucas</v>
      </c>
      <c r="B71" s="28" cm="1">
        <f t="array" ref="B71">IFERROR(AVERAGE(
    IF(
        (braves_19_25!$B:$B=$A71) *
        ((braves_19_25!$C:$C="FF") +
         (braves_19_25!$C:$C="SI") +
         (braves_19_25!$C:$C="FC")),
        braves_19_25!$G:$G
    )
),0)</f>
        <v>88.243333333333339</v>
      </c>
      <c r="C71" cm="1">
        <f t="array" ref="C71">IFERROR(AVERAGE(
    IF(
        (braves_19_25!$B:$B=$A71) *
        ((braves_19_25!$C:$C="FF") +
         (braves_19_25!$C:$C="SI") +
         (braves_19_25!$C:$C="FC")),
        braves_19_25!$F:$F
    )
),0)</f>
        <v>2537</v>
      </c>
      <c r="D71" cm="1">
        <f t="array" ref="D71">IFERROR(AVERAGE(
    IF(
        (braves_19_25!$B:$B=$A71) *
        ((braves_19_25!$C:$C="FF") +
         (braves_19_25!$C:$C="SI") +
         (braves_19_25!$C:$C="FC")),
        braves_19_25!$I:$I
    )
),0)</f>
        <v>2.1072566666666663</v>
      </c>
      <c r="E71" cm="1">
        <f t="array" ref="E71">IFERROR(AVERAGE(
    IF(
        (braves_19_25!$B:$B=$A71) *
        ((braves_19_25!$C:$C="FF") +
         (braves_19_25!$C:$C="SI") +
         (braves_19_25!$C:$C="FC")),
        braves_19_25!$J:$J
    )
),0)</f>
        <v>-4.8219999999999992E-2</v>
      </c>
      <c r="F71" s="29" cm="1">
        <f t="array" ref="F71">IFERROR(AVERAGE(
    IF(
        (braves_19_25!$B:$B=$A71) *
        ((braves_19_25!$C:$C="FF") +
         (braves_19_25!$C:$C="SI") +
         (braves_19_25!$C:$C="FC")),
        braves_19_25!$K:$K
    )
),0)</f>
        <v>3.3233333333333344E-2</v>
      </c>
      <c r="G71" s="28" cm="1">
        <f t="array" ref="G71">IFERROR(AVERAGE(
    IF(
        (braves_19_25!$B:$B=$A71) *
        ((braves_19_25!$C:$C="SL") +
         (braves_19_25!$C:$C="ST") +
         (braves_19_25!$C:$C="SV")),
        braves_19_25!$G:$G
    )
),0)</f>
        <v>76.27</v>
      </c>
      <c r="H71" cm="1">
        <f t="array" ref="H71">IFERROR(AVERAGE(
    IF(
        (braves_19_25!$B:$B=$A71) *
        ((braves_19_25!$C:$C="SL") +
         (braves_19_25!$C:$C="ST") +
         (braves_19_25!$C:$C="SV")),
        braves_19_25!$F:$F
    )
),0)</f>
        <v>2689</v>
      </c>
      <c r="I71" cm="1">
        <f t="array" ref="I71">IFERROR(AVERAGE(
    IF(
        (braves_19_25!$B:$B=$A71) *
        ((braves_19_25!$C:$C="SL") +
         (braves_19_25!$C:$C="ST") +
         (braves_19_25!$C:$C="SV")),
        braves_19_25!$I:$I
    )
),0)</f>
        <v>4.08188</v>
      </c>
      <c r="J71" cm="1">
        <f t="array" ref="J71">IFERROR(AVERAGE(
    IF(
        (braves_19_25!$B:$B=$A71) *
        ((braves_19_25!$C:$C="SL") +
         (braves_19_25!$C:$C="ST") +
         (braves_19_25!$C:$C="SV")),
        braves_19_25!$J:$J
    )
),0)</f>
        <v>-1.6246499999999999</v>
      </c>
      <c r="K71" s="29" cm="1">
        <f t="array" ref="K71">IFERROR(AVERAGE(
    IF(
        (braves_19_25!$B:$B=$A71) *
        ((braves_19_25!$C:$C="SL") +
         (braves_19_25!$C:$C="ST") +
         (braves_19_25!$C:$C="SV")),
        braves_19_25!$K:$K
    )
),0)</f>
        <v>5.45E-3</v>
      </c>
      <c r="L71" s="28" cm="1">
        <f t="array" ref="L71">IFERROR(AVERAGE(
    IF(
        (braves_19_25!$B:$B=$A71) *
        ((braves_19_25!$C:$C="CU") +
         (braves_19_25!$C:$C="CS") +
         (braves_19_25!$C:$C="KC")),
        braves_19_25!$G:$G
    )
),0)</f>
        <v>72.86</v>
      </c>
      <c r="M71" cm="1">
        <f t="array" ref="M71">IFERROR(AVERAGE(
    IF(
        (braves_19_25!$B:$B=$A71) *
        ((braves_19_25!$C:$C="CU") +
         (braves_19_25!$C:$C="CS") +
         (braves_19_25!$C:$C="KC")),
        braves_19_25!$F:$F
    )
),0)</f>
        <v>2499</v>
      </c>
      <c r="N71" cm="1">
        <f t="array" ref="N71">IFERROR(AVERAGE(
    IF(
        (braves_19_25!$B:$B=$A71) *
        ((braves_19_25!$C:$C="CU") +
         (braves_19_25!$C:$C="CS") +
         (braves_19_25!$C:$C="KC")),
        braves_19_25!$I:$I
    )
),0)</f>
        <v>5.5852599999999999</v>
      </c>
      <c r="O71" cm="1">
        <f t="array" ref="O71">IFERROR(AVERAGE(
    IF(
        (braves_19_25!$B:$B=$A71) *
        ((braves_19_25!$C:$C="CU") +
         (braves_19_25!$C:$C="CS") +
         (braves_19_25!$C:$C="KC")),
        braves_19_25!$J:$J
    )
),0)</f>
        <v>-0.86341999999999997</v>
      </c>
      <c r="P71" s="29" cm="1">
        <f t="array" ref="P71">IFERROR(AVERAGE(
    IF(
        (braves_19_25!$B:$B=$A71) *
        ((braves_19_25!$C:$C="CU") +
         (braves_19_25!$C:$C="CS") +
         (braves_19_25!$C:$C="KC")),
        braves_19_25!$K:$K
    )
),0)</f>
        <v>0.63605</v>
      </c>
      <c r="Q71" s="28" cm="1">
        <f t="array" ref="Q71">IFERROR(AVERAGE(
    IF(
        (braves_19_25!$B:$B=$A71) *
        ((braves_19_25!$C:$C="FS") +
         (braves_19_25!$C:$C="CH") +
         (braves_19_25!$C:$C="FO") +
         (braves_19_25!$C:$C="SC")),
        braves_19_25!$G:$G
    )
),0)</f>
        <v>0</v>
      </c>
      <c r="R71" cm="1">
        <f t="array" ref="R71">IFERROR(AVERAGE(
    IF(
        (braves_19_25!$B:$B=$A71) *
        ((braves_19_25!$C:$C="FS") +
         (braves_19_25!$C:$C="CH") +
         (braves_19_25!$C:$C="FO") +
         (braves_19_25!$C:$C="SC")),
        braves_19_25!$F:$F
    )
),0)</f>
        <v>0</v>
      </c>
      <c r="S71" cm="1">
        <f t="array" ref="S71">IFERROR(AVERAGE(
    IF(
        (braves_19_25!$B:$B=$A71) *
        ((braves_19_25!$C:$C="FS") +
         (braves_19_25!$C:$C="CH") +
         (braves_19_25!$C:$C="FO") +
         (braves_19_25!$C:$C="SC")),
        braves_19_25!$I:$I
    )
),0)</f>
        <v>0</v>
      </c>
      <c r="T71" cm="1">
        <f t="array" ref="T71">IFERROR(AVERAGE(
    IF(
        (braves_19_25!$B:$B=$A71) *
        ((braves_19_25!$C:$C="FS") +
         (braves_19_25!$C:$C="CH") +
         (braves_19_25!$C:$C="FO") +
         (braves_19_25!$C:$C="SC")),
        braves_19_25!$J:$J
    )
),0)</f>
        <v>0</v>
      </c>
      <c r="U71" s="29" cm="1">
        <f t="array" ref="U71">IFERROR(AVERAGE(
    IF(
        (braves_19_25!$B:$B=$A71) *
        ((braves_19_25!$C:$C="FS") +
         (braves_19_25!$C:$C="CH") +
         (braves_19_25!$C:$C="FO") +
         (braves_19_25!$C:$C="SC")),
        braves_19_25!$K:$K
    )
),0)</f>
        <v>0</v>
      </c>
      <c r="V71" s="28" cm="1">
        <f t="array" ref="V71">IFERROR(AVERAGE(
    IF(
        (braves_19_25!$B:$B=$A71) *
        ((braves_19_25!$C:$C="EP") +
         (braves_19_25!$C:$C="FA") +
         (braves_19_25!$C:$C="KN")),
        braves_19_25!$G:$G
    )
),0)</f>
        <v>0</v>
      </c>
      <c r="W71" cm="1">
        <f t="array" ref="W71">IFERROR(AVERAGE(
    IF(
        (braves_19_25!$B:$B=$A71) *
        ((braves_19_25!$C:$C="EP") +
         (braves_19_25!$C:$C="FA") +
         (braves_19_25!$C:$C="KN")),
        braves_19_25!$F:$F
    )
),0)</f>
        <v>0</v>
      </c>
      <c r="X71" cm="1">
        <f t="array" ref="X71">IFERROR(AVERAGE(
    IF(
        (braves_19_25!$B:$B=$A71) *
        ((braves_19_25!$C:$C="EP") +
         (braves_19_25!$C:$C="FA") +
         (braves_19_25!$C:$C="KN")),
        braves_19_25!$I:$I
    )
),0)</f>
        <v>0</v>
      </c>
      <c r="Y71" cm="1">
        <f t="array" ref="Y71">IFERROR(AVERAGE(
    IF(
        (braves_19_25!$B:$B=$A71) *
        ((braves_19_25!$C:$C="EP") +
         (braves_19_25!$C:$C="FA") +
         (braves_19_25!$C:$C="KN")),
        braves_19_25!$J:$J
    )
),0)</f>
        <v>0</v>
      </c>
      <c r="Z71" s="29" cm="1">
        <f t="array" ref="Z71">IFERROR(AVERAGE(
    IF(
        (braves_19_25!$B:$B=$A71) *
        ((braves_19_25!$C:$C="EP") +
         (braves_19_25!$C:$C="FA") +
         (braves_19_25!$C:$C="KN")),
        braves_19_25!$K:$K
    )
),0)</f>
        <v>0</v>
      </c>
    </row>
    <row r="72" spans="1:26" x14ac:dyDescent="0.3">
      <c r="A72" t="str">
        <v>Carrasco, Carlos</v>
      </c>
      <c r="B72" s="28" cm="1">
        <f t="array" ref="B72">IFERROR(AVERAGE(
    IF(
        (braves_19_25!$B:$B=$A72) *
        ((braves_19_25!$C:$C="FF") +
         (braves_19_25!$C:$C="SI") +
         (braves_19_25!$C:$C="FC")),
        braves_19_25!$G:$G
    )
),0)</f>
        <v>91.10499999999999</v>
      </c>
      <c r="C72" cm="1">
        <f t="array" ref="C72">IFERROR(AVERAGE(
    IF(
        (braves_19_25!$B:$B=$A72) *
        ((braves_19_25!$C:$C="FF") +
         (braves_19_25!$C:$C="SI") +
         (braves_19_25!$C:$C="FC")),
        braves_19_25!$F:$F
    )
),0)</f>
        <v>2120.5</v>
      </c>
      <c r="D72" cm="1">
        <f t="array" ref="D72">IFERROR(AVERAGE(
    IF(
        (braves_19_25!$B:$B=$A72) *
        ((braves_19_25!$C:$C="FF") +
         (braves_19_25!$C:$C="SI") +
         (braves_19_25!$C:$C="FC")),
        braves_19_25!$I:$I
    )
),0)</f>
        <v>2.0530949999999999</v>
      </c>
      <c r="E72" cm="1">
        <f t="array" ref="E72">IFERROR(AVERAGE(
    IF(
        (braves_19_25!$B:$B=$A72) *
        ((braves_19_25!$C:$C="FF") +
         (braves_19_25!$C:$C="SI") +
         (braves_19_25!$C:$C="FC")),
        braves_19_25!$J:$J
    )
),0)</f>
        <v>0.84690500000000002</v>
      </c>
      <c r="F72" s="29" cm="1">
        <f t="array" ref="F72">IFERROR(AVERAGE(
    IF(
        (braves_19_25!$B:$B=$A72) *
        ((braves_19_25!$C:$C="FF") +
         (braves_19_25!$C:$C="SI") +
         (braves_19_25!$C:$C="FC")),
        braves_19_25!$K:$K
    )
),0)</f>
        <v>-6.6040000000000001E-2</v>
      </c>
      <c r="G72" s="28" cm="1">
        <f t="array" ref="G72">IFERROR(AVERAGE(
    IF(
        (braves_19_25!$B:$B=$A72) *
        ((braves_19_25!$C:$C="SL") +
         (braves_19_25!$C:$C="ST") +
         (braves_19_25!$C:$C="SV")),
        braves_19_25!$G:$G
    )
),0)</f>
        <v>85.45</v>
      </c>
      <c r="H72" cm="1">
        <f t="array" ref="H72">IFERROR(AVERAGE(
    IF(
        (braves_19_25!$B:$B=$A72) *
        ((braves_19_25!$C:$C="SL") +
         (braves_19_25!$C:$C="ST") +
         (braves_19_25!$C:$C="SV")),
        braves_19_25!$F:$F
    )
),0)</f>
        <v>2324</v>
      </c>
      <c r="I72" cm="1">
        <f t="array" ref="I72">IFERROR(AVERAGE(
    IF(
        (braves_19_25!$B:$B=$A72) *
        ((braves_19_25!$C:$C="SL") +
         (braves_19_25!$C:$C="ST") +
         (braves_19_25!$C:$C="SV")),
        braves_19_25!$I:$I
    )
),0)</f>
        <v>2.6998099999999998</v>
      </c>
      <c r="J72" cm="1">
        <f t="array" ref="J72">IFERROR(AVERAGE(
    IF(
        (braves_19_25!$B:$B=$A72) *
        ((braves_19_25!$C:$C="SL") +
         (braves_19_25!$C:$C="ST") +
         (braves_19_25!$C:$C="SV")),
        braves_19_25!$J:$J
    )
),0)</f>
        <v>-6.8199999999999997E-2</v>
      </c>
      <c r="K72" s="29" cm="1">
        <f t="array" ref="K72">IFERROR(AVERAGE(
    IF(
        (braves_19_25!$B:$B=$A72) *
        ((braves_19_25!$C:$C="SL") +
         (braves_19_25!$C:$C="ST") +
         (braves_19_25!$C:$C="SV")),
        braves_19_25!$K:$K
    )
),0)</f>
        <v>-6.7000000000000004E-2</v>
      </c>
      <c r="L72" s="28" cm="1">
        <f t="array" ref="L72">IFERROR(AVERAGE(
    IF(
        (braves_19_25!$B:$B=$A72) *
        ((braves_19_25!$C:$C="CU") +
         (braves_19_25!$C:$C="CS") +
         (braves_19_25!$C:$C="KC")),
        braves_19_25!$G:$G
    )
),0)</f>
        <v>77.88</v>
      </c>
      <c r="M72" cm="1">
        <f t="array" ref="M72">IFERROR(AVERAGE(
    IF(
        (braves_19_25!$B:$B=$A72) *
        ((braves_19_25!$C:$C="CU") +
         (braves_19_25!$C:$C="CS") +
         (braves_19_25!$C:$C="KC")),
        braves_19_25!$F:$F
    )
),0)</f>
        <v>2619</v>
      </c>
      <c r="N72" cm="1">
        <f t="array" ref="N72">IFERROR(AVERAGE(
    IF(
        (braves_19_25!$B:$B=$A72) *
        ((braves_19_25!$C:$C="CU") +
         (braves_19_25!$C:$C="CS") +
         (braves_19_25!$C:$C="KC")),
        braves_19_25!$I:$I
    )
),0)</f>
        <v>4.3014700000000001</v>
      </c>
      <c r="O72" cm="1">
        <f t="array" ref="O72">IFERROR(AVERAGE(
    IF(
        (braves_19_25!$B:$B=$A72) *
        ((braves_19_25!$C:$C="CU") +
         (braves_19_25!$C:$C="CS") +
         (braves_19_25!$C:$C="KC")),
        braves_19_25!$J:$J
    )
),0)</f>
        <v>-0.63090999999999997</v>
      </c>
      <c r="P72" s="29" cm="1">
        <f t="array" ref="P72">IFERROR(AVERAGE(
    IF(
        (braves_19_25!$B:$B=$A72) *
        ((braves_19_25!$C:$C="CU") +
         (braves_19_25!$C:$C="CS") +
         (braves_19_25!$C:$C="KC")),
        braves_19_25!$K:$K
    )
),0)</f>
        <v>0.29758000000000001</v>
      </c>
      <c r="Q72" s="28" cm="1">
        <f t="array" ref="Q72">IFERROR(AVERAGE(
    IF(
        (braves_19_25!$B:$B=$A72) *
        ((braves_19_25!$C:$C="FS") +
         (braves_19_25!$C:$C="CH") +
         (braves_19_25!$C:$C="FO") +
         (braves_19_25!$C:$C="SC")),
        braves_19_25!$G:$G
    )
),0)</f>
        <v>85.43</v>
      </c>
      <c r="R72" cm="1">
        <f t="array" ref="R72">IFERROR(AVERAGE(
    IF(
        (braves_19_25!$B:$B=$A72) *
        ((braves_19_25!$C:$C="FS") +
         (braves_19_25!$C:$C="CH") +
         (braves_19_25!$C:$C="FO") +
         (braves_19_25!$C:$C="SC")),
        braves_19_25!$F:$F
    )
),0)</f>
        <v>1247</v>
      </c>
      <c r="S72" cm="1">
        <f t="array" ref="S72">IFERROR(AVERAGE(
    IF(
        (braves_19_25!$B:$B=$A72) *
        ((braves_19_25!$C:$C="FS") +
         (braves_19_25!$C:$C="CH") +
         (braves_19_25!$C:$C="FO") +
         (braves_19_25!$C:$C="SC")),
        braves_19_25!$I:$I
    )
),0)</f>
        <v>3.10493</v>
      </c>
      <c r="T72" cm="1">
        <f t="array" ref="T72">IFERROR(AVERAGE(
    IF(
        (braves_19_25!$B:$B=$A72) *
        ((braves_19_25!$C:$C="FS") +
         (braves_19_25!$C:$C="CH") +
         (braves_19_25!$C:$C="FO") +
         (braves_19_25!$C:$C="SC")),
        braves_19_25!$J:$J
    )
),0)</f>
        <v>0.68057999999999996</v>
      </c>
      <c r="U72" s="29" cm="1">
        <f t="array" ref="U72">IFERROR(AVERAGE(
    IF(
        (braves_19_25!$B:$B=$A72) *
        ((braves_19_25!$C:$C="FS") +
         (braves_19_25!$C:$C="CH") +
         (braves_19_25!$C:$C="FO") +
         (braves_19_25!$C:$C="SC")),
        braves_19_25!$K:$K
    )
),0)</f>
        <v>-0.37564999999999998</v>
      </c>
      <c r="V72" s="28" cm="1">
        <f t="array" ref="V72">IFERROR(AVERAGE(
    IF(
        (braves_19_25!$B:$B=$A72) *
        ((braves_19_25!$C:$C="EP") +
         (braves_19_25!$C:$C="FA") +
         (braves_19_25!$C:$C="KN")),
        braves_19_25!$G:$G
    )
),0)</f>
        <v>0</v>
      </c>
      <c r="W72" cm="1">
        <f t="array" ref="W72">IFERROR(AVERAGE(
    IF(
        (braves_19_25!$B:$B=$A72) *
        ((braves_19_25!$C:$C="EP") +
         (braves_19_25!$C:$C="FA") +
         (braves_19_25!$C:$C="KN")),
        braves_19_25!$F:$F
    )
),0)</f>
        <v>0</v>
      </c>
      <c r="X72" cm="1">
        <f t="array" ref="X72">IFERROR(AVERAGE(
    IF(
        (braves_19_25!$B:$B=$A72) *
        ((braves_19_25!$C:$C="EP") +
         (braves_19_25!$C:$C="FA") +
         (braves_19_25!$C:$C="KN")),
        braves_19_25!$I:$I
    )
),0)</f>
        <v>0</v>
      </c>
      <c r="Y72" cm="1">
        <f t="array" ref="Y72">IFERROR(AVERAGE(
    IF(
        (braves_19_25!$B:$B=$A72) *
        ((braves_19_25!$C:$C="EP") +
         (braves_19_25!$C:$C="FA") +
         (braves_19_25!$C:$C="KN")),
        braves_19_25!$J:$J
    )
),0)</f>
        <v>0</v>
      </c>
      <c r="Z72" s="29" cm="1">
        <f t="array" ref="Z72">IFERROR(AVERAGE(
    IF(
        (braves_19_25!$B:$B=$A72) *
        ((braves_19_25!$C:$C="EP") +
         (braves_19_25!$C:$C="FA") +
         (braves_19_25!$C:$C="KN")),
        braves_19_25!$K:$K
    )
),0)</f>
        <v>0</v>
      </c>
    </row>
    <row r="73" spans="1:26" x14ac:dyDescent="0.3">
      <c r="A73" t="str">
        <v>Blewett, Scott</v>
      </c>
      <c r="B73" s="28" cm="1">
        <f t="array" ref="B73">IFERROR(AVERAGE(
    IF(
        (braves_19_25!$B:$B=$A73) *
        ((braves_19_25!$C:$C="FF") +
         (braves_19_25!$C:$C="SI") +
         (braves_19_25!$C:$C="FC")),
        braves_19_25!$G:$G
    )
),0)</f>
        <v>95.01</v>
      </c>
      <c r="C73" cm="1">
        <f t="array" ref="C73">IFERROR(AVERAGE(
    IF(
        (braves_19_25!$B:$B=$A73) *
        ((braves_19_25!$C:$C="FF") +
         (braves_19_25!$C:$C="SI") +
         (braves_19_25!$C:$C="FC")),
        braves_19_25!$F:$F
    )
),0)</f>
        <v>2247</v>
      </c>
      <c r="D73" cm="1">
        <f t="array" ref="D73">IFERROR(AVERAGE(
    IF(
        (braves_19_25!$B:$B=$A73) *
        ((braves_19_25!$C:$C="FF") +
         (braves_19_25!$C:$C="SI") +
         (braves_19_25!$C:$C="FC")),
        braves_19_25!$I:$I
    )
),0)</f>
        <v>1.4402999999999999</v>
      </c>
      <c r="E73" cm="1">
        <f t="array" ref="E73">IFERROR(AVERAGE(
    IF(
        (braves_19_25!$B:$B=$A73) *
        ((braves_19_25!$C:$C="FF") +
         (braves_19_25!$C:$C="SI") +
         (braves_19_25!$C:$C="FC")),
        braves_19_25!$J:$J
    )
),0)</f>
        <v>0.41297</v>
      </c>
      <c r="F73" s="29" cm="1">
        <f t="array" ref="F73">IFERROR(AVERAGE(
    IF(
        (braves_19_25!$B:$B=$A73) *
        ((braves_19_25!$C:$C="FF") +
         (braves_19_25!$C:$C="SI") +
         (braves_19_25!$C:$C="FC")),
        braves_19_25!$K:$K
    )
),0)</f>
        <v>1E-4</v>
      </c>
      <c r="G73" s="28" cm="1">
        <f t="array" ref="G73">IFERROR(AVERAGE(
    IF(
        (braves_19_25!$B:$B=$A73) *
        ((braves_19_25!$C:$C="SL") +
         (braves_19_25!$C:$C="ST") +
         (braves_19_25!$C:$C="SV")),
        braves_19_25!$G:$G
    )
),0)</f>
        <v>85.16</v>
      </c>
      <c r="H73" cm="1">
        <f t="array" ref="H73">IFERROR(AVERAGE(
    IF(
        (braves_19_25!$B:$B=$A73) *
        ((braves_19_25!$C:$C="SL") +
         (braves_19_25!$C:$C="ST") +
         (braves_19_25!$C:$C="SV")),
        braves_19_25!$F:$F
    )
),0)</f>
        <v>2140</v>
      </c>
      <c r="I73" cm="1">
        <f t="array" ref="I73">IFERROR(AVERAGE(
    IF(
        (braves_19_25!$B:$B=$A73) *
        ((braves_19_25!$C:$C="SL") +
         (braves_19_25!$C:$C="ST") +
         (braves_19_25!$C:$C="SV")),
        braves_19_25!$I:$I
    )
),0)</f>
        <v>3.3648099999999999</v>
      </c>
      <c r="J73" cm="1">
        <f t="array" ref="J73">IFERROR(AVERAGE(
    IF(
        (braves_19_25!$B:$B=$A73) *
        ((braves_19_25!$C:$C="SL") +
         (braves_19_25!$C:$C="ST") +
         (braves_19_25!$C:$C="SV")),
        braves_19_25!$J:$J
    )
),0)</f>
        <v>-0.19685</v>
      </c>
      <c r="K73" s="29" cm="1">
        <f t="array" ref="K73">IFERROR(AVERAGE(
    IF(
        (braves_19_25!$B:$B=$A73) *
        ((braves_19_25!$C:$C="SL") +
         (braves_19_25!$C:$C="ST") +
         (braves_19_25!$C:$C="SV")),
        braves_19_25!$K:$K
    )
),0)</f>
        <v>-1.9259999999999999E-2</v>
      </c>
      <c r="L73" s="28" cm="1">
        <f t="array" ref="L73">IFERROR(AVERAGE(
    IF(
        (braves_19_25!$B:$B=$A73) *
        ((braves_19_25!$C:$C="CU") +
         (braves_19_25!$C:$C="CS") +
         (braves_19_25!$C:$C="KC")),
        braves_19_25!$G:$G
    )
),0)</f>
        <v>0</v>
      </c>
      <c r="M73" cm="1">
        <f t="array" ref="M73">IFERROR(AVERAGE(
    IF(
        (braves_19_25!$B:$B=$A73) *
        ((braves_19_25!$C:$C="CU") +
         (braves_19_25!$C:$C="CS") +
         (braves_19_25!$C:$C="KC")),
        braves_19_25!$F:$F
    )
),0)</f>
        <v>0</v>
      </c>
      <c r="N73" cm="1">
        <f t="array" ref="N73">IFERROR(AVERAGE(
    IF(
        (braves_19_25!$B:$B=$A73) *
        ((braves_19_25!$C:$C="CU") +
         (braves_19_25!$C:$C="CS") +
         (braves_19_25!$C:$C="KC")),
        braves_19_25!$I:$I
    )
),0)</f>
        <v>0</v>
      </c>
      <c r="O73" cm="1">
        <f t="array" ref="O73">IFERROR(AVERAGE(
    IF(
        (braves_19_25!$B:$B=$A73) *
        ((braves_19_25!$C:$C="CU") +
         (braves_19_25!$C:$C="CS") +
         (braves_19_25!$C:$C="KC")),
        braves_19_25!$J:$J
    )
),0)</f>
        <v>0</v>
      </c>
      <c r="P73" s="29" cm="1">
        <f t="array" ref="P73">IFERROR(AVERAGE(
    IF(
        (braves_19_25!$B:$B=$A73) *
        ((braves_19_25!$C:$C="CU") +
         (braves_19_25!$C:$C="CS") +
         (braves_19_25!$C:$C="KC")),
        braves_19_25!$K:$K
    )
),0)</f>
        <v>0</v>
      </c>
      <c r="Q73" s="28" cm="1">
        <f t="array" ref="Q73">IFERROR(AVERAGE(
    IF(
        (braves_19_25!$B:$B=$A73) *
        ((braves_19_25!$C:$C="FS") +
         (braves_19_25!$C:$C="CH") +
         (braves_19_25!$C:$C="FO") +
         (braves_19_25!$C:$C="SC")),
        braves_19_25!$G:$G
    )
),0)</f>
        <v>86.08</v>
      </c>
      <c r="R73" cm="1">
        <f t="array" ref="R73">IFERROR(AVERAGE(
    IF(
        (braves_19_25!$B:$B=$A73) *
        ((braves_19_25!$C:$C="FS") +
         (braves_19_25!$C:$C="CH") +
         (braves_19_25!$C:$C="FO") +
         (braves_19_25!$C:$C="SC")),
        braves_19_25!$F:$F
    )
),0)</f>
        <v>1031</v>
      </c>
      <c r="S73" cm="1">
        <f t="array" ref="S73">IFERROR(AVERAGE(
    IF(
        (braves_19_25!$B:$B=$A73) *
        ((braves_19_25!$C:$C="FS") +
         (braves_19_25!$C:$C="CH") +
         (braves_19_25!$C:$C="FO") +
         (braves_19_25!$C:$C="SC")),
        braves_19_25!$I:$I
    )
),0)</f>
        <v>2.9283000000000001</v>
      </c>
      <c r="T73" cm="1">
        <f t="array" ref="T73">IFERROR(AVERAGE(
    IF(
        (braves_19_25!$B:$B=$A73) *
        ((braves_19_25!$C:$C="FS") +
         (braves_19_25!$C:$C="CH") +
         (braves_19_25!$C:$C="FO") +
         (braves_19_25!$C:$C="SC")),
        braves_19_25!$J:$J
    )
),0)</f>
        <v>0.55467999999999995</v>
      </c>
      <c r="U73" s="29" cm="1">
        <f t="array" ref="U73">IFERROR(AVERAGE(
    IF(
        (braves_19_25!$B:$B=$A73) *
        ((braves_19_25!$C:$C="FS") +
         (braves_19_25!$C:$C="CH") +
         (braves_19_25!$C:$C="FO") +
         (braves_19_25!$C:$C="SC")),
        braves_19_25!$K:$K
    )
),0)</f>
        <v>-0.13084999999999999</v>
      </c>
      <c r="V73" s="28" cm="1">
        <f t="array" ref="V73">IFERROR(AVERAGE(
    IF(
        (braves_19_25!$B:$B=$A73) *
        ((braves_19_25!$C:$C="EP") +
         (braves_19_25!$C:$C="FA") +
         (braves_19_25!$C:$C="KN")),
        braves_19_25!$G:$G
    )
),0)</f>
        <v>0</v>
      </c>
      <c r="W73" cm="1">
        <f t="array" ref="W73">IFERROR(AVERAGE(
    IF(
        (braves_19_25!$B:$B=$A73) *
        ((braves_19_25!$C:$C="EP") +
         (braves_19_25!$C:$C="FA") +
         (braves_19_25!$C:$C="KN")),
        braves_19_25!$F:$F
    )
),0)</f>
        <v>0</v>
      </c>
      <c r="X73" cm="1">
        <f t="array" ref="X73">IFERROR(AVERAGE(
    IF(
        (braves_19_25!$B:$B=$A73) *
        ((braves_19_25!$C:$C="EP") +
         (braves_19_25!$C:$C="FA") +
         (braves_19_25!$C:$C="KN")),
        braves_19_25!$I:$I
    )
),0)</f>
        <v>0</v>
      </c>
      <c r="Y73" cm="1">
        <f t="array" ref="Y73">IFERROR(AVERAGE(
    IF(
        (braves_19_25!$B:$B=$A73) *
        ((braves_19_25!$C:$C="EP") +
         (braves_19_25!$C:$C="FA") +
         (braves_19_25!$C:$C="KN")),
        braves_19_25!$J:$J
    )
),0)</f>
        <v>0</v>
      </c>
      <c r="Z73" s="29" cm="1">
        <f t="array" ref="Z73">IFERROR(AVERAGE(
    IF(
        (braves_19_25!$B:$B=$A73) *
        ((braves_19_25!$C:$C="EP") +
         (braves_19_25!$C:$C="FA") +
         (braves_19_25!$C:$C="KN")),
        braves_19_25!$K:$K
    )
),0)</f>
        <v>0</v>
      </c>
    </row>
    <row r="74" spans="1:26" x14ac:dyDescent="0.3">
      <c r="A74" t="str">
        <v>Stratton, Hunter</v>
      </c>
      <c r="B74" s="28" cm="1">
        <f t="array" ref="B74">IFERROR(AVERAGE(
    IF(
        (braves_19_25!$B:$B=$A74) *
        ((braves_19_25!$C:$C="FF") +
         (braves_19_25!$C:$C="SI") +
         (braves_19_25!$C:$C="FC")),
        braves_19_25!$G:$G
    )
),0)</f>
        <v>95.343333333333348</v>
      </c>
      <c r="C74" cm="1">
        <f t="array" ref="C74">IFERROR(AVERAGE(
    IF(
        (braves_19_25!$B:$B=$A74) *
        ((braves_19_25!$C:$C="FF") +
         (braves_19_25!$C:$C="SI") +
         (braves_19_25!$C:$C="FC")),
        braves_19_25!$F:$F
    )
),0)</f>
        <v>2525.3333333333335</v>
      </c>
      <c r="D74" cm="1">
        <f t="array" ref="D74">IFERROR(AVERAGE(
    IF(
        (braves_19_25!$B:$B=$A74) *
        ((braves_19_25!$C:$C="FF") +
         (braves_19_25!$C:$C="SI") +
         (braves_19_25!$C:$C="FC")),
        braves_19_25!$I:$I
    )
),0)</f>
        <v>1.4234066666666667</v>
      </c>
      <c r="E74" cm="1">
        <f t="array" ref="E74">IFERROR(AVERAGE(
    IF(
        (braves_19_25!$B:$B=$A74) *
        ((braves_19_25!$C:$C="FF") +
         (braves_19_25!$C:$C="SI") +
         (braves_19_25!$C:$C="FC")),
        braves_19_25!$J:$J
    )
),0)</f>
        <v>0.31504666666666664</v>
      </c>
      <c r="F74" s="29" cm="1">
        <f t="array" ref="F74">IFERROR(AVERAGE(
    IF(
        (braves_19_25!$B:$B=$A74) *
        ((braves_19_25!$C:$C="FF") +
         (braves_19_25!$C:$C="SI") +
         (braves_19_25!$C:$C="FC")),
        braves_19_25!$K:$K
    )
),0)</f>
        <v>1.5869999999999999E-2</v>
      </c>
      <c r="G74" s="28" cm="1">
        <f t="array" ref="G74">IFERROR(AVERAGE(
    IF(
        (braves_19_25!$B:$B=$A74) *
        ((braves_19_25!$C:$C="SL") +
         (braves_19_25!$C:$C="ST") +
         (braves_19_25!$C:$C="SV")),
        braves_19_25!$G:$G
    )
),0)</f>
        <v>86.05</v>
      </c>
      <c r="H74" cm="1">
        <f t="array" ref="H74">IFERROR(AVERAGE(
    IF(
        (braves_19_25!$B:$B=$A74) *
        ((braves_19_25!$C:$C="SL") +
         (braves_19_25!$C:$C="ST") +
         (braves_19_25!$C:$C="SV")),
        braves_19_25!$F:$F
    )
),0)</f>
        <v>2684</v>
      </c>
      <c r="I74" cm="1">
        <f t="array" ref="I74">IFERROR(AVERAGE(
    IF(
        (braves_19_25!$B:$B=$A74) *
        ((braves_19_25!$C:$C="SL") +
         (braves_19_25!$C:$C="ST") +
         (braves_19_25!$C:$C="SV")),
        braves_19_25!$I:$I
    )
),0)</f>
        <v>3.0810900000000001</v>
      </c>
      <c r="J74" cm="1">
        <f t="array" ref="J74">IFERROR(AVERAGE(
    IF(
        (braves_19_25!$B:$B=$A74) *
        ((braves_19_25!$C:$C="SL") +
         (braves_19_25!$C:$C="ST") +
         (braves_19_25!$C:$C="SV")),
        braves_19_25!$J:$J
    )
),0)</f>
        <v>-0.72921999999999998</v>
      </c>
      <c r="K74" s="29" cm="1">
        <f t="array" ref="K74">IFERROR(AVERAGE(
    IF(
        (braves_19_25!$B:$B=$A74) *
        ((braves_19_25!$C:$C="SL") +
         (braves_19_25!$C:$C="ST") +
         (braves_19_25!$C:$C="SV")),
        braves_19_25!$K:$K
    )
),0)</f>
        <v>-8.2970000000000002E-2</v>
      </c>
      <c r="L74" s="28" cm="1">
        <f t="array" ref="L74">IFERROR(AVERAGE(
    IF(
        (braves_19_25!$B:$B=$A74) *
        ((braves_19_25!$C:$C="CU") +
         (braves_19_25!$C:$C="CS") +
         (braves_19_25!$C:$C="KC")),
        braves_19_25!$G:$G
    )
),0)</f>
        <v>0</v>
      </c>
      <c r="M74" cm="1">
        <f t="array" ref="M74">IFERROR(AVERAGE(
    IF(
        (braves_19_25!$B:$B=$A74) *
        ((braves_19_25!$C:$C="CU") +
         (braves_19_25!$C:$C="CS") +
         (braves_19_25!$C:$C="KC")),
        braves_19_25!$F:$F
    )
),0)</f>
        <v>0</v>
      </c>
      <c r="N74" cm="1">
        <f t="array" ref="N74">IFERROR(AVERAGE(
    IF(
        (braves_19_25!$B:$B=$A74) *
        ((braves_19_25!$C:$C="CU") +
         (braves_19_25!$C:$C="CS") +
         (braves_19_25!$C:$C="KC")),
        braves_19_25!$I:$I
    )
),0)</f>
        <v>0</v>
      </c>
      <c r="O74" cm="1">
        <f t="array" ref="O74">IFERROR(AVERAGE(
    IF(
        (braves_19_25!$B:$B=$A74) *
        ((braves_19_25!$C:$C="CU") +
         (braves_19_25!$C:$C="CS") +
         (braves_19_25!$C:$C="KC")),
        braves_19_25!$J:$J
    )
),0)</f>
        <v>0</v>
      </c>
      <c r="P74" s="29" cm="1">
        <f t="array" ref="P74">IFERROR(AVERAGE(
    IF(
        (braves_19_25!$B:$B=$A74) *
        ((braves_19_25!$C:$C="CU") +
         (braves_19_25!$C:$C="CS") +
         (braves_19_25!$C:$C="KC")),
        braves_19_25!$K:$K
    )
),0)</f>
        <v>0</v>
      </c>
      <c r="Q74" s="28" cm="1">
        <f t="array" ref="Q74">IFERROR(AVERAGE(
    IF(
        (braves_19_25!$B:$B=$A74) *
        ((braves_19_25!$C:$C="FS") +
         (braves_19_25!$C:$C="CH") +
         (braves_19_25!$C:$C="FO") +
         (braves_19_25!$C:$C="SC")),
        braves_19_25!$G:$G
    )
),0)</f>
        <v>91.73</v>
      </c>
      <c r="R74" cm="1">
        <f t="array" ref="R74">IFERROR(AVERAGE(
    IF(
        (braves_19_25!$B:$B=$A74) *
        ((braves_19_25!$C:$C="FS") +
         (braves_19_25!$C:$C="CH") +
         (braves_19_25!$C:$C="FO") +
         (braves_19_25!$C:$C="SC")),
        braves_19_25!$F:$F
    )
),0)</f>
        <v>1642</v>
      </c>
      <c r="S74" cm="1">
        <f t="array" ref="S74">IFERROR(AVERAGE(
    IF(
        (braves_19_25!$B:$B=$A74) *
        ((braves_19_25!$C:$C="FS") +
         (braves_19_25!$C:$C="CH") +
         (braves_19_25!$C:$C="FO") +
         (braves_19_25!$C:$C="SC")),
        braves_19_25!$I:$I
    )
),0)</f>
        <v>2.0150000000000001</v>
      </c>
      <c r="T74" cm="1">
        <f t="array" ref="T74">IFERROR(AVERAGE(
    IF(
        (braves_19_25!$B:$B=$A74) *
        ((braves_19_25!$C:$C="FS") +
         (braves_19_25!$C:$C="CH") +
         (braves_19_25!$C:$C="FO") +
         (braves_19_25!$C:$C="SC")),
        braves_19_25!$J:$J
    )
),0)</f>
        <v>0.77</v>
      </c>
      <c r="U74" s="29" cm="1">
        <f t="array" ref="U74">IFERROR(AVERAGE(
    IF(
        (braves_19_25!$B:$B=$A74) *
        ((braves_19_25!$C:$C="FS") +
         (braves_19_25!$C:$C="CH") +
         (braves_19_25!$C:$C="FO") +
         (braves_19_25!$C:$C="SC")),
        braves_19_25!$K:$K
    )
),0)</f>
        <v>-0.14000000000000001</v>
      </c>
      <c r="V74" s="28" cm="1">
        <f t="array" ref="V74">IFERROR(AVERAGE(
    IF(
        (braves_19_25!$B:$B=$A74) *
        ((braves_19_25!$C:$C="EP") +
         (braves_19_25!$C:$C="FA") +
         (braves_19_25!$C:$C="KN")),
        braves_19_25!$G:$G
    )
),0)</f>
        <v>0</v>
      </c>
      <c r="W74" cm="1">
        <f t="array" ref="W74">IFERROR(AVERAGE(
    IF(
        (braves_19_25!$B:$B=$A74) *
        ((braves_19_25!$C:$C="EP") +
         (braves_19_25!$C:$C="FA") +
         (braves_19_25!$C:$C="KN")),
        braves_19_25!$F:$F
    )
),0)</f>
        <v>0</v>
      </c>
      <c r="X74" cm="1">
        <f t="array" ref="X74">IFERROR(AVERAGE(
    IF(
        (braves_19_25!$B:$B=$A74) *
        ((braves_19_25!$C:$C="EP") +
         (braves_19_25!$C:$C="FA") +
         (braves_19_25!$C:$C="KN")),
        braves_19_25!$I:$I
    )
),0)</f>
        <v>0</v>
      </c>
      <c r="Y74" cm="1">
        <f t="array" ref="Y74">IFERROR(AVERAGE(
    IF(
        (braves_19_25!$B:$B=$A74) *
        ((braves_19_25!$C:$C="EP") +
         (braves_19_25!$C:$C="FA") +
         (braves_19_25!$C:$C="KN")),
        braves_19_25!$J:$J
    )
),0)</f>
        <v>0</v>
      </c>
      <c r="Z74" s="29" cm="1">
        <f t="array" ref="Z74">IFERROR(AVERAGE(
    IF(
        (braves_19_25!$B:$B=$A74) *
        ((braves_19_25!$C:$C="EP") +
         (braves_19_25!$C:$C="FA") +
         (braves_19_25!$C:$C="KN")),
        braves_19_25!$K:$K
    )
),0)</f>
        <v>0</v>
      </c>
    </row>
    <row r="75" spans="1:26" x14ac:dyDescent="0.3">
      <c r="A75" t="str">
        <v>Thornburg, Tyler</v>
      </c>
      <c r="B75" s="28" cm="1">
        <f t="array" ref="B75">IFERROR(AVERAGE(
    IF(
        (braves_19_25!$B:$B=$A75) *
        ((braves_19_25!$C:$C="FF") +
         (braves_19_25!$C:$C="SI") +
         (braves_19_25!$C:$C="FC")),
        braves_19_25!$G:$G
    )
),0)</f>
        <v>93.22</v>
      </c>
      <c r="C75" cm="1">
        <f t="array" ref="C75">IFERROR(AVERAGE(
    IF(
        (braves_19_25!$B:$B=$A75) *
        ((braves_19_25!$C:$C="FF") +
         (braves_19_25!$C:$C="SI") +
         (braves_19_25!$C:$C="FC")),
        braves_19_25!$F:$F
    )
),0)</f>
        <v>2416</v>
      </c>
      <c r="D75" cm="1">
        <f t="array" ref="D75">IFERROR(AVERAGE(
    IF(
        (braves_19_25!$B:$B=$A75) *
        ((braves_19_25!$C:$C="FF") +
         (braves_19_25!$C:$C="SI") +
         (braves_19_25!$C:$C="FC")),
        braves_19_25!$I:$I
    )
),0)</f>
        <v>0.97521000000000002</v>
      </c>
      <c r="E75" cm="1">
        <f t="array" ref="E75">IFERROR(AVERAGE(
    IF(
        (braves_19_25!$B:$B=$A75) *
        ((braves_19_25!$C:$C="FF") +
         (braves_19_25!$C:$C="SI") +
         (braves_19_25!$C:$C="FC")),
        braves_19_25!$J:$J
    )
),0)</f>
        <v>0.50009000000000003</v>
      </c>
      <c r="F75" s="29" cm="1">
        <f t="array" ref="F75">IFERROR(AVERAGE(
    IF(
        (braves_19_25!$B:$B=$A75) *
        ((braves_19_25!$C:$C="FF") +
         (braves_19_25!$C:$C="SI") +
         (braves_19_25!$C:$C="FC")),
        braves_19_25!$K:$K
    )
),0)</f>
        <v>6.2820000000000001E-2</v>
      </c>
      <c r="G75" s="28" cm="1">
        <f t="array" ref="G75">IFERROR(AVERAGE(
    IF(
        (braves_19_25!$B:$B=$A75) *
        ((braves_19_25!$C:$C="SL") +
         (braves_19_25!$C:$C="ST") +
         (braves_19_25!$C:$C="SV")),
        braves_19_25!$G:$G
    )
),0)</f>
        <v>82.83</v>
      </c>
      <c r="H75" cm="1">
        <f t="array" ref="H75">IFERROR(AVERAGE(
    IF(
        (braves_19_25!$B:$B=$A75) *
        ((braves_19_25!$C:$C="SL") +
         (braves_19_25!$C:$C="ST") +
         (braves_19_25!$C:$C="SV")),
        braves_19_25!$F:$F
    )
),0)</f>
        <v>2183</v>
      </c>
      <c r="I75" cm="1">
        <f t="array" ref="I75">IFERROR(AVERAGE(
    IF(
        (braves_19_25!$B:$B=$A75) *
        ((braves_19_25!$C:$C="SL") +
         (braves_19_25!$C:$C="ST") +
         (braves_19_25!$C:$C="SV")),
        braves_19_25!$I:$I
    )
),0)</f>
        <v>3.5825</v>
      </c>
      <c r="J75" cm="1">
        <f t="array" ref="J75">IFERROR(AVERAGE(
    IF(
        (braves_19_25!$B:$B=$A75) *
        ((braves_19_25!$C:$C="SL") +
         (braves_19_25!$C:$C="ST") +
         (braves_19_25!$C:$C="SV")),
        braves_19_25!$J:$J
    )
),0)</f>
        <v>-0.09</v>
      </c>
      <c r="K75" s="29" cm="1">
        <f t="array" ref="K75">IFERROR(AVERAGE(
    IF(
        (braves_19_25!$B:$B=$A75) *
        ((braves_19_25!$C:$C="SL") +
         (braves_19_25!$C:$C="ST") +
         (braves_19_25!$C:$C="SV")),
        braves_19_25!$K:$K
    )
),0)</f>
        <v>-0.09</v>
      </c>
      <c r="L75" s="28" cm="1">
        <f t="array" ref="L75">IFERROR(AVERAGE(
    IF(
        (braves_19_25!$B:$B=$A75) *
        ((braves_19_25!$C:$C="CU") +
         (braves_19_25!$C:$C="CS") +
         (braves_19_25!$C:$C="KC")),
        braves_19_25!$G:$G
    )
),0)</f>
        <v>75.63</v>
      </c>
      <c r="M75" cm="1">
        <f t="array" ref="M75">IFERROR(AVERAGE(
    IF(
        (braves_19_25!$B:$B=$A75) *
        ((braves_19_25!$C:$C="CU") +
         (braves_19_25!$C:$C="CS") +
         (braves_19_25!$C:$C="KC")),
        braves_19_25!$F:$F
    )
),0)</f>
        <v>2615</v>
      </c>
      <c r="N75" cm="1">
        <f t="array" ref="N75">IFERROR(AVERAGE(
    IF(
        (braves_19_25!$B:$B=$A75) *
        ((braves_19_25!$C:$C="CU") +
         (braves_19_25!$C:$C="CS") +
         (braves_19_25!$C:$C="KC")),
        braves_19_25!$I:$I
    )
),0)</f>
        <v>5.2987099999999998</v>
      </c>
      <c r="O75" cm="1">
        <f t="array" ref="O75">IFERROR(AVERAGE(
    IF(
        (braves_19_25!$B:$B=$A75) *
        ((braves_19_25!$C:$C="CU") +
         (braves_19_25!$C:$C="CS") +
         (braves_19_25!$C:$C="KC")),
        braves_19_25!$J:$J
    )
),0)</f>
        <v>-0.66210000000000002</v>
      </c>
      <c r="P75" s="29" cm="1">
        <f t="array" ref="P75">IFERROR(AVERAGE(
    IF(
        (braves_19_25!$B:$B=$A75) *
        ((braves_19_25!$C:$C="CU") +
         (braves_19_25!$C:$C="CS") +
         (braves_19_25!$C:$C="KC")),
        braves_19_25!$K:$K
    )
),0)</f>
        <v>-0.12177</v>
      </c>
      <c r="Q75" s="28" cm="1">
        <f t="array" ref="Q75">IFERROR(AVERAGE(
    IF(
        (braves_19_25!$B:$B=$A75) *
        ((braves_19_25!$C:$C="FS") +
         (braves_19_25!$C:$C="CH") +
         (braves_19_25!$C:$C="FO") +
         (braves_19_25!$C:$C="SC")),
        braves_19_25!$G:$G
    )
),0)</f>
        <v>85.05</v>
      </c>
      <c r="R75" cm="1">
        <f t="array" ref="R75">IFERROR(AVERAGE(
    IF(
        (braves_19_25!$B:$B=$A75) *
        ((braves_19_25!$C:$C="FS") +
         (braves_19_25!$C:$C="CH") +
         (braves_19_25!$C:$C="FO") +
         (braves_19_25!$C:$C="SC")),
        braves_19_25!$F:$F
    )
),0)</f>
        <v>1439</v>
      </c>
      <c r="S75" cm="1">
        <f t="array" ref="S75">IFERROR(AVERAGE(
    IF(
        (braves_19_25!$B:$B=$A75) *
        ((braves_19_25!$C:$C="FS") +
         (braves_19_25!$C:$C="CH") +
         (braves_19_25!$C:$C="FO") +
         (braves_19_25!$C:$C="SC")),
        braves_19_25!$I:$I
    )
),0)</f>
        <v>2.2146699999999999</v>
      </c>
      <c r="T75" cm="1">
        <f t="array" ref="T75">IFERROR(AVERAGE(
    IF(
        (braves_19_25!$B:$B=$A75) *
        ((braves_19_25!$C:$C="FS") +
         (braves_19_25!$C:$C="CH") +
         (braves_19_25!$C:$C="FO") +
         (braves_19_25!$C:$C="SC")),
        braves_19_25!$J:$J
    )
),0)</f>
        <v>0.97467000000000004</v>
      </c>
      <c r="U75" s="29" cm="1">
        <f t="array" ref="U75">IFERROR(AVERAGE(
    IF(
        (braves_19_25!$B:$B=$A75) *
        ((braves_19_25!$C:$C="FS") +
         (braves_19_25!$C:$C="CH") +
         (braves_19_25!$C:$C="FO") +
         (braves_19_25!$C:$C="SC")),
        braves_19_25!$K:$K
    )
),0)</f>
        <v>-3.6670000000000001E-2</v>
      </c>
      <c r="V75" s="28" cm="1">
        <f t="array" ref="V75">IFERROR(AVERAGE(
    IF(
        (braves_19_25!$B:$B=$A75) *
        ((braves_19_25!$C:$C="EP") +
         (braves_19_25!$C:$C="FA") +
         (braves_19_25!$C:$C="KN")),
        braves_19_25!$G:$G
    )
),0)</f>
        <v>0</v>
      </c>
      <c r="W75" cm="1">
        <f t="array" ref="W75">IFERROR(AVERAGE(
    IF(
        (braves_19_25!$B:$B=$A75) *
        ((braves_19_25!$C:$C="EP") +
         (braves_19_25!$C:$C="FA") +
         (braves_19_25!$C:$C="KN")),
        braves_19_25!$F:$F
    )
),0)</f>
        <v>0</v>
      </c>
      <c r="X75" cm="1">
        <f t="array" ref="X75">IFERROR(AVERAGE(
    IF(
        (braves_19_25!$B:$B=$A75) *
        ((braves_19_25!$C:$C="EP") +
         (braves_19_25!$C:$C="FA") +
         (braves_19_25!$C:$C="KN")),
        braves_19_25!$I:$I
    )
),0)</f>
        <v>0</v>
      </c>
      <c r="Y75" cm="1">
        <f t="array" ref="Y75">IFERROR(AVERAGE(
    IF(
        (braves_19_25!$B:$B=$A75) *
        ((braves_19_25!$C:$C="EP") +
         (braves_19_25!$C:$C="FA") +
         (braves_19_25!$C:$C="KN")),
        braves_19_25!$J:$J
    )
),0)</f>
        <v>0</v>
      </c>
      <c r="Z75" s="29" cm="1">
        <f t="array" ref="Z75">IFERROR(AVERAGE(
    IF(
        (braves_19_25!$B:$B=$A75) *
        ((braves_19_25!$C:$C="EP") +
         (braves_19_25!$C:$C="FA") +
         (braves_19_25!$C:$C="KN")),
        braves_19_25!$K:$K
    )
),0)</f>
        <v>0</v>
      </c>
    </row>
    <row r="76" spans="1:26" ht="15" thickBot="1" x14ac:dyDescent="0.35">
      <c r="A76" t="str">
        <v>Milone, Tommy</v>
      </c>
      <c r="B76" s="3" cm="1">
        <f t="array" ref="B76">IFERROR(AVERAGE(
    IF(
        (braves_19_25!$B:$B=$A76) *
        ((braves_19_25!$C:$C="FF") +
         (braves_19_25!$C:$C="SI") +
         (braves_19_25!$C:$C="FC")),
        braves_19_25!$G:$G
    )
),0)</f>
        <v>85.27000000000001</v>
      </c>
      <c r="C76" s="21" cm="1">
        <f t="array" ref="C76">IFERROR(AVERAGE(
    IF(
        (braves_19_25!$B:$B=$A76) *
        ((braves_19_25!$C:$C="FF") +
         (braves_19_25!$C:$C="SI") +
         (braves_19_25!$C:$C="FC")),
        braves_19_25!$F:$F
    )
),0)</f>
        <v>2198.5</v>
      </c>
      <c r="D76" s="21" cm="1">
        <f t="array" ref="D76">IFERROR(AVERAGE(
    IF(
        (braves_19_25!$B:$B=$A76) *
        ((braves_19_25!$C:$C="FF") +
         (braves_19_25!$C:$C="SI") +
         (braves_19_25!$C:$C="FC")),
        braves_19_25!$I:$I
    )
),0)</f>
        <v>1.6021350000000001</v>
      </c>
      <c r="E76" s="21" cm="1">
        <f t="array" ref="E76">IFERROR(AVERAGE(
    IF(
        (braves_19_25!$B:$B=$A76) *
        ((braves_19_25!$C:$C="FF") +
         (braves_19_25!$C:$C="SI") +
         (braves_19_25!$C:$C="FC")),
        braves_19_25!$J:$J
    )
),0)</f>
        <v>0.76083499999999993</v>
      </c>
      <c r="F76" s="4" cm="1">
        <f t="array" ref="F76">IFERROR(AVERAGE(
    IF(
        (braves_19_25!$B:$B=$A76) *
        ((braves_19_25!$C:$C="FF") +
         (braves_19_25!$C:$C="SI") +
         (braves_19_25!$C:$C="FC")),
        braves_19_25!$K:$K
    )
),0)</f>
        <v>-0.68728999999999996</v>
      </c>
      <c r="G76" s="3" cm="1">
        <f t="array" ref="G76">IFERROR(AVERAGE(
    IF(
        (braves_19_25!$B:$B=$A76) *
        ((braves_19_25!$C:$C="SL") +
         (braves_19_25!$C:$C="ST") +
         (braves_19_25!$C:$C="SV")),
        braves_19_25!$G:$G
    )
),0)</f>
        <v>79.33</v>
      </c>
      <c r="H76" s="21" cm="1">
        <f t="array" ref="H76">IFERROR(AVERAGE(
    IF(
        (braves_19_25!$B:$B=$A76) *
        ((braves_19_25!$C:$C="SL") +
         (braves_19_25!$C:$C="ST") +
         (braves_19_25!$C:$C="SV")),
        braves_19_25!$F:$F
    )
),0)</f>
        <v>2272</v>
      </c>
      <c r="I76" s="21" cm="1">
        <f t="array" ref="I76">IFERROR(AVERAGE(
    IF(
        (braves_19_25!$B:$B=$A76) *
        ((braves_19_25!$C:$C="SL") +
         (braves_19_25!$C:$C="ST") +
         (braves_19_25!$C:$C="SV")),
        braves_19_25!$I:$I
    )
),0)</f>
        <v>3.0973899999999999</v>
      </c>
      <c r="J76" s="21" cm="1">
        <f t="array" ref="J76">IFERROR(AVERAGE(
    IF(
        (braves_19_25!$B:$B=$A76) *
        ((braves_19_25!$C:$C="SL") +
         (braves_19_25!$C:$C="ST") +
         (braves_19_25!$C:$C="SV")),
        braves_19_25!$J:$J
    )
),0)</f>
        <v>-0.25130000000000002</v>
      </c>
      <c r="K76" s="4" cm="1">
        <f t="array" ref="K76">IFERROR(AVERAGE(
    IF(
        (braves_19_25!$B:$B=$A76) *
        ((braves_19_25!$C:$C="SL") +
         (braves_19_25!$C:$C="ST") +
         (braves_19_25!$C:$C="SV")),
        braves_19_25!$K:$K
    )
),0)</f>
        <v>-7.0430000000000006E-2</v>
      </c>
      <c r="L76" s="3" cm="1">
        <f t="array" ref="L76">IFERROR(AVERAGE(
    IF(
        (braves_19_25!$B:$B=$A76) *
        ((braves_19_25!$C:$C="CU") +
         (braves_19_25!$C:$C="CS") +
         (braves_19_25!$C:$C="KC")),
        braves_19_25!$G:$G
    )
),0)</f>
        <v>74.83</v>
      </c>
      <c r="M76" s="21" cm="1">
        <f t="array" ref="M76">IFERROR(AVERAGE(
    IF(
        (braves_19_25!$B:$B=$A76) *
        ((braves_19_25!$C:$C="CU") +
         (braves_19_25!$C:$C="CS") +
         (braves_19_25!$C:$C="KC")),
        braves_19_25!$F:$F
    )
),0)</f>
        <v>2450</v>
      </c>
      <c r="N76" s="21" cm="1">
        <f t="array" ref="N76">IFERROR(AVERAGE(
    IF(
        (braves_19_25!$B:$B=$A76) *
        ((braves_19_25!$C:$C="CU") +
         (braves_19_25!$C:$C="CS") +
         (braves_19_25!$C:$C="KC")),
        braves_19_25!$I:$I
    )
),0)</f>
        <v>4.2466699999999999</v>
      </c>
      <c r="O76" s="21" cm="1">
        <f t="array" ref="O76">IFERROR(AVERAGE(
    IF(
        (braves_19_25!$B:$B=$A76) *
        ((braves_19_25!$C:$C="CU") +
         (braves_19_25!$C:$C="CS") +
         (braves_19_25!$C:$C="KC")),
        braves_19_25!$J:$J
    )
),0)</f>
        <v>-0.20333000000000001</v>
      </c>
      <c r="P76" s="4" cm="1">
        <f t="array" ref="P76">IFERROR(AVERAGE(
    IF(
        (braves_19_25!$B:$B=$A76) *
        ((braves_19_25!$C:$C="CU") +
         (braves_19_25!$C:$C="CS") +
         (braves_19_25!$C:$C="KC")),
        braves_19_25!$K:$K
    )
),0)</f>
        <v>0.20333000000000001</v>
      </c>
      <c r="Q76" s="3" cm="1">
        <f t="array" ref="Q76">IFERROR(AVERAGE(
    IF(
        (braves_19_25!$B:$B=$A76) *
        ((braves_19_25!$C:$C="FS") +
         (braves_19_25!$C:$C="CH") +
         (braves_19_25!$C:$C="FO") +
         (braves_19_25!$C:$C="SC")),
        braves_19_25!$G:$G
    )
),0)</f>
        <v>78.87</v>
      </c>
      <c r="R76" s="21" cm="1">
        <f t="array" ref="R76">IFERROR(AVERAGE(
    IF(
        (braves_19_25!$B:$B=$A76) *
        ((braves_19_25!$C:$C="FS") +
         (braves_19_25!$C:$C="CH") +
         (braves_19_25!$C:$C="FO") +
         (braves_19_25!$C:$C="SC")),
        braves_19_25!$F:$F
    )
),0)</f>
        <v>1639</v>
      </c>
      <c r="S76" s="21" cm="1">
        <f t="array" ref="S76">IFERROR(AVERAGE(
    IF(
        (braves_19_25!$B:$B=$A76) *
        ((braves_19_25!$C:$C="FS") +
         (braves_19_25!$C:$C="CH") +
         (braves_19_25!$C:$C="FO") +
         (braves_19_25!$C:$C="SC")),
        braves_19_25!$I:$I
    )
),0)</f>
        <v>2.8692899999999999</v>
      </c>
      <c r="T76" s="21" cm="1">
        <f t="array" ref="T76">IFERROR(AVERAGE(
    IF(
        (braves_19_25!$B:$B=$A76) *
        ((braves_19_25!$C:$C="FS") +
         (braves_19_25!$C:$C="CH") +
         (braves_19_25!$C:$C="FO") +
         (braves_19_25!$C:$C="SC")),
        braves_19_25!$J:$J
    )
),0)</f>
        <v>1.16381</v>
      </c>
      <c r="U76" s="4" cm="1">
        <f t="array" ref="U76">IFERROR(AVERAGE(
    IF(
        (braves_19_25!$B:$B=$A76) *
        ((braves_19_25!$C:$C="FS") +
         (braves_19_25!$C:$C="CH") +
         (braves_19_25!$C:$C="FO") +
         (braves_19_25!$C:$C="SC")),
        braves_19_25!$K:$K
    )
),0)</f>
        <v>-1.0049999999999999</v>
      </c>
      <c r="V76" s="3" cm="1">
        <f t="array" ref="V76">IFERROR(AVERAGE(
    IF(
        (braves_19_25!$B:$B=$A76) *
        ((braves_19_25!$C:$C="EP") +
         (braves_19_25!$C:$C="FA") +
         (braves_19_25!$C:$C="KN")),
        braves_19_25!$G:$G
    )
),0)</f>
        <v>0</v>
      </c>
      <c r="W76" s="21" cm="1">
        <f t="array" ref="W76">IFERROR(AVERAGE(
    IF(
        (braves_19_25!$B:$B=$A76) *
        ((braves_19_25!$C:$C="EP") +
         (braves_19_25!$C:$C="FA") +
         (braves_19_25!$C:$C="KN")),
        braves_19_25!$F:$F
    )
),0)</f>
        <v>0</v>
      </c>
      <c r="X76" s="21" cm="1">
        <f t="array" ref="X76">IFERROR(AVERAGE(
    IF(
        (braves_19_25!$B:$B=$A76) *
        ((braves_19_25!$C:$C="EP") +
         (braves_19_25!$C:$C="FA") +
         (braves_19_25!$C:$C="KN")),
        braves_19_25!$I:$I
    )
),0)</f>
        <v>0</v>
      </c>
      <c r="Y76" s="21" cm="1">
        <f t="array" ref="Y76">IFERROR(AVERAGE(
    IF(
        (braves_19_25!$B:$B=$A76) *
        ((braves_19_25!$C:$C="EP") +
         (braves_19_25!$C:$C="FA") +
         (braves_19_25!$C:$C="KN")),
        braves_19_25!$J:$J
    )
),0)</f>
        <v>0</v>
      </c>
      <c r="Z76" s="4" cm="1">
        <f t="array" ref="Z76">IFERROR(AVERAGE(
    IF(
        (braves_19_25!$B:$B=$A76) *
        ((braves_19_25!$C:$C="EP") +
         (braves_19_25!$C:$C="FA") +
         (braves_19_25!$C:$C="KN")),
        braves_19_25!$K:$K
    )
),0)</f>
        <v>0</v>
      </c>
    </row>
    <row r="77" spans="1:26" ht="15" thickBot="1" x14ac:dyDescent="0.35"/>
    <row r="78" spans="1:26" ht="15" thickBot="1" x14ac:dyDescent="0.35">
      <c r="A78" s="2" t="s">
        <v>152</v>
      </c>
      <c r="B78" s="35" t="s">
        <v>56</v>
      </c>
      <c r="C78" s="36"/>
      <c r="D78" s="36"/>
      <c r="E78" s="36"/>
      <c r="F78" s="37"/>
      <c r="G78" s="35" t="s">
        <v>57</v>
      </c>
      <c r="H78" s="36"/>
      <c r="I78" s="36"/>
      <c r="J78" s="36"/>
      <c r="K78" s="37"/>
      <c r="L78" s="35" t="s">
        <v>58</v>
      </c>
      <c r="M78" s="36"/>
      <c r="N78" s="36"/>
      <c r="O78" s="36"/>
      <c r="P78" s="37"/>
      <c r="Q78" s="35" t="s">
        <v>150</v>
      </c>
      <c r="R78" s="36"/>
      <c r="S78" s="36"/>
      <c r="T78" s="36"/>
      <c r="U78" s="37"/>
      <c r="V78" s="35" t="s">
        <v>60</v>
      </c>
      <c r="W78" s="36"/>
      <c r="X78" s="36"/>
      <c r="Y78" s="36"/>
      <c r="Z78" s="37"/>
    </row>
    <row r="79" spans="1:26" ht="15" thickBot="1" x14ac:dyDescent="0.35">
      <c r="B79" s="30" t="s">
        <v>53</v>
      </c>
      <c r="C79" s="31" t="s">
        <v>54</v>
      </c>
      <c r="D79" s="31" t="s">
        <v>145</v>
      </c>
      <c r="E79" s="31" t="s">
        <v>146</v>
      </c>
      <c r="F79" s="32" t="s">
        <v>147</v>
      </c>
      <c r="G79" s="30" t="s">
        <v>53</v>
      </c>
      <c r="H79" s="31" t="s">
        <v>54</v>
      </c>
      <c r="I79" s="31" t="s">
        <v>145</v>
      </c>
      <c r="J79" s="31" t="s">
        <v>146</v>
      </c>
      <c r="K79" s="32" t="s">
        <v>147</v>
      </c>
      <c r="L79" s="30" t="s">
        <v>53</v>
      </c>
      <c r="M79" s="31" t="s">
        <v>54</v>
      </c>
      <c r="N79" s="31" t="s">
        <v>145</v>
      </c>
      <c r="O79" s="31" t="s">
        <v>146</v>
      </c>
      <c r="P79" s="32" t="s">
        <v>147</v>
      </c>
      <c r="Q79" s="30" t="s">
        <v>53</v>
      </c>
      <c r="R79" s="31" t="s">
        <v>54</v>
      </c>
      <c r="S79" s="31" t="s">
        <v>145</v>
      </c>
      <c r="T79" s="31" t="s">
        <v>146</v>
      </c>
      <c r="U79" s="32" t="s">
        <v>147</v>
      </c>
      <c r="V79" s="30" t="s">
        <v>53</v>
      </c>
      <c r="W79" s="31" t="s">
        <v>54</v>
      </c>
      <c r="X79" s="31" t="s">
        <v>145</v>
      </c>
      <c r="Y79" s="31" t="s">
        <v>146</v>
      </c>
      <c r="Z79" s="32" t="s">
        <v>147</v>
      </c>
    </row>
    <row r="80" spans="1:26" x14ac:dyDescent="0.3">
      <c r="A80" t="str" cm="1">
        <f t="array" ref="A80:A152">_xlfn.UNIQUE(braves_19_25__2[player_name])</f>
        <v>Fried, Max</v>
      </c>
      <c r="B80" s="28" cm="1">
        <f t="array" ref="B80:F80">_xlfn.LET(
    _xlpm.p, $A4,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0.36000724160631137</v>
      </c>
      <c r="C80">
        <v>-106.56848804037736</v>
      </c>
      <c r="D80">
        <v>0.25633583059030074</v>
      </c>
      <c r="E80">
        <v>-0.28520105464121137</v>
      </c>
      <c r="F80" s="29">
        <v>-3.8222824665349993E-2</v>
      </c>
      <c r="G80" s="28" cm="1">
        <f t="array" ref="G80:K80">_xlfn.LET(
    _xlpm.p, $A4,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0.57269230769230717</v>
      </c>
      <c r="H80">
        <v>25.944017094017454</v>
      </c>
      <c r="I80">
        <v>4.2932452991454095E-2</v>
      </c>
      <c r="J80">
        <v>-0.21424521367521354</v>
      </c>
      <c r="K80" s="29">
        <v>0.50931971367521367</v>
      </c>
      <c r="L80" s="28" cm="1">
        <f t="array" ref="L80:P80">_xlfn.LET(
    _xlpm.p, $A4,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-1.7022222222222325</v>
      </c>
      <c r="M80">
        <v>257.03968253968242</v>
      </c>
      <c r="N80">
        <v>0.66653603174603138</v>
      </c>
      <c r="O80">
        <v>-0.12219944444444442</v>
      </c>
      <c r="P80" s="29">
        <v>0.29763920634920638</v>
      </c>
      <c r="Q80" s="28" cm="1">
        <f t="array" ref="Q80:U80">_xlfn.LET(
    _xlpm.p, $A4,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0.18573809523809359</v>
      </c>
      <c r="R80">
        <v>-107.00476190476184</v>
      </c>
      <c r="S80">
        <v>7.3976785714285231E-2</v>
      </c>
      <c r="T80">
        <v>6.7247261904761713E-2</v>
      </c>
      <c r="U80" s="29">
        <v>-0.33816819047619051</v>
      </c>
      <c r="V80" s="28" cm="1">
        <f t="array" ref="V80:Z80">_xlfn.LET(
    _xlpm.p, $A4,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0">
        <v>0</v>
      </c>
      <c r="X80">
        <v>0</v>
      </c>
      <c r="Y80">
        <v>0</v>
      </c>
      <c r="Z80" s="29">
        <v>0</v>
      </c>
    </row>
    <row r="81" spans="1:26" x14ac:dyDescent="0.3">
      <c r="A81" t="str">
        <v>Morton, Charlie</v>
      </c>
      <c r="B81" s="28" cm="1">
        <f t="array" ref="B81:F81">_xlfn.LET(
    _xlpm.p, $A5,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0.52000724160632217</v>
      </c>
      <c r="C81">
        <v>30.43151195962264</v>
      </c>
      <c r="D81">
        <v>0.301385830590301</v>
      </c>
      <c r="E81">
        <v>0.27589227869212185</v>
      </c>
      <c r="F81" s="29">
        <v>0.30581050866798332</v>
      </c>
      <c r="G81" s="28" cm="1">
        <f t="array" ref="G81:K81">_xlfn.LET(
    _xlpm.p, $A5,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81">
        <v>0</v>
      </c>
      <c r="I81">
        <v>0</v>
      </c>
      <c r="J81">
        <v>0</v>
      </c>
      <c r="K81" s="29">
        <v>0</v>
      </c>
      <c r="L81" s="28" cm="1">
        <f t="array" ref="L81:P81">_xlfn.LET(
    _xlpm.p, $A5,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5.5277777777777715</v>
      </c>
      <c r="M81">
        <v>561.03968253968242</v>
      </c>
      <c r="N81">
        <v>-0.72064396825396848</v>
      </c>
      <c r="O81">
        <v>-0.5652894444444444</v>
      </c>
      <c r="P81" s="29">
        <v>-5.9220793650793635E-2</v>
      </c>
      <c r="Q81" s="28" cm="1">
        <f t="array" ref="Q81:U81">_xlfn.LET(
    _xlpm.p, $A5,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-0.35426190476189845</v>
      </c>
      <c r="R81">
        <v>603.99523809523816</v>
      </c>
      <c r="S81">
        <v>0.3744367857142854</v>
      </c>
      <c r="T81">
        <v>0.49055726190476179</v>
      </c>
      <c r="U81" s="29">
        <v>0.11651180952380946</v>
      </c>
      <c r="V81" s="28" cm="1">
        <f t="array" ref="V81:Z81">_xlfn.LET(
    _xlpm.p, $A5,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1">
        <v>0</v>
      </c>
      <c r="X81">
        <v>0</v>
      </c>
      <c r="Y81">
        <v>0</v>
      </c>
      <c r="Z81" s="29">
        <v>0</v>
      </c>
    </row>
    <row r="82" spans="1:26" x14ac:dyDescent="0.3">
      <c r="A82" t="str">
        <v>Strider, Spencer</v>
      </c>
      <c r="B82" s="28" cm="1">
        <f t="array" ref="B82:F82">_xlfn.LET(
    _xlpm.p, $A6,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6.2833405749396576</v>
      </c>
      <c r="C82">
        <v>56.098178626289155</v>
      </c>
      <c r="D82">
        <v>-0.8060041694096991</v>
      </c>
      <c r="E82">
        <v>1.5715612025455239E-2</v>
      </c>
      <c r="F82" s="29">
        <v>-6.3716157998683326E-2</v>
      </c>
      <c r="G82" s="28" cm="1">
        <f t="array" ref="G82:K82">_xlfn.LET(
    _xlpm.p, $A6,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4.2026923076923026</v>
      </c>
      <c r="H82">
        <v>-247.55598290598255</v>
      </c>
      <c r="I82">
        <v>-0.56581754700854558</v>
      </c>
      <c r="J82">
        <v>0.30206978632478637</v>
      </c>
      <c r="K82" s="29">
        <v>0.11789971367521367</v>
      </c>
      <c r="L82" s="28" cm="1">
        <f t="array" ref="L82:P82">_xlfn.LET(
    _xlpm.p, $A6,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3.897777777777776</v>
      </c>
      <c r="M82">
        <v>142.03968253968242</v>
      </c>
      <c r="N82">
        <v>-0.68172396825396842</v>
      </c>
      <c r="O82">
        <v>-0.1634294444444444</v>
      </c>
      <c r="P82" s="29">
        <v>0.12834920634920635</v>
      </c>
      <c r="Q82" s="28" cm="1">
        <f t="array" ref="Q82:U82">_xlfn.LET(
    _xlpm.p, $A6,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2.1157380952381004</v>
      </c>
      <c r="R82">
        <v>616.99523809523816</v>
      </c>
      <c r="S82">
        <v>-0.4998032142857145</v>
      </c>
      <c r="T82">
        <v>0.25045726190476181</v>
      </c>
      <c r="U82" s="29">
        <v>-0.59290819047619048</v>
      </c>
      <c r="V82" s="28" cm="1">
        <f t="array" ref="V82:Z82">_xlfn.LET(
    _xlpm.p, $A6,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2">
        <v>0</v>
      </c>
      <c r="X82">
        <v>0</v>
      </c>
      <c r="Y82">
        <v>0</v>
      </c>
      <c r="Z82" s="29">
        <v>0</v>
      </c>
    </row>
    <row r="83" spans="1:26" x14ac:dyDescent="0.3">
      <c r="A83" t="str">
        <v>Elder, Bryce</v>
      </c>
      <c r="B83" s="28" cm="1">
        <f t="array" ref="B83:F83">_xlfn.LET(
    _xlpm.p, $A7,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-2.6999927583936909</v>
      </c>
      <c r="C83">
        <v>-49.23515470704433</v>
      </c>
      <c r="D83">
        <v>0.31310249725696759</v>
      </c>
      <c r="E83">
        <v>-0.15650105464121139</v>
      </c>
      <c r="F83" s="29">
        <v>-6.6779491332016674E-2</v>
      </c>
      <c r="G83" s="28" cm="1">
        <f t="array" ref="G83:K83">_xlfn.LET(
    _xlpm.p, $A7,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0.64269230769231456</v>
      </c>
      <c r="H83">
        <v>-137.55598290598255</v>
      </c>
      <c r="I83">
        <v>-0.16695754700854559</v>
      </c>
      <c r="J83">
        <v>0.68082978632478641</v>
      </c>
      <c r="K83" s="29">
        <v>0.17477971367521367</v>
      </c>
      <c r="L83" s="28" cm="1">
        <f t="array" ref="L83:P83">_xlfn.LET(
    _xlpm.p, $A7,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83">
        <v>0</v>
      </c>
      <c r="N83">
        <v>0</v>
      </c>
      <c r="O83">
        <v>0</v>
      </c>
      <c r="P83" s="29">
        <v>0</v>
      </c>
      <c r="Q83" s="28" cm="1">
        <f t="array" ref="Q83:U83">_xlfn.LET(
    _xlpm.p, $A7,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-0.83426190476190243</v>
      </c>
      <c r="R83">
        <v>584.99523809523816</v>
      </c>
      <c r="S83">
        <v>0.10744678571428556</v>
      </c>
      <c r="T83">
        <v>-1.0927380952382437E-3</v>
      </c>
      <c r="U83" s="29">
        <v>4.6451809523809451E-2</v>
      </c>
      <c r="V83" s="28" cm="1">
        <f t="array" ref="V83:Z83">_xlfn.LET(
    _xlpm.p, $A7,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3">
        <v>0</v>
      </c>
      <c r="X83">
        <v>0</v>
      </c>
      <c r="Y83">
        <v>0</v>
      </c>
      <c r="Z83" s="29">
        <v>0</v>
      </c>
    </row>
    <row r="84" spans="1:26" x14ac:dyDescent="0.3">
      <c r="A84" t="str">
        <v>Sale, Chris</v>
      </c>
      <c r="B84" s="28" cm="1">
        <f t="array" ref="B84:F84">_xlfn.LET(
    _xlpm.p, $A8,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2.7233405749396553</v>
      </c>
      <c r="C84">
        <v>-110.40182137371085</v>
      </c>
      <c r="D84">
        <v>0.3077958305903008</v>
      </c>
      <c r="E84">
        <v>0.84189061202545534</v>
      </c>
      <c r="F84" s="29">
        <v>-0.52618615799868329</v>
      </c>
      <c r="G84" s="28" cm="1">
        <f t="array" ref="G84:K84">_xlfn.LET(
    _xlpm.p, $A8,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-3.6873076923076979</v>
      </c>
      <c r="H84">
        <v>-238.55598290598255</v>
      </c>
      <c r="I84">
        <v>0.4748224529914542</v>
      </c>
      <c r="J84">
        <v>-0.15188021367521365</v>
      </c>
      <c r="K84" s="29">
        <v>0.7278897136752136</v>
      </c>
      <c r="L84" s="28" cm="1">
        <f t="array" ref="L84:P84">_xlfn.LET(
    _xlpm.p, $A8,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84">
        <v>0</v>
      </c>
      <c r="N84">
        <v>0</v>
      </c>
      <c r="O84">
        <v>0</v>
      </c>
      <c r="P84" s="29">
        <v>0</v>
      </c>
      <c r="Q84" s="28" cm="1">
        <f t="array" ref="Q84:U84">_xlfn.LET(
    _xlpm.p, $A8,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0.83573809523809928</v>
      </c>
      <c r="R84">
        <v>327.99523809523816</v>
      </c>
      <c r="S84">
        <v>0.39854678571428526</v>
      </c>
      <c r="T84">
        <v>0.39481726190476185</v>
      </c>
      <c r="U84" s="29">
        <v>-0.77274819047619048</v>
      </c>
      <c r="V84" s="28" cm="1">
        <f t="array" ref="V84:Z84">_xlfn.LET(
    _xlpm.p, $A8,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4">
        <v>0</v>
      </c>
      <c r="X84">
        <v>0</v>
      </c>
      <c r="Y84">
        <v>0</v>
      </c>
      <c r="Z84" s="29">
        <v>0</v>
      </c>
    </row>
    <row r="85" spans="1:26" x14ac:dyDescent="0.3">
      <c r="A85" t="str">
        <v>Anderson, Ian</v>
      </c>
      <c r="B85" s="28" cm="1">
        <f t="array" ref="B85:F85">_xlfn.LET(
    _xlpm.p, $A9,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3.1933405749396542</v>
      </c>
      <c r="C85">
        <v>-263.90182137371085</v>
      </c>
      <c r="D85">
        <v>-0.64078916940969921</v>
      </c>
      <c r="E85">
        <v>0.16922561202545527</v>
      </c>
      <c r="F85" s="29">
        <v>8.2448842001316663E-2</v>
      </c>
      <c r="G85" s="28" cm="1">
        <f t="array" ref="G85:K85">_xlfn.LET(
    _xlpm.p, $A9,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-1.7673076923076962</v>
      </c>
      <c r="H85">
        <v>-645.55598290598255</v>
      </c>
      <c r="I85">
        <v>0.73888245299145394</v>
      </c>
      <c r="J85">
        <v>0.57919978632478641</v>
      </c>
      <c r="K85" s="29">
        <v>0.19979971367521368</v>
      </c>
      <c r="L85" s="28" cm="1">
        <f t="array" ref="L85:P85">_xlfn.LET(
    _xlpm.p, $A9,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6.417777777777772</v>
      </c>
      <c r="M85">
        <v>-601.96031746031758</v>
      </c>
      <c r="N85">
        <v>-1.0541139682539686</v>
      </c>
      <c r="O85">
        <v>0.59027055555555552</v>
      </c>
      <c r="P85" s="29">
        <v>-0.23932079365079362</v>
      </c>
      <c r="Q85" s="28" cm="1">
        <f t="array" ref="Q85:U85">_xlfn.LET(
    _xlpm.p, $A9,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2.8957380952381016</v>
      </c>
      <c r="R85">
        <v>61.995238095238165</v>
      </c>
      <c r="S85">
        <v>-0.62380321428571461</v>
      </c>
      <c r="T85">
        <v>-0.10752273809523816</v>
      </c>
      <c r="U85" s="29">
        <v>0.3901918095238095</v>
      </c>
      <c r="V85" s="28" cm="1">
        <f t="array" ref="V85:Z85">_xlfn.LET(
    _xlpm.p, $A9,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5">
        <v>0</v>
      </c>
      <c r="X85">
        <v>0</v>
      </c>
      <c r="Y85">
        <v>0</v>
      </c>
      <c r="Z85" s="29">
        <v>0</v>
      </c>
    </row>
    <row r="86" spans="1:26" x14ac:dyDescent="0.3">
      <c r="A86" t="str">
        <v>Minter, A.J.</v>
      </c>
      <c r="B86" s="28" cm="1">
        <f t="array" ref="B86:F86">_xlfn.LET(
    _xlpm.p, $A10,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0.8833405749396519</v>
      </c>
      <c r="C86">
        <v>176.09817862628915</v>
      </c>
      <c r="D86">
        <v>7.1608305903008151E-3</v>
      </c>
      <c r="E86">
        <v>-0.46179938797454473</v>
      </c>
      <c r="F86" s="29">
        <v>-6.4076157998683325E-2</v>
      </c>
      <c r="G86" s="28" cm="1">
        <f t="array" ref="G86:K86">_xlfn.LET(
    _xlpm.p, $A10,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86">
        <v>0</v>
      </c>
      <c r="I86">
        <v>0</v>
      </c>
      <c r="J86">
        <v>0</v>
      </c>
      <c r="K86" s="29">
        <v>0</v>
      </c>
      <c r="L86" s="28" cm="1">
        <f t="array" ref="L86:P86">_xlfn.LET(
    _xlpm.p, $A10,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86">
        <v>0</v>
      </c>
      <c r="N86">
        <v>0</v>
      </c>
      <c r="O86">
        <v>0</v>
      </c>
      <c r="P86" s="29">
        <v>0</v>
      </c>
      <c r="Q86" s="28" cm="1">
        <f t="array" ref="Q86:U86">_xlfn.LET(
    _xlpm.p, $A10,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0.48573809523809075</v>
      </c>
      <c r="R86">
        <v>125.99523809523816</v>
      </c>
      <c r="S86">
        <v>6.13567857142856E-2</v>
      </c>
      <c r="T86">
        <v>0.33900726190476171</v>
      </c>
      <c r="U86" s="29">
        <v>-0.6504781904761906</v>
      </c>
      <c r="V86" s="28" cm="1">
        <f t="array" ref="V86:Z86">_xlfn.LET(
    _xlpm.p, $A10,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6">
        <v>0</v>
      </c>
      <c r="X86">
        <v>0</v>
      </c>
      <c r="Y86">
        <v>0</v>
      </c>
      <c r="Z86" s="29">
        <v>0</v>
      </c>
    </row>
    <row r="87" spans="1:26" x14ac:dyDescent="0.3">
      <c r="A87" t="str">
        <v>Wright, Kyle</v>
      </c>
      <c r="B87" s="28" cm="1">
        <f t="array" ref="B87:F87">_xlfn.LET(
    _xlpm.p, $A11,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2.7933405749396627</v>
      </c>
      <c r="C87">
        <v>38.598178626289155</v>
      </c>
      <c r="D87">
        <v>3.7555830590300987E-2</v>
      </c>
      <c r="E87">
        <v>0.56983561202545541</v>
      </c>
      <c r="F87" s="29">
        <v>9.2573842001316686E-2</v>
      </c>
      <c r="G87" s="28" cm="1">
        <f t="array" ref="G87:K87">_xlfn.LET(
    _xlpm.p, $A11,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6.4426923076923117</v>
      </c>
      <c r="H87">
        <v>-136.55598290598255</v>
      </c>
      <c r="I87">
        <v>-1.134077547008546</v>
      </c>
      <c r="J87">
        <v>0.65184978632478641</v>
      </c>
      <c r="K87" s="29">
        <v>0.14101971367521365</v>
      </c>
      <c r="L87" s="28" cm="1">
        <f t="array" ref="L87:P87">_xlfn.LET(
    _xlpm.p, $A11,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8.9677777777777692</v>
      </c>
      <c r="M87">
        <v>172.03968253968242</v>
      </c>
      <c r="N87">
        <v>-1.0326039682539685</v>
      </c>
      <c r="O87">
        <v>-7.8419444444444486E-2</v>
      </c>
      <c r="P87" s="29">
        <v>-0.15675079365079364</v>
      </c>
      <c r="Q87" s="28" cm="1">
        <f t="array" ref="Q87:U87">_xlfn.LET(
    _xlpm.p, $A11,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2.0357380952381021</v>
      </c>
      <c r="R87">
        <v>156.99523809523816</v>
      </c>
      <c r="S87">
        <v>0.17029678571428519</v>
      </c>
      <c r="T87">
        <v>0.34250726190476177</v>
      </c>
      <c r="U87" s="29">
        <v>-0.20836819047619048</v>
      </c>
      <c r="V87" s="28" cm="1">
        <f t="array" ref="V87:Z87">_xlfn.LET(
    _xlpm.p, $A11,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7">
        <v>0</v>
      </c>
      <c r="X87">
        <v>0</v>
      </c>
      <c r="Y87">
        <v>0</v>
      </c>
      <c r="Z87" s="29">
        <v>0</v>
      </c>
    </row>
    <row r="88" spans="1:26" x14ac:dyDescent="0.3">
      <c r="A88" t="str">
        <v>Schwellenbach, Spencer</v>
      </c>
      <c r="B88" s="28" cm="1">
        <f t="array" ref="B88:F88">_xlfn.LET(
    _xlpm.p, $A12,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4.2200072416063108</v>
      </c>
      <c r="C88">
        <v>-36.56848804037736</v>
      </c>
      <c r="D88">
        <v>-0.11791083607636565</v>
      </c>
      <c r="E88">
        <v>1.185894535878862E-2</v>
      </c>
      <c r="F88" s="29">
        <v>0.15590717533465001</v>
      </c>
      <c r="G88" s="28" cm="1">
        <f t="array" ref="G88:K88">_xlfn.LET(
    _xlpm.p, $A12,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6.0126923076923049</v>
      </c>
      <c r="H88">
        <v>-162.55598290598255</v>
      </c>
      <c r="I88">
        <v>-0.32462754700854601</v>
      </c>
      <c r="J88">
        <v>0.47146978632478637</v>
      </c>
      <c r="K88" s="29">
        <v>4.7509713675213672E-2</v>
      </c>
      <c r="L88" s="28" cm="1">
        <f t="array" ref="L88:P88">_xlfn.LET(
    _xlpm.p, $A12,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6.2977777777777675</v>
      </c>
      <c r="M88">
        <v>-153.96031746031758</v>
      </c>
      <c r="N88">
        <v>-0.84118396825396857</v>
      </c>
      <c r="O88">
        <v>-4.4619444444444434E-2</v>
      </c>
      <c r="P88" s="29">
        <v>0.13150920634920635</v>
      </c>
      <c r="Q88" s="28" cm="1">
        <f t="array" ref="Q88:U88">_xlfn.LET(
    _xlpm.p, $A12,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-0.29426190476191039</v>
      </c>
      <c r="R88">
        <v>-182.00476190476184</v>
      </c>
      <c r="S88">
        <v>0.50577678571428519</v>
      </c>
      <c r="T88">
        <v>-0.18457273809523822</v>
      </c>
      <c r="U88" s="29">
        <v>-3.9398190476190531E-2</v>
      </c>
      <c r="V88" s="28" cm="1">
        <f t="array" ref="V88:Z88">_xlfn.LET(
    _xlpm.p, $A12,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8">
        <v>0</v>
      </c>
      <c r="X88">
        <v>0</v>
      </c>
      <c r="Y88">
        <v>0</v>
      </c>
      <c r="Z88" s="29">
        <v>0</v>
      </c>
    </row>
    <row r="89" spans="1:26" x14ac:dyDescent="0.3">
      <c r="A89" t="str">
        <v>Soroka, Michael</v>
      </c>
      <c r="B89" s="28" cm="1">
        <f t="array" ref="B89:F89">_xlfn.LET(
    _xlpm.p, $A13,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-0.81665942506035094</v>
      </c>
      <c r="C89">
        <v>-13.401821373710845</v>
      </c>
      <c r="D89">
        <v>8.0010830590300897E-2</v>
      </c>
      <c r="E89">
        <v>0.36498061202545529</v>
      </c>
      <c r="F89" s="29">
        <v>0.20726384200131667</v>
      </c>
      <c r="G89" s="28" cm="1">
        <f t="array" ref="G89:K89">_xlfn.LET(
    _xlpm.p, $A13,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-2.2173076923076849</v>
      </c>
      <c r="H89">
        <v>266.44401709401745</v>
      </c>
      <c r="I89">
        <v>0.45022745299145406</v>
      </c>
      <c r="J89">
        <v>1.4374786324786282E-2</v>
      </c>
      <c r="K89" s="29">
        <v>9.5144713675213669E-2</v>
      </c>
      <c r="L89" s="28" cm="1">
        <f t="array" ref="L89:P89">_xlfn.LET(
    _xlpm.p, $A13,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89">
        <v>0</v>
      </c>
      <c r="N89">
        <v>0</v>
      </c>
      <c r="O89">
        <v>0</v>
      </c>
      <c r="P89" s="29">
        <v>0</v>
      </c>
      <c r="Q89" s="28" cm="1">
        <f t="array" ref="Q89:U89">_xlfn.LET(
    _xlpm.p, $A13,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-6.1642619047619007</v>
      </c>
      <c r="R89">
        <v>653.99523809523816</v>
      </c>
      <c r="S89">
        <v>-0.16341321428571476</v>
      </c>
      <c r="T89">
        <v>0.23043726190476188</v>
      </c>
      <c r="U89" s="29">
        <v>0.12551180952380947</v>
      </c>
      <c r="V89" s="28" cm="1">
        <f t="array" ref="V89:Z89">_xlfn.LET(
    _xlpm.p, $A13,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89">
        <v>0</v>
      </c>
      <c r="X89">
        <v>0</v>
      </c>
      <c r="Y89">
        <v>0</v>
      </c>
      <c r="Z89" s="29">
        <v>0</v>
      </c>
    </row>
    <row r="90" spans="1:26" x14ac:dyDescent="0.3">
      <c r="A90" t="str">
        <v>Chavez, Jesse</v>
      </c>
      <c r="B90" s="28" cm="1">
        <f t="array" ref="B90:F90">_xlfn.LET(
    _xlpm.p, $A14,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-1.586659425060347</v>
      </c>
      <c r="C90">
        <v>-188.90182137371085</v>
      </c>
      <c r="D90">
        <v>0.19657916392363406</v>
      </c>
      <c r="E90">
        <v>0.29876227869212202</v>
      </c>
      <c r="F90" s="29">
        <v>0.27830050866798328</v>
      </c>
      <c r="G90" s="28" cm="1">
        <f t="array" ref="G90:K90">_xlfn.LET(
    _xlpm.p, $A14,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-0.41730769230768772</v>
      </c>
      <c r="H90">
        <v>-289.55598290598255</v>
      </c>
      <c r="I90">
        <v>-9.2017547008545808E-2</v>
      </c>
      <c r="J90">
        <v>0.22761978632478641</v>
      </c>
      <c r="K90" s="29">
        <v>-1.1870286324786344E-2</v>
      </c>
      <c r="L90" s="28" cm="1">
        <f t="array" ref="L90:P90">_xlfn.LET(
    _xlpm.p, $A14,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7.777777777776862E-2</v>
      </c>
      <c r="M90">
        <v>49.039682539682417</v>
      </c>
      <c r="N90">
        <v>-0.29305396825396812</v>
      </c>
      <c r="O90">
        <v>-0.65194944444444436</v>
      </c>
      <c r="P90" s="29">
        <v>-0.96095079365079361</v>
      </c>
      <c r="Q90" s="28" cm="1">
        <f t="array" ref="Q90:U90">_xlfn.LET(
    _xlpm.p, $A14,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-1.1042619047618984</v>
      </c>
      <c r="R90">
        <v>292.99523809523816</v>
      </c>
      <c r="S90">
        <v>0.35190678571428524</v>
      </c>
      <c r="T90">
        <v>0.36454726190476183</v>
      </c>
      <c r="U90" s="29">
        <v>-0.2547881904761905</v>
      </c>
      <c r="V90" s="28" cm="1">
        <f t="array" ref="V90:Z90">_xlfn.LET(
    _xlpm.p, $A14,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0">
        <v>0</v>
      </c>
      <c r="X90">
        <v>0</v>
      </c>
      <c r="Y90">
        <v>0</v>
      </c>
      <c r="Z90" s="29">
        <v>0</v>
      </c>
    </row>
    <row r="91" spans="1:26" x14ac:dyDescent="0.3">
      <c r="A91" t="str">
        <v>Iglesias, Raisel</v>
      </c>
      <c r="B91" s="28" cm="1">
        <f t="array" ref="B91:F91">_xlfn.LET(
    _xlpm.p, $A15,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2.8033405749396536</v>
      </c>
      <c r="C91">
        <v>41.598178626289155</v>
      </c>
      <c r="D91">
        <v>-0.23674916940969903</v>
      </c>
      <c r="E91">
        <v>0.53857561202545534</v>
      </c>
      <c r="F91" s="29">
        <v>0.18725884200131665</v>
      </c>
      <c r="G91" s="28" cm="1">
        <f t="array" ref="G91:K91">_xlfn.LET(
    _xlpm.p, $A15,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1.5926923076923032</v>
      </c>
      <c r="H91">
        <v>62.444017094017454</v>
      </c>
      <c r="I91">
        <v>-0.71246754700854575</v>
      </c>
      <c r="J91">
        <v>-5.9140213675213604E-2</v>
      </c>
      <c r="K91" s="29">
        <v>-0.26482028632478638</v>
      </c>
      <c r="L91" s="28" cm="1">
        <f t="array" ref="L91:P91">_xlfn.LET(
    _xlpm.p, $A15,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91">
        <v>0</v>
      </c>
      <c r="N91">
        <v>0</v>
      </c>
      <c r="O91">
        <v>0</v>
      </c>
      <c r="P91" s="29">
        <v>0</v>
      </c>
      <c r="Q91" s="28" cm="1">
        <f t="array" ref="Q91:U91">_xlfn.LET(
    _xlpm.p, $A15,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2.7457380952380959</v>
      </c>
      <c r="R91">
        <v>433.99523809523816</v>
      </c>
      <c r="S91">
        <v>-0.13015321428571447</v>
      </c>
      <c r="T91">
        <v>0.37004726190476189</v>
      </c>
      <c r="U91" s="29">
        <v>1.6811809523809451E-2</v>
      </c>
      <c r="V91" s="28" cm="1">
        <f t="array" ref="V91:Z91">_xlfn.LET(
    _xlpm.p, $A15,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1">
        <v>0</v>
      </c>
      <c r="X91">
        <v>0</v>
      </c>
      <c r="Y91">
        <v>0</v>
      </c>
      <c r="Z91" s="29">
        <v>0</v>
      </c>
    </row>
    <row r="92" spans="1:26" x14ac:dyDescent="0.3">
      <c r="A92" t="str">
        <v>Jackson, Luke</v>
      </c>
      <c r="B92" s="28" cm="1">
        <f t="array" ref="B92:F92">_xlfn.LET(
    _xlpm.p, $A16,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1.6233405749396468</v>
      </c>
      <c r="C92">
        <v>46.098178626289155</v>
      </c>
      <c r="D92">
        <v>-0.17378916940969913</v>
      </c>
      <c r="E92">
        <v>-0.30706938797454475</v>
      </c>
      <c r="F92" s="29">
        <v>-4.1331157998683324E-2</v>
      </c>
      <c r="G92" s="28" cm="1">
        <f t="array" ref="G92:K92">_xlfn.LET(
    _xlpm.p, $A16,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5.542692307692306</v>
      </c>
      <c r="H92">
        <v>-136.55598290598255</v>
      </c>
      <c r="I92">
        <v>-4.9747547008546E-2</v>
      </c>
      <c r="J92">
        <v>0.60612978632478631</v>
      </c>
      <c r="K92" s="29">
        <v>0.15059971367521366</v>
      </c>
      <c r="L92" s="28" cm="1">
        <f t="array" ref="L92:P92">_xlfn.LET(
    _xlpm.p, $A16,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8.5077777777777754</v>
      </c>
      <c r="M92">
        <v>-14.960317460317583</v>
      </c>
      <c r="N92">
        <v>-0.61938396825396858</v>
      </c>
      <c r="O92">
        <v>0.17570055555555553</v>
      </c>
      <c r="P92" s="29">
        <v>-7.0290793650793632E-2</v>
      </c>
      <c r="Q92" s="28" cm="1">
        <f t="array" ref="Q92:U92">_xlfn.LET(
    _xlpm.p, $A16,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92">
        <v>0</v>
      </c>
      <c r="S92">
        <v>0</v>
      </c>
      <c r="T92">
        <v>0</v>
      </c>
      <c r="U92" s="29">
        <v>0</v>
      </c>
      <c r="V92" s="28" cm="1">
        <f t="array" ref="V92:Z92">_xlfn.LET(
    _xlpm.p, $A16,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2">
        <v>0</v>
      </c>
      <c r="X92">
        <v>0</v>
      </c>
      <c r="Y92">
        <v>0</v>
      </c>
      <c r="Z92" s="29">
        <v>0</v>
      </c>
    </row>
    <row r="93" spans="1:26" x14ac:dyDescent="0.3">
      <c r="A93" t="str">
        <v>Lee, Dylan</v>
      </c>
      <c r="B93" s="28" cm="1">
        <f t="array" ref="B93:F93">_xlfn.LET(
    _xlpm.p, $A17,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0.43334057493964906</v>
      </c>
      <c r="C93">
        <v>-110.40182137371085</v>
      </c>
      <c r="D93">
        <v>-0.573614169409699</v>
      </c>
      <c r="E93">
        <v>1.0906120254552398E-3</v>
      </c>
      <c r="F93" s="29">
        <v>-0.28235615799868335</v>
      </c>
      <c r="G93" s="28" cm="1">
        <f t="array" ref="G93:K93">_xlfn.LET(
    _xlpm.p, $A17,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2.502692307692314</v>
      </c>
      <c r="H93">
        <v>-487.55598290598255</v>
      </c>
      <c r="I93">
        <v>-0.83379754700854569</v>
      </c>
      <c r="J93">
        <v>0.5909097863247863</v>
      </c>
      <c r="K93" s="29">
        <v>0.20326971367521368</v>
      </c>
      <c r="L93" s="28" cm="1">
        <f t="array" ref="L93:P93">_xlfn.LET(
    _xlpm.p, $A17,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93">
        <v>0</v>
      </c>
      <c r="N93">
        <v>0</v>
      </c>
      <c r="O93">
        <v>0</v>
      </c>
      <c r="P93" s="29">
        <v>0</v>
      </c>
      <c r="Q93" s="28" cm="1">
        <f t="array" ref="Q93:U93">_xlfn.LET(
    _xlpm.p, $A17,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0.17573809523810269</v>
      </c>
      <c r="R93">
        <v>107.99523809523816</v>
      </c>
      <c r="S93">
        <v>-0.54500321428571441</v>
      </c>
      <c r="T93">
        <v>8.3172619047617857E-3</v>
      </c>
      <c r="U93" s="29">
        <v>-0.39203819047619048</v>
      </c>
      <c r="V93" s="28" cm="1">
        <f t="array" ref="V93:Z93">_xlfn.LET(
    _xlpm.p, $A17,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3">
        <v>0</v>
      </c>
      <c r="X93">
        <v>0</v>
      </c>
      <c r="Y93">
        <v>0</v>
      </c>
      <c r="Z93" s="29">
        <v>0</v>
      </c>
    </row>
    <row r="94" spans="1:26" x14ac:dyDescent="0.3">
      <c r="A94" t="str">
        <v>Holmes, Grant</v>
      </c>
      <c r="B94" s="28" cm="1">
        <f t="array" ref="B94:F94">_xlfn.LET(
    _xlpm.p, $A18,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1.1700072416063136</v>
      </c>
      <c r="C94">
        <v>101.76484529295567</v>
      </c>
      <c r="D94">
        <v>-7.0437502743032621E-2</v>
      </c>
      <c r="E94">
        <v>-0.10662772130787801</v>
      </c>
      <c r="F94" s="29">
        <v>6.4771753346500021E-3</v>
      </c>
      <c r="G94" s="28" cm="1">
        <f t="array" ref="G94:K94">_xlfn.LET(
    _xlpm.p, $A18,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3.0126923076923049</v>
      </c>
      <c r="H94">
        <v>224.44401709401745</v>
      </c>
      <c r="I94">
        <v>-0.23872754700854593</v>
      </c>
      <c r="J94">
        <v>0.52560978632478639</v>
      </c>
      <c r="K94" s="29">
        <v>0.13565971367521368</v>
      </c>
      <c r="L94" s="28" cm="1">
        <f t="array" ref="L94:P94">_xlfn.LET(
    _xlpm.p, $A18,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7.7477777777777703</v>
      </c>
      <c r="M94">
        <v>369.03968253968242</v>
      </c>
      <c r="N94">
        <v>-0.92022396825396857</v>
      </c>
      <c r="O94">
        <v>0.32596055555555553</v>
      </c>
      <c r="P94" s="29">
        <v>-3.3610793650793641E-2</v>
      </c>
      <c r="Q94" s="28" cm="1">
        <f t="array" ref="Q94:U94">_xlfn.LET(
    _xlpm.p, $A18,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3.8357380952380993</v>
      </c>
      <c r="R94">
        <v>79.995238095238165</v>
      </c>
      <c r="S94">
        <v>-0.2245632142857148</v>
      </c>
      <c r="T94">
        <v>-2.0527380952382046E-3</v>
      </c>
      <c r="U94" s="29">
        <v>-0.25530819047619058</v>
      </c>
      <c r="V94" s="28" cm="1">
        <f t="array" ref="V94:Z94">_xlfn.LET(
    _xlpm.p, $A18,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4">
        <v>0</v>
      </c>
      <c r="X94">
        <v>0</v>
      </c>
      <c r="Y94">
        <v>0</v>
      </c>
      <c r="Z94" s="29">
        <v>0</v>
      </c>
    </row>
    <row r="95" spans="1:26" x14ac:dyDescent="0.3">
      <c r="A95" t="str">
        <v>Tomlin, Josh</v>
      </c>
      <c r="B95" s="28" cm="1">
        <f t="array" ref="B95:F95">_xlfn.LET(
    _xlpm.p, $A19,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-5.1599927583936847</v>
      </c>
      <c r="C95">
        <v>42.43151195962264</v>
      </c>
      <c r="D95">
        <v>0.11973583059030091</v>
      </c>
      <c r="E95">
        <v>1.7995612025455299E-2</v>
      </c>
      <c r="F95" s="29">
        <v>3.4997175334649994E-2</v>
      </c>
      <c r="G95" s="28" cm="1">
        <f t="array" ref="G95:K95">_xlfn.LET(
    _xlpm.p, $A19,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95">
        <v>0</v>
      </c>
      <c r="I95">
        <v>0</v>
      </c>
      <c r="J95">
        <v>0</v>
      </c>
      <c r="K95" s="29">
        <v>0</v>
      </c>
      <c r="L95" s="28" cm="1">
        <f t="array" ref="L95:P95">_xlfn.LET(
    _xlpm.p, $A19,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-8.222222222222797E-2</v>
      </c>
      <c r="M95">
        <v>221.03968253968242</v>
      </c>
      <c r="N95">
        <v>-0.39352396825396863</v>
      </c>
      <c r="O95">
        <v>0.22930055555555556</v>
      </c>
      <c r="P95" s="29">
        <v>-0.23373079365079363</v>
      </c>
      <c r="Q95" s="28" cm="1">
        <f t="array" ref="Q95:U95">_xlfn.LET(
    _xlpm.p, $A19,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-2.7342619047619081</v>
      </c>
      <c r="R95">
        <v>198.99523809523816</v>
      </c>
      <c r="S95">
        <v>3.6967857142853333E-3</v>
      </c>
      <c r="T95">
        <v>0.24268726190476175</v>
      </c>
      <c r="U95" s="29">
        <v>-0.35222819047619058</v>
      </c>
      <c r="V95" s="28" cm="1">
        <f t="array" ref="V95:Z95">_xlfn.LET(
    _xlpm.p, $A19,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5">
        <v>0</v>
      </c>
      <c r="X95">
        <v>0</v>
      </c>
      <c r="Y95">
        <v>0</v>
      </c>
      <c r="Z95" s="29">
        <v>0</v>
      </c>
    </row>
    <row r="96" spans="1:26" x14ac:dyDescent="0.3">
      <c r="A96" t="str">
        <v>Matzek, Tyler</v>
      </c>
      <c r="B96" s="28" cm="1">
        <f t="array" ref="B96:F96">_xlfn.LET(
    _xlpm.p, $A20,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0.78000724160631307</v>
      </c>
      <c r="C96">
        <v>259.43151195962264</v>
      </c>
      <c r="D96">
        <v>-0.25309083607636573</v>
      </c>
      <c r="E96">
        <v>-0.28928105464121134</v>
      </c>
      <c r="F96" s="29">
        <v>6.4643842001316662E-2</v>
      </c>
      <c r="G96" s="28" cm="1">
        <f t="array" ref="G96:K96">_xlfn.LET(
    _xlpm.p, $A20,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1.5326923076923151</v>
      </c>
      <c r="H96">
        <v>274.44401709401745</v>
      </c>
      <c r="I96">
        <v>0.25529245299145442</v>
      </c>
      <c r="J96">
        <v>0.20274978632478635</v>
      </c>
      <c r="K96" s="29">
        <v>0.35680971367521364</v>
      </c>
      <c r="L96" s="28" cm="1">
        <f t="array" ref="L96:P96">_xlfn.LET(
    _xlpm.p, $A20,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3.917777777777772</v>
      </c>
      <c r="M96">
        <v>457.03968253968242</v>
      </c>
      <c r="N96">
        <v>-0.19011396825396876</v>
      </c>
      <c r="O96">
        <v>-0.11497944444444441</v>
      </c>
      <c r="P96" s="29">
        <v>-2.2550793650793627E-2</v>
      </c>
      <c r="Q96" s="28" cm="1">
        <f t="array" ref="Q96:U96">_xlfn.LET(
    _xlpm.p, $A20,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96">
        <v>0</v>
      </c>
      <c r="S96">
        <v>0</v>
      </c>
      <c r="T96">
        <v>0</v>
      </c>
      <c r="U96" s="29">
        <v>0</v>
      </c>
      <c r="V96" s="28" cm="1">
        <f t="array" ref="V96:Z96">_xlfn.LET(
    _xlpm.p, $A20,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6">
        <v>0</v>
      </c>
      <c r="X96">
        <v>0</v>
      </c>
      <c r="Y96">
        <v>0</v>
      </c>
      <c r="Z96" s="29">
        <v>0</v>
      </c>
    </row>
    <row r="97" spans="1:26" x14ac:dyDescent="0.3">
      <c r="A97" t="str">
        <v>Newcomb, Sean</v>
      </c>
      <c r="B97" s="28" cm="1">
        <f t="array" ref="B97:F97">_xlfn.LET(
    _xlpm.p, $A21,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-0.1233260917270087</v>
      </c>
      <c r="C97">
        <v>198.09817862628915</v>
      </c>
      <c r="D97">
        <v>-7.6840836076365715E-2</v>
      </c>
      <c r="E97">
        <v>-0.19298105464121135</v>
      </c>
      <c r="F97" s="29">
        <v>-0.3319694913320167</v>
      </c>
      <c r="G97" s="28" cm="1">
        <f t="array" ref="G97:K97">_xlfn.LET(
    _xlpm.p, $A21,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0.3076923076923066</v>
      </c>
      <c r="H97">
        <v>204.94401709401745</v>
      </c>
      <c r="I97">
        <v>0.23246245299145452</v>
      </c>
      <c r="J97">
        <v>-4.5775213675213644E-2</v>
      </c>
      <c r="K97" s="29">
        <v>-9.1225286324786298E-2</v>
      </c>
      <c r="L97" s="28" cm="1">
        <f t="array" ref="L97:P97">_xlfn.LET(
    _xlpm.p, $A21,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1.4577777777777641</v>
      </c>
      <c r="M97">
        <v>354.03968253968242</v>
      </c>
      <c r="N97">
        <v>0.3538660317460316</v>
      </c>
      <c r="O97">
        <v>-0.10277944444444442</v>
      </c>
      <c r="P97" s="29">
        <v>0.10874920634920635</v>
      </c>
      <c r="Q97" s="28" cm="1">
        <f t="array" ref="Q97:U97">_xlfn.LET(
    _xlpm.p, $A21,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0.61573809523810041</v>
      </c>
      <c r="R97">
        <v>78.995238095238165</v>
      </c>
      <c r="S97">
        <v>-0.3507832142857148</v>
      </c>
      <c r="T97">
        <v>-6.4392738095238156E-2</v>
      </c>
      <c r="U97" s="29">
        <v>-0.20835819047619053</v>
      </c>
      <c r="V97" s="28" cm="1">
        <f t="array" ref="V97:Z97">_xlfn.LET(
    _xlpm.p, $A21,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7">
        <v>0</v>
      </c>
      <c r="X97">
        <v>0</v>
      </c>
      <c r="Y97">
        <v>0</v>
      </c>
      <c r="Z97" s="29">
        <v>0</v>
      </c>
    </row>
    <row r="98" spans="1:26" x14ac:dyDescent="0.3">
      <c r="A98" t="str">
        <v>Johnson, Pierce</v>
      </c>
      <c r="B98" s="28" cm="1">
        <f t="array" ref="B98:F98">_xlfn.LET(
    _xlpm.p, $A22,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1.1983405749396496</v>
      </c>
      <c r="C98">
        <v>181.09817862628915</v>
      </c>
      <c r="D98">
        <v>-0.23487416940969896</v>
      </c>
      <c r="E98">
        <v>-4.7939387974544723E-2</v>
      </c>
      <c r="F98" s="29">
        <v>-3.8511579986833314E-3</v>
      </c>
      <c r="G98" s="28" cm="1">
        <f t="array" ref="G98:K98">_xlfn.LET(
    _xlpm.p, $A22,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5.8026923076923111</v>
      </c>
      <c r="H98">
        <v>77.444017094017454</v>
      </c>
      <c r="I98">
        <v>-0.72589754700854581</v>
      </c>
      <c r="J98">
        <v>0.32138978632478638</v>
      </c>
      <c r="K98" s="29">
        <v>-0.12650028632478635</v>
      </c>
      <c r="L98" s="28" cm="1">
        <f t="array" ref="L98:P98">_xlfn.LET(
    _xlpm.p, $A22,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9.4477777777777732</v>
      </c>
      <c r="M98">
        <v>435.03968253968242</v>
      </c>
      <c r="N98">
        <v>-1.4594839682539686</v>
      </c>
      <c r="O98">
        <v>-4.3969444444444394E-2</v>
      </c>
      <c r="P98" s="29">
        <v>-0.31389079365079364</v>
      </c>
      <c r="Q98" s="28" cm="1">
        <f t="array" ref="Q98:U98">_xlfn.LET(
    _xlpm.p, $A22,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98">
        <v>0</v>
      </c>
      <c r="S98">
        <v>0</v>
      </c>
      <c r="T98">
        <v>0</v>
      </c>
      <c r="U98" s="29">
        <v>0</v>
      </c>
      <c r="V98" s="28" cm="1">
        <f t="array" ref="V98:Z98">_xlfn.LET(
    _xlpm.p, $A22,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8">
        <v>0</v>
      </c>
      <c r="X98">
        <v>0</v>
      </c>
      <c r="Y98">
        <v>0</v>
      </c>
      <c r="Z98" s="29">
        <v>0</v>
      </c>
    </row>
    <row r="99" spans="1:26" x14ac:dyDescent="0.3">
      <c r="A99" t="str">
        <v>López, Reynaldo</v>
      </c>
      <c r="B99" s="28" cm="1">
        <f t="array" ref="B99:F99">_xlfn.LET(
    _xlpm.p, $A23,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3.9433405749396542</v>
      </c>
      <c r="C99">
        <v>-207.90182137371085</v>
      </c>
      <c r="D99">
        <v>-0.62615416940969904</v>
      </c>
      <c r="E99">
        <v>8.9735612025455325E-2</v>
      </c>
      <c r="F99" s="29">
        <v>-5.4876157998683325E-2</v>
      </c>
      <c r="G99" s="28" cm="1">
        <f t="array" ref="G99:K99">_xlfn.LET(
    _xlpm.p, $A23,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3.0926923076923032</v>
      </c>
      <c r="H99">
        <v>-224.55598290598255</v>
      </c>
      <c r="I99">
        <v>-0.23966754700854587</v>
      </c>
      <c r="J99">
        <v>0.28423978632478636</v>
      </c>
      <c r="K99" s="29">
        <v>7.8099713675213664E-2</v>
      </c>
      <c r="L99" s="28" cm="1">
        <f t="array" ref="L99:P99">_xlfn.LET(
    _xlpm.p, $A23,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1.4377777777777681</v>
      </c>
      <c r="M99">
        <v>-87.960317460317583</v>
      </c>
      <c r="N99">
        <v>-0.39194396825396893</v>
      </c>
      <c r="O99">
        <v>7.444055555555551E-2</v>
      </c>
      <c r="P99" s="29">
        <v>0.27285920634920635</v>
      </c>
      <c r="Q99" s="28" cm="1">
        <f t="array" ref="Q99:U99">_xlfn.LET(
    _xlpm.p, $A23,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0.41573809523809757</v>
      </c>
      <c r="R99">
        <v>20.995238095238165</v>
      </c>
      <c r="S99">
        <v>-0.48049321428571456</v>
      </c>
      <c r="T99">
        <v>-0.10672273809523825</v>
      </c>
      <c r="U99" s="29">
        <v>-0.29487819047619057</v>
      </c>
      <c r="V99" s="28" cm="1">
        <f t="array" ref="V99:Z99">_xlfn.LET(
    _xlpm.p, $A23,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99">
        <v>0</v>
      </c>
      <c r="X99">
        <v>0</v>
      </c>
      <c r="Y99">
        <v>0</v>
      </c>
      <c r="Z99" s="29">
        <v>0</v>
      </c>
    </row>
    <row r="100" spans="1:26" x14ac:dyDescent="0.3">
      <c r="A100" t="str">
        <v>Smyly, Drew</v>
      </c>
      <c r="B100" s="28" cm="1">
        <f t="array" ref="B100:F100">_xlfn.LET(
    _xlpm.p, $A24,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-2.7366594250603384</v>
      </c>
      <c r="C100">
        <v>-260.90182137371085</v>
      </c>
      <c r="D100">
        <v>-0.15415416940969906</v>
      </c>
      <c r="E100">
        <v>-9.296438797454476E-2</v>
      </c>
      <c r="F100" s="29">
        <v>-0.15228615799868331</v>
      </c>
      <c r="G100" s="28" cm="1">
        <f t="array" ref="G100:K100">_xlfn.LET(
    _xlpm.p, $A24,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100">
        <v>0</v>
      </c>
      <c r="I100">
        <v>0</v>
      </c>
      <c r="J100">
        <v>0</v>
      </c>
      <c r="K100" s="29">
        <v>0</v>
      </c>
      <c r="L100" s="28" cm="1">
        <f t="array" ref="L100:P100">_xlfn.LET(
    _xlpm.p, $A24,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2.3777777777777658</v>
      </c>
      <c r="M100">
        <v>-416.96031746031758</v>
      </c>
      <c r="N100">
        <v>-1.2411839682539685</v>
      </c>
      <c r="O100">
        <v>0.91221055555555552</v>
      </c>
      <c r="P100" s="29">
        <v>-0.34984079365079362</v>
      </c>
      <c r="Q100" s="28" cm="1">
        <f t="array" ref="Q100:U100">_xlfn.LET(
    _xlpm.p, $A24,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00">
        <v>0</v>
      </c>
      <c r="S100">
        <v>0</v>
      </c>
      <c r="T100">
        <v>0</v>
      </c>
      <c r="U100" s="29">
        <v>0</v>
      </c>
      <c r="V100" s="28" cm="1">
        <f t="array" ref="V100:Z100">_xlfn.LET(
    _xlpm.p, $A24,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0">
        <v>0</v>
      </c>
      <c r="X100">
        <v>0</v>
      </c>
      <c r="Y100">
        <v>0</v>
      </c>
      <c r="Z100" s="29">
        <v>0</v>
      </c>
    </row>
    <row r="101" spans="1:26" x14ac:dyDescent="0.3">
      <c r="A101" t="str">
        <v>McHugh, Collin</v>
      </c>
      <c r="B101" s="28" cm="1">
        <f t="array" ref="B101:F101">_xlfn.LET(
    _xlpm.p, $A25,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-1.1116594250603526</v>
      </c>
      <c r="C101">
        <v>122.09817862628915</v>
      </c>
      <c r="D101">
        <v>1.6615830590301028E-2</v>
      </c>
      <c r="E101">
        <v>-0.15328938797454472</v>
      </c>
      <c r="F101" s="29">
        <v>-5.5411579986833302E-3</v>
      </c>
      <c r="G101" s="28" cm="1">
        <f t="array" ref="G101:K101">_xlfn.LET(
    _xlpm.p, $A25,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-1.9673076923076849</v>
      </c>
      <c r="H101">
        <v>189.44401709401745</v>
      </c>
      <c r="I101">
        <v>4.1762452991454424E-2</v>
      </c>
      <c r="J101">
        <v>-0.60335021367521358</v>
      </c>
      <c r="K101" s="29">
        <v>5.8419713675213675E-2</v>
      </c>
      <c r="L101" s="28" cm="1">
        <f t="array" ref="L101:P101">_xlfn.LET(
    _xlpm.p, $A25,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-4.9372222222222319</v>
      </c>
      <c r="M101">
        <v>135.53968253968242</v>
      </c>
      <c r="N101">
        <v>0.74690103174603184</v>
      </c>
      <c r="O101">
        <v>-0.39687444444444442</v>
      </c>
      <c r="P101" s="29">
        <v>0.28312920634920635</v>
      </c>
      <c r="Q101" s="28" cm="1">
        <f t="array" ref="Q101:U101">_xlfn.LET(
    _xlpm.p, $A25,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-0.75426190476190413</v>
      </c>
      <c r="R101">
        <v>97.995238095238165</v>
      </c>
      <c r="S101">
        <v>0.10664678571428521</v>
      </c>
      <c r="T101">
        <v>0.18351726190476181</v>
      </c>
      <c r="U101" s="29">
        <v>-0.64487819047619055</v>
      </c>
      <c r="V101" s="28" cm="1">
        <f t="array" ref="V101:Z101">_xlfn.LET(
    _xlpm.p, $A25,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1">
        <v>0</v>
      </c>
      <c r="X101">
        <v>0</v>
      </c>
      <c r="Y101">
        <v>0</v>
      </c>
      <c r="Z101" s="29">
        <v>0</v>
      </c>
    </row>
    <row r="102" spans="1:26" x14ac:dyDescent="0.3">
      <c r="A102" t="str">
        <v>Ynoa, Huascar</v>
      </c>
      <c r="B102" s="28" cm="1">
        <f t="array" ref="B102:F102">_xlfn.LET(
    _xlpm.p, $A26,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3.3883405749396616</v>
      </c>
      <c r="C102">
        <v>-206.40182137371085</v>
      </c>
      <c r="D102">
        <v>-0.61349416940969914</v>
      </c>
      <c r="E102">
        <v>0.37998561202545533</v>
      </c>
      <c r="F102" s="29">
        <v>-0.31569115799868336</v>
      </c>
      <c r="G102" s="28" cm="1">
        <f t="array" ref="G102:K102">_xlfn.LET(
    _xlpm.p, $A26,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2.6126923076923134</v>
      </c>
      <c r="H102">
        <v>-176.55598290598255</v>
      </c>
      <c r="I102">
        <v>-0.11873754700854589</v>
      </c>
      <c r="J102">
        <v>0.56167978632478632</v>
      </c>
      <c r="K102" s="29">
        <v>0.13608971367521366</v>
      </c>
      <c r="L102" s="28" cm="1">
        <f t="array" ref="L102:P102">_xlfn.LET(
    _xlpm.p, $A26,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02">
        <v>0</v>
      </c>
      <c r="N102">
        <v>0</v>
      </c>
      <c r="O102">
        <v>0</v>
      </c>
      <c r="P102" s="29">
        <v>0</v>
      </c>
      <c r="Q102" s="28" cm="1">
        <f t="array" ref="Q102:U102">_xlfn.LET(
    _xlpm.p, $A26,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1.6257380952380913</v>
      </c>
      <c r="R102">
        <v>295.99523809523816</v>
      </c>
      <c r="S102">
        <v>-0.50229321428571483</v>
      </c>
      <c r="T102">
        <v>0.24923726190476181</v>
      </c>
      <c r="U102" s="29">
        <v>-0.19399819047619049</v>
      </c>
      <c r="V102" s="28" cm="1">
        <f t="array" ref="V102:Z102">_xlfn.LET(
    _xlpm.p, $A26,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2">
        <v>0</v>
      </c>
      <c r="X102">
        <v>0</v>
      </c>
      <c r="Y102">
        <v>0</v>
      </c>
      <c r="Z102" s="29">
        <v>0</v>
      </c>
    </row>
    <row r="103" spans="1:26" x14ac:dyDescent="0.3">
      <c r="A103" t="str">
        <v>Toussaint, Touki</v>
      </c>
      <c r="B103" s="28" cm="1">
        <f t="array" ref="B103:F103">_xlfn.LET(
    _xlpm.p, $A27,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2.538340574939653</v>
      </c>
      <c r="C103">
        <v>-62.901821373710845</v>
      </c>
      <c r="D103">
        <v>1.5860830590300967E-2</v>
      </c>
      <c r="E103">
        <v>0.4089956120254552</v>
      </c>
      <c r="F103" s="29">
        <v>0.22732884200131667</v>
      </c>
      <c r="G103" s="28" cm="1">
        <f t="array" ref="G103:K103">_xlfn.LET(
    _xlpm.p, $A27,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4.542692307692306</v>
      </c>
      <c r="H103">
        <v>-288.55598290598255</v>
      </c>
      <c r="I103">
        <v>-0.43487754700854575</v>
      </c>
      <c r="J103">
        <v>0.34255978632478634</v>
      </c>
      <c r="K103" s="29">
        <v>4.5619713675213669E-2</v>
      </c>
      <c r="L103" s="28" cm="1">
        <f t="array" ref="L103:P103">_xlfn.LET(
    _xlpm.p, $A27,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1.3677777777777749</v>
      </c>
      <c r="M103">
        <v>-75.960317460317583</v>
      </c>
      <c r="N103">
        <v>4.0926031746031377E-2</v>
      </c>
      <c r="O103">
        <v>-0.32557944444444442</v>
      </c>
      <c r="P103" s="29">
        <v>-0.42276079365079366</v>
      </c>
      <c r="Q103" s="28" cm="1">
        <f t="array" ref="Q103:U103">_xlfn.LET(
    _xlpm.p, $A27,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1.5557380952380981</v>
      </c>
      <c r="R103">
        <v>-119.00476190476184</v>
      </c>
      <c r="S103">
        <v>0.25719678571428517</v>
      </c>
      <c r="T103">
        <v>-0.27690273809523824</v>
      </c>
      <c r="U103" s="29">
        <v>0.47172180952380949</v>
      </c>
      <c r="V103" s="28" cm="1">
        <f t="array" ref="V103:Z103">_xlfn.LET(
    _xlpm.p, $A27,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3">
        <v>0</v>
      </c>
      <c r="X103">
        <v>0</v>
      </c>
      <c r="Y103">
        <v>0</v>
      </c>
      <c r="Z103" s="29">
        <v>0</v>
      </c>
    </row>
    <row r="104" spans="1:26" x14ac:dyDescent="0.3">
      <c r="A104" t="str">
        <v>Jiménez, Joe</v>
      </c>
      <c r="B104" s="28" cm="1">
        <f t="array" ref="B104:F104">_xlfn.LET(
    _xlpm.p, $A28,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4.3733405749396468</v>
      </c>
      <c r="C104">
        <v>133.09817862628915</v>
      </c>
      <c r="D104">
        <v>-0.68646416940969912</v>
      </c>
      <c r="E104">
        <v>0.2270856120254553</v>
      </c>
      <c r="F104" s="29">
        <v>4.0773842001316667E-2</v>
      </c>
      <c r="G104" s="28" cm="1">
        <f t="array" ref="G104:K104">_xlfn.LET(
    _xlpm.p, $A28,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3.4926923076923089</v>
      </c>
      <c r="H104">
        <v>-399.55598290598255</v>
      </c>
      <c r="I104">
        <v>-0.50722754700854589</v>
      </c>
      <c r="J104">
        <v>0.27801978632478636</v>
      </c>
      <c r="K104" s="29">
        <v>5.0989713675213655E-2</v>
      </c>
      <c r="L104" s="28" cm="1">
        <f t="array" ref="L104:P104">_xlfn.LET(
    _xlpm.p, $A28,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04">
        <v>0</v>
      </c>
      <c r="N104">
        <v>0</v>
      </c>
      <c r="O104">
        <v>0</v>
      </c>
      <c r="P104" s="29">
        <v>0</v>
      </c>
      <c r="Q104" s="28" cm="1">
        <f t="array" ref="Q104:U104">_xlfn.LET(
    _xlpm.p, $A28,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4.8957380952381016</v>
      </c>
      <c r="R104">
        <v>641.99523809523816</v>
      </c>
      <c r="S104">
        <v>-0.44192321428571457</v>
      </c>
      <c r="T104">
        <v>0.37780726190476188</v>
      </c>
      <c r="U104" s="29">
        <v>-0.64148819047619055</v>
      </c>
      <c r="V104" s="28" cm="1">
        <f t="array" ref="V104:Z104">_xlfn.LET(
    _xlpm.p, $A28,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4">
        <v>0</v>
      </c>
      <c r="X104">
        <v>0</v>
      </c>
      <c r="Y104">
        <v>0</v>
      </c>
      <c r="Z104" s="29">
        <v>0</v>
      </c>
    </row>
    <row r="105" spans="1:26" x14ac:dyDescent="0.3">
      <c r="A105" t="str">
        <v>Smith, Will</v>
      </c>
      <c r="B105" s="28" cm="1">
        <f t="array" ref="B105:F105">_xlfn.LET(
    _xlpm.p, $A29,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0.62334057493964679</v>
      </c>
      <c r="C105">
        <v>-61.901821373710845</v>
      </c>
      <c r="D105">
        <v>-0.514164169409699</v>
      </c>
      <c r="E105">
        <v>8.4105612025455301E-2</v>
      </c>
      <c r="F105" s="29">
        <v>-0.27776615799868337</v>
      </c>
      <c r="G105" s="28" cm="1">
        <f t="array" ref="G105:K105">_xlfn.LET(
    _xlpm.p, $A29,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-0.6473076923076917</v>
      </c>
      <c r="H105">
        <v>-279.55598290598255</v>
      </c>
      <c r="I105">
        <v>-0.36977754700854559</v>
      </c>
      <c r="J105">
        <v>0.23216978632478635</v>
      </c>
      <c r="K105" s="29">
        <v>0.35277971367521366</v>
      </c>
      <c r="L105" s="28" cm="1">
        <f t="array" ref="L105:P105">_xlfn.LET(
    _xlpm.p, $A29,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1.3177777777777635</v>
      </c>
      <c r="M105">
        <v>-509.96031746031758</v>
      </c>
      <c r="N105">
        <v>-0.45389396825396844</v>
      </c>
      <c r="O105">
        <v>-7.3019444444444415E-2</v>
      </c>
      <c r="P105" s="29">
        <v>0.37561920634920631</v>
      </c>
      <c r="Q105" s="28" cm="1">
        <f t="array" ref="Q105:U105">_xlfn.LET(
    _xlpm.p, $A29,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05">
        <v>0</v>
      </c>
      <c r="S105">
        <v>0</v>
      </c>
      <c r="T105">
        <v>0</v>
      </c>
      <c r="U105" s="29">
        <v>0</v>
      </c>
      <c r="V105" s="28" cm="1">
        <f t="array" ref="V105:Z105">_xlfn.LET(
    _xlpm.p, $A29,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5">
        <v>0</v>
      </c>
      <c r="X105">
        <v>0</v>
      </c>
      <c r="Y105">
        <v>0</v>
      </c>
      <c r="Z105" s="29">
        <v>0</v>
      </c>
    </row>
    <row r="106" spans="1:26" x14ac:dyDescent="0.3">
      <c r="A106" t="str">
        <v>Foltynewicz, Mike</v>
      </c>
      <c r="B106" s="28" cm="1">
        <f t="array" ref="B106:F106">_xlfn.LET(
    _xlpm.p, $A30,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2.643340574939657</v>
      </c>
      <c r="C106">
        <v>-75.401821373710845</v>
      </c>
      <c r="D106">
        <v>-0.25503416940969914</v>
      </c>
      <c r="E106">
        <v>0.50415061202545519</v>
      </c>
      <c r="F106" s="29">
        <v>0.15016384200131669</v>
      </c>
      <c r="G106" s="28" cm="1">
        <f t="array" ref="G106:K106">_xlfn.LET(
    _xlpm.p, $A30,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2.4526923076923026</v>
      </c>
      <c r="H106">
        <v>-141.55598290598255</v>
      </c>
      <c r="I106">
        <v>-0.68541754700854574</v>
      </c>
      <c r="J106">
        <v>0.44557978632478634</v>
      </c>
      <c r="K106" s="29">
        <v>9.3789713675213673E-2</v>
      </c>
      <c r="L106" s="28" cm="1">
        <f t="array" ref="L106:P106">_xlfn.LET(
    _xlpm.p, $A30,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3.1177777777777749</v>
      </c>
      <c r="M106">
        <v>-79.960317460317583</v>
      </c>
      <c r="N106">
        <v>-0.91204396825396827</v>
      </c>
      <c r="O106">
        <v>0.26796055555555554</v>
      </c>
      <c r="P106" s="29">
        <v>-0.31430079365079361</v>
      </c>
      <c r="Q106" s="28" cm="1">
        <f t="array" ref="Q106:U106">_xlfn.LET(
    _xlpm.p, $A30,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0.58573809523809928</v>
      </c>
      <c r="R106">
        <v>339.99523809523816</v>
      </c>
      <c r="S106">
        <v>-0.50750321428571477</v>
      </c>
      <c r="T106">
        <v>0.18245726190476175</v>
      </c>
      <c r="U106" s="29">
        <v>8.597180952380945E-2</v>
      </c>
      <c r="V106" s="28" cm="1">
        <f t="array" ref="V106:Z106">_xlfn.LET(
    _xlpm.p, $A30,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6">
        <v>0</v>
      </c>
      <c r="X106">
        <v>0</v>
      </c>
      <c r="Y106">
        <v>0</v>
      </c>
      <c r="Z106" s="29">
        <v>0</v>
      </c>
    </row>
    <row r="107" spans="1:26" x14ac:dyDescent="0.3">
      <c r="A107" t="str">
        <v>Bummer, Aaron</v>
      </c>
      <c r="B107" s="28" cm="1">
        <f t="array" ref="B107:F107">_xlfn.LET(
    _xlpm.p, $A31,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-1.2133260917270121</v>
      </c>
      <c r="C107">
        <v>-8.2351547070443303</v>
      </c>
      <c r="D107">
        <v>0.61374249725696761</v>
      </c>
      <c r="E107">
        <v>9.0408945358788628E-2</v>
      </c>
      <c r="F107" s="29">
        <v>-0.18132615799868335</v>
      </c>
      <c r="G107" s="28" cm="1">
        <f t="array" ref="G107:K107">_xlfn.LET(
    _xlpm.p, $A31,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-0.48730769230769511</v>
      </c>
      <c r="H107">
        <v>-98.555982905982546</v>
      </c>
      <c r="I107">
        <v>-8.8347547008545746E-2</v>
      </c>
      <c r="J107">
        <v>-0.50498021367521373</v>
      </c>
      <c r="K107" s="29">
        <v>0.27678971367521366</v>
      </c>
      <c r="L107" s="28" cm="1">
        <f t="array" ref="L107:P107">_xlfn.LET(
    _xlpm.p, $A31,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5.6377777777777709</v>
      </c>
      <c r="M107">
        <v>-138.96031746031758</v>
      </c>
      <c r="N107">
        <v>-0.75094396825396892</v>
      </c>
      <c r="O107">
        <v>-0.38389944444444446</v>
      </c>
      <c r="P107" s="29">
        <v>0.22643920634920636</v>
      </c>
      <c r="Q107" s="28" cm="1">
        <f t="array" ref="Q107:U107">_xlfn.LET(
    _xlpm.p, $A31,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-1.5142619047619092</v>
      </c>
      <c r="R107">
        <v>221.99523809523816</v>
      </c>
      <c r="S107">
        <v>0.34005678571428533</v>
      </c>
      <c r="T107">
        <v>0.2848772619047617</v>
      </c>
      <c r="U107" s="29">
        <v>-0.74623819047619044</v>
      </c>
      <c r="V107" s="28" cm="1">
        <f t="array" ref="V107:Z107">_xlfn.LET(
    _xlpm.p, $A31,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7">
        <v>0</v>
      </c>
      <c r="X107">
        <v>0</v>
      </c>
      <c r="Y107">
        <v>0</v>
      </c>
      <c r="Z107" s="29">
        <v>0</v>
      </c>
    </row>
    <row r="108" spans="1:26" x14ac:dyDescent="0.3">
      <c r="A108" t="str">
        <v>Tonkin, Michael</v>
      </c>
      <c r="B108" s="28" cm="1">
        <f t="array" ref="B108:F108">_xlfn.LET(
    _xlpm.p, $A32,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1.4033405749396479</v>
      </c>
      <c r="C108">
        <v>21.098178626289155</v>
      </c>
      <c r="D108">
        <v>-5.2074169409699111E-2</v>
      </c>
      <c r="E108">
        <v>0.50331561202545527</v>
      </c>
      <c r="F108" s="29">
        <v>-7.2615799868333206E-4</v>
      </c>
      <c r="G108" s="28" cm="1">
        <f t="array" ref="G108:K108">_xlfn.LET(
    _xlpm.p, $A32,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-1.0273076923076871</v>
      </c>
      <c r="H108">
        <v>-275.55598290598255</v>
      </c>
      <c r="I108">
        <v>0.1034824529914542</v>
      </c>
      <c r="J108">
        <v>-0.13523521367521374</v>
      </c>
      <c r="K108" s="29">
        <v>-6.5385286324786324E-2</v>
      </c>
      <c r="L108" s="28" cm="1">
        <f t="array" ref="L108:P108">_xlfn.LET(
    _xlpm.p, $A32,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08">
        <v>0</v>
      </c>
      <c r="N108">
        <v>0</v>
      </c>
      <c r="O108">
        <v>0</v>
      </c>
      <c r="P108" s="29">
        <v>0</v>
      </c>
      <c r="Q108" s="28" cm="1">
        <f t="array" ref="Q108:U108">_xlfn.LET(
    _xlpm.p, $A32,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08">
        <v>0</v>
      </c>
      <c r="S108">
        <v>0</v>
      </c>
      <c r="T108">
        <v>0</v>
      </c>
      <c r="U108" s="29">
        <v>0</v>
      </c>
      <c r="V108" s="28" cm="1">
        <f t="array" ref="V108:Z108">_xlfn.LET(
    _xlpm.p, $A32,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8">
        <v>0</v>
      </c>
      <c r="X108">
        <v>0</v>
      </c>
      <c r="Y108">
        <v>0</v>
      </c>
      <c r="Z108" s="29">
        <v>0</v>
      </c>
    </row>
    <row r="109" spans="1:26" x14ac:dyDescent="0.3">
      <c r="A109" t="str">
        <v>Smith-Shawver, AJ</v>
      </c>
      <c r="B109" s="28" cm="1">
        <f t="array" ref="B109:F109">_xlfn.LET(
    _xlpm.p, $A33,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3.9533405749396593</v>
      </c>
      <c r="C109">
        <v>-138.90182137371085</v>
      </c>
      <c r="D109">
        <v>-0.63294416940969911</v>
      </c>
      <c r="E109">
        <v>0.14298561202545523</v>
      </c>
      <c r="F109" s="29">
        <v>-6.7606157998683331E-2</v>
      </c>
      <c r="G109" s="28" cm="1">
        <f t="array" ref="G109:K109">_xlfn.LET(
    _xlpm.p, $A33,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3.792692307692306</v>
      </c>
      <c r="H109">
        <v>-600.55598290598255</v>
      </c>
      <c r="I109">
        <v>-0.94431754700854587</v>
      </c>
      <c r="J109">
        <v>0.52357978632478641</v>
      </c>
      <c r="K109" s="29">
        <v>0.13631971367521367</v>
      </c>
      <c r="L109" s="28" cm="1">
        <f t="array" ref="L109:P109">_xlfn.LET(
    _xlpm.p, $A33,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1.9277777777777629</v>
      </c>
      <c r="M109">
        <v>-224.96031746031758</v>
      </c>
      <c r="N109">
        <v>-7.1783968253968489E-2</v>
      </c>
      <c r="O109">
        <v>-6.6259444444444426E-2</v>
      </c>
      <c r="P109" s="29">
        <v>-7.9120793650793636E-2</v>
      </c>
      <c r="Q109" s="28" cm="1">
        <f t="array" ref="Q109:U109">_xlfn.LET(
    _xlpm.p, $A33,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-0.57426190476189731</v>
      </c>
      <c r="R109">
        <v>-313.50476190476184</v>
      </c>
      <c r="S109">
        <v>-0.22524821428571462</v>
      </c>
      <c r="T109">
        <v>-0.17853773809523821</v>
      </c>
      <c r="U109" s="29">
        <v>0.12214680952380946</v>
      </c>
      <c r="V109" s="28" cm="1">
        <f t="array" ref="V109:Z109">_xlfn.LET(
    _xlpm.p, $A33,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09">
        <v>0</v>
      </c>
      <c r="X109">
        <v>0</v>
      </c>
      <c r="Y109">
        <v>0</v>
      </c>
      <c r="Z109" s="29">
        <v>0</v>
      </c>
    </row>
    <row r="110" spans="1:26" x14ac:dyDescent="0.3">
      <c r="A110" t="str">
        <v>Stephens, Jackson</v>
      </c>
      <c r="B110" s="28" cm="1">
        <f t="array" ref="B110:F110">_xlfn.LET(
    _xlpm.p, $A34,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-6.6594250603344562E-3</v>
      </c>
      <c r="C110">
        <v>-179.56848804037736</v>
      </c>
      <c r="D110">
        <v>-5.3977502743032479E-2</v>
      </c>
      <c r="E110">
        <v>1.1818945358788691E-2</v>
      </c>
      <c r="F110" s="29">
        <v>0.31934050866798336</v>
      </c>
      <c r="G110" s="28" cm="1">
        <f t="array" ref="G110:K110">_xlfn.LET(
    _xlpm.p, $A34,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4.752692307692314</v>
      </c>
      <c r="H110">
        <v>-138.55598290598255</v>
      </c>
      <c r="I110">
        <v>-0.83119754700854598</v>
      </c>
      <c r="J110">
        <v>0.39511978632478634</v>
      </c>
      <c r="K110" s="29">
        <v>-6.1180286324786337E-2</v>
      </c>
      <c r="L110" s="28" cm="1">
        <f t="array" ref="L110:P110">_xlfn.LET(
    _xlpm.p, $A34,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-0.33222222222222797</v>
      </c>
      <c r="M110">
        <v>454.03968253968242</v>
      </c>
      <c r="N110">
        <v>-8.2753968253968857E-2</v>
      </c>
      <c r="O110">
        <v>-0.65432944444444441</v>
      </c>
      <c r="P110" s="29">
        <v>-0.2713307936507936</v>
      </c>
      <c r="Q110" s="28" cm="1">
        <f t="array" ref="Q110:U110">_xlfn.LET(
    _xlpm.p, $A34,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-1.2642619047619092</v>
      </c>
      <c r="R110">
        <v>-7.0047619047618355</v>
      </c>
      <c r="S110">
        <v>0.30604678571428545</v>
      </c>
      <c r="T110">
        <v>-0.20750273809523823</v>
      </c>
      <c r="U110" s="29">
        <v>-3.2798190476190481E-2</v>
      </c>
      <c r="V110" s="28" cm="1">
        <f t="array" ref="V110:Z110">_xlfn.LET(
    _xlpm.p, $A34,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0">
        <v>0</v>
      </c>
      <c r="X110">
        <v>0</v>
      </c>
      <c r="Y110">
        <v>0</v>
      </c>
      <c r="Z110" s="29">
        <v>0</v>
      </c>
    </row>
    <row r="111" spans="1:26" x14ac:dyDescent="0.3">
      <c r="A111" t="str">
        <v>Martin, Chris</v>
      </c>
      <c r="B111" s="28" cm="1">
        <f t="array" ref="B111:F111">_xlfn.LET(
    _xlpm.p, $A35,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1.6700072416063136</v>
      </c>
      <c r="C111">
        <v>-172.23515470704433</v>
      </c>
      <c r="D111">
        <v>1.6624972569676544E-3</v>
      </c>
      <c r="E111">
        <v>-1.3137721307878047E-2</v>
      </c>
      <c r="F111" s="29">
        <v>0.28940050866798328</v>
      </c>
      <c r="G111" s="28" cm="1">
        <f t="array" ref="G111:K111">_xlfn.LET(
    _xlpm.p, $A35,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7.2692307692307168E-2</v>
      </c>
      <c r="H111">
        <v>-54.555982905982546</v>
      </c>
      <c r="I111">
        <v>0.14869245299145417</v>
      </c>
      <c r="J111">
        <v>-0.43127021367521357</v>
      </c>
      <c r="K111" s="29">
        <v>-0.4269202863247864</v>
      </c>
      <c r="L111" s="28" cm="1">
        <f t="array" ref="L111:P111">_xlfn.LET(
    _xlpm.p, $A35,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8.3677777777777749</v>
      </c>
      <c r="M111">
        <v>-51.960317460317583</v>
      </c>
      <c r="N111">
        <v>-0.99767396825396837</v>
      </c>
      <c r="O111">
        <v>9.4030555555555506E-2</v>
      </c>
      <c r="P111" s="29">
        <v>-0.40766079365079366</v>
      </c>
      <c r="Q111" s="28" cm="1">
        <f t="array" ref="Q111:U111">_xlfn.LET(
    _xlpm.p, $A35,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1.6657380952380976</v>
      </c>
      <c r="R111">
        <v>-103.00476190476184</v>
      </c>
      <c r="S111">
        <v>7.380678571428545E-2</v>
      </c>
      <c r="T111">
        <v>-0.10943273809523824</v>
      </c>
      <c r="U111" s="29">
        <v>2.3351809523809441E-2</v>
      </c>
      <c r="V111" s="28" cm="1">
        <f t="array" ref="V111:Z111">_xlfn.LET(
    _xlpm.p, $A35,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1">
        <v>0</v>
      </c>
      <c r="X111">
        <v>0</v>
      </c>
      <c r="Y111">
        <v>0</v>
      </c>
      <c r="Z111" s="29">
        <v>0</v>
      </c>
    </row>
    <row r="112" spans="1:26" x14ac:dyDescent="0.3">
      <c r="A112" t="str">
        <v>Yates, Kirby</v>
      </c>
      <c r="B112" s="28" cm="1">
        <f t="array" ref="B112:F112">_xlfn.LET(
    _xlpm.p, $A36,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1.2233405749396553</v>
      </c>
      <c r="C112">
        <v>33.098178626289155</v>
      </c>
      <c r="D112">
        <v>-0.30111416940969904</v>
      </c>
      <c r="E112">
        <v>0.60732561202545521</v>
      </c>
      <c r="F112" s="29">
        <v>7.6393842001316672E-2</v>
      </c>
      <c r="G112" s="28" cm="1">
        <f t="array" ref="G112:K112">_xlfn.LET(
    _xlpm.p, $A36,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-2.85230769230769</v>
      </c>
      <c r="H112">
        <v>-164.55598290598255</v>
      </c>
      <c r="I112">
        <v>-8.0777547008545891E-2</v>
      </c>
      <c r="J112">
        <v>-4.0990213675213605E-2</v>
      </c>
      <c r="K112" s="29">
        <v>-0.20959028632478635</v>
      </c>
      <c r="L112" s="28" cm="1">
        <f t="array" ref="L112:P112">_xlfn.LET(
    _xlpm.p, $A36,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12">
        <v>0</v>
      </c>
      <c r="N112">
        <v>0</v>
      </c>
      <c r="O112">
        <v>0</v>
      </c>
      <c r="P112" s="29">
        <v>0</v>
      </c>
      <c r="Q112" s="28" cm="1">
        <f t="array" ref="Q112:U112">_xlfn.LET(
    _xlpm.p, $A36,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-7.4261904761897313E-2</v>
      </c>
      <c r="R112">
        <v>-205.00476190476184</v>
      </c>
      <c r="S112">
        <v>0.47395678571428546</v>
      </c>
      <c r="T112">
        <v>8.7457261904761774E-2</v>
      </c>
      <c r="U112" s="29">
        <v>0.57624180952380943</v>
      </c>
      <c r="V112" s="28" cm="1">
        <f t="array" ref="V112:Z112">_xlfn.LET(
    _xlpm.p, $A36,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2">
        <v>0</v>
      </c>
      <c r="X112">
        <v>0</v>
      </c>
      <c r="Y112">
        <v>0</v>
      </c>
      <c r="Z112" s="29">
        <v>0</v>
      </c>
    </row>
    <row r="113" spans="1:26" x14ac:dyDescent="0.3">
      <c r="A113" t="str">
        <v>Wilson, Bryse</v>
      </c>
      <c r="B113" s="28" cm="1">
        <f t="array" ref="B113:F113">_xlfn.LET(
    _xlpm.p, $A37,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1.9333405749396491</v>
      </c>
      <c r="C113">
        <v>-194.40182137371085</v>
      </c>
      <c r="D113">
        <v>-0.13056916940969887</v>
      </c>
      <c r="E113">
        <v>0.40017061202545534</v>
      </c>
      <c r="F113" s="29">
        <v>0.34559384200131665</v>
      </c>
      <c r="G113" s="28" cm="1">
        <f t="array" ref="G113:K113">_xlfn.LET(
    _xlpm.p, $A37,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5.292692307692306</v>
      </c>
      <c r="H113">
        <v>-340.55598290598255</v>
      </c>
      <c r="I113">
        <v>-1.0031275470085457</v>
      </c>
      <c r="J113">
        <v>0.47468978632478637</v>
      </c>
      <c r="K113" s="29">
        <v>0.13715971367521368</v>
      </c>
      <c r="L113" s="28" cm="1">
        <f t="array" ref="L113:P113">_xlfn.LET(
    _xlpm.p, $A37,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2.7477777777777703</v>
      </c>
      <c r="M113">
        <v>-236.96031746031758</v>
      </c>
      <c r="N113">
        <v>-1.0559739682539684</v>
      </c>
      <c r="O113">
        <v>-0.54624944444444445</v>
      </c>
      <c r="P113" s="29">
        <v>-0.70875079365079363</v>
      </c>
      <c r="Q113" s="28" cm="1">
        <f t="array" ref="Q113:U113">_xlfn.LET(
    _xlpm.p, $A37,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0.92573809523810269</v>
      </c>
      <c r="R113">
        <v>98.995238095238165</v>
      </c>
      <c r="S113">
        <v>-9.9803214285714592E-2</v>
      </c>
      <c r="T113">
        <v>0.17725726190476188</v>
      </c>
      <c r="U113" s="29">
        <v>0.22570180952380947</v>
      </c>
      <c r="V113" s="28" cm="1">
        <f t="array" ref="V113:Z113">_xlfn.LET(
    _xlpm.p, $A37,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3">
        <v>0</v>
      </c>
      <c r="X113">
        <v>0</v>
      </c>
      <c r="Y113">
        <v>0</v>
      </c>
      <c r="Z113" s="29">
        <v>0</v>
      </c>
    </row>
    <row r="114" spans="1:26" x14ac:dyDescent="0.3">
      <c r="A114" t="str">
        <v>Wentz, Joey</v>
      </c>
      <c r="B114" s="28" cm="1">
        <f t="array" ref="B114:F114">_xlfn.LET(
    _xlpm.p, $A38,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2.3133405749396587</v>
      </c>
      <c r="C114">
        <v>18.098178626289155</v>
      </c>
      <c r="D114">
        <v>-0.64488416940969917</v>
      </c>
      <c r="E114">
        <v>-0.1327543879745447</v>
      </c>
      <c r="F114" s="29">
        <v>-0.21716615799868333</v>
      </c>
      <c r="G114" s="28" cm="1">
        <f t="array" ref="G114:K114">_xlfn.LET(
    _xlpm.p, $A38,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4.02269230769231</v>
      </c>
      <c r="H114">
        <v>-66.555982905982546</v>
      </c>
      <c r="I114">
        <v>-0.55868754700854595</v>
      </c>
      <c r="J114">
        <v>0.36572978632478637</v>
      </c>
      <c r="K114" s="29">
        <v>0.31805971367521368</v>
      </c>
      <c r="L114" s="28" cm="1">
        <f t="array" ref="L114:P114">_xlfn.LET(
    _xlpm.p, $A38,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4.8777777777777658</v>
      </c>
      <c r="M114">
        <v>24.039682539682417</v>
      </c>
      <c r="N114">
        <v>-0.63318396825396839</v>
      </c>
      <c r="O114">
        <v>0.23850055555555555</v>
      </c>
      <c r="P114" s="29">
        <v>0.10251920634920639</v>
      </c>
      <c r="Q114" s="28" cm="1">
        <f t="array" ref="Q114:U114">_xlfn.LET(
    _xlpm.p, $A38,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1.1157380952381004</v>
      </c>
      <c r="R114">
        <v>387.99523809523816</v>
      </c>
      <c r="S114">
        <v>-0.3006732142857147</v>
      </c>
      <c r="T114">
        <v>0.19015726190476179</v>
      </c>
      <c r="U114" s="29">
        <v>-0.6187881904761906</v>
      </c>
      <c r="V114" s="28" cm="1">
        <f t="array" ref="V114:Z114">_xlfn.LET(
    _xlpm.p, $A38,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4">
        <v>0</v>
      </c>
      <c r="X114">
        <v>0</v>
      </c>
      <c r="Y114">
        <v>0</v>
      </c>
      <c r="Z114" s="29">
        <v>0</v>
      </c>
    </row>
    <row r="115" spans="1:26" x14ac:dyDescent="0.3">
      <c r="A115" t="str">
        <v>Dodd, Dylan</v>
      </c>
      <c r="B115" s="28" cm="1">
        <f t="array" ref="B115:F115">_xlfn.LET(
    _xlpm.p, $A39,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-0.87665942506036743</v>
      </c>
      <c r="C115">
        <v>-143.90182137371085</v>
      </c>
      <c r="D115">
        <v>-2.4780836076365942E-2</v>
      </c>
      <c r="E115">
        <v>9.739227869212197E-2</v>
      </c>
      <c r="F115" s="29">
        <v>-0.26537282466535</v>
      </c>
      <c r="G115" s="28" cm="1">
        <f t="array" ref="G115:K115">_xlfn.LET(
    _xlpm.p, $A39,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-9.7307692307694538E-2</v>
      </c>
      <c r="H115">
        <v>-512.55598290598255</v>
      </c>
      <c r="I115">
        <v>-0.41641754700854561</v>
      </c>
      <c r="J115">
        <v>0.60530978632478638</v>
      </c>
      <c r="K115" s="29">
        <v>0.23398971367521368</v>
      </c>
      <c r="L115" s="28" cm="1">
        <f t="array" ref="L115:P115">_xlfn.LET(
    _xlpm.p, $A39,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15">
        <v>0</v>
      </c>
      <c r="N115">
        <v>0</v>
      </c>
      <c r="O115">
        <v>0</v>
      </c>
      <c r="P115" s="29">
        <v>0</v>
      </c>
      <c r="Q115" s="28" cm="1">
        <f t="array" ref="Q115:U115">_xlfn.LET(
    _xlpm.p, $A39,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-2.3842619047618996</v>
      </c>
      <c r="R115">
        <v>258.99523809523816</v>
      </c>
      <c r="S115">
        <v>-0.14497321428571475</v>
      </c>
      <c r="T115">
        <v>-6.1232738095238215E-2</v>
      </c>
      <c r="U115" s="29">
        <v>-0.25525819047619058</v>
      </c>
      <c r="V115" s="28" cm="1">
        <f t="array" ref="V115:Z115">_xlfn.LET(
    _xlpm.p, $A39,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5">
        <v>0</v>
      </c>
      <c r="X115">
        <v>0</v>
      </c>
      <c r="Y115">
        <v>0</v>
      </c>
      <c r="Z115" s="29">
        <v>0</v>
      </c>
    </row>
    <row r="116" spans="1:26" x14ac:dyDescent="0.3">
      <c r="A116" t="str">
        <v>Hernández, Daysbel</v>
      </c>
      <c r="B116" s="28" cm="1">
        <f t="array" ref="B116:F116">_xlfn.LET(
    _xlpm.p, $A40,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5.518340574939657</v>
      </c>
      <c r="C116">
        <v>98.598178626289155</v>
      </c>
      <c r="D116">
        <v>-0.67821916940969929</v>
      </c>
      <c r="E116">
        <v>0.42841061202545527</v>
      </c>
      <c r="F116" s="29">
        <v>-0.15371115799868332</v>
      </c>
      <c r="G116" s="28" cm="1">
        <f t="array" ref="G116:K116">_xlfn.LET(
    _xlpm.p, $A40,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6.0926923076923032</v>
      </c>
      <c r="H116">
        <v>119.44401709401745</v>
      </c>
      <c r="I116">
        <v>-0.7260475470085459</v>
      </c>
      <c r="J116">
        <v>0.50000978632478632</v>
      </c>
      <c r="K116" s="29">
        <v>0.15950971367521366</v>
      </c>
      <c r="L116" s="28" cm="1">
        <f t="array" ref="L116:P116">_xlfn.LET(
    _xlpm.p, $A40,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16">
        <v>0</v>
      </c>
      <c r="N116">
        <v>0</v>
      </c>
      <c r="O116">
        <v>0</v>
      </c>
      <c r="P116" s="29">
        <v>0</v>
      </c>
      <c r="Q116" s="28" cm="1">
        <f t="array" ref="Q116:U116">_xlfn.LET(
    _xlpm.p, $A40,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16">
        <v>0</v>
      </c>
      <c r="S116">
        <v>0</v>
      </c>
      <c r="T116">
        <v>0</v>
      </c>
      <c r="U116" s="29">
        <v>0</v>
      </c>
      <c r="V116" s="28" cm="1">
        <f t="array" ref="V116:Z116">_xlfn.LET(
    _xlpm.p, $A40,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6">
        <v>0</v>
      </c>
      <c r="X116">
        <v>0</v>
      </c>
      <c r="Y116">
        <v>0</v>
      </c>
      <c r="Z116" s="29">
        <v>0</v>
      </c>
    </row>
    <row r="117" spans="1:26" x14ac:dyDescent="0.3">
      <c r="A117" t="str">
        <v>Greene, Shane</v>
      </c>
      <c r="B117" s="28" cm="1">
        <f t="array" ref="B117:F117">_xlfn.LET(
    _xlpm.p, $A41,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-1.9799927583936778</v>
      </c>
      <c r="C117">
        <v>9.4315119596226396</v>
      </c>
      <c r="D117">
        <v>0.14957916392363413</v>
      </c>
      <c r="E117">
        <v>-2.2091054641211416E-2</v>
      </c>
      <c r="F117" s="29">
        <v>0.13115384200131666</v>
      </c>
      <c r="G117" s="28" cm="1">
        <f t="array" ref="G117:K117">_xlfn.LET(
    _xlpm.p, $A41,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-3.1473076923076917</v>
      </c>
      <c r="H117">
        <v>-24.555982905982546</v>
      </c>
      <c r="I117">
        <v>-0.26536754700854592</v>
      </c>
      <c r="J117">
        <v>-0.49559021367521372</v>
      </c>
      <c r="K117" s="29">
        <v>-0.78495028632478636</v>
      </c>
      <c r="L117" s="28" cm="1">
        <f t="array" ref="L117:P117">_xlfn.LET(
    _xlpm.p, $A41,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17">
        <v>0</v>
      </c>
      <c r="N117">
        <v>0</v>
      </c>
      <c r="O117">
        <v>0</v>
      </c>
      <c r="P117" s="29">
        <v>0</v>
      </c>
      <c r="Q117" s="28" cm="1">
        <f t="array" ref="Q117:U117">_xlfn.LET(
    _xlpm.p, $A41,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-1.2542619047619041</v>
      </c>
      <c r="R117">
        <v>27.995238095238165</v>
      </c>
      <c r="S117">
        <v>0.4545767857142855</v>
      </c>
      <c r="T117">
        <v>0.1306572619047619</v>
      </c>
      <c r="U117" s="29">
        <v>-0.29487819047619057</v>
      </c>
      <c r="V117" s="28" cm="1">
        <f t="array" ref="V117:Z117">_xlfn.LET(
    _xlpm.p, $A41,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7">
        <v>0</v>
      </c>
      <c r="X117">
        <v>0</v>
      </c>
      <c r="Y117">
        <v>0</v>
      </c>
      <c r="Z117" s="29">
        <v>0</v>
      </c>
    </row>
    <row r="118" spans="1:26" x14ac:dyDescent="0.3">
      <c r="A118" t="str">
        <v>Webb, Jacob</v>
      </c>
      <c r="B118" s="28" cm="1">
        <f t="array" ref="B118:F118">_xlfn.LET(
    _xlpm.p, $A42,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1.9533405749396593</v>
      </c>
      <c r="C118">
        <v>151.09817862628915</v>
      </c>
      <c r="D118">
        <v>-0.52034416940969908</v>
      </c>
      <c r="E118">
        <v>0.52973561202545538</v>
      </c>
      <c r="F118" s="29">
        <v>0.24974384200131666</v>
      </c>
      <c r="G118" s="28" cm="1">
        <f t="array" ref="G118:K118">_xlfn.LET(
    _xlpm.p, $A42,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118">
        <v>0</v>
      </c>
      <c r="I118">
        <v>0</v>
      </c>
      <c r="J118">
        <v>0</v>
      </c>
      <c r="K118" s="29">
        <v>0</v>
      </c>
      <c r="L118" s="28" cm="1">
        <f t="array" ref="L118:P118">_xlfn.LET(
    _xlpm.p, $A42,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5.0477777777777675</v>
      </c>
      <c r="M118">
        <v>86.039682539682417</v>
      </c>
      <c r="N118">
        <v>-0.39421396825396826</v>
      </c>
      <c r="O118">
        <v>0.16801055555555555</v>
      </c>
      <c r="P118" s="29">
        <v>-0.22210079365079363</v>
      </c>
      <c r="Q118" s="28" cm="1">
        <f t="array" ref="Q118:U118">_xlfn.LET(
    _xlpm.p, $A42,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-2.8742619047619087</v>
      </c>
      <c r="R118">
        <v>724.99523809523816</v>
      </c>
      <c r="S118">
        <v>-4.5343214285714417E-2</v>
      </c>
      <c r="T118">
        <v>0.47397726190476175</v>
      </c>
      <c r="U118" s="29">
        <v>0.59124180952380945</v>
      </c>
      <c r="V118" s="28" cm="1">
        <f t="array" ref="V118:Z118">_xlfn.LET(
    _xlpm.p, $A42,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8">
        <v>0</v>
      </c>
      <c r="X118">
        <v>0</v>
      </c>
      <c r="Y118">
        <v>0</v>
      </c>
      <c r="Z118" s="29">
        <v>0</v>
      </c>
    </row>
    <row r="119" spans="1:26" x14ac:dyDescent="0.3">
      <c r="A119" t="str">
        <v>Jansen, Kenley</v>
      </c>
      <c r="B119" s="28" cm="1">
        <f t="array" ref="B119:F119">_xlfn.LET(
    _xlpm.p, $A43,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2.1533405749396479</v>
      </c>
      <c r="C119">
        <v>115.09817862628915</v>
      </c>
      <c r="D119">
        <v>-0.60953916940969899</v>
      </c>
      <c r="E119">
        <v>-0.6797043879745448</v>
      </c>
      <c r="F119" s="29">
        <v>-0.16722615799868332</v>
      </c>
      <c r="G119" s="28" cm="1">
        <f t="array" ref="G119:K119">_xlfn.LET(
    _xlpm.p, $A43,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-0.22730769230768999</v>
      </c>
      <c r="H119">
        <v>-123.55598290598255</v>
      </c>
      <c r="I119">
        <v>0.40638245299145437</v>
      </c>
      <c r="J119">
        <v>0.36085978632478638</v>
      </c>
      <c r="K119" s="29">
        <v>0.13794971367521366</v>
      </c>
      <c r="L119" s="28" cm="1">
        <f t="array" ref="L119:P119">_xlfn.LET(
    _xlpm.p, $A43,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19">
        <v>0</v>
      </c>
      <c r="N119">
        <v>0</v>
      </c>
      <c r="O119">
        <v>0</v>
      </c>
      <c r="P119" s="29">
        <v>0</v>
      </c>
      <c r="Q119" s="28" cm="1">
        <f t="array" ref="Q119:U119">_xlfn.LET(
    _xlpm.p, $A43,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19">
        <v>0</v>
      </c>
      <c r="S119">
        <v>0</v>
      </c>
      <c r="T119">
        <v>0</v>
      </c>
      <c r="U119" s="29">
        <v>0</v>
      </c>
      <c r="V119" s="28" cm="1">
        <f t="array" ref="V119:Z119">_xlfn.LET(
    _xlpm.p, $A43,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19">
        <v>0</v>
      </c>
      <c r="X119">
        <v>0</v>
      </c>
      <c r="Y119">
        <v>0</v>
      </c>
      <c r="Z119" s="29">
        <v>0</v>
      </c>
    </row>
    <row r="120" spans="1:26" x14ac:dyDescent="0.3">
      <c r="A120" t="str">
        <v>Waldrep, Hurston</v>
      </c>
      <c r="B120" s="28" cm="1">
        <f t="array" ref="B120:F120">_xlfn.LET(
    _xlpm.p, $A44,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3.2166739082729805</v>
      </c>
      <c r="C120">
        <v>-69.56848804037736</v>
      </c>
      <c r="D120">
        <v>-0.17741416940969912</v>
      </c>
      <c r="E120">
        <v>-9.5327721307878088E-2</v>
      </c>
      <c r="F120" s="29">
        <v>-9.0736157998683328E-2</v>
      </c>
      <c r="G120" s="28" cm="1">
        <f t="array" ref="G120:K120">_xlfn.LET(
    _xlpm.p, $A44,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5.1726923076923015</v>
      </c>
      <c r="H120">
        <v>-346.55598290598255</v>
      </c>
      <c r="I120">
        <v>-0.50247754700854586</v>
      </c>
      <c r="J120">
        <v>0.59130978632478637</v>
      </c>
      <c r="K120" s="29">
        <v>0.12673971367521367</v>
      </c>
      <c r="L120" s="28" cm="1">
        <f t="array" ref="L120:P120">_xlfn.LET(
    _xlpm.p, $A44,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6.8677777777777749</v>
      </c>
      <c r="M120">
        <v>-216.96031746031758</v>
      </c>
      <c r="N120">
        <v>-0.49862396825396882</v>
      </c>
      <c r="O120">
        <v>7.8740555555555591E-2</v>
      </c>
      <c r="P120" s="29">
        <v>2.5769206349206375E-2</v>
      </c>
      <c r="Q120" s="28" cm="1">
        <f t="array" ref="Q120:U120">_xlfn.LET(
    _xlpm.p, $A44,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0.66573809523809757</v>
      </c>
      <c r="R120">
        <v>-788.00476190476184</v>
      </c>
      <c r="S120">
        <v>0.23250678571428551</v>
      </c>
      <c r="T120">
        <v>-0.41753273809523817</v>
      </c>
      <c r="U120" s="29">
        <v>0.29203180952380947</v>
      </c>
      <c r="V120" s="28" cm="1">
        <f t="array" ref="V120:Z120">_xlfn.LET(
    _xlpm.p, $A44,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0">
        <v>0</v>
      </c>
      <c r="X120">
        <v>0</v>
      </c>
      <c r="Y120">
        <v>0</v>
      </c>
      <c r="Z120" s="29">
        <v>0</v>
      </c>
    </row>
    <row r="121" spans="1:26" x14ac:dyDescent="0.3">
      <c r="A121" t="str">
        <v>Dayton, Grant</v>
      </c>
      <c r="B121" s="28" cm="1">
        <f t="array" ref="B121:F121">_xlfn.LET(
    _xlpm.p, $A45,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-1.4666594250603566</v>
      </c>
      <c r="C121">
        <v>-13.901821373710845</v>
      </c>
      <c r="D121">
        <v>-0.47865416940969907</v>
      </c>
      <c r="E121">
        <v>0.34079561202545527</v>
      </c>
      <c r="F121" s="29">
        <v>-0.52279115799868325</v>
      </c>
      <c r="G121" s="28" cm="1">
        <f t="array" ref="G121:K121">_xlfn.LET(
    _xlpm.p, $A45,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121">
        <v>0</v>
      </c>
      <c r="I121">
        <v>0</v>
      </c>
      <c r="J121">
        <v>0</v>
      </c>
      <c r="K121" s="29">
        <v>0</v>
      </c>
      <c r="L121" s="28" cm="1">
        <f t="array" ref="L121:P121">_xlfn.LET(
    _xlpm.p, $A45,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0.59777777777776464</v>
      </c>
      <c r="M121">
        <v>-101.96031746031758</v>
      </c>
      <c r="N121">
        <v>7.0246031746031612E-2</v>
      </c>
      <c r="O121">
        <v>0.22077055555555553</v>
      </c>
      <c r="P121" s="29">
        <v>-9.6590793650793622E-2</v>
      </c>
      <c r="Q121" s="28" cm="1">
        <f t="array" ref="Q121:U121">_xlfn.LET(
    _xlpm.p, $A45,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-2.9042619047619098</v>
      </c>
      <c r="R121">
        <v>363.99523809523816</v>
      </c>
      <c r="S121">
        <v>-0.2358532142857146</v>
      </c>
      <c r="T121">
        <v>4.8517261904761799E-2</v>
      </c>
      <c r="U121" s="29">
        <v>-0.50987819047619054</v>
      </c>
      <c r="V121" s="28" cm="1">
        <f t="array" ref="V121:Z121">_xlfn.LET(
    _xlpm.p, $A45,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1">
        <v>0</v>
      </c>
      <c r="X121">
        <v>0</v>
      </c>
      <c r="Y121">
        <v>0</v>
      </c>
      <c r="Z121" s="29">
        <v>0</v>
      </c>
    </row>
    <row r="122" spans="1:26" x14ac:dyDescent="0.3">
      <c r="A122" t="str">
        <v>Muller, Kyle</v>
      </c>
      <c r="B122" s="28" cm="1">
        <f t="array" ref="B122:F122">_xlfn.LET(
    _xlpm.p, $A46,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1.7233405749396553</v>
      </c>
      <c r="C122">
        <v>153.59817862628915</v>
      </c>
      <c r="D122">
        <v>-0.39241916940969923</v>
      </c>
      <c r="E122">
        <v>0.22879061202545536</v>
      </c>
      <c r="F122" s="29">
        <v>-0.67037615799868333</v>
      </c>
      <c r="G122" s="28" cm="1">
        <f t="array" ref="G122:K122">_xlfn.LET(
    _xlpm.p, $A46,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4.1726923076923015</v>
      </c>
      <c r="H122">
        <v>-498.55598290598255</v>
      </c>
      <c r="I122">
        <v>-0.8038675470085459</v>
      </c>
      <c r="J122">
        <v>0.68613978632478634</v>
      </c>
      <c r="K122" s="29">
        <v>0.19135971367521368</v>
      </c>
      <c r="L122" s="28" cm="1">
        <f t="array" ref="L122:P122">_xlfn.LET(
    _xlpm.p, $A46,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4.7677777777777663</v>
      </c>
      <c r="M122">
        <v>-85.960317460317583</v>
      </c>
      <c r="N122">
        <v>-0.54281396825396833</v>
      </c>
      <c r="O122">
        <v>0.15502055555555561</v>
      </c>
      <c r="P122" s="29">
        <v>0.11862920634920635</v>
      </c>
      <c r="Q122" s="28" cm="1">
        <f t="array" ref="Q122:U122">_xlfn.LET(
    _xlpm.p, $A46,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1.9357380952380936</v>
      </c>
      <c r="R122">
        <v>98.995238095238165</v>
      </c>
      <c r="S122">
        <v>-0.12113321428571444</v>
      </c>
      <c r="T122">
        <v>0.23934726190476185</v>
      </c>
      <c r="U122" s="29">
        <v>-0.7007081904761906</v>
      </c>
      <c r="V122" s="28" cm="1">
        <f t="array" ref="V122:Z122">_xlfn.LET(
    _xlpm.p, $A46,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2">
        <v>0</v>
      </c>
      <c r="X122">
        <v>0</v>
      </c>
      <c r="Y122">
        <v>0</v>
      </c>
      <c r="Z122" s="29">
        <v>0</v>
      </c>
    </row>
    <row r="123" spans="1:26" x14ac:dyDescent="0.3">
      <c r="A123" t="str">
        <v>Shuster, Jared</v>
      </c>
      <c r="B123" s="28" cm="1">
        <f t="array" ref="B123:F123">_xlfn.LET(
    _xlpm.p, $A47,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-0.29665942506034071</v>
      </c>
      <c r="C123">
        <v>-24.401821373710845</v>
      </c>
      <c r="D123">
        <v>-0.22216416940969919</v>
      </c>
      <c r="E123">
        <v>0.20903561202545529</v>
      </c>
      <c r="F123" s="29">
        <v>-0.57168615799868339</v>
      </c>
      <c r="G123" s="28" cm="1">
        <f t="array" ref="G123:K123">_xlfn.LET(
    _xlpm.p, $A47,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3.542692307692306</v>
      </c>
      <c r="H123">
        <v>-382.55598290598255</v>
      </c>
      <c r="I123">
        <v>-0.85588754700854563</v>
      </c>
      <c r="J123">
        <v>0.52364978632478643</v>
      </c>
      <c r="K123" s="29">
        <v>0.23327971367521366</v>
      </c>
      <c r="L123" s="28" cm="1">
        <f t="array" ref="L123:P123">_xlfn.LET(
    _xlpm.p, $A47,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23">
        <v>0</v>
      </c>
      <c r="N123">
        <v>0</v>
      </c>
      <c r="O123">
        <v>0</v>
      </c>
      <c r="P123" s="29">
        <v>0</v>
      </c>
      <c r="Q123" s="28" cm="1">
        <f t="array" ref="Q123:U123">_xlfn.LET(
    _xlpm.p, $A47,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-3.204261904761907</v>
      </c>
      <c r="R123">
        <v>-27.004761904761835</v>
      </c>
      <c r="S123">
        <v>-0.11266321428571446</v>
      </c>
      <c r="T123">
        <v>-0.13404273809523826</v>
      </c>
      <c r="U123" s="29">
        <v>-0.25806819047619056</v>
      </c>
      <c r="V123" s="28" cm="1">
        <f t="array" ref="V123:Z123">_xlfn.LET(
    _xlpm.p, $A47,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3">
        <v>0</v>
      </c>
      <c r="X123">
        <v>0</v>
      </c>
      <c r="Y123">
        <v>0</v>
      </c>
      <c r="Z123" s="29">
        <v>0</v>
      </c>
    </row>
    <row r="124" spans="1:26" x14ac:dyDescent="0.3">
      <c r="A124" t="str">
        <v>Odorizzi, Jake</v>
      </c>
      <c r="B124" s="28" cm="1">
        <f t="array" ref="B124:F124">_xlfn.LET(
    _xlpm.p, $A48,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-1.6466594250603492</v>
      </c>
      <c r="C124">
        <v>-165.23515470704433</v>
      </c>
      <c r="D124">
        <v>-0.2568108360763659</v>
      </c>
      <c r="E124">
        <v>-1.6377213078780928E-3</v>
      </c>
      <c r="F124" s="29">
        <v>-0.18288949133201665</v>
      </c>
      <c r="G124" s="28" cm="1">
        <f t="array" ref="G124:K124">_xlfn.LET(
    _xlpm.p, $A48,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2.269230769231001E-2</v>
      </c>
      <c r="H124">
        <v>-530.55598290598255</v>
      </c>
      <c r="I124">
        <v>-0.46746754700854565</v>
      </c>
      <c r="J124">
        <v>0.21341978632478631</v>
      </c>
      <c r="K124" s="29">
        <v>-0.20837028632478635</v>
      </c>
      <c r="L124" s="28" cm="1">
        <f t="array" ref="L124:P124">_xlfn.LET(
    _xlpm.p, $A48,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-4.4022222222222354</v>
      </c>
      <c r="M124">
        <v>-282.96031746031758</v>
      </c>
      <c r="N124">
        <v>0.29463603174603126</v>
      </c>
      <c r="O124">
        <v>-0.17866944444444444</v>
      </c>
      <c r="P124" s="29">
        <v>0.3569592063492063</v>
      </c>
      <c r="Q124" s="28" cm="1">
        <f t="array" ref="Q124:U124">_xlfn.LET(
    _xlpm.p, $A48,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-1.3142619047619064</v>
      </c>
      <c r="R124">
        <v>-236.00476190476184</v>
      </c>
      <c r="S124">
        <v>-1.2213214285714535E-2</v>
      </c>
      <c r="T124">
        <v>-1.4962738095238182E-2</v>
      </c>
      <c r="U124" s="29">
        <v>0.24403180952380948</v>
      </c>
      <c r="V124" s="28" cm="1">
        <f t="array" ref="V124:Z124">_xlfn.LET(
    _xlpm.p, $A48,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4">
        <v>0</v>
      </c>
      <c r="X124">
        <v>0</v>
      </c>
      <c r="Y124">
        <v>0</v>
      </c>
      <c r="Z124" s="29">
        <v>0</v>
      </c>
    </row>
    <row r="125" spans="1:26" x14ac:dyDescent="0.3">
      <c r="A125" t="str">
        <v>De Los Santos, Enyel</v>
      </c>
      <c r="B125" s="28" cm="1">
        <f t="array" ref="B125:F125">_xlfn.LET(
    _xlpm.p, $A49,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4.2433405749396513</v>
      </c>
      <c r="C125">
        <v>-12.901821373710845</v>
      </c>
      <c r="D125">
        <v>-0.3485741694096991</v>
      </c>
      <c r="E125">
        <v>0.3623056120254553</v>
      </c>
      <c r="F125" s="29">
        <v>0.29027384200131662</v>
      </c>
      <c r="G125" s="28" cm="1">
        <f t="array" ref="G125:K125">_xlfn.LET(
    _xlpm.p, $A49,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6.6026923076923083</v>
      </c>
      <c r="H125">
        <v>-374.55598290598255</v>
      </c>
      <c r="I125">
        <v>-1.1927275470085457</v>
      </c>
      <c r="J125">
        <v>0.62853978632478635</v>
      </c>
      <c r="K125" s="29">
        <v>8.4719713675213665E-2</v>
      </c>
      <c r="L125" s="28" cm="1">
        <f t="array" ref="L125:P125">_xlfn.LET(
    _xlpm.p, $A49,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25">
        <v>0</v>
      </c>
      <c r="N125">
        <v>0</v>
      </c>
      <c r="O125">
        <v>0</v>
      </c>
      <c r="P125" s="29">
        <v>0</v>
      </c>
      <c r="Q125" s="28" cm="1">
        <f t="array" ref="Q125:U125">_xlfn.LET(
    _xlpm.p, $A49,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1.8657380952381004</v>
      </c>
      <c r="R125">
        <v>360.99523809523816</v>
      </c>
      <c r="S125">
        <v>-0.28707321428571442</v>
      </c>
      <c r="T125">
        <v>0.38392726190476179</v>
      </c>
      <c r="U125" s="29">
        <v>-0.74690819047619061</v>
      </c>
      <c r="V125" s="28" cm="1">
        <f t="array" ref="V125:Z125">_xlfn.LET(
    _xlpm.p, $A49,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5">
        <v>0</v>
      </c>
      <c r="X125">
        <v>0</v>
      </c>
      <c r="Y125">
        <v>0</v>
      </c>
      <c r="Z125" s="29">
        <v>0</v>
      </c>
    </row>
    <row r="126" spans="1:26" x14ac:dyDescent="0.3">
      <c r="A126" t="str">
        <v>O'Day, Darren</v>
      </c>
      <c r="B126" s="28" cm="1">
        <f t="array" ref="B126:F126">_xlfn.LET(
    _xlpm.p, $A50,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-5.4016594250603589</v>
      </c>
      <c r="C126">
        <v>-17.901821373710845</v>
      </c>
      <c r="D126">
        <v>1.0332708305903007</v>
      </c>
      <c r="E126">
        <v>0.58901561202545538</v>
      </c>
      <c r="F126" s="29">
        <v>0.66236884200131663</v>
      </c>
      <c r="G126" s="28" cm="1">
        <f t="array" ref="G126:K126">_xlfn.LET(
    _xlpm.p, $A50,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-3.5673076923076934</v>
      </c>
      <c r="H126">
        <v>-290.55598290598255</v>
      </c>
      <c r="I126">
        <v>-2.3627547008545857E-2</v>
      </c>
      <c r="J126">
        <v>0.10146978632478632</v>
      </c>
      <c r="K126" s="29">
        <v>-0.15075028632478635</v>
      </c>
      <c r="L126" s="28" cm="1">
        <f t="array" ref="L126:P126">_xlfn.LET(
    _xlpm.p, $A50,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26">
        <v>0</v>
      </c>
      <c r="N126">
        <v>0</v>
      </c>
      <c r="O126">
        <v>0</v>
      </c>
      <c r="P126" s="29">
        <v>0</v>
      </c>
      <c r="Q126" s="28" cm="1">
        <f t="array" ref="Q126:U126">_xlfn.LET(
    _xlpm.p, $A50,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26">
        <v>0</v>
      </c>
      <c r="S126">
        <v>0</v>
      </c>
      <c r="T126">
        <v>0</v>
      </c>
      <c r="U126" s="29">
        <v>0</v>
      </c>
      <c r="V126" s="28" cm="1">
        <f t="array" ref="V126:Z126">_xlfn.LET(
    _xlpm.p, $A50,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6">
        <v>0</v>
      </c>
      <c r="X126">
        <v>0</v>
      </c>
      <c r="Y126">
        <v>0</v>
      </c>
      <c r="Z126" s="29">
        <v>0</v>
      </c>
    </row>
    <row r="127" spans="1:26" x14ac:dyDescent="0.3">
      <c r="A127" t="str">
        <v>Winans, Allan</v>
      </c>
      <c r="B127" s="28" cm="1">
        <f t="array" ref="B127:F127">_xlfn.LET(
    _xlpm.p, $A51,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-1.2916594250603453</v>
      </c>
      <c r="C127">
        <v>-120.90182137371085</v>
      </c>
      <c r="D127">
        <v>0.20265583059030079</v>
      </c>
      <c r="E127">
        <v>0.55435061202545521</v>
      </c>
      <c r="F127" s="29">
        <v>-0.25078615799868337</v>
      </c>
      <c r="G127" s="28" cm="1">
        <f t="array" ref="G127:K127">_xlfn.LET(
    _xlpm.p, $A51,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-3.2373076923076951</v>
      </c>
      <c r="H127">
        <v>-9.5559829059825461</v>
      </c>
      <c r="I127">
        <v>0.41053245299145402</v>
      </c>
      <c r="J127">
        <v>-0.32833021367521353</v>
      </c>
      <c r="K127" s="29">
        <v>8.3289713675213664E-2</v>
      </c>
      <c r="L127" s="28" cm="1">
        <f t="array" ref="L127:P127">_xlfn.LET(
    _xlpm.p, $A51,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27">
        <v>0</v>
      </c>
      <c r="N127">
        <v>0</v>
      </c>
      <c r="O127">
        <v>0</v>
      </c>
      <c r="P127" s="29">
        <v>0</v>
      </c>
      <c r="Q127" s="28" cm="1">
        <f t="array" ref="Q127:U127">_xlfn.LET(
    _xlpm.p, $A51,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-2.8642619047619036</v>
      </c>
      <c r="R127">
        <v>315.99523809523816</v>
      </c>
      <c r="S127">
        <v>0.4929967857142854</v>
      </c>
      <c r="T127">
        <v>0.18957726190476176</v>
      </c>
      <c r="U127" s="29">
        <v>-0.24852819047619057</v>
      </c>
      <c r="V127" s="28" cm="1">
        <f t="array" ref="V127:Z127">_xlfn.LET(
    _xlpm.p, $A51,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7">
        <v>0</v>
      </c>
      <c r="X127">
        <v>0</v>
      </c>
      <c r="Y127">
        <v>0</v>
      </c>
      <c r="Z127" s="29">
        <v>0</v>
      </c>
    </row>
    <row r="128" spans="1:26" x14ac:dyDescent="0.3">
      <c r="A128" t="str">
        <v>Melancon, Mark</v>
      </c>
      <c r="B128" s="28" cm="1">
        <f t="array" ref="B128:F128">_xlfn.LET(
    _xlpm.p, $A52,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0.11834057493965133</v>
      </c>
      <c r="C128">
        <v>44.098178626289155</v>
      </c>
      <c r="D128">
        <v>7.8308305903009856E-3</v>
      </c>
      <c r="E128">
        <v>-0.30135938797454476</v>
      </c>
      <c r="F128" s="29">
        <v>0.22394384200131667</v>
      </c>
      <c r="G128" s="28" cm="1">
        <f t="array" ref="G128:K128">_xlfn.LET(
    _xlpm.p, $A52,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128">
        <v>0</v>
      </c>
      <c r="I128">
        <v>0</v>
      </c>
      <c r="J128">
        <v>0</v>
      </c>
      <c r="K128" s="29">
        <v>0</v>
      </c>
      <c r="L128" s="28" cm="1">
        <f t="array" ref="L128:P128">_xlfn.LET(
    _xlpm.p, $A52,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5.2977777777777675</v>
      </c>
      <c r="M128">
        <v>147.03968253968242</v>
      </c>
      <c r="N128">
        <v>-0.11666396825396852</v>
      </c>
      <c r="O128">
        <v>0.33546055555555554</v>
      </c>
      <c r="P128" s="29">
        <v>-0.30860079365079363</v>
      </c>
      <c r="Q128" s="28" cm="1">
        <f t="array" ref="Q128:U128">_xlfn.LET(
    _xlpm.p, $A52,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-1.9242619047619058</v>
      </c>
      <c r="R128">
        <v>337.99523809523816</v>
      </c>
      <c r="S128">
        <v>-0.31418321428571483</v>
      </c>
      <c r="T128">
        <v>0.10784726190476168</v>
      </c>
      <c r="U128" s="29">
        <v>2.7918095238094742E-3</v>
      </c>
      <c r="V128" s="28" cm="1">
        <f t="array" ref="V128:Z128">_xlfn.LET(
    _xlpm.p, $A52,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8">
        <v>0</v>
      </c>
      <c r="X128">
        <v>0</v>
      </c>
      <c r="Y128">
        <v>0</v>
      </c>
      <c r="Z128" s="29">
        <v>0</v>
      </c>
    </row>
    <row r="129" spans="1:26" x14ac:dyDescent="0.3">
      <c r="A129" t="str">
        <v>Montero, Rafael</v>
      </c>
      <c r="B129" s="28" cm="1">
        <f t="array" ref="B129:F129">_xlfn.LET(
    _xlpm.p, $A53,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3.1333405749396661</v>
      </c>
      <c r="C129">
        <v>65.598178626289155</v>
      </c>
      <c r="D129">
        <v>-0.22522916940969906</v>
      </c>
      <c r="E129">
        <v>0.5544506120254552</v>
      </c>
      <c r="F129" s="29">
        <v>0.82841884200131666</v>
      </c>
      <c r="G129" s="28" cm="1">
        <f t="array" ref="G129:K129">_xlfn.LET(
    _xlpm.p, $A53,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2.7026923076923026</v>
      </c>
      <c r="H129">
        <v>-174.55598290598255</v>
      </c>
      <c r="I129">
        <v>-0.49466754700854576</v>
      </c>
      <c r="J129">
        <v>0.10659978632478639</v>
      </c>
      <c r="K129" s="29">
        <v>-0.4184302863247864</v>
      </c>
      <c r="L129" s="28" cm="1">
        <f t="array" ref="L129:P129">_xlfn.LET(
    _xlpm.p, $A53,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29">
        <v>0</v>
      </c>
      <c r="N129">
        <v>0</v>
      </c>
      <c r="O129">
        <v>0</v>
      </c>
      <c r="P129" s="29">
        <v>0</v>
      </c>
      <c r="Q129" s="28" cm="1">
        <f t="array" ref="Q129:U129">_xlfn.LET(
    _xlpm.p, $A53,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1.8857380952380964</v>
      </c>
      <c r="R129">
        <v>65.995238095238165</v>
      </c>
      <c r="S129">
        <v>0.21969678571428553</v>
      </c>
      <c r="T129">
        <v>7.5437261904761854E-2</v>
      </c>
      <c r="U129" s="29">
        <v>0.37101180952380947</v>
      </c>
      <c r="V129" s="28" cm="1">
        <f t="array" ref="V129:Z129">_xlfn.LET(
    _xlpm.p, $A53,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29">
        <v>0</v>
      </c>
      <c r="X129">
        <v>0</v>
      </c>
      <c r="Y129">
        <v>0</v>
      </c>
      <c r="Z129" s="29">
        <v>0</v>
      </c>
    </row>
    <row r="130" spans="1:26" x14ac:dyDescent="0.3">
      <c r="A130" t="str">
        <v>Sobotka, Chad</v>
      </c>
      <c r="B130" s="28" cm="1">
        <f t="array" ref="B130:F130">_xlfn.LET(
    _xlpm.p, $A54,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0.29334057493964849</v>
      </c>
      <c r="C130">
        <v>286.09817862628915</v>
      </c>
      <c r="D130">
        <v>-0.17667416940969916</v>
      </c>
      <c r="E130">
        <v>-0.43148938797454472</v>
      </c>
      <c r="F130" s="29">
        <v>-7.6146157998683336E-2</v>
      </c>
      <c r="G130" s="28" cm="1">
        <f t="array" ref="G130:K130">_xlfn.LET(
    _xlpm.p, $A54,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1.1626923076923106</v>
      </c>
      <c r="H130">
        <v>375.44401709401745</v>
      </c>
      <c r="I130">
        <v>2.2832452991454311E-2</v>
      </c>
      <c r="J130">
        <v>-0.20328021367521365</v>
      </c>
      <c r="K130" s="29">
        <v>-9.1170286324786326E-2</v>
      </c>
      <c r="L130" s="28" cm="1">
        <f t="array" ref="L130:P130">_xlfn.LET(
    _xlpm.p, $A54,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30">
        <v>0</v>
      </c>
      <c r="N130">
        <v>0</v>
      </c>
      <c r="O130">
        <v>0</v>
      </c>
      <c r="P130" s="29">
        <v>0</v>
      </c>
      <c r="Q130" s="28" cm="1">
        <f t="array" ref="Q130:U130">_xlfn.LET(
    _xlpm.p, $A54,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30">
        <v>0</v>
      </c>
      <c r="S130">
        <v>0</v>
      </c>
      <c r="T130">
        <v>0</v>
      </c>
      <c r="U130" s="29">
        <v>0</v>
      </c>
      <c r="V130" s="28" cm="1">
        <f t="array" ref="V130:Z130">_xlfn.LET(
    _xlpm.p, $A54,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0">
        <v>0</v>
      </c>
      <c r="X130">
        <v>0</v>
      </c>
      <c r="Y130">
        <v>0</v>
      </c>
      <c r="Z130" s="29">
        <v>0</v>
      </c>
    </row>
    <row r="131" spans="1:26" x14ac:dyDescent="0.3">
      <c r="A131" t="str">
        <v>Davidson, Tucker</v>
      </c>
      <c r="B131" s="28" cm="1">
        <f t="array" ref="B131:F131">_xlfn.LET(
    _xlpm.p, $A55,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1.2933405749396485</v>
      </c>
      <c r="C131">
        <v>-263.90182137371085</v>
      </c>
      <c r="D131">
        <v>-0.53382416940969901</v>
      </c>
      <c r="E131">
        <v>-0.28980438797454472</v>
      </c>
      <c r="F131" s="29">
        <v>-9.4786157998683326E-2</v>
      </c>
      <c r="G131" s="28" cm="1">
        <f t="array" ref="G131:K131">_xlfn.LET(
    _xlpm.p, $A55,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4.6626923076923106</v>
      </c>
      <c r="H131">
        <v>-334.55598290598255</v>
      </c>
      <c r="I131">
        <v>-0.60814754700854579</v>
      </c>
      <c r="J131">
        <v>0.36973978632478638</v>
      </c>
      <c r="K131" s="29">
        <v>0.33901971367521366</v>
      </c>
      <c r="L131" s="28" cm="1">
        <f t="array" ref="L131:P131">_xlfn.LET(
    _xlpm.p, $A55,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2.9677777777777692</v>
      </c>
      <c r="M131">
        <v>-47.960317460317583</v>
      </c>
      <c r="N131">
        <v>-0.5517139682539689</v>
      </c>
      <c r="O131">
        <v>2.9070555555555599E-2</v>
      </c>
      <c r="P131" s="29">
        <v>0.14889920634920636</v>
      </c>
      <c r="Q131" s="28" cm="1">
        <f t="array" ref="Q131:U131">_xlfn.LET(
    _xlpm.p, $A55,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-0.974261904761903</v>
      </c>
      <c r="R131">
        <v>98.995238095238165</v>
      </c>
      <c r="S131">
        <v>-0.38085321428571461</v>
      </c>
      <c r="T131">
        <v>6.1017261904761755E-2</v>
      </c>
      <c r="U131" s="29">
        <v>-0.5223781904761905</v>
      </c>
      <c r="V131" s="28" cm="1">
        <f t="array" ref="V131:Z131">_xlfn.LET(
    _xlpm.p, $A55,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1">
        <v>0</v>
      </c>
      <c r="X131">
        <v>0</v>
      </c>
      <c r="Y131">
        <v>0</v>
      </c>
      <c r="Z131" s="29">
        <v>0</v>
      </c>
    </row>
    <row r="132" spans="1:26" x14ac:dyDescent="0.3">
      <c r="A132" t="str">
        <v>Santana, Edgar</v>
      </c>
      <c r="B132" s="28" cm="1">
        <f t="array" ref="B132:F132">_xlfn.LET(
    _xlpm.p, $A56,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0.63834057493966156</v>
      </c>
      <c r="C132">
        <v>-129.40182137371085</v>
      </c>
      <c r="D132">
        <v>0.3304058305903006</v>
      </c>
      <c r="E132">
        <v>0.49697561202545526</v>
      </c>
      <c r="F132" s="29">
        <v>-2.7961579986833258E-3</v>
      </c>
      <c r="G132" s="28" cm="1">
        <f t="array" ref="G132:K132">_xlfn.LET(
    _xlpm.p, $A56,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2.6826923076923066</v>
      </c>
      <c r="H132">
        <v>-372.55598290598255</v>
      </c>
      <c r="I132">
        <v>-0.51540754700854574</v>
      </c>
      <c r="J132">
        <v>0.86425978632478639</v>
      </c>
      <c r="K132" s="29">
        <v>0.20724971367521366</v>
      </c>
      <c r="L132" s="28" cm="1">
        <f t="array" ref="L132:P132">_xlfn.LET(
    _xlpm.p, $A56,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32">
        <v>0</v>
      </c>
      <c r="N132">
        <v>0</v>
      </c>
      <c r="O132">
        <v>0</v>
      </c>
      <c r="P132" s="29">
        <v>0</v>
      </c>
      <c r="Q132" s="28" cm="1">
        <f t="array" ref="Q132:U132">_xlfn.LET(
    _xlpm.p, $A56,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32">
        <v>0</v>
      </c>
      <c r="S132">
        <v>0</v>
      </c>
      <c r="T132">
        <v>0</v>
      </c>
      <c r="U132" s="29">
        <v>0</v>
      </c>
      <c r="V132" s="28" cm="1">
        <f t="array" ref="V132:Z132">_xlfn.LET(
    _xlpm.p, $A56,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2">
        <v>0</v>
      </c>
      <c r="X132">
        <v>0</v>
      </c>
      <c r="Y132">
        <v>0</v>
      </c>
      <c r="Z132" s="29">
        <v>0</v>
      </c>
    </row>
    <row r="133" spans="1:26" x14ac:dyDescent="0.3">
      <c r="A133" t="str">
        <v>Vines, Darius</v>
      </c>
      <c r="B133" s="28" cm="1">
        <f t="array" ref="B133:F133">_xlfn.LET(
    _xlpm.p, $A57,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-4.1466594250603492</v>
      </c>
      <c r="C133">
        <v>-13.901821373710845</v>
      </c>
      <c r="D133">
        <v>0.11909583059030093</v>
      </c>
      <c r="E133">
        <v>-0.27620438797454472</v>
      </c>
      <c r="F133" s="29">
        <v>-1.6971157998683331E-2</v>
      </c>
      <c r="G133" s="28" cm="1">
        <f t="array" ref="G133:K133">_xlfn.LET(
    _xlpm.p, $A57,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-0.44730769230768885</v>
      </c>
      <c r="H133">
        <v>-203.55598290598255</v>
      </c>
      <c r="I133">
        <v>-0.34465754700854578</v>
      </c>
      <c r="J133">
        <v>0.71726978632478633</v>
      </c>
      <c r="K133" s="29">
        <v>0.15574971367521367</v>
      </c>
      <c r="L133" s="28" cm="1">
        <f t="array" ref="L133:P133">_xlfn.LET(
    _xlpm.p, $A57,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2.1777777777777629</v>
      </c>
      <c r="M133">
        <v>151.03968253968242</v>
      </c>
      <c r="N133">
        <v>-0.59492396825396821</v>
      </c>
      <c r="O133">
        <v>0.26518055555555553</v>
      </c>
      <c r="P133" s="29">
        <v>-0.37304079365079362</v>
      </c>
      <c r="Q133" s="28" cm="1">
        <f t="array" ref="Q133:U133">_xlfn.LET(
    _xlpm.p, $A57,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-4.8542619047618984</v>
      </c>
      <c r="R133">
        <v>-55.004761904761835</v>
      </c>
      <c r="S133">
        <v>-0.1070732142857147</v>
      </c>
      <c r="T133">
        <v>-0.14090273809523823</v>
      </c>
      <c r="U133" s="29">
        <v>0.44621180952380946</v>
      </c>
      <c r="V133" s="28" cm="1">
        <f t="array" ref="V133:Z133">_xlfn.LET(
    _xlpm.p, $A57,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3">
        <v>0</v>
      </c>
      <c r="X133">
        <v>0</v>
      </c>
      <c r="Y133">
        <v>0</v>
      </c>
      <c r="Z133" s="29">
        <v>0</v>
      </c>
    </row>
    <row r="134" spans="1:26" x14ac:dyDescent="0.3">
      <c r="A134" t="str">
        <v>Anderson, Nick</v>
      </c>
      <c r="B134" s="28" cm="1">
        <f t="array" ref="B134:F134">_xlfn.LET(
    _xlpm.p, $A58,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2.3183405749396542</v>
      </c>
      <c r="C134">
        <v>-187.40182137371085</v>
      </c>
      <c r="D134">
        <v>-0.61811916940969902</v>
      </c>
      <c r="E134">
        <v>6.9575612025455258E-2</v>
      </c>
      <c r="F134" s="29">
        <v>7.0768842001316667E-2</v>
      </c>
      <c r="G134" s="28" cm="1">
        <f t="array" ref="G134:K134">_xlfn.LET(
    _xlpm.p, $A58,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134">
        <v>0</v>
      </c>
      <c r="I134">
        <v>0</v>
      </c>
      <c r="J134">
        <v>0</v>
      </c>
      <c r="K134" s="29">
        <v>0</v>
      </c>
      <c r="L134" s="28" cm="1">
        <f t="array" ref="L134:P134">_xlfn.LET(
    _xlpm.p, $A58,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4.7177777777777692</v>
      </c>
      <c r="M134">
        <v>-579.96031746031758</v>
      </c>
      <c r="N134">
        <v>-1.1970939682539683</v>
      </c>
      <c r="O134">
        <v>0.46142055555555556</v>
      </c>
      <c r="P134" s="29">
        <v>-0.26924079365079362</v>
      </c>
      <c r="Q134" s="28" cm="1">
        <f t="array" ref="Q134:U134">_xlfn.LET(
    _xlpm.p, $A58,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34">
        <v>0</v>
      </c>
      <c r="S134">
        <v>0</v>
      </c>
      <c r="T134">
        <v>0</v>
      </c>
      <c r="U134" s="29">
        <v>0</v>
      </c>
      <c r="V134" s="28" cm="1">
        <f t="array" ref="V134:Z134">_xlfn.LET(
    _xlpm.p, $A58,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4">
        <v>0</v>
      </c>
      <c r="X134">
        <v>0</v>
      </c>
      <c r="Y134">
        <v>0</v>
      </c>
      <c r="Z134" s="29">
        <v>0</v>
      </c>
    </row>
    <row r="135" spans="1:26" x14ac:dyDescent="0.3">
      <c r="A135" t="str">
        <v>Fedde, Erick</v>
      </c>
      <c r="B135" s="28" cm="1">
        <f t="array" ref="B135:F135">_xlfn.LET(
    _xlpm.p, $A59,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0.92334057493965815</v>
      </c>
      <c r="C135">
        <v>-200.40182137371085</v>
      </c>
      <c r="D135">
        <v>0.21594583059030081</v>
      </c>
      <c r="E135">
        <v>-0.1677243879745447</v>
      </c>
      <c r="F135" s="29">
        <v>-3.2671157998683337E-2</v>
      </c>
      <c r="G135" s="28" cm="1">
        <f t="array" ref="G135:K135">_xlfn.LET(
    _xlpm.p, $A59,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1.3426923076923032</v>
      </c>
      <c r="H135">
        <v>-81.555982905982546</v>
      </c>
      <c r="I135">
        <v>-0.63214754700854581</v>
      </c>
      <c r="J135">
        <v>-0.27934021367521367</v>
      </c>
      <c r="K135" s="29">
        <v>0.22362971367521367</v>
      </c>
      <c r="L135" s="28" cm="1">
        <f t="array" ref="L135:P135">_xlfn.LET(
    _xlpm.p, $A59,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35">
        <v>0</v>
      </c>
      <c r="N135">
        <v>0</v>
      </c>
      <c r="O135">
        <v>0</v>
      </c>
      <c r="P135" s="29">
        <v>0</v>
      </c>
      <c r="Q135" s="28" cm="1">
        <f t="array" ref="Q135:U135">_xlfn.LET(
    _xlpm.p, $A59,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2.6657380952380976</v>
      </c>
      <c r="R135">
        <v>241.99523809523816</v>
      </c>
      <c r="S135">
        <v>8.5506785714285272E-2</v>
      </c>
      <c r="T135">
        <v>-3.302738095238178E-3</v>
      </c>
      <c r="U135" s="29">
        <v>-0.35139819047619059</v>
      </c>
      <c r="V135" s="28" cm="1">
        <f t="array" ref="V135:Z135">_xlfn.LET(
    _xlpm.p, $A59,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5">
        <v>0</v>
      </c>
      <c r="X135">
        <v>0</v>
      </c>
      <c r="Y135">
        <v>0</v>
      </c>
      <c r="Z135" s="29">
        <v>0</v>
      </c>
    </row>
    <row r="136" spans="1:26" x14ac:dyDescent="0.3">
      <c r="A136" t="str">
        <v>Biddle, Jesse</v>
      </c>
      <c r="B136" s="28" cm="1">
        <f t="array" ref="B136:F136">_xlfn.LET(
    _xlpm.p, $A60,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1.6483405749396525</v>
      </c>
      <c r="C136">
        <v>324.09817862628915</v>
      </c>
      <c r="D136">
        <v>-0.17572416940969915</v>
      </c>
      <c r="E136">
        <v>0.28565561202545531</v>
      </c>
      <c r="F136" s="29">
        <v>0.15555384200131667</v>
      </c>
      <c r="G136" s="28" cm="1">
        <f t="array" ref="G136:K136">_xlfn.LET(
    _xlpm.p, $A60,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3.6826923076923066</v>
      </c>
      <c r="H136">
        <v>-146.55598290598255</v>
      </c>
      <c r="I136">
        <v>-0.59372754700854591</v>
      </c>
      <c r="J136">
        <v>0.22068978632478642</v>
      </c>
      <c r="K136" s="29">
        <v>6.1249713675213674E-2</v>
      </c>
      <c r="L136" s="28" cm="1">
        <f t="array" ref="L136:P136">_xlfn.LET(
    _xlpm.p, $A60,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1.1077777777777698</v>
      </c>
      <c r="M136">
        <v>85.039682539682417</v>
      </c>
      <c r="N136">
        <v>0.22259603174603182</v>
      </c>
      <c r="O136">
        <v>-0.3099494444444445</v>
      </c>
      <c r="P136" s="29">
        <v>0.36787920634920634</v>
      </c>
      <c r="Q136" s="28" cm="1">
        <f t="array" ref="Q136:U136">_xlfn.LET(
    _xlpm.p, $A60,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36">
        <v>0</v>
      </c>
      <c r="S136">
        <v>0</v>
      </c>
      <c r="T136">
        <v>0</v>
      </c>
      <c r="U136" s="29">
        <v>0</v>
      </c>
      <c r="V136" s="28" cm="1">
        <f t="array" ref="V136:Z136">_xlfn.LET(
    _xlpm.p, $A60,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6">
        <v>0</v>
      </c>
      <c r="X136">
        <v>0</v>
      </c>
      <c r="Y136">
        <v>0</v>
      </c>
      <c r="Z136" s="29">
        <v>0</v>
      </c>
    </row>
    <row r="137" spans="1:26" x14ac:dyDescent="0.3">
      <c r="A137" t="str">
        <v>Cox, Austin</v>
      </c>
      <c r="B137" s="28" cm="1">
        <f t="array" ref="B137:F137">_xlfn.LET(
    _xlpm.p, $A61,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0.11667390827297197</v>
      </c>
      <c r="C137">
        <v>-94.901821373710845</v>
      </c>
      <c r="D137">
        <v>-0.3668375027430324</v>
      </c>
      <c r="E137">
        <v>-4.3827721307878043E-2</v>
      </c>
      <c r="F137" s="29">
        <v>7.9590508667983326E-2</v>
      </c>
      <c r="G137" s="28" cm="1">
        <f t="array" ref="G137:K137">_xlfn.LET(
    _xlpm.p, $A61,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4.4426923076923117</v>
      </c>
      <c r="H137">
        <v>-231.55598290598255</v>
      </c>
      <c r="I137">
        <v>-0.87347754700854585</v>
      </c>
      <c r="J137">
        <v>0.36242978632478634</v>
      </c>
      <c r="K137" s="29">
        <v>0.11768971367521366</v>
      </c>
      <c r="L137" s="28" cm="1">
        <f t="array" ref="L137:P137">_xlfn.LET(
    _xlpm.p, $A61,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4.9377777777777681</v>
      </c>
      <c r="M137">
        <v>-23.960317460317583</v>
      </c>
      <c r="N137">
        <v>-0.70488396825396826</v>
      </c>
      <c r="O137">
        <v>0.46180055555555555</v>
      </c>
      <c r="P137" s="29">
        <v>-0.18669079365079363</v>
      </c>
      <c r="Q137" s="28" cm="1">
        <f t="array" ref="Q137:U137">_xlfn.LET(
    _xlpm.p, $A61,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-4.0642619047619064</v>
      </c>
      <c r="R137">
        <v>-895.00476190476184</v>
      </c>
      <c r="S137">
        <v>0.26869678571428546</v>
      </c>
      <c r="T137">
        <v>-0.42943273809523819</v>
      </c>
      <c r="U137" s="29">
        <v>4.3071809523809457E-2</v>
      </c>
      <c r="V137" s="28" cm="1">
        <f t="array" ref="V137:Z137">_xlfn.LET(
    _xlpm.p, $A61,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7">
        <v>0</v>
      </c>
      <c r="X137">
        <v>0</v>
      </c>
      <c r="Y137">
        <v>0</v>
      </c>
      <c r="Z137" s="29">
        <v>0</v>
      </c>
    </row>
    <row r="138" spans="1:26" x14ac:dyDescent="0.3">
      <c r="A138" t="str">
        <v>Erlin, Robbie</v>
      </c>
      <c r="B138" s="28" cm="1">
        <f t="array" ref="B138:F138">_xlfn.LET(
    _xlpm.p, $A62,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-2.6266594250603532</v>
      </c>
      <c r="C138">
        <v>6.0981786262891546</v>
      </c>
      <c r="D138">
        <v>-0.28047916940969908</v>
      </c>
      <c r="E138">
        <v>0.32844061202545516</v>
      </c>
      <c r="F138" s="29">
        <v>-0.15932115799868332</v>
      </c>
      <c r="G138" s="28" cm="1">
        <f t="array" ref="G138:K138">_xlfn.LET(
    _xlpm.p, $A62,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138">
        <v>0</v>
      </c>
      <c r="I138">
        <v>0</v>
      </c>
      <c r="J138">
        <v>0</v>
      </c>
      <c r="K138" s="29">
        <v>0</v>
      </c>
      <c r="L138" s="28" cm="1">
        <f t="array" ref="L138:P138">_xlfn.LET(
    _xlpm.p, $A62,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-0.36222222222222911</v>
      </c>
      <c r="M138">
        <v>71.039682539682417</v>
      </c>
      <c r="N138">
        <v>0.36745603174603136</v>
      </c>
      <c r="O138">
        <v>6.2900555555555515E-2</v>
      </c>
      <c r="P138" s="29">
        <v>6.4149206349206372E-2</v>
      </c>
      <c r="Q138" s="28" cm="1">
        <f t="array" ref="Q138:U138">_xlfn.LET(
    _xlpm.p, $A62,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-3.5242619047619002</v>
      </c>
      <c r="R138">
        <v>-75.004761904761835</v>
      </c>
      <c r="S138">
        <v>-1.670321428571464E-2</v>
      </c>
      <c r="T138">
        <v>-0.14317273809523823</v>
      </c>
      <c r="U138" s="29">
        <v>7.8741809523809492E-2</v>
      </c>
      <c r="V138" s="28" cm="1">
        <f t="array" ref="V138:Z138">_xlfn.LET(
    _xlpm.p, $A62,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8">
        <v>0</v>
      </c>
      <c r="X138">
        <v>0</v>
      </c>
      <c r="Y138">
        <v>0</v>
      </c>
      <c r="Z138" s="29">
        <v>0</v>
      </c>
    </row>
    <row r="139" spans="1:26" x14ac:dyDescent="0.3">
      <c r="A139" t="str">
        <v>Chirinos, Yonny</v>
      </c>
      <c r="B139" s="28" cm="1">
        <f t="array" ref="B139:F139">_xlfn.LET(
    _xlpm.p, $A63,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0.95834057493965474</v>
      </c>
      <c r="C139">
        <v>-169.90182137371085</v>
      </c>
      <c r="D139">
        <v>1.8855830590300826E-2</v>
      </c>
      <c r="E139">
        <v>0.54495561202545517</v>
      </c>
      <c r="F139" s="29">
        <v>-0.25867615799868338</v>
      </c>
      <c r="G139" s="28" cm="1">
        <f t="array" ref="G139:K139">_xlfn.LET(
    _xlpm.p, $A63,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8.1126923076923134</v>
      </c>
      <c r="H139">
        <v>-371.55598290598255</v>
      </c>
      <c r="I139">
        <v>-1.3484075470085459</v>
      </c>
      <c r="J139">
        <v>0.86638978632478636</v>
      </c>
      <c r="K139" s="29">
        <v>0.15821971367521367</v>
      </c>
      <c r="L139" s="28" cm="1">
        <f t="array" ref="L139:P139">_xlfn.LET(
    _xlpm.p, $A63,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39">
        <v>0</v>
      </c>
      <c r="N139">
        <v>0</v>
      </c>
      <c r="O139">
        <v>0</v>
      </c>
      <c r="P139" s="29">
        <v>0</v>
      </c>
      <c r="Q139" s="28" cm="1">
        <f t="array" ref="Q139:U139">_xlfn.LET(
    _xlpm.p, $A63,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-0.33426190476190243</v>
      </c>
      <c r="R139">
        <v>-184.00476190476184</v>
      </c>
      <c r="S139">
        <v>0.16078678571428551</v>
      </c>
      <c r="T139">
        <v>-0.45628273809523823</v>
      </c>
      <c r="U139" s="29">
        <v>0.38124180952380948</v>
      </c>
      <c r="V139" s="28" cm="1">
        <f t="array" ref="V139:Z139">_xlfn.LET(
    _xlpm.p, $A63,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39">
        <v>0</v>
      </c>
      <c r="X139">
        <v>0</v>
      </c>
      <c r="Y139">
        <v>0</v>
      </c>
      <c r="Z139" s="29">
        <v>0</v>
      </c>
    </row>
    <row r="140" spans="1:26" x14ac:dyDescent="0.3">
      <c r="A140" t="str">
        <v>Rodríguez, Richard</v>
      </c>
      <c r="B140" s="28" cm="1">
        <f t="array" ref="B140:F140">_xlfn.LET(
    _xlpm.p, $A64,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1.5833405749396547</v>
      </c>
      <c r="C140">
        <v>29.098178626289155</v>
      </c>
      <c r="D140">
        <v>-0.31060416940969904</v>
      </c>
      <c r="E140">
        <v>0.53595561202545527</v>
      </c>
      <c r="F140" s="29">
        <v>0.24647384200131667</v>
      </c>
      <c r="G140" s="28" cm="1">
        <f t="array" ref="G140:K140">_xlfn.LET(
    _xlpm.p, $A64,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-0.87730769230769567</v>
      </c>
      <c r="H140">
        <v>-632.55598290598255</v>
      </c>
      <c r="I140">
        <v>0.38439245299145419</v>
      </c>
      <c r="J140">
        <v>0.23252978632478638</v>
      </c>
      <c r="K140" s="29">
        <v>0.33696971367521367</v>
      </c>
      <c r="L140" s="28" cm="1">
        <f t="array" ref="L140:P140">_xlfn.LET(
    _xlpm.p, $A64,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40">
        <v>0</v>
      </c>
      <c r="N140">
        <v>0</v>
      </c>
      <c r="O140">
        <v>0</v>
      </c>
      <c r="P140" s="29">
        <v>0</v>
      </c>
      <c r="Q140" s="28" cm="1">
        <f t="array" ref="Q140:U140">_xlfn.LET(
    _xlpm.p, $A64,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40">
        <v>0</v>
      </c>
      <c r="S140">
        <v>0</v>
      </c>
      <c r="T140">
        <v>0</v>
      </c>
      <c r="U140" s="29">
        <v>0</v>
      </c>
      <c r="V140" s="28" cm="1">
        <f t="array" ref="V140:Z140">_xlfn.LET(
    _xlpm.p, $A64,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0">
        <v>0</v>
      </c>
      <c r="X140">
        <v>0</v>
      </c>
      <c r="Y140">
        <v>0</v>
      </c>
      <c r="Z140" s="29">
        <v>0</v>
      </c>
    </row>
    <row r="141" spans="1:26" x14ac:dyDescent="0.3">
      <c r="A141" t="str">
        <v>Kerr, Ray</v>
      </c>
      <c r="B141" s="28" cm="1">
        <f t="array" ref="B141:F141">_xlfn.LET(
    _xlpm.p, $A65,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0.54834057493965815</v>
      </c>
      <c r="C141">
        <v>-111.90182137371085</v>
      </c>
      <c r="D141">
        <v>-9.597416940969894E-2</v>
      </c>
      <c r="E141">
        <v>-0.2500193879745447</v>
      </c>
      <c r="F141" s="29">
        <v>-7.4261579986833279E-3</v>
      </c>
      <c r="G141" s="28" cm="1">
        <f t="array" ref="G141:K141">_xlfn.LET(
    _xlpm.p, $A65,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H141">
        <v>0</v>
      </c>
      <c r="I141">
        <v>0</v>
      </c>
      <c r="J141">
        <v>0</v>
      </c>
      <c r="K141" s="29">
        <v>0</v>
      </c>
      <c r="L141" s="28" cm="1">
        <f t="array" ref="L141:P141">_xlfn.LET(
    _xlpm.p, $A65,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6.4777777777777743</v>
      </c>
      <c r="M141">
        <v>-546.96031746031758</v>
      </c>
      <c r="N141">
        <v>-1.3379339682539686</v>
      </c>
      <c r="O141">
        <v>0.66047055555555556</v>
      </c>
      <c r="P141" s="29">
        <v>-0.21996079365079363</v>
      </c>
      <c r="Q141" s="28" cm="1">
        <f t="array" ref="Q141:U141">_xlfn.LET(
    _xlpm.p, $A65,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3.4257380952381027</v>
      </c>
      <c r="R141">
        <v>-17.004761904761835</v>
      </c>
      <c r="S141">
        <v>-0.42909321428571445</v>
      </c>
      <c r="T141">
        <v>9.9107261904761712E-2</v>
      </c>
      <c r="U141" s="29">
        <v>-0.42516819047619048</v>
      </c>
      <c r="V141" s="28" cm="1">
        <f t="array" ref="V141:Z141">_xlfn.LET(
    _xlpm.p, $A65,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1">
        <v>0</v>
      </c>
      <c r="X141">
        <v>0</v>
      </c>
      <c r="Y141">
        <v>0</v>
      </c>
      <c r="Z141" s="29">
        <v>0</v>
      </c>
    </row>
    <row r="142" spans="1:26" x14ac:dyDescent="0.3">
      <c r="A142" t="str">
        <v>Kinley, Tyler</v>
      </c>
      <c r="B142" s="28" cm="1">
        <f t="array" ref="B142:F142">_xlfn.LET(
    _xlpm.p, $A66,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1.8833405749396519</v>
      </c>
      <c r="C142">
        <v>124.09817862628915</v>
      </c>
      <c r="D142">
        <v>-0.54531416940969901</v>
      </c>
      <c r="E142">
        <v>-0.2699143879745447</v>
      </c>
      <c r="F142" s="29">
        <v>-4.1246157998683329E-2</v>
      </c>
      <c r="G142" s="28" cm="1">
        <f t="array" ref="G142:K142">_xlfn.LET(
    _xlpm.p, $A66,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4.3826923076923094</v>
      </c>
      <c r="H142">
        <v>-29.555982905982546</v>
      </c>
      <c r="I142">
        <v>-0.87367754700854583</v>
      </c>
      <c r="J142">
        <v>0.5771297863247864</v>
      </c>
      <c r="K142" s="29">
        <v>0.14664971367521368</v>
      </c>
      <c r="L142" s="28" cm="1">
        <f t="array" ref="L142:P142">_xlfn.LET(
    _xlpm.p, $A66,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7.8177777777777635</v>
      </c>
      <c r="M142">
        <v>270.03968253968242</v>
      </c>
      <c r="N142">
        <v>-1.0839839682539685</v>
      </c>
      <c r="O142">
        <v>0.41565055555555552</v>
      </c>
      <c r="P142" s="29">
        <v>-0.21630079365079363</v>
      </c>
      <c r="Q142" s="28" cm="1">
        <f t="array" ref="Q142:U142">_xlfn.LET(
    _xlpm.p, $A66,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42">
        <v>0</v>
      </c>
      <c r="S142">
        <v>0</v>
      </c>
      <c r="T142">
        <v>0</v>
      </c>
      <c r="U142" s="29">
        <v>0</v>
      </c>
      <c r="V142" s="28" cm="1">
        <f t="array" ref="V142:Z142">_xlfn.LET(
    _xlpm.p, $A66,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2">
        <v>0</v>
      </c>
      <c r="X142">
        <v>0</v>
      </c>
      <c r="Y142">
        <v>0</v>
      </c>
      <c r="Z142" s="29">
        <v>0</v>
      </c>
    </row>
    <row r="143" spans="1:26" x14ac:dyDescent="0.3">
      <c r="A143" t="str">
        <v>Hand, Brad</v>
      </c>
      <c r="B143" s="28" cm="1">
        <f t="array" ref="B143:F143">_xlfn.LET(
    _xlpm.p, $A67,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-1.165942506034412E-2</v>
      </c>
      <c r="C143">
        <v>-29.401821373710845</v>
      </c>
      <c r="D143">
        <v>8.9400830590300906E-2</v>
      </c>
      <c r="E143">
        <v>0.65099561202545531</v>
      </c>
      <c r="F143" s="29">
        <v>-0.32368615799868333</v>
      </c>
      <c r="G143" s="28" cm="1">
        <f t="array" ref="G143:K143">_xlfn.LET(
    _xlpm.p, $A67,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-2.8373076923076894</v>
      </c>
      <c r="H143">
        <v>-158.55598290598255</v>
      </c>
      <c r="I143">
        <v>7.3912452991454103E-2</v>
      </c>
      <c r="J143">
        <v>-0.54090021367521368</v>
      </c>
      <c r="K143" s="29">
        <v>0.22555971367521366</v>
      </c>
      <c r="L143" s="28" cm="1">
        <f t="array" ref="L143:P143">_xlfn.LET(
    _xlpm.p, $A67,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43">
        <v>0</v>
      </c>
      <c r="N143">
        <v>0</v>
      </c>
      <c r="O143">
        <v>0</v>
      </c>
      <c r="P143" s="29">
        <v>0</v>
      </c>
      <c r="Q143" s="28" cm="1">
        <f t="array" ref="Q143:U143">_xlfn.LET(
    _xlpm.p, $A67,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43">
        <v>0</v>
      </c>
      <c r="S143">
        <v>0</v>
      </c>
      <c r="T143">
        <v>0</v>
      </c>
      <c r="U143" s="29">
        <v>0</v>
      </c>
      <c r="V143" s="28" cm="1">
        <f t="array" ref="V143:Z143">_xlfn.LET(
    _xlpm.p, $A67,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3">
        <v>0</v>
      </c>
      <c r="X143">
        <v>0</v>
      </c>
      <c r="Y143">
        <v>0</v>
      </c>
      <c r="Z143" s="29">
        <v>0</v>
      </c>
    </row>
    <row r="144" spans="1:26" x14ac:dyDescent="0.3">
      <c r="A144" t="str">
        <v>Heller, Ben</v>
      </c>
      <c r="B144" s="28" cm="1">
        <f t="array" ref="B144:F144">_xlfn.LET(
    _xlpm.p, $A68,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1.4900072416063068</v>
      </c>
      <c r="C144">
        <v>-45.23515470704433</v>
      </c>
      <c r="D144">
        <v>0.25735249725696741</v>
      </c>
      <c r="E144">
        <v>0.4356989453587885</v>
      </c>
      <c r="F144" s="29">
        <v>-0.17957615799868334</v>
      </c>
      <c r="G144" s="28" cm="1">
        <f t="array" ref="G144:K144">_xlfn.LET(
    _xlpm.p, $A68,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-4.0473076923076974</v>
      </c>
      <c r="H144">
        <v>-105.55598290598255</v>
      </c>
      <c r="I144">
        <v>0.26791245299145405</v>
      </c>
      <c r="J144">
        <v>-0.54044021367521355</v>
      </c>
      <c r="K144" s="29">
        <v>-0.59132028632478639</v>
      </c>
      <c r="L144" s="28" cm="1">
        <f t="array" ref="L144:P144">_xlfn.LET(
    _xlpm.p, $A68,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44">
        <v>0</v>
      </c>
      <c r="N144">
        <v>0</v>
      </c>
      <c r="O144">
        <v>0</v>
      </c>
      <c r="P144" s="29">
        <v>0</v>
      </c>
      <c r="Q144" s="28" cm="1">
        <f t="array" ref="Q144:U144">_xlfn.LET(
    _xlpm.p, $A68,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-1.5342619047619053</v>
      </c>
      <c r="R144">
        <v>-24.004761904761835</v>
      </c>
      <c r="S144">
        <v>0.28145678571428556</v>
      </c>
      <c r="T144">
        <v>0.21005726190476182</v>
      </c>
      <c r="U144" s="29">
        <v>-0.54628819047619059</v>
      </c>
      <c r="V144" s="28" cm="1">
        <f t="array" ref="V144:Z144">_xlfn.LET(
    _xlpm.p, $A68,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4">
        <v>0</v>
      </c>
      <c r="X144">
        <v>0</v>
      </c>
      <c r="Y144">
        <v>0</v>
      </c>
      <c r="Z144" s="29">
        <v>0</v>
      </c>
    </row>
    <row r="145" spans="1:26" x14ac:dyDescent="0.3">
      <c r="A145" t="str">
        <v>Suarez, José</v>
      </c>
      <c r="B145" s="28" cm="1">
        <f t="array" ref="B145:F145">_xlfn.LET(
    _xlpm.p, $A69,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0.52834057493964792</v>
      </c>
      <c r="C145">
        <v>85.598178626289155</v>
      </c>
      <c r="D145">
        <v>-0.38289416940969923</v>
      </c>
      <c r="E145">
        <v>0.50409061202545524</v>
      </c>
      <c r="F145" s="29">
        <v>0.66718384200131664</v>
      </c>
      <c r="G145" s="28" cm="1">
        <f t="array" ref="G145:K145">_xlfn.LET(
    _xlpm.p, $A69,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-3.7323076923076997</v>
      </c>
      <c r="H145">
        <v>281.44401709401745</v>
      </c>
      <c r="I145">
        <v>0.26889745299145451</v>
      </c>
      <c r="J145">
        <v>-0.16370521367521362</v>
      </c>
      <c r="K145" s="29">
        <v>-0.52809028632478638</v>
      </c>
      <c r="L145" s="28" cm="1">
        <f t="array" ref="L145:P145">_xlfn.LET(
    _xlpm.p, $A69,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2.0677777777777635</v>
      </c>
      <c r="M145">
        <v>431.03968253968242</v>
      </c>
      <c r="N145">
        <v>-0.4342139682539683</v>
      </c>
      <c r="O145">
        <v>-0.24481944444444448</v>
      </c>
      <c r="P145" s="29">
        <v>0.68695920634920637</v>
      </c>
      <c r="Q145" s="28" cm="1">
        <f t="array" ref="Q145:U145">_xlfn.LET(
    _xlpm.p, $A69,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-3.1942619047619019</v>
      </c>
      <c r="R145">
        <v>48.995238095238165</v>
      </c>
      <c r="S145">
        <v>0.3939067857142855</v>
      </c>
      <c r="T145">
        <v>0.30470726190476172</v>
      </c>
      <c r="U145" s="29">
        <v>-0.2189281904761905</v>
      </c>
      <c r="V145" s="28" cm="1">
        <f t="array" ref="V145:Z145">_xlfn.LET(
    _xlpm.p, $A69,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5">
        <v>0</v>
      </c>
      <c r="X145">
        <v>0</v>
      </c>
      <c r="Y145">
        <v>0</v>
      </c>
      <c r="Z145" s="29">
        <v>0</v>
      </c>
    </row>
    <row r="146" spans="1:26" x14ac:dyDescent="0.3">
      <c r="A146" t="str">
        <v>Fuentes, Didier</v>
      </c>
      <c r="B146" s="28" cm="1">
        <f t="array" ref="B146:F146">_xlfn.LET(
    _xlpm.p, $A70,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4.5633405749396587</v>
      </c>
      <c r="C146">
        <v>-83.901821373710845</v>
      </c>
      <c r="D146">
        <v>-0.57803416940969909</v>
      </c>
      <c r="E146">
        <v>0.25344561202545524</v>
      </c>
      <c r="F146" s="29">
        <v>0.12814384200131665</v>
      </c>
      <c r="G146" s="28" cm="1">
        <f t="array" ref="G146:K146">_xlfn.LET(
    _xlpm.p, $A70,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1.7026923076923026</v>
      </c>
      <c r="H146">
        <v>-94.555982905982546</v>
      </c>
      <c r="I146">
        <v>-0.18107754700854573</v>
      </c>
      <c r="J146">
        <v>5.8509786324786317E-2</v>
      </c>
      <c r="K146" s="29">
        <v>-0.13851028632478632</v>
      </c>
      <c r="L146" s="28" cm="1">
        <f t="array" ref="L146:P146">_xlfn.LET(
    _xlpm.p, $A70,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4.1277777777777658</v>
      </c>
      <c r="M146">
        <v>121.03968253968242</v>
      </c>
      <c r="N146">
        <v>-0.44564396825396813</v>
      </c>
      <c r="O146">
        <v>-0.55081944444444442</v>
      </c>
      <c r="P146" s="29">
        <v>0.37809920634920635</v>
      </c>
      <c r="Q146" s="28" cm="1">
        <f t="array" ref="Q146:U146">_xlfn.LET(
    _xlpm.p, $A70,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2.815738095238089</v>
      </c>
      <c r="R146">
        <v>261.99523809523816</v>
      </c>
      <c r="S146">
        <v>-0.2797432142857148</v>
      </c>
      <c r="T146">
        <v>0.25851726190476176</v>
      </c>
      <c r="U146" s="29">
        <v>0.51790180952380949</v>
      </c>
      <c r="V146" s="28" cm="1">
        <f t="array" ref="V146:Z146">_xlfn.LET(
    _xlpm.p, $A70,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6">
        <v>0</v>
      </c>
      <c r="X146">
        <v>0</v>
      </c>
      <c r="Y146">
        <v>0</v>
      </c>
      <c r="Z146" s="29">
        <v>0</v>
      </c>
    </row>
    <row r="147" spans="1:26" x14ac:dyDescent="0.3">
      <c r="A147" t="str">
        <v>Luetge, Lucas</v>
      </c>
      <c r="B147" s="28" cm="1">
        <f t="array" ref="B147:F147">_xlfn.LET(
    _xlpm.p, $A71,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-3.7333260917270081</v>
      </c>
      <c r="C147">
        <v>254.09817862628915</v>
      </c>
      <c r="D147">
        <v>0.35094249725696725</v>
      </c>
      <c r="E147">
        <v>-0.57459438797454476</v>
      </c>
      <c r="F147" s="29">
        <v>4.3447175334650014E-2</v>
      </c>
      <c r="G147" s="28" cm="1">
        <f t="array" ref="G147:K147">_xlfn.LET(
    _xlpm.p, $A71,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-6.1273076923076957</v>
      </c>
      <c r="H147">
        <v>106.44401709401745</v>
      </c>
      <c r="I147">
        <v>0.53955245299145416</v>
      </c>
      <c r="J147">
        <v>-0.87826021367521356</v>
      </c>
      <c r="K147" s="29">
        <v>0.18680971367521368</v>
      </c>
      <c r="L147" s="28" cm="1">
        <f t="array" ref="L147:P147">_xlfn.LET(
    _xlpm.p, $A71,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-2.6722222222222314</v>
      </c>
      <c r="M147">
        <v>-13.960317460317583</v>
      </c>
      <c r="N147">
        <v>0.66104603174603138</v>
      </c>
      <c r="O147">
        <v>-0.19823944444444441</v>
      </c>
      <c r="P147" s="29">
        <v>0.41300920634920635</v>
      </c>
      <c r="Q147" s="28" cm="1">
        <f t="array" ref="Q147:U147">_xlfn.LET(
    _xlpm.p, $A71,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R147">
        <v>0</v>
      </c>
      <c r="S147">
        <v>0</v>
      </c>
      <c r="T147">
        <v>0</v>
      </c>
      <c r="U147" s="29">
        <v>0</v>
      </c>
      <c r="V147" s="28" cm="1">
        <f t="array" ref="V147:Z147">_xlfn.LET(
    _xlpm.p, $A71,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7">
        <v>0</v>
      </c>
      <c r="X147">
        <v>0</v>
      </c>
      <c r="Y147">
        <v>0</v>
      </c>
      <c r="Z147" s="29">
        <v>0</v>
      </c>
    </row>
    <row r="148" spans="1:26" x14ac:dyDescent="0.3">
      <c r="A148" t="str">
        <v>Carrasco, Carlos</v>
      </c>
      <c r="B148" s="28" cm="1">
        <f t="array" ref="B148:F148">_xlfn.LET(
    _xlpm.p, $A72,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-0.87165942506035776</v>
      </c>
      <c r="C148">
        <v>-162.40182137371085</v>
      </c>
      <c r="D148">
        <v>0.2967808305903008</v>
      </c>
      <c r="E148">
        <v>0.3205306120254553</v>
      </c>
      <c r="F148" s="29">
        <v>-5.5826157998683332E-2</v>
      </c>
      <c r="G148" s="28" cm="1">
        <f t="array" ref="G148:K148">_xlfn.LET(
    _xlpm.p, $A72,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3.0526923076923111</v>
      </c>
      <c r="H148">
        <v>-258.55598290598255</v>
      </c>
      <c r="I148">
        <v>-0.84251754700854598</v>
      </c>
      <c r="J148">
        <v>0.67818978632478633</v>
      </c>
      <c r="K148" s="29">
        <v>0.11435971367521366</v>
      </c>
      <c r="L148" s="28" cm="1">
        <f t="array" ref="L148:P148">_xlfn.LET(
    _xlpm.p, $A72,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2.3477777777777646</v>
      </c>
      <c r="M148">
        <v>106.03968253968242</v>
      </c>
      <c r="N148">
        <v>-0.62274396825396838</v>
      </c>
      <c r="O148">
        <v>3.4270555555555582E-2</v>
      </c>
      <c r="P148" s="29">
        <v>7.4539206349206383E-2</v>
      </c>
      <c r="Q148" s="28" cm="1">
        <f t="array" ref="Q148:U148">_xlfn.LET(
    _xlpm.p, $A72,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-0.82426190476189731</v>
      </c>
      <c r="R148">
        <v>-293.00476190476184</v>
      </c>
      <c r="S148">
        <v>0.47407678571428535</v>
      </c>
      <c r="T148">
        <v>-0.28090273809523825</v>
      </c>
      <c r="U148" s="29">
        <v>0.12447180952380948</v>
      </c>
      <c r="V148" s="28" cm="1">
        <f t="array" ref="V148:Z148">_xlfn.LET(
    _xlpm.p, $A72,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8">
        <v>0</v>
      </c>
      <c r="X148">
        <v>0</v>
      </c>
      <c r="Y148">
        <v>0</v>
      </c>
      <c r="Z148" s="29">
        <v>0</v>
      </c>
    </row>
    <row r="149" spans="1:26" x14ac:dyDescent="0.3">
      <c r="A149" t="str">
        <v>Blewett, Scott</v>
      </c>
      <c r="B149" s="28" cm="1">
        <f t="array" ref="B149:F149">_xlfn.LET(
    _xlpm.p, $A73,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3.0333405749396576</v>
      </c>
      <c r="C149">
        <v>-35.901821373710845</v>
      </c>
      <c r="D149">
        <v>-0.31601416940969917</v>
      </c>
      <c r="E149">
        <v>-0.11340438797454472</v>
      </c>
      <c r="F149" s="29">
        <v>1.0313842001316667E-2</v>
      </c>
      <c r="G149" s="28" cm="1">
        <f t="array" ref="G149:K149">_xlfn.LET(
    _xlpm.p, $A73,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2.7626923076923049</v>
      </c>
      <c r="H149">
        <v>-442.55598290598255</v>
      </c>
      <c r="I149">
        <v>-0.17751754700854594</v>
      </c>
      <c r="J149">
        <v>0.54953978632478639</v>
      </c>
      <c r="K149" s="29">
        <v>0.16209971367521367</v>
      </c>
      <c r="L149" s="28" cm="1">
        <f t="array" ref="L149:P149">_xlfn.LET(
    _xlpm.p, $A73,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49">
        <v>0</v>
      </c>
      <c r="N149">
        <v>0</v>
      </c>
      <c r="O149">
        <v>0</v>
      </c>
      <c r="P149" s="29">
        <v>0</v>
      </c>
      <c r="Q149" s="28" cm="1">
        <f t="array" ref="Q149:U149">_xlfn.LET(
    _xlpm.p, $A73,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-0.17426190476190584</v>
      </c>
      <c r="R149">
        <v>-509.00476190476184</v>
      </c>
      <c r="S149">
        <v>0.29744678571428551</v>
      </c>
      <c r="T149">
        <v>-0.40680273809523826</v>
      </c>
      <c r="U149" s="29">
        <v>0.36927180952380945</v>
      </c>
      <c r="V149" s="28" cm="1">
        <f t="array" ref="V149:Z149">_xlfn.LET(
    _xlpm.p, $A73,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49">
        <v>0</v>
      </c>
      <c r="X149">
        <v>0</v>
      </c>
      <c r="Y149">
        <v>0</v>
      </c>
      <c r="Z149" s="29">
        <v>0</v>
      </c>
    </row>
    <row r="150" spans="1:26" x14ac:dyDescent="0.3">
      <c r="A150" t="str">
        <v>Stratton, Hunter</v>
      </c>
      <c r="B150" s="28" cm="1">
        <f t="array" ref="B150:F150">_xlfn.LET(
    _xlpm.p, $A74,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3.3666739082730004</v>
      </c>
      <c r="C150">
        <v>242.43151195962264</v>
      </c>
      <c r="D150">
        <v>-0.33290750274303238</v>
      </c>
      <c r="E150">
        <v>-0.21132772130787808</v>
      </c>
      <c r="F150" s="29">
        <v>2.6083842001316665E-2</v>
      </c>
      <c r="G150" s="28" cm="1">
        <f t="array" ref="G150:K150">_xlfn.LET(
    _xlpm.p, $A74,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3.6526923076923055</v>
      </c>
      <c r="H150">
        <v>101.44401709401745</v>
      </c>
      <c r="I150">
        <v>-0.46123754700854569</v>
      </c>
      <c r="J150">
        <v>1.7169786324786385E-2</v>
      </c>
      <c r="K150" s="29">
        <v>9.8389713675213666E-2</v>
      </c>
      <c r="L150" s="28" cm="1">
        <f t="array" ref="L150:P150">_xlfn.LET(
    _xlpm.p, $A74,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M150">
        <v>0</v>
      </c>
      <c r="N150">
        <v>0</v>
      </c>
      <c r="O150">
        <v>0</v>
      </c>
      <c r="P150" s="29">
        <v>0</v>
      </c>
      <c r="Q150" s="28" cm="1">
        <f t="array" ref="Q150:U150">_xlfn.LET(
    _xlpm.p, $A74,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5.4757380952380998</v>
      </c>
      <c r="R150">
        <v>101.99523809523816</v>
      </c>
      <c r="S150">
        <v>-0.61585321428571449</v>
      </c>
      <c r="T150">
        <v>-0.19148273809523819</v>
      </c>
      <c r="U150" s="29">
        <v>0.36012180952380946</v>
      </c>
      <c r="V150" s="28" cm="1">
        <f t="array" ref="V150:Z150">_xlfn.LET(
    _xlpm.p, $A74,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50">
        <v>0</v>
      </c>
      <c r="X150">
        <v>0</v>
      </c>
      <c r="Y150">
        <v>0</v>
      </c>
      <c r="Z150" s="29">
        <v>0</v>
      </c>
    </row>
    <row r="151" spans="1:26" x14ac:dyDescent="0.3">
      <c r="A151" t="str">
        <v>Thornburg, Tyler</v>
      </c>
      <c r="B151" s="28" cm="1">
        <f t="array" ref="B151:F151">_xlfn.LET(
    _xlpm.p, $A75,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1.2433405749396513</v>
      </c>
      <c r="C151">
        <v>133.09817862628915</v>
      </c>
      <c r="D151">
        <v>-0.78110416940969907</v>
      </c>
      <c r="E151">
        <v>-2.6284387974544687E-2</v>
      </c>
      <c r="F151" s="29">
        <v>7.3033842001316671E-2</v>
      </c>
      <c r="G151" s="28" cm="1">
        <f t="array" ref="G151:K151">_xlfn.LET(
    _xlpm.p, $A75,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0.4326923076923066</v>
      </c>
      <c r="H151">
        <v>-399.55598290598255</v>
      </c>
      <c r="I151">
        <v>4.0172452991454222E-2</v>
      </c>
      <c r="J151">
        <v>0.6563897863247864</v>
      </c>
      <c r="K151" s="29">
        <v>9.1359713675213672E-2</v>
      </c>
      <c r="L151" s="28" cm="1">
        <f t="array" ref="L151:P151">_xlfn.LET(
    _xlpm.p, $A75,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9.7777777777764641E-2</v>
      </c>
      <c r="M151">
        <v>102.03968253968242</v>
      </c>
      <c r="N151">
        <v>0.3744960317460313</v>
      </c>
      <c r="O151">
        <v>3.0805555555555308E-3</v>
      </c>
      <c r="P151" s="29">
        <v>-0.34481079365079365</v>
      </c>
      <c r="Q151" s="28" cm="1">
        <f t="array" ref="Q151:U151">_xlfn.LET(
    _xlpm.p, $A75,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-1.204261904761907</v>
      </c>
      <c r="R151">
        <v>-101.00476190476184</v>
      </c>
      <c r="S151">
        <v>-0.4161832142857147</v>
      </c>
      <c r="T151">
        <v>1.3187261904761827E-2</v>
      </c>
      <c r="U151" s="29">
        <v>0.46345180952380949</v>
      </c>
      <c r="V151" s="28" cm="1">
        <f t="array" ref="V151:Z151">_xlfn.LET(
    _xlpm.p, $A75,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51">
        <v>0</v>
      </c>
      <c r="X151">
        <v>0</v>
      </c>
      <c r="Y151">
        <v>0</v>
      </c>
      <c r="Z151" s="29">
        <v>0</v>
      </c>
    </row>
    <row r="152" spans="1:26" ht="15" thickBot="1" x14ac:dyDescent="0.35">
      <c r="A152" t="str">
        <v>Milone, Tommy</v>
      </c>
      <c r="B152" s="3" cm="1">
        <f t="array" ref="B152:F152">_xlfn.LET(
    _xlpm.p, $A76,
    _xlpm.names, braves_19_25!$B:$B,
    _xlpm.types, braves_19_25!$C:$C,
    _xlpm.fam, (_xlpm.types="FF") + (_xlpm.types="SI") + (_xlpm.types="FC"),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AD$4,
    _xlpm.ΔSpin, _xlpm.Pitch_Spin - AE$4,
    _xlpm.ΔVB, _xlpm.Pitch_VB - AF$4,
    _xlpm.ΔASB, _xlpm.Pitch_ASB - AG$4,
    _xlpm.ΔBSB, _xlpm.Pitch_BSB - AH$4,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-6.7066594250603373</v>
      </c>
      <c r="C152" s="21">
        <v>-84.401821373710845</v>
      </c>
      <c r="D152" s="21">
        <v>-0.154179169409699</v>
      </c>
      <c r="E152" s="21">
        <v>0.23446061202545521</v>
      </c>
      <c r="F152" s="4">
        <v>-0.67707615799868326</v>
      </c>
      <c r="G152" s="3" cm="1">
        <f t="array" ref="G152:K152">_xlfn.LET(
    _xlpm.p, $A76,
    _xlpm.names, braves_19_25!$B:$B,
    _xlpm.types, braves_19_25!$C:$C,
    _xlpm.fam, (_xlpm.types="SL") + (_xlpm.types="ST") + (_xlpm.types="SV"),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AI$4,
    _xlpm.ΔSpin, _xlpm.Pitch_Spin - AJ$4,
    _xlpm.ΔVB, _xlpm.Pitch_VB - AK$4,
    _xlpm.ΔASB, _xlpm.Pitch_ASB - AL$4,
    _xlpm.ΔBSB, _xlpm.Pitch_BSB - AM$4,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-3.0673076923076934</v>
      </c>
      <c r="H152" s="21">
        <v>-310.55598290598255</v>
      </c>
      <c r="I152" s="21">
        <v>-0.44493754700854593</v>
      </c>
      <c r="J152" s="21">
        <v>0.49508978632478634</v>
      </c>
      <c r="K152" s="4">
        <v>0.11092971367521366</v>
      </c>
      <c r="L152" s="3" cm="1">
        <f t="array" ref="L152:P152">_xlfn.LET(
    _xlpm.p, $A76,
    _xlpm.names, braves_19_25!$B:$B,
    _xlpm.types, braves_19_25!$C:$C,
    _xlpm.fam, (_xlpm.types="CU") + (_xlpm.types="CS") + (_xlpm.types="KC"),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AN$4,
    _xlpm.ΔSpin, _xlpm.Pitch_Spin - AO$4,
    _xlpm.ΔVB, _xlpm.Pitch_VB - AP$4,
    _xlpm.ΔASB, _xlpm.Pitch_ASB - AQ$4,
    _xlpm.ΔBSB, _xlpm.Pitch_BSB - AR$4,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-0.70222222222223252</v>
      </c>
      <c r="M152" s="21">
        <v>-62.960317460317583</v>
      </c>
      <c r="N152" s="21">
        <v>-0.67754396825396856</v>
      </c>
      <c r="O152" s="21">
        <v>0.46185055555555554</v>
      </c>
      <c r="P152" s="4">
        <v>-1.9710793650793618E-2</v>
      </c>
      <c r="Q152" s="3" cm="1">
        <f t="array" ref="Q152:U152">_xlfn.LET(
    _xlpm.p, $A76,
    _xlpm.names, braves_19_25!$B:$B,
    _xlpm.types, braves_19_25!$C:$C,
    _xlpm.fam, (_xlpm.types="FS") + (_xlpm.types="CH") + (_xlpm.types="FO") + (_xlpm.types="SC"),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AS$4,
    _xlpm.ΔSpin, _xlpm.Pitch_Spin - AT$4,
    _xlpm.ΔVB, _xlpm.Pitch_VB - AU$4,
    _xlpm.ΔASB, _xlpm.Pitch_ASB - AV$4,
    _xlpm.ΔBSB, _xlpm.Pitch_BSB - AW$4,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-7.3842619047618996</v>
      </c>
      <c r="R152" s="21">
        <v>98.995238095238165</v>
      </c>
      <c r="S152" s="21">
        <v>0.23843678571428528</v>
      </c>
      <c r="T152" s="21">
        <v>0.2023272619047618</v>
      </c>
      <c r="U152" s="4">
        <v>-0.50487819047619042</v>
      </c>
      <c r="V152" s="3" cm="1">
        <f t="array" ref="V152:Z152">_xlfn.LET(
    _xlpm.p, $A76,
    _xlpm.names, braves_19_25!$B:$B,
    _xlpm.types, braves_19_25!$C:$C,
    _xlpm.fam, (_xlpm.types="EP") + (_xlpm.types="FA") + (_xlpm.types="KN"),
    _xlpm.throwsFam, SUM((_xlpm.names=_xlpm.p)*_xlpm.fam),
    _xlpm.Pitch_Eff, IFERROR(AVERAGE(IF((_xlpm.names=_xlpm.p)*_xlpm.fam, braves_19_25!$G:$G)), 0),
    _xlpm.Pitch_Spin, IFERROR(AVERAGE(IF((_xlpm.names=_xlpm.p)*_xlpm.fam, braves_19_25!$F:$F)), 0),
    _xlpm.Pitch_VB, IFERROR(AVERAGE(IF((_xlpm.names=_xlpm.p)*_xlpm.fam, braves_19_25!$I:$I)), 0),
    _xlpm.Pitch_ASB, IFERROR(AVERAGE(IF((_xlpm.names=_xlpm.p)*_xlpm.fam, braves_19_25!$J:$J)), 0),
    _xlpm.Pitch_BSB, IFERROR(AVERAGE(IF((_xlpm.names=_xlpm.p)*_xlpm.fam, braves_19_25!$K:$K)), 0),
    _xlpm.ΔEff, _xlpm.Pitch_Eff - AX$4,
    _xlpm.ΔSpin, _xlpm.Pitch_Spin - AY$4,
    _xlpm.ΔVB, _xlpm.Pitch_VB - AZ$4,
    _xlpm.ΔASB, _xlpm.Pitch_ASB - BA$4,
    _xlpm.ΔBSB, _xlpm.Pitch_BSB - BB$4,
    _xlfn.HSTACK(
        IF(_xlpm.throwsFam&gt;0, _xlpm.ΔEff, 0),
        IF(_xlpm.throwsFam&gt;0, _xlpm.ΔSpin, 0),
        IF(_xlpm.throwsFam&gt;0, _xlpm.ΔVB, 0),
        IF(_xlpm.throwsFam&gt;0, _xlpm.ΔASB, 0),
        IF(_xlpm.throwsFam&gt;0, _xlpm.ΔBSB, 0)
    )
)</f>
        <v>0</v>
      </c>
      <c r="W152" s="21">
        <v>0</v>
      </c>
      <c r="X152" s="21">
        <v>0</v>
      </c>
      <c r="Y152" s="21">
        <v>0</v>
      </c>
      <c r="Z152" s="4">
        <v>0</v>
      </c>
    </row>
    <row r="154" spans="1:26" x14ac:dyDescent="0.3">
      <c r="A154" s="1"/>
    </row>
  </sheetData>
  <mergeCells count="16">
    <mergeCell ref="B2:F2"/>
    <mergeCell ref="G2:K2"/>
    <mergeCell ref="L2:P2"/>
    <mergeCell ref="Q2:U2"/>
    <mergeCell ref="V2:Z2"/>
    <mergeCell ref="AI2:AM2"/>
    <mergeCell ref="AN2:AR2"/>
    <mergeCell ref="AS2:AW2"/>
    <mergeCell ref="AX2:BB2"/>
    <mergeCell ref="AD1:BB1"/>
    <mergeCell ref="AD2:AH2"/>
    <mergeCell ref="B78:F78"/>
    <mergeCell ref="G78:K78"/>
    <mergeCell ref="L78:P78"/>
    <mergeCell ref="Q78:U78"/>
    <mergeCell ref="V78:Z7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C0E0-5A8E-4C95-A7C9-5A08FA266788}">
  <dimension ref="A1:BV75"/>
  <sheetViews>
    <sheetView topLeftCell="A71" workbookViewId="0">
      <selection activeCell="A78" sqref="A78"/>
    </sheetView>
  </sheetViews>
  <sheetFormatPr defaultRowHeight="14.4" x14ac:dyDescent="0.3"/>
  <cols>
    <col min="1" max="1" width="22.88671875" bestFit="1" customWidth="1"/>
    <col min="2" max="2" width="10.33203125" bestFit="1" customWidth="1"/>
    <col min="3" max="3" width="15" bestFit="1" customWidth="1"/>
    <col min="4" max="4" width="15.33203125" bestFit="1" customWidth="1"/>
    <col min="5" max="5" width="11.44140625" bestFit="1" customWidth="1"/>
    <col min="6" max="6" width="10.109375" bestFit="1" customWidth="1"/>
    <col min="7" max="7" width="13.44140625" bestFit="1" customWidth="1"/>
    <col min="8" max="8" width="11.109375" bestFit="1" customWidth="1"/>
    <col min="9" max="9" width="11.88671875" bestFit="1" customWidth="1"/>
    <col min="10" max="10" width="22.88671875" bestFit="1" customWidth="1"/>
    <col min="11" max="11" width="15.109375" bestFit="1" customWidth="1"/>
    <col min="12" max="12" width="13.109375" bestFit="1" customWidth="1"/>
    <col min="13" max="13" width="14" bestFit="1" customWidth="1"/>
    <col min="14" max="14" width="12.88671875" bestFit="1" customWidth="1"/>
    <col min="15" max="15" width="10.109375" bestFit="1" customWidth="1"/>
    <col min="16" max="16" width="13.6640625" bestFit="1" customWidth="1"/>
    <col min="17" max="17" width="12" bestFit="1" customWidth="1"/>
    <col min="18" max="18" width="12.88671875" bestFit="1" customWidth="1"/>
    <col min="19" max="19" width="15.44140625" bestFit="1" customWidth="1"/>
    <col min="20" max="20" width="15" bestFit="1" customWidth="1"/>
    <col min="21" max="21" width="15.5546875" bestFit="1" customWidth="1"/>
    <col min="22" max="22" width="12" bestFit="1" customWidth="1"/>
    <col min="23" max="23" width="14.44140625" bestFit="1" customWidth="1"/>
    <col min="24" max="24" width="13.33203125" bestFit="1" customWidth="1"/>
    <col min="25" max="25" width="15.44140625" bestFit="1" customWidth="1"/>
    <col min="26" max="26" width="12.33203125" bestFit="1" customWidth="1"/>
    <col min="27" max="27" width="10.6640625" bestFit="1" customWidth="1"/>
    <col min="28" max="28" width="17.33203125" bestFit="1" customWidth="1"/>
    <col min="29" max="29" width="15" bestFit="1" customWidth="1"/>
    <col min="30" max="30" width="15.109375" bestFit="1" customWidth="1"/>
    <col min="31" max="31" width="17.6640625" bestFit="1" customWidth="1"/>
    <col min="32" max="32" width="17.33203125" bestFit="1" customWidth="1"/>
    <col min="33" max="33" width="12.33203125" bestFit="1" customWidth="1"/>
    <col min="34" max="34" width="11.33203125" bestFit="1" customWidth="1"/>
    <col min="35" max="35" width="13.109375" bestFit="1" customWidth="1"/>
    <col min="36" max="37" width="11.6640625" bestFit="1" customWidth="1"/>
    <col min="38" max="38" width="18.88671875" bestFit="1" customWidth="1"/>
    <col min="39" max="39" width="14.109375" bestFit="1" customWidth="1"/>
    <col min="40" max="40" width="12.109375" bestFit="1" customWidth="1"/>
    <col min="41" max="41" width="14.33203125" bestFit="1" customWidth="1"/>
    <col min="42" max="42" width="16.6640625" bestFit="1" customWidth="1"/>
    <col min="43" max="43" width="13.33203125" bestFit="1" customWidth="1"/>
    <col min="44" max="44" width="11.6640625" bestFit="1" customWidth="1"/>
    <col min="45" max="45" width="13.5546875" bestFit="1" customWidth="1"/>
    <col min="46" max="46" width="13.33203125" bestFit="1" customWidth="1"/>
    <col min="47" max="47" width="19.109375" bestFit="1" customWidth="1"/>
    <col min="48" max="49" width="13.33203125" bestFit="1" customWidth="1"/>
    <col min="50" max="50" width="15.33203125" bestFit="1" customWidth="1"/>
    <col min="51" max="51" width="15.44140625" bestFit="1" customWidth="1"/>
    <col min="52" max="52" width="13.6640625" bestFit="1" customWidth="1"/>
    <col min="53" max="53" width="16.109375" bestFit="1" customWidth="1"/>
    <col min="54" max="54" width="14" bestFit="1" customWidth="1"/>
    <col min="55" max="55" width="12.5546875" bestFit="1" customWidth="1"/>
    <col min="56" max="56" width="14.5546875" bestFit="1" customWidth="1"/>
    <col min="57" max="57" width="11.6640625" bestFit="1" customWidth="1"/>
    <col min="58" max="58" width="12.44140625" bestFit="1" customWidth="1"/>
    <col min="59" max="59" width="11" bestFit="1" customWidth="1"/>
    <col min="60" max="60" width="12.33203125" bestFit="1" customWidth="1"/>
    <col min="61" max="61" width="14.88671875" bestFit="1" customWidth="1"/>
    <col min="62" max="62" width="17.5546875" bestFit="1" customWidth="1"/>
    <col min="63" max="63" width="8.88671875" bestFit="1" customWidth="1"/>
    <col min="64" max="64" width="12" bestFit="1" customWidth="1"/>
    <col min="65" max="65" width="10.5546875" bestFit="1" customWidth="1"/>
    <col min="66" max="66" width="10.88671875" bestFit="1" customWidth="1"/>
    <col min="67" max="67" width="11.6640625" bestFit="1" customWidth="1"/>
    <col min="68" max="68" width="14.6640625" bestFit="1" customWidth="1"/>
    <col min="69" max="69" width="12.6640625" bestFit="1" customWidth="1"/>
    <col min="70" max="70" width="15" bestFit="1" customWidth="1"/>
    <col min="71" max="71" width="13.5546875" bestFit="1" customWidth="1"/>
    <col min="72" max="72" width="15.44140625" bestFit="1" customWidth="1"/>
    <col min="73" max="73" width="15.6640625" bestFit="1" customWidth="1"/>
    <col min="74" max="74" width="15" bestFit="1" customWidth="1"/>
  </cols>
  <sheetData>
    <row r="1" spans="1:74" x14ac:dyDescent="0.3">
      <c r="A1" s="1" t="s">
        <v>153</v>
      </c>
    </row>
    <row r="2" spans="1:74" x14ac:dyDescent="0.3">
      <c r="B2" t="str" cm="1">
        <f t="array" ref="B2:BV2">TRANSPOSE(_xlfn.UNIQUE(braves_19_25__2[player_name]))</f>
        <v>Fried, Max</v>
      </c>
      <c r="C2" t="str">
        <v>Morton, Charlie</v>
      </c>
      <c r="D2" t="str">
        <v>Strider, Spencer</v>
      </c>
      <c r="E2" t="str">
        <v>Elder, Bryce</v>
      </c>
      <c r="F2" t="str">
        <v>Sale, Chris</v>
      </c>
      <c r="G2" t="str">
        <v>Anderson, Ian</v>
      </c>
      <c r="H2" t="str">
        <v>Minter, A.J.</v>
      </c>
      <c r="I2" t="str">
        <v>Wright, Kyle</v>
      </c>
      <c r="J2" t="str">
        <v>Schwellenbach, Spencer</v>
      </c>
      <c r="K2" t="str">
        <v>Soroka, Michael</v>
      </c>
      <c r="L2" t="str">
        <v>Chavez, Jesse</v>
      </c>
      <c r="M2" t="str">
        <v>Iglesias, Raisel</v>
      </c>
      <c r="N2" t="str">
        <v>Jackson, Luke</v>
      </c>
      <c r="O2" t="str">
        <v>Lee, Dylan</v>
      </c>
      <c r="P2" t="str">
        <v>Holmes, Grant</v>
      </c>
      <c r="Q2" t="str">
        <v>Tomlin, Josh</v>
      </c>
      <c r="R2" t="str">
        <v>Matzek, Tyler</v>
      </c>
      <c r="S2" t="str">
        <v>Newcomb, Sean</v>
      </c>
      <c r="T2" t="str">
        <v>Johnson, Pierce</v>
      </c>
      <c r="U2" t="str">
        <v>López, Reynaldo</v>
      </c>
      <c r="V2" t="str">
        <v>Smyly, Drew</v>
      </c>
      <c r="W2" t="str">
        <v>McHugh, Collin</v>
      </c>
      <c r="X2" t="str">
        <v>Ynoa, Huascar</v>
      </c>
      <c r="Y2" t="str">
        <v>Toussaint, Touki</v>
      </c>
      <c r="Z2" t="str">
        <v>Jiménez, Joe</v>
      </c>
      <c r="AA2" t="str">
        <v>Smith, Will</v>
      </c>
      <c r="AB2" t="str">
        <v>Foltynewicz, Mike</v>
      </c>
      <c r="AC2" t="str">
        <v>Bummer, Aaron</v>
      </c>
      <c r="AD2" t="str">
        <v>Tonkin, Michael</v>
      </c>
      <c r="AE2" t="str">
        <v>Smith-Shawver, AJ</v>
      </c>
      <c r="AF2" t="str">
        <v>Stephens, Jackson</v>
      </c>
      <c r="AG2" t="str">
        <v>Martin, Chris</v>
      </c>
      <c r="AH2" t="str">
        <v>Yates, Kirby</v>
      </c>
      <c r="AI2" t="str">
        <v>Wilson, Bryse</v>
      </c>
      <c r="AJ2" t="str">
        <v>Wentz, Joey</v>
      </c>
      <c r="AK2" t="str">
        <v>Dodd, Dylan</v>
      </c>
      <c r="AL2" t="str">
        <v>Hernández, Daysbel</v>
      </c>
      <c r="AM2" t="str">
        <v>Greene, Shane</v>
      </c>
      <c r="AN2" t="str">
        <v>Webb, Jacob</v>
      </c>
      <c r="AO2" t="str">
        <v>Jansen, Kenley</v>
      </c>
      <c r="AP2" t="str">
        <v>Waldrep, Hurston</v>
      </c>
      <c r="AQ2" t="str">
        <v>Dayton, Grant</v>
      </c>
      <c r="AR2" t="str">
        <v>Muller, Kyle</v>
      </c>
      <c r="AS2" t="str">
        <v>Shuster, Jared</v>
      </c>
      <c r="AT2" t="str">
        <v>Odorizzi, Jake</v>
      </c>
      <c r="AU2" t="str">
        <v>De Los Santos, Enyel</v>
      </c>
      <c r="AV2" t="str">
        <v>O'Day, Darren</v>
      </c>
      <c r="AW2" t="str">
        <v>Winans, Allan</v>
      </c>
      <c r="AX2" t="str">
        <v>Melancon, Mark</v>
      </c>
      <c r="AY2" t="str">
        <v>Montero, Rafael</v>
      </c>
      <c r="AZ2" t="str">
        <v>Sobotka, Chad</v>
      </c>
      <c r="BA2" t="str">
        <v>Davidson, Tucker</v>
      </c>
      <c r="BB2" t="str">
        <v>Santana, Edgar</v>
      </c>
      <c r="BC2" t="str">
        <v>Vines, Darius</v>
      </c>
      <c r="BD2" t="str">
        <v>Anderson, Nick</v>
      </c>
      <c r="BE2" t="str">
        <v>Fedde, Erick</v>
      </c>
      <c r="BF2" t="str">
        <v>Biddle, Jesse</v>
      </c>
      <c r="BG2" t="str">
        <v>Cox, Austin</v>
      </c>
      <c r="BH2" t="str">
        <v>Erlin, Robbie</v>
      </c>
      <c r="BI2" t="str">
        <v>Chirinos, Yonny</v>
      </c>
      <c r="BJ2" t="str">
        <v>Rodríguez, Richard</v>
      </c>
      <c r="BK2" t="str">
        <v>Kerr, Ray</v>
      </c>
      <c r="BL2" t="str">
        <v>Kinley, Tyler</v>
      </c>
      <c r="BM2" t="str">
        <v>Hand, Brad</v>
      </c>
      <c r="BN2" t="str">
        <v>Heller, Ben</v>
      </c>
      <c r="BO2" t="str">
        <v>Suarez, José</v>
      </c>
      <c r="BP2" t="str">
        <v>Fuentes, Didier</v>
      </c>
      <c r="BQ2" t="str">
        <v>Luetge, Lucas</v>
      </c>
      <c r="BR2" t="str">
        <v>Carrasco, Carlos</v>
      </c>
      <c r="BS2" t="str">
        <v>Blewett, Scott</v>
      </c>
      <c r="BT2" t="str">
        <v>Stratton, Hunter</v>
      </c>
      <c r="BU2" t="str">
        <v>Thornburg, Tyler</v>
      </c>
      <c r="BV2" t="str">
        <v>Milone, Tommy</v>
      </c>
    </row>
    <row r="3" spans="1:74" x14ac:dyDescent="0.3">
      <c r="A3" t="str" cm="1">
        <f t="array" ref="A3:A75">_xlfn.UNIQUE(braves_19_25__2[player_name])</f>
        <v>Fried, Max</v>
      </c>
      <c r="B3" cm="1">
        <f t="array" ref="B3">_xlfn.LET(
    _xlpm.row_name, $A3,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C3" cm="1">
        <f t="array" ref="C3">_xlfn.LET(
    _xlpm.row_name, $A3,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0.81787583765058991</v>
      </c>
      <c r="D3" cm="1">
        <f t="array" ref="D3">_xlfn.LET(
    _xlpm.row_name, $A3,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0.17596381615100987</v>
      </c>
      <c r="E3" cm="1">
        <f t="array" ref="E3">_xlfn.LET(
    _xlpm.row_name, $A3,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0.69237473561763774</v>
      </c>
      <c r="F3" cm="1">
        <f t="array" ref="F3">_xlfn.LET(
    _xlpm.row_name, $A3,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0.53420876909175641</v>
      </c>
      <c r="G3" cm="1">
        <f t="array" ref="G3">_xlfn.LET(
    _xlpm.row_name, $A3,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0.44479726232345007</v>
      </c>
      <c r="H3" cm="1">
        <f t="array" ref="H3">_xlfn.LET(
    _xlpm.row_name, $A3,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0.6572951088421175</v>
      </c>
      <c r="I3" cm="1">
        <f t="array" ref="I3">_xlfn.LET(
    _xlpm.row_name, $A3,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0.76534397406793642</v>
      </c>
      <c r="J3" cm="1">
        <f t="array" ref="J3">_xlfn.LET(
    _xlpm.row_name, $A3,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0.45715552134513116</v>
      </c>
      <c r="K3" cm="1">
        <f t="array" ref="K3">_xlfn.LET(
    _xlpm.row_name, $A3,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0.8602836938716123</v>
      </c>
      <c r="L3" cm="1">
        <f t="array" ref="L3">_xlfn.LET(
    _xlpm.row_name, $A3,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0.88009863354390805</v>
      </c>
      <c r="M3" cm="1">
        <f t="array" ref="M3">_xlfn.LET(
    _xlpm.row_name, $A3,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0.57670418400231416</v>
      </c>
      <c r="N3" cm="1">
        <f t="array" ref="N3">_xlfn.LET(
    _xlpm.row_name, $A3,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0.14632606975775003</v>
      </c>
      <c r="O3" cm="1">
        <f t="array" ref="O3">_xlfn.LET(
    _xlpm.row_name, $A3,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0.40367167822260952</v>
      </c>
      <c r="P3" cm="1">
        <f t="array" ref="P3">_xlfn.LET(
    _xlpm.row_name, $A3,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0.27366473726608098</v>
      </c>
      <c r="Q3" cm="1">
        <f t="array" ref="Q3">_xlfn.LET(
    _xlpm.row_name, $A3,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0.60337108059788658</v>
      </c>
      <c r="R3" cm="1">
        <f t="array" ref="R3">_xlfn.LET(
    _xlpm.row_name, $A3,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0.41726723661789578</v>
      </c>
      <c r="S3" cm="1">
        <f t="array" ref="S3">_xlfn.LET(
    _xlpm.row_name, $A3,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0.52889122024726698</v>
      </c>
      <c r="T3" cm="1">
        <f t="array" ref="T3">_xlfn.LET(
    _xlpm.row_name, $A3,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0.1813445303841516</v>
      </c>
      <c r="U3" cm="1">
        <f t="array" ref="U3">_xlfn.LET(
    _xlpm.row_name, $A3,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0.37647223483522824</v>
      </c>
      <c r="V3" cm="1">
        <f t="array" ref="V3">_xlfn.LET(
    _xlpm.row_name, $A3,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0.75345944158870048</v>
      </c>
      <c r="W3" cm="1">
        <f t="array" ref="W3">_xlfn.LET(
    _xlpm.row_name, $A3,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0.39265929590590742</v>
      </c>
      <c r="X3" cm="1">
        <f t="array" ref="X3">_xlfn.LET(
    _xlpm.row_name, $A3,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0.46927481555543182</v>
      </c>
      <c r="Y3" cm="1">
        <f t="array" ref="Y3">_xlfn.LET(
    _xlpm.row_name, $A3,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0.81850885463642764</v>
      </c>
      <c r="Z3" cm="1">
        <f t="array" ref="Z3">_xlfn.LET(
    _xlpm.row_name, $A3,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0.18579867959327728</v>
      </c>
      <c r="AA3" cm="1">
        <f t="array" ref="AA3">_xlfn.LET(
    _xlpm.row_name, $A3,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0.3278014693728345</v>
      </c>
      <c r="AB3" cm="1">
        <f t="array" ref="AB3">_xlfn.LET(
    _xlpm.row_name, $A3,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0.67362009032284309</v>
      </c>
      <c r="AC3" cm="1">
        <f t="array" ref="AC3">_xlfn.LET(
    _xlpm.row_name, $A3,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0.85254141588015431</v>
      </c>
      <c r="AD3" cm="1">
        <f t="array" ref="AD3">_xlfn.LET(
    _xlpm.row_name, $A3,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0.80964285276652648</v>
      </c>
      <c r="AE3" cm="1">
        <f t="array" ref="AE3">_xlfn.LET(
    _xlpm.row_name, $A3,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0.32820710483044202</v>
      </c>
      <c r="AF3" cm="1">
        <f t="array" ref="AF3">_xlfn.LET(
    _xlpm.row_name, $A3,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0.68873450443615591</v>
      </c>
      <c r="AG3" cm="1">
        <f t="array" ref="AG3">_xlfn.LET(
    _xlpm.row_name, $A3,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0.68592828560132291</v>
      </c>
      <c r="AH3" cm="1">
        <f t="array" ref="AH3">_xlfn.LET(
    _xlpm.row_name, $A3,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0.60402549664703631</v>
      </c>
      <c r="AI3" cm="1">
        <f t="array" ref="AI3">_xlfn.LET(
    _xlpm.row_name, $A3,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0.76130284019563033</v>
      </c>
      <c r="AJ3" cm="1">
        <f t="array" ref="AJ3">_xlfn.LET(
    _xlpm.row_name, $A3,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0.29305061346653494</v>
      </c>
      <c r="AK3" cm="1">
        <f t="array" ref="AK3">_xlfn.LET(
    _xlpm.row_name, $A3,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0.77728088065162937</v>
      </c>
      <c r="AL3" cm="1">
        <f t="array" ref="AL3">_xlfn.LET(
    _xlpm.row_name, $A3,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0.28445877079796078</v>
      </c>
      <c r="AM3" cm="1">
        <f t="array" ref="AM3">_xlfn.LET(
    _xlpm.row_name, $A3,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0.66196222654551018</v>
      </c>
      <c r="AN3" cm="1">
        <f t="array" ref="AN3">_xlfn.LET(
    _xlpm.row_name, $A3,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0.34960617524998827</v>
      </c>
      <c r="AO3" cm="1">
        <f t="array" ref="AO3">_xlfn.LET(
    _xlpm.row_name, $A3,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2.5450419873667585E-2</v>
      </c>
      <c r="AP3" cm="1">
        <f t="array" ref="AP3">_xlfn.LET(
    _xlpm.row_name, $A3,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0.37615474611649341</v>
      </c>
      <c r="AQ3" cm="1">
        <f t="array" ref="AQ3">_xlfn.LET(
    _xlpm.row_name, $A3,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0.31633762597716886</v>
      </c>
      <c r="AR3" cm="1">
        <f t="array" ref="AR3">_xlfn.LET(
    _xlpm.row_name, $A3,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0.28996105829013608</v>
      </c>
      <c r="AS3" cm="1">
        <f t="array" ref="AS3">_xlfn.LET(
    _xlpm.row_name, $A3,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0.47965134181045488</v>
      </c>
      <c r="AT3" cm="1">
        <f t="array" ref="AT3">_xlfn.LET(
    _xlpm.row_name, $A3,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0.54742642948256925</v>
      </c>
      <c r="AU3" cm="1">
        <f t="array" ref="AU3">_xlfn.LET(
    _xlpm.row_name, $A3,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0.46070392682437056</v>
      </c>
      <c r="AV3" cm="1">
        <f t="array" ref="AV3">_xlfn.LET(
    _xlpm.row_name, $A3,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0.85759031337080938</v>
      </c>
      <c r="AW3" cm="1">
        <f t="array" ref="AW3">_xlfn.LET(
    _xlpm.row_name, $A3,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0.925672578962905</v>
      </c>
      <c r="AX3" cm="1">
        <f t="array" ref="AX3">_xlfn.LET(
    _xlpm.row_name, $A3,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0.37654936042218778</v>
      </c>
      <c r="AY3" cm="1">
        <f t="array" ref="AY3">_xlfn.LET(
    _xlpm.row_name, $A3,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0.54834622045224124</v>
      </c>
      <c r="AZ3" cm="1">
        <f t="array" ref="AZ3">_xlfn.LET(
    _xlpm.row_name, $A3,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0.1805524307104811</v>
      </c>
      <c r="BA3" cm="1">
        <f t="array" ref="BA3">_xlfn.LET(
    _xlpm.row_name, $A3,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0.61731061952176636</v>
      </c>
      <c r="BB3" cm="1">
        <f t="array" ref="BB3">_xlfn.LET(
    _xlpm.row_name, $A3,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0.99458195273118322</v>
      </c>
      <c r="BC3" cm="1">
        <f t="array" ref="BC3">_xlfn.LET(
    _xlpm.row_name, $A3,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0.54739926900960367</v>
      </c>
      <c r="BD3" cm="1">
        <f t="array" ref="BD3">_xlfn.LET(
    _xlpm.row_name, $A3,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0.35716718365008865</v>
      </c>
      <c r="BE3" cm="1">
        <f t="array" ref="BE3">_xlfn.LET(
    _xlpm.row_name, $A3,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0.73230204208888283</v>
      </c>
      <c r="BF3" cm="1">
        <f t="array" ref="BF3">_xlfn.LET(
    _xlpm.row_name, $A3,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0.25144723078896464</v>
      </c>
      <c r="BG3" cm="1">
        <f t="array" ref="BG3">_xlfn.LET(
    _xlpm.row_name, $A3,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0.5424970368641181</v>
      </c>
      <c r="BH3" cm="1">
        <f t="array" ref="BH3">_xlfn.LET(
    _xlpm.row_name, $A3,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0.37406458679201099</v>
      </c>
      <c r="BI3" cm="1">
        <f t="array" ref="BI3">_xlfn.LET(
    _xlpm.row_name, $A3,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0.88518374242073494</v>
      </c>
      <c r="BJ3" cm="1">
        <f t="array" ref="BJ3">_xlfn.LET(
    _xlpm.row_name, $A3,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0.56232106807158966</v>
      </c>
      <c r="BK3" cm="1">
        <f t="array" ref="BK3">_xlfn.LET(
    _xlpm.row_name, $A3,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0.90767983541054509</v>
      </c>
      <c r="BL3" cm="1">
        <f t="array" ref="BL3">_xlfn.LET(
    _xlpm.row_name, $A3,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1.341556346679923E-2</v>
      </c>
      <c r="BM3" cm="1">
        <f t="array" ref="BM3">_xlfn.LET(
    _xlpm.row_name, $A3,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0.46994673114278679</v>
      </c>
      <c r="BN3" cm="1">
        <f t="array" ref="BN3">_xlfn.LET(
    _xlpm.row_name, $A3,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0.92690893328689561</v>
      </c>
      <c r="BO3" cm="1">
        <f t="array" ref="BO3">_xlfn.LET(
    _xlpm.row_name, $A3,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0.22222013401800156</v>
      </c>
      <c r="BP3" cm="1">
        <f t="array" ref="BP3">_xlfn.LET(
    _xlpm.row_name, $A3,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0.35458629729298663</v>
      </c>
      <c r="BQ3" cm="1">
        <f t="array" ref="BQ3">_xlfn.LET(
    _xlpm.row_name, $A3,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0.7092317098022648</v>
      </c>
      <c r="BR3" cm="1">
        <f t="array" ref="BR3">_xlfn.LET(
    _xlpm.row_name, $A3,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0.94577904790402045</v>
      </c>
      <c r="BS3" cm="1">
        <f t="array" ref="BS3">_xlfn.LET(
    _xlpm.row_name, $A3,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0.20877931625808621</v>
      </c>
      <c r="BT3" cm="1">
        <f t="array" ref="BT3">_xlfn.LET(
    _xlpm.row_name, $A3,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0.14536077265773995</v>
      </c>
      <c r="BU3" cm="1">
        <f t="array" ref="BU3">_xlfn.LET(
    _xlpm.row_name, $A3,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5.6139486452899734E-2</v>
      </c>
      <c r="BV3" cm="1">
        <f t="array" ref="BV3">_xlfn.LET(
    _xlpm.row_name, $A3,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0.56839619969882926</v>
      </c>
    </row>
    <row r="4" spans="1:74" x14ac:dyDescent="0.3">
      <c r="A4" t="str">
        <v>Morton, Charlie</v>
      </c>
      <c r="B4" cm="1">
        <f t="array" ref="B4">_xlfn.LET(
    _xlpm.row_name, $A4,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0.81787583765058991</v>
      </c>
      <c r="C4" cm="1">
        <f t="array" ref="C4">_xlfn.LET(
    _xlpm.row_name, $A4,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D4" cm="1">
        <f t="array" ref="D4">_xlfn.LET(
    _xlpm.row_name, $A4,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0.218390888963297</v>
      </c>
      <c r="E4" cm="1">
        <f t="array" ref="E4">_xlfn.LET(
    _xlpm.row_name, $A4,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0.70996362601522545</v>
      </c>
      <c r="F4" cm="1">
        <f t="array" ref="F4">_xlfn.LET(
    _xlpm.row_name, $A4,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0.73161018970386971</v>
      </c>
      <c r="G4" cm="1">
        <f t="array" ref="G4">_xlfn.LET(
    _xlpm.row_name, $A4,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0.23757970720597726</v>
      </c>
      <c r="H4" cm="1">
        <f t="array" ref="H4">_xlfn.LET(
    _xlpm.row_name, $A4,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0.75327010883303469</v>
      </c>
      <c r="I4" cm="1">
        <f t="array" ref="I4">_xlfn.LET(
    _xlpm.row_name, $A4,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0.78183973636996429</v>
      </c>
      <c r="J4" cm="1">
        <f t="array" ref="J4">_xlfn.LET(
    _xlpm.row_name, $A4,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0.56237540273137054</v>
      </c>
      <c r="K4" cm="1">
        <f t="array" ref="K4">_xlfn.LET(
    _xlpm.row_name, $A4,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0.91468427182315737</v>
      </c>
      <c r="L4" cm="1">
        <f t="array" ref="L4">_xlfn.LET(
    _xlpm.row_name, $A4,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0.78255361939559265</v>
      </c>
      <c r="M4" cm="1">
        <f t="array" ref="M4">_xlfn.LET(
    _xlpm.row_name, $A4,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0.63413081130907123</v>
      </c>
      <c r="N4" cm="1">
        <f t="array" ref="N4">_xlfn.LET(
    _xlpm.row_name, $A4,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0.39971859409742672</v>
      </c>
      <c r="O4" cm="1">
        <f t="array" ref="O4">_xlfn.LET(
    _xlpm.row_name, $A4,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0.33870207717108836</v>
      </c>
      <c r="P4" cm="1">
        <f t="array" ref="P4">_xlfn.LET(
    _xlpm.row_name, $A4,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0.62576876073070475</v>
      </c>
      <c r="Q4" cm="1">
        <f t="array" ref="Q4">_xlfn.LET(
    _xlpm.row_name, $A4,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0.67545613968887119</v>
      </c>
      <c r="R4" cm="1">
        <f t="array" ref="R4">_xlfn.LET(
    _xlpm.row_name, $A4,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0.56093621065650057</v>
      </c>
      <c r="S4" cm="1">
        <f t="array" ref="S4">_xlfn.LET(
    _xlpm.row_name, $A4,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0.7986275410761855</v>
      </c>
      <c r="T4" cm="1">
        <f t="array" ref="T4">_xlfn.LET(
    _xlpm.row_name, $A4,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0.50650431569210108</v>
      </c>
      <c r="U4" cm="1">
        <f t="array" ref="U4">_xlfn.LET(
    _xlpm.row_name, $A4,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0.17917328273208705</v>
      </c>
      <c r="V4" cm="1">
        <f t="array" ref="V4">_xlfn.LET(
    _xlpm.row_name, $A4,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0.52966343853708997</v>
      </c>
      <c r="W4" cm="1">
        <f t="array" ref="W4">_xlfn.LET(
    _xlpm.row_name, $A4,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0.6681882024102026</v>
      </c>
      <c r="X4" cm="1">
        <f t="array" ref="X4">_xlfn.LET(
    _xlpm.row_name, $A4,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0.14796634094417788</v>
      </c>
      <c r="Y4" cm="1">
        <f t="array" ref="Y4">_xlfn.LET(
    _xlpm.row_name, $A4,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0.80364571100975313</v>
      </c>
      <c r="Z4" cm="1">
        <f t="array" ref="Z4">_xlfn.LET(
    _xlpm.row_name, $A4,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0.30050394814833137</v>
      </c>
      <c r="AA4" cm="1">
        <f t="array" ref="AA4">_xlfn.LET(
    _xlpm.row_name, $A4,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0.3568351809821827</v>
      </c>
      <c r="AB4" cm="1">
        <f t="array" ref="AB4">_xlfn.LET(
    _xlpm.row_name, $A4,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0.54491712990634145</v>
      </c>
      <c r="AC4" cm="1">
        <f t="array" ref="AC4">_xlfn.LET(
    _xlpm.row_name, $A4,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0.93346594289326701</v>
      </c>
      <c r="AD4" cm="1">
        <f t="array" ref="AD4">_xlfn.LET(
    _xlpm.row_name, $A4,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0.74059407114246922</v>
      </c>
      <c r="AE4" cm="1">
        <f t="array" ref="AE4">_xlfn.LET(
    _xlpm.row_name, $A4,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0.1609286059190656</v>
      </c>
      <c r="AF4" cm="1">
        <f t="array" ref="AF4">_xlfn.LET(
    _xlpm.row_name, $A4,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0.66047882483401965</v>
      </c>
      <c r="AG4" cm="1">
        <f t="array" ref="AG4">_xlfn.LET(
    _xlpm.row_name, $A4,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0.67140635320266506</v>
      </c>
      <c r="AH4" cm="1">
        <f t="array" ref="AH4">_xlfn.LET(
    _xlpm.row_name, $A4,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0.55468204760224327</v>
      </c>
      <c r="AI4" cm="1">
        <f t="array" ref="AI4">_xlfn.LET(
    _xlpm.row_name, $A4,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0.64041455859928198</v>
      </c>
      <c r="AJ4" cm="1">
        <f t="array" ref="AJ4">_xlfn.LET(
    _xlpm.row_name, $A4,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0.32878262523447238</v>
      </c>
      <c r="AK4" cm="1">
        <f t="array" ref="AK4">_xlfn.LET(
    _xlpm.row_name, $A4,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0.71343176233001127</v>
      </c>
      <c r="AL4" cm="1">
        <f t="array" ref="AL4">_xlfn.LET(
    _xlpm.row_name, $A4,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0.2734307629101782</v>
      </c>
      <c r="AM4" cm="1">
        <f t="array" ref="AM4">_xlfn.LET(
    _xlpm.row_name, $A4,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0.81231691615539248</v>
      </c>
      <c r="AN4" cm="1">
        <f t="array" ref="AN4">_xlfn.LET(
    _xlpm.row_name, $A4,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0.50855420648314609</v>
      </c>
      <c r="AO4" cm="1">
        <f t="array" ref="AO4">_xlfn.LET(
    _xlpm.row_name, $A4,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0.20640400213691923</v>
      </c>
      <c r="AP4" cm="1">
        <f t="array" ref="AP4">_xlfn.LET(
    _xlpm.row_name, $A4,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0.32408808264813593</v>
      </c>
      <c r="AQ4" cm="1">
        <f t="array" ref="AQ4">_xlfn.LET(
    _xlpm.row_name, $A4,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0.52225723974022653</v>
      </c>
      <c r="AR4" cm="1">
        <f t="array" ref="AR4">_xlfn.LET(
    _xlpm.row_name, $A4,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0.64720392271311988</v>
      </c>
      <c r="AS4" cm="1">
        <f t="array" ref="AS4">_xlfn.LET(
    _xlpm.row_name, $A4,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0.71851821539680472</v>
      </c>
      <c r="AT4" cm="1">
        <f t="array" ref="AT4">_xlfn.LET(
    _xlpm.row_name, $A4,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0.28912082297284541</v>
      </c>
      <c r="AU4" cm="1">
        <f t="array" ref="AU4">_xlfn.LET(
    _xlpm.row_name, $A4,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0.52903811992057059</v>
      </c>
      <c r="AV4" cm="1">
        <f t="array" ref="AV4">_xlfn.LET(
    _xlpm.row_name, $A4,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0.93496412160380293</v>
      </c>
      <c r="AW4" cm="1">
        <f t="array" ref="AW4">_xlfn.LET(
    _xlpm.row_name, $A4,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0.64258908111202129</v>
      </c>
      <c r="AX4" cm="1">
        <f t="array" ref="AX4">_xlfn.LET(
    _xlpm.row_name, $A4,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0.72451634194507397</v>
      </c>
      <c r="AY4" cm="1">
        <f t="array" ref="AY4">_xlfn.LET(
    _xlpm.row_name, $A4,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0.75699860995444235</v>
      </c>
      <c r="AZ4" cm="1">
        <f t="array" ref="AZ4">_xlfn.LET(
    _xlpm.row_name, $A4,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0.50003341829829018</v>
      </c>
      <c r="BA4" cm="1">
        <f t="array" ref="BA4">_xlfn.LET(
    _xlpm.row_name, $A4,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0.32516821005319735</v>
      </c>
      <c r="BB4" cm="1">
        <f t="array" ref="BB4">_xlfn.LET(
    _xlpm.row_name, $A4,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0.80931237135741285</v>
      </c>
      <c r="BC4" cm="1">
        <f t="array" ref="BC4">_xlfn.LET(
    _xlpm.row_name, $A4,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0.61859161617967895</v>
      </c>
      <c r="BD4" cm="1">
        <f t="array" ref="BD4">_xlfn.LET(
    _xlpm.row_name, $A4,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0.19051820835029659</v>
      </c>
      <c r="BE4" cm="1">
        <f t="array" ref="BE4">_xlfn.LET(
    _xlpm.row_name, $A4,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0.60781823027604587</v>
      </c>
      <c r="BF4" cm="1">
        <f t="array" ref="BF4">_xlfn.LET(
    _xlpm.row_name, $A4,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0.51151621664388847</v>
      </c>
      <c r="BG4" cm="1">
        <f t="array" ref="BG4">_xlfn.LET(
    _xlpm.row_name, $A4,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0.20191506250259272</v>
      </c>
      <c r="BH4" cm="1">
        <f t="array" ref="BH4">_xlfn.LET(
    _xlpm.row_name, $A4,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0.50325354306591785</v>
      </c>
      <c r="BI4" cm="1">
        <f t="array" ref="BI4">_xlfn.LET(
    _xlpm.row_name, $A4,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0.50321768529501021</v>
      </c>
      <c r="BJ4" cm="1">
        <f t="array" ref="BJ4">_xlfn.LET(
    _xlpm.row_name, $A4,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0.62432178281624662</v>
      </c>
      <c r="BK4" cm="1">
        <f t="array" ref="BK4">_xlfn.LET(
    _xlpm.row_name, $A4,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0.59449816365449604</v>
      </c>
      <c r="BL4" cm="1">
        <f t="array" ref="BL4">_xlfn.LET(
    _xlpm.row_name, $A4,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0.23816089322886536</v>
      </c>
      <c r="BM4" cm="1">
        <f t="array" ref="BM4">_xlfn.LET(
    _xlpm.row_name, $A4,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0.72708252117643113</v>
      </c>
      <c r="BN4" cm="1">
        <f t="array" ref="BN4">_xlfn.LET(
    _xlpm.row_name, $A4,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0.74792964843156728</v>
      </c>
      <c r="BO4" cm="1">
        <f t="array" ref="BO4">_xlfn.LET(
    _xlpm.row_name, $A4,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0.15910662276167142</v>
      </c>
      <c r="BP4" cm="1">
        <f t="array" ref="BP4">_xlfn.LET(
    _xlpm.row_name, $A4,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0.2953793960717066</v>
      </c>
      <c r="BQ4" cm="1">
        <f t="array" ref="BQ4">_xlfn.LET(
    _xlpm.row_name, $A4,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0.7763525123949766</v>
      </c>
      <c r="BR4" cm="1">
        <f t="array" ref="BR4">_xlfn.LET(
    _xlpm.row_name, $A4,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0.73901044393922688</v>
      </c>
      <c r="BS4" cm="1">
        <f t="array" ref="BS4">_xlfn.LET(
    _xlpm.row_name, $A4,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0.27335001216955801</v>
      </c>
      <c r="BT4" cm="1">
        <f t="array" ref="BT4">_xlfn.LET(
    _xlpm.row_name, $A4,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0.4531233923440745</v>
      </c>
      <c r="BU4" cm="1">
        <f t="array" ref="BU4">_xlfn.LET(
    _xlpm.row_name, $A4,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0.2320249632604206</v>
      </c>
      <c r="BV4" cm="1">
        <f t="array" ref="BV4">_xlfn.LET(
    _xlpm.row_name, $A4,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0.66143418599161108</v>
      </c>
    </row>
    <row r="5" spans="1:74" x14ac:dyDescent="0.3">
      <c r="A5" t="str">
        <v>Strider, Spencer</v>
      </c>
      <c r="B5" cm="1">
        <f t="array" ref="B5">_xlfn.LET(
    _xlpm.row_name, $A5,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0.17596381615100987</v>
      </c>
      <c r="C5" cm="1">
        <f t="array" ref="C5">_xlfn.LET(
    _xlpm.row_name, $A5,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0.218390888963297</v>
      </c>
      <c r="D5" cm="1">
        <f t="array" ref="D5">_xlfn.LET(
    _xlpm.row_name, $A5,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E5" cm="1">
        <f t="array" ref="E5">_xlfn.LET(
    _xlpm.row_name, $A5,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5.00501378237177E-2</v>
      </c>
      <c r="F5" cm="1">
        <f t="array" ref="F5">_xlfn.LET(
    _xlpm.row_name, $A5,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0.44382629281878144</v>
      </c>
      <c r="G5" cm="1">
        <f t="array" ref="G5">_xlfn.LET(
    _xlpm.row_name, $A5,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0.74766718521411279</v>
      </c>
      <c r="H5" cm="1">
        <f t="array" ref="H5">_xlfn.LET(
    _xlpm.row_name, $A5,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0.45242753795421542</v>
      </c>
      <c r="I5" cm="1">
        <f t="array" ref="I5">_xlfn.LET(
    _xlpm.row_name, $A5,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0.55790210071806723</v>
      </c>
      <c r="J5" cm="1">
        <f t="array" ref="J5">_xlfn.LET(
    _xlpm.row_name, $A5,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0.80461036978141864</v>
      </c>
      <c r="K5" cm="1">
        <f t="array" ref="K5">_xlfn.LET(
    _xlpm.row_name, $A5,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0.1050070909345735</v>
      </c>
      <c r="L5" cm="1">
        <f t="array" ref="L5">_xlfn.LET(
    _xlpm.row_name, $A5,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0.10416508408540365</v>
      </c>
      <c r="M5" cm="1">
        <f t="array" ref="M5">_xlfn.LET(
    _xlpm.row_name, $A5,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0.72591673835713011</v>
      </c>
      <c r="N5" cm="1">
        <f t="array" ref="N5">_xlfn.LET(
    _xlpm.row_name, $A5,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0.68106697103836278</v>
      </c>
      <c r="O5" cm="1">
        <f t="array" ref="O5">_xlfn.LET(
    _xlpm.row_name, $A5,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0.62874506368470717</v>
      </c>
      <c r="P5" cm="1">
        <f t="array" ref="P5">_xlfn.LET(
    _xlpm.row_name, $A5,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0.5591401493346464</v>
      </c>
      <c r="Q5" cm="1">
        <f t="array" ref="Q5">_xlfn.LET(
    _xlpm.row_name, $A5,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6.8971822866011723E-2</v>
      </c>
      <c r="R5" cm="1">
        <f t="array" ref="R5">_xlfn.LET(
    _xlpm.row_name, $A5,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0.5899148222991446</v>
      </c>
      <c r="S5" cm="1">
        <f t="array" ref="S5">_xlfn.LET(
    _xlpm.row_name, $A5,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0.42457932845456542</v>
      </c>
      <c r="T5" cm="1">
        <f t="array" ref="T5">_xlfn.LET(
    _xlpm.row_name, $A5,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0.67287099566125774</v>
      </c>
      <c r="U5" cm="1">
        <f t="array" ref="U5">_xlfn.LET(
    _xlpm.row_name, $A5,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0.83362173223795821</v>
      </c>
      <c r="V5" cm="1">
        <f t="array" ref="V5">_xlfn.LET(
    _xlpm.row_name, $A5,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0.19027324408756158</v>
      </c>
      <c r="W5" cm="1">
        <f t="array" ref="W5">_xlfn.LET(
    _xlpm.row_name, $A5,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0.27548404233259838</v>
      </c>
      <c r="X5" cm="1">
        <f t="array" ref="X5">_xlfn.LET(
    _xlpm.row_name, $A5,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0.77392117310430508</v>
      </c>
      <c r="Y5" cm="1">
        <f t="array" ref="Y5">_xlfn.LET(
    _xlpm.row_name, $A5,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0.50965770905526497</v>
      </c>
      <c r="Z5" cm="1">
        <f t="array" ref="Z5">_xlfn.LET(
    _xlpm.row_name, $A5,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0.96169978790497246</v>
      </c>
      <c r="AA5" cm="1">
        <f t="array" ref="AA5">_xlfn.LET(
    _xlpm.row_name, $A5,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0.66873325399522343</v>
      </c>
      <c r="AB5" cm="1">
        <f t="array" ref="AB5">_xlfn.LET(
    _xlpm.row_name, $A5,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0.68962397008882048</v>
      </c>
      <c r="AC5" cm="1">
        <f t="array" ref="AC5">_xlfn.LET(
    _xlpm.row_name, $A5,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7.92425803217226E-2</v>
      </c>
      <c r="AD5" cm="1">
        <f t="array" ref="AD5">_xlfn.LET(
    _xlpm.row_name, $A5,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0.46452211250075126</v>
      </c>
      <c r="AE5" cm="1">
        <f t="array" ref="AE5">_xlfn.LET(
    _xlpm.row_name, $A5,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0.89681033935373411</v>
      </c>
      <c r="AF5" cm="1">
        <f t="array" ref="AF5">_xlfn.LET(
    _xlpm.row_name, $A5,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0.28922294565702533</v>
      </c>
      <c r="AG5" cm="1">
        <f t="array" ref="AG5">_xlfn.LET(
    _xlpm.row_name, $A5,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0.41730038937587915</v>
      </c>
      <c r="AH5" cm="1">
        <f t="array" ref="AH5">_xlfn.LET(
    _xlpm.row_name, $A5,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0.6130564320467411</v>
      </c>
      <c r="AI5" cm="1">
        <f t="array" ref="AI5">_xlfn.LET(
    _xlpm.row_name, $A5,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0.47937138258399975</v>
      </c>
      <c r="AJ5" cm="1">
        <f t="array" ref="AJ5">_xlfn.LET(
    _xlpm.row_name, $A5,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0.859239308073521</v>
      </c>
      <c r="AK5" cm="1">
        <f t="array" ref="AK5">_xlfn.LET(
    _xlpm.row_name, $A5,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0.16167435010527076</v>
      </c>
      <c r="AL5" cm="1">
        <f t="array" ref="AL5">_xlfn.LET(
    _xlpm.row_name, $A5,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0.95682146730327844</v>
      </c>
      <c r="AM5" cm="1">
        <f t="array" ref="AM5">_xlfn.LET(
    _xlpm.row_name, $A5,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5.7931045826906946E-2</v>
      </c>
      <c r="AN5" cm="1">
        <f t="array" ref="AN5">_xlfn.LET(
    _xlpm.row_name, $A5,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0.75528660473327847</v>
      </c>
      <c r="AO5" cm="1">
        <f t="array" ref="AO5">_xlfn.LET(
    _xlpm.row_name, $A5,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0.79876874789557439</v>
      </c>
      <c r="AP5" cm="1">
        <f t="array" ref="AP5">_xlfn.LET(
    _xlpm.row_name, $A5,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0.80672474296600272</v>
      </c>
      <c r="AQ5" cm="1">
        <f t="array" ref="AQ5">_xlfn.LET(
    _xlpm.row_name, $A5,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0.45878285692856835</v>
      </c>
      <c r="AR5" cm="1">
        <f t="array" ref="AR5">_xlfn.LET(
    _xlpm.row_name, $A5,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0.6648243595807527</v>
      </c>
      <c r="AS5" cm="1">
        <f t="array" ref="AS5">_xlfn.LET(
    _xlpm.row_name, $A5,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0.40668626302011229</v>
      </c>
      <c r="AT5" cm="1">
        <f t="array" ref="AT5">_xlfn.LET(
    _xlpm.row_name, $A5,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0.2773808550210195</v>
      </c>
      <c r="AU5" cm="1">
        <f t="array" ref="AU5">_xlfn.LET(
    _xlpm.row_name, $A5,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0.84722526351412242</v>
      </c>
      <c r="AV5" cm="1">
        <f t="array" ref="AV5">_xlfn.LET(
    _xlpm.row_name, $A5,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5.9486150122587123E-2</v>
      </c>
      <c r="AW5" cm="1">
        <f t="array" ref="AW5">_xlfn.LET(
    _xlpm.row_name, $A5,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0.12848578535465222</v>
      </c>
      <c r="AX5" cm="1">
        <f t="array" ref="AX5">_xlfn.LET(
    _xlpm.row_name, $A5,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0.3615865695842238</v>
      </c>
      <c r="AY5" cm="1">
        <f t="array" ref="AY5">_xlfn.LET(
    _xlpm.row_name, $A5,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0.61498617919920373</v>
      </c>
      <c r="AZ5" cm="1">
        <f t="array" ref="AZ5">_xlfn.LET(
    _xlpm.row_name, $A5,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0.57134452791419044</v>
      </c>
      <c r="BA5" cm="1">
        <f t="array" ref="BA5">_xlfn.LET(
    _xlpm.row_name, $A5,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0.58045532447783676</v>
      </c>
      <c r="BB5" cm="1">
        <f t="array" ref="BB5">_xlfn.LET(
    _xlpm.row_name, $A5,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0.18686289314247378</v>
      </c>
      <c r="BC5" cm="1">
        <f t="array" ref="BC5">_xlfn.LET(
    _xlpm.row_name, $A5,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9.4161811048282362E-2</v>
      </c>
      <c r="BD5" cm="1">
        <f t="array" ref="BD5">_xlfn.LET(
    _xlpm.row_name, $A5,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0.77087986840704403</v>
      </c>
      <c r="BE5" cm="1">
        <f t="array" ref="BE5">_xlfn.LET(
    _xlpm.row_name, $A5,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0.28084057430815623</v>
      </c>
      <c r="BF5" cm="1">
        <f t="array" ref="BF5">_xlfn.LET(
    _xlpm.row_name, $A5,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0.64746416052022404</v>
      </c>
      <c r="BG5" cm="1">
        <f t="array" ref="BG5">_xlfn.LET(
    _xlpm.row_name, $A5,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0.50915198560816011</v>
      </c>
      <c r="BH5" cm="1">
        <f t="array" ref="BH5">_xlfn.LET(
    _xlpm.row_name, $A5,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0.24919946407658977</v>
      </c>
      <c r="BI5" cm="1">
        <f t="array" ref="BI5">_xlfn.LET(
    _xlpm.row_name, $A5,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0.34699176397908471</v>
      </c>
      <c r="BJ5" cm="1">
        <f t="array" ref="BJ5">_xlfn.LET(
    _xlpm.row_name, $A5,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0.64611288034634651</v>
      </c>
      <c r="BK5" cm="1">
        <f t="array" ref="BK5">_xlfn.LET(
    _xlpm.row_name, $A5,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0.32289185066709764</v>
      </c>
      <c r="BL5" cm="1">
        <f t="array" ref="BL5">_xlfn.LET(
    _xlpm.row_name, $A5,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0.84855334783094505</v>
      </c>
      <c r="BM5" cm="1">
        <f t="array" ref="BM5">_xlfn.LET(
    _xlpm.row_name, $A5,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0.31274252502071498</v>
      </c>
      <c r="BN5" cm="1">
        <f t="array" ref="BN5">_xlfn.LET(
    _xlpm.row_name, $A5,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0.29329187224286324</v>
      </c>
      <c r="BO5" cm="1">
        <f t="array" ref="BO5">_xlfn.LET(
    _xlpm.row_name, $A5,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0.62767109701565249</v>
      </c>
      <c r="BP5" cm="1">
        <f t="array" ref="BP5">_xlfn.LET(
    _xlpm.row_name, $A5,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0.92331349585227795</v>
      </c>
      <c r="BQ5" cm="1">
        <f t="array" ref="BQ5">_xlfn.LET(
    _xlpm.row_name, $A5,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0.19768938585726331</v>
      </c>
      <c r="BR5" cm="1">
        <f t="array" ref="BR5">_xlfn.LET(
    _xlpm.row_name, $A5,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8.80167148263023E-2</v>
      </c>
      <c r="BS5" cm="1">
        <f t="array" ref="BS5">_xlfn.LET(
    _xlpm.row_name, $A5,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0.91401539463359571</v>
      </c>
      <c r="BT5" cm="1">
        <f t="array" ref="BT5">_xlfn.LET(
    _xlpm.row_name, $A5,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0.81352932426831948</v>
      </c>
      <c r="BU5" cm="1">
        <f t="array" ref="BU5">_xlfn.LET(
    _xlpm.row_name, $A5,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0.83939390573684647</v>
      </c>
      <c r="BV5" cm="1">
        <f t="array" ref="BV5">_xlfn.LET(
    _xlpm.row_name, $A5,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0.16287986945516264</v>
      </c>
    </row>
    <row r="6" spans="1:74" x14ac:dyDescent="0.3">
      <c r="A6" t="str">
        <v>Elder, Bryce</v>
      </c>
      <c r="B6" cm="1">
        <f t="array" ref="B6">_xlfn.LET(
    _xlpm.row_name, $A6,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0.69237473561763774</v>
      </c>
      <c r="C6" cm="1">
        <f t="array" ref="C6">_xlfn.LET(
    _xlpm.row_name, $A6,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0.70996362601522545</v>
      </c>
      <c r="D6" cm="1">
        <f t="array" ref="D6">_xlfn.LET(
    _xlpm.row_name, $A6,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5.00501378237177E-2</v>
      </c>
      <c r="E6" cm="1">
        <f t="array" ref="E6">_xlfn.LET(
    _xlpm.row_name, $A6,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F6" cm="1">
        <f t="array" ref="F6">_xlfn.LET(
    _xlpm.row_name, $A6,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0.6554426301987315</v>
      </c>
      <c r="G6" cm="1">
        <f t="array" ref="G6">_xlfn.LET(
    _xlpm.row_name, $A6,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0.22602892114366985</v>
      </c>
      <c r="H6" cm="1">
        <f t="array" ref="H6">_xlfn.LET(
    _xlpm.row_name, $A6,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0.41774744528922769</v>
      </c>
      <c r="I6" cm="1">
        <f t="array" ref="I6">_xlfn.LET(
    _xlpm.row_name, $A6,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0.3126218444442625</v>
      </c>
      <c r="J6" cm="1">
        <f t="array" ref="J6">_xlfn.LET(
    _xlpm.row_name, $A6,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0.24536567840882034</v>
      </c>
      <c r="K6" cm="1">
        <f t="array" ref="K6">_xlfn.LET(
    _xlpm.row_name, $A6,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0.75390019704004807</v>
      </c>
      <c r="L6" cm="1">
        <f t="array" ref="L6">_xlfn.LET(
    _xlpm.row_name, $A6,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0.79918819344270764</v>
      </c>
      <c r="M6" cm="1">
        <f t="array" ref="M6">_xlfn.LET(
    _xlpm.row_name, $A6,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0.13239186651215951</v>
      </c>
      <c r="N6" cm="1">
        <f t="array" ref="N6">_xlfn.LET(
    _xlpm.row_name, $A6,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0.52854320587275783</v>
      </c>
      <c r="O6" cm="1">
        <f t="array" ref="O6">_xlfn.LET(
    _xlpm.row_name, $A6,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0.27648030388988765</v>
      </c>
      <c r="P6" cm="1">
        <f t="array" ref="P6">_xlfn.LET(
    _xlpm.row_name, $A6,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0.57715393399632198</v>
      </c>
      <c r="Q6" cm="1">
        <f t="array" ref="Q6">_xlfn.LET(
    _xlpm.row_name, $A6,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0.91950129422087068</v>
      </c>
      <c r="R6" cm="1">
        <f t="array" ref="R6">_xlfn.LET(
    _xlpm.row_name, $A6,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0.34479537727817178</v>
      </c>
      <c r="S6" cm="1">
        <f t="array" ref="S6">_xlfn.LET(
    _xlpm.row_name, $A6,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0.47770472178933204</v>
      </c>
      <c r="T6" cm="1">
        <f t="array" ref="T6">_xlfn.LET(
    _xlpm.row_name, $A6,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0.41199279334134054</v>
      </c>
      <c r="U6" cm="1">
        <f t="array" ref="U6">_xlfn.LET(
    _xlpm.row_name, $A6,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0.17738086941759662</v>
      </c>
      <c r="V6" cm="1">
        <f t="array" ref="V6">_xlfn.LET(
    _xlpm.row_name, $A6,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0.70904078712064333</v>
      </c>
      <c r="W6" cm="1">
        <f t="array" ref="W6">_xlfn.LET(
    _xlpm.row_name, $A6,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0.81687372341140585</v>
      </c>
      <c r="X6" cm="1">
        <f t="array" ref="X6">_xlfn.LET(
    _xlpm.row_name, $A6,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0.19385767036338875</v>
      </c>
      <c r="Y6" cm="1">
        <f t="array" ref="Y6">_xlfn.LET(
    _xlpm.row_name, $A6,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0.36618164021818411</v>
      </c>
      <c r="Z6" cm="1">
        <f t="array" ref="Z6">_xlfn.LET(
    _xlpm.row_name, $A6,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4.0929954040487437E-2</v>
      </c>
      <c r="AA6" cm="1">
        <f t="array" ref="AA6">_xlfn.LET(
    _xlpm.row_name, $A6,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0.2585491506594908</v>
      </c>
      <c r="AB6" cm="1">
        <f t="array" ref="AB6">_xlfn.LET(
    _xlpm.row_name, $A6,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0.15699873077976229</v>
      </c>
      <c r="AC6" cm="1">
        <f t="array" ref="AC6">_xlfn.LET(
    _xlpm.row_name, $A6,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0.89613654963730038</v>
      </c>
      <c r="AD6" cm="1">
        <f t="array" ref="AD6">_xlfn.LET(
    _xlpm.row_name, $A6,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0.36668720923448939</v>
      </c>
      <c r="AE6" cm="1">
        <f t="array" ref="AE6">_xlfn.LET(
    _xlpm.row_name, $A6,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0.10995342251582962</v>
      </c>
      <c r="AF6" cm="1">
        <f t="array" ref="AF6">_xlfn.LET(
    _xlpm.row_name, $A6,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0.68059037375869225</v>
      </c>
      <c r="AG6" cm="1">
        <f t="array" ref="AG6">_xlfn.LET(
    _xlpm.row_name, $A6,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0.58169645975263695</v>
      </c>
      <c r="AH6" cm="1">
        <f t="array" ref="AH6">_xlfn.LET(
    _xlpm.row_name, $A6,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0.19676611984779546</v>
      </c>
      <c r="AI6" cm="1">
        <f t="array" ref="AI6">_xlfn.LET(
    _xlpm.row_name, $A6,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0.39945343107427328</v>
      </c>
      <c r="AJ6" cm="1">
        <f t="array" ref="AJ6">_xlfn.LET(
    _xlpm.row_name, $A6,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5.1193901206620762E-2</v>
      </c>
      <c r="AK6" cm="1">
        <f t="array" ref="AK6">_xlfn.LET(
    _xlpm.row_name, $A6,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0.7610789256370718</v>
      </c>
      <c r="AL6" cm="1">
        <f t="array" ref="AL6">_xlfn.LET(
    _xlpm.row_name, $A6,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2.6085313720070558E-2</v>
      </c>
      <c r="AM6" cm="1">
        <f t="array" ref="AM6">_xlfn.LET(
    _xlpm.row_name, $A6,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0.9522138985198092</v>
      </c>
      <c r="AN6" cm="1">
        <f t="array" ref="AN6">_xlfn.LET(
    _xlpm.row_name, $A6,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0.13842607048319971</v>
      </c>
      <c r="AO6" cm="1">
        <f t="array" ref="AO6">_xlfn.LET(
    _xlpm.row_name, $A6,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0.38155430414271702</v>
      </c>
      <c r="AP6" cm="1">
        <f t="array" ref="AP6">_xlfn.LET(
    _xlpm.row_name, $A6,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0.32225662087319984</v>
      </c>
      <c r="AQ6" cm="1">
        <f t="array" ref="AQ6">_xlfn.LET(
    _xlpm.row_name, $A6,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0.52285806236346932</v>
      </c>
      <c r="AR6" cm="1">
        <f t="array" ref="AR6">_xlfn.LET(
    _xlpm.row_name, $A6,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0.31885396480137917</v>
      </c>
      <c r="AS6" cm="1">
        <f t="array" ref="AS6">_xlfn.LET(
    _xlpm.row_name, $A6,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0.54158071212506154</v>
      </c>
      <c r="AT6" cm="1">
        <f t="array" ref="AT6">_xlfn.LET(
    _xlpm.row_name, $A6,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0.74004444101172306</v>
      </c>
      <c r="AU6" cm="1">
        <f t="array" ref="AU6">_xlfn.LET(
    _xlpm.row_name, $A6,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8.0046268294275913E-2</v>
      </c>
      <c r="AV6" cm="1">
        <f t="array" ref="AV6">_xlfn.LET(
    _xlpm.row_name, $A6,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0.85088772379368771</v>
      </c>
      <c r="AW6" cm="1">
        <f t="array" ref="AW6">_xlfn.LET(
    _xlpm.row_name, $A6,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0.76582512272608771</v>
      </c>
      <c r="AX6" cm="1">
        <f t="array" ref="AX6">_xlfn.LET(
    _xlpm.row_name, $A6,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0.75959392766768152</v>
      </c>
      <c r="AY6" cm="1">
        <f t="array" ref="AY6">_xlfn.LET(
    _xlpm.row_name, $A6,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0.27007884975587082</v>
      </c>
      <c r="AZ6" cm="1">
        <f t="array" ref="AZ6">_xlfn.LET(
    _xlpm.row_name, $A6,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0.56163849210585115</v>
      </c>
      <c r="BA6" cm="1">
        <f t="array" ref="BA6">_xlfn.LET(
    _xlpm.row_name, $A6,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0.30119443727144218</v>
      </c>
      <c r="BB6" cm="1">
        <f t="array" ref="BB6">_xlfn.LET(
    _xlpm.row_name, $A6,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0.70658646794614566</v>
      </c>
      <c r="BC6" cm="1">
        <f t="array" ref="BC6">_xlfn.LET(
    _xlpm.row_name, $A6,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0.96260208201753872</v>
      </c>
      <c r="BD6" cm="1">
        <f t="array" ref="BD6">_xlfn.LET(
    _xlpm.row_name, $A6,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0.22347589904551773</v>
      </c>
      <c r="BE6" cm="1">
        <f t="array" ref="BE6">_xlfn.LET(
    _xlpm.row_name, $A6,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0.78834216382862499</v>
      </c>
      <c r="BF6" cm="1">
        <f t="array" ref="BF6">_xlfn.LET(
    _xlpm.row_name, $A6,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0.42735303101114475</v>
      </c>
      <c r="BG6" cm="1">
        <f t="array" ref="BG6">_xlfn.LET(
    _xlpm.row_name, $A6,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0.39069574340322211</v>
      </c>
      <c r="BH6" cm="1">
        <f t="array" ref="BH6">_xlfn.LET(
    _xlpm.row_name, $A6,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0.76315269934379015</v>
      </c>
      <c r="BI6" cm="1">
        <f t="array" ref="BI6">_xlfn.LET(
    _xlpm.row_name, $A6,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0.54845604751626553</v>
      </c>
      <c r="BJ6" cm="1">
        <f t="array" ref="BJ6">_xlfn.LET(
    _xlpm.row_name, $A6,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0.17898659219517499</v>
      </c>
      <c r="BK6" cm="1">
        <f t="array" ref="BK6">_xlfn.LET(
    _xlpm.row_name, $A6,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0.49880325052213331</v>
      </c>
      <c r="BL6" cm="1">
        <f t="array" ref="BL6">_xlfn.LET(
    _xlpm.row_name, $A6,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0.28252094128384142</v>
      </c>
      <c r="BM6" cm="1">
        <f t="array" ref="BM6">_xlfn.LET(
    _xlpm.row_name, $A6,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0.79705544564831632</v>
      </c>
      <c r="BN6" cm="1">
        <f t="array" ref="BN6">_xlfn.LET(
    _xlpm.row_name, $A6,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0.63769051913368058</v>
      </c>
      <c r="BO6" cm="1">
        <f t="array" ref="BO6">_xlfn.LET(
    _xlpm.row_name, $A6,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0.51106672891143656</v>
      </c>
      <c r="BP6" cm="1">
        <f t="array" ref="BP6">_xlfn.LET(
    _xlpm.row_name, $A6,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4.7541403023884987E-2</v>
      </c>
      <c r="BQ6" cm="1">
        <f t="array" ref="BQ6">_xlfn.LET(
    _xlpm.row_name, $A6,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0.7024183002694151</v>
      </c>
      <c r="BR6" cm="1">
        <f t="array" ref="BR6">_xlfn.LET(
    _xlpm.row_name, $A6,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0.84294058725370968</v>
      </c>
      <c r="BS6" cm="1">
        <f t="array" ref="BS6">_xlfn.LET(
    _xlpm.row_name, $A6,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0.20949058560191802</v>
      </c>
      <c r="BT6" cm="1">
        <f t="array" ref="BT6">_xlfn.LET(
    _xlpm.row_name, $A6,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0.29254057418568424</v>
      </c>
      <c r="BU6" cm="1">
        <f t="array" ref="BU6">_xlfn.LET(
    _xlpm.row_name, $A6,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0.19674972109270283</v>
      </c>
      <c r="BV6" cm="1">
        <f t="array" ref="BV6">_xlfn.LET(
    _xlpm.row_name, $A6,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0.78028900420753189</v>
      </c>
    </row>
    <row r="7" spans="1:74" x14ac:dyDescent="0.3">
      <c r="A7" t="str">
        <v>Sale, Chris</v>
      </c>
      <c r="B7" cm="1">
        <f t="array" ref="B7">_xlfn.LET(
    _xlpm.row_name, $A7,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0.53420876909175641</v>
      </c>
      <c r="C7" cm="1">
        <f t="array" ref="C7">_xlfn.LET(
    _xlpm.row_name, $A7,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0.73161018970386971</v>
      </c>
      <c r="D7" cm="1">
        <f t="array" ref="D7">_xlfn.LET(
    _xlpm.row_name, $A7,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0.44382629281878144</v>
      </c>
      <c r="E7" cm="1">
        <f t="array" ref="E7">_xlfn.LET(
    _xlpm.row_name, $A7,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0.6554426301987315</v>
      </c>
      <c r="F7" cm="1">
        <f t="array" ref="F7">_xlfn.LET(
    _xlpm.row_name, $A7,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G7" cm="1">
        <f t="array" ref="G7">_xlfn.LET(
    _xlpm.row_name, $A7,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0.52704422124705586</v>
      </c>
      <c r="H7" cm="1">
        <f t="array" ref="H7">_xlfn.LET(
    _xlpm.row_name, $A7,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0.28558141041186086</v>
      </c>
      <c r="I7" cm="1">
        <f t="array" ref="I7">_xlfn.LET(
    _xlpm.row_name, $A7,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0.4651136915138705</v>
      </c>
      <c r="J7" cm="1">
        <f t="array" ref="J7">_xlfn.LET(
    _xlpm.row_name, $A7,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0.79956010543723588</v>
      </c>
      <c r="K7" cm="1">
        <f t="array" ref="K7">_xlfn.LET(
    _xlpm.row_name, $A7,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0.55452574167147528</v>
      </c>
      <c r="L7" cm="1">
        <f t="array" ref="L7">_xlfn.LET(
    _xlpm.row_name, $A7,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0.67260399752437905</v>
      </c>
      <c r="M7" cm="1">
        <f t="array" ref="M7">_xlfn.LET(
    _xlpm.row_name, $A7,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0.40395710547504099</v>
      </c>
      <c r="N7" cm="1">
        <f t="array" ref="N7">_xlfn.LET(
    _xlpm.row_name, $A7,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0.73464187825164151</v>
      </c>
      <c r="O7" cm="1">
        <f t="array" ref="O7">_xlfn.LET(
    _xlpm.row_name, $A7,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0.44639308883294576</v>
      </c>
      <c r="P7" cm="1">
        <f t="array" ref="P7">_xlfn.LET(
    _xlpm.row_name, $A7,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0.65540483115050541</v>
      </c>
      <c r="Q7" cm="1">
        <f t="array" ref="Q7">_xlfn.LET(
    _xlpm.row_name, $A7,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0.4763060692654848</v>
      </c>
      <c r="R7" cm="1">
        <f t="array" ref="R7">_xlfn.LET(
    _xlpm.row_name, $A7,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0.2030819625736226</v>
      </c>
      <c r="S7" cm="1">
        <f t="array" ref="S7">_xlfn.LET(
    _xlpm.row_name, $A7,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0.42133128402426823</v>
      </c>
      <c r="T7" cm="1">
        <f t="array" ref="T7">_xlfn.LET(
    _xlpm.row_name, $A7,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0.45571683713310351</v>
      </c>
      <c r="U7" cm="1">
        <f t="array" ref="U7">_xlfn.LET(
    _xlpm.row_name, $A7,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0.50763119478120355</v>
      </c>
      <c r="V7" cm="1">
        <f t="array" ref="V7">_xlfn.LET(
    _xlpm.row_name, $A7,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0.49457264382085703</v>
      </c>
      <c r="W7" cm="1">
        <f t="array" ref="W7">_xlfn.LET(
    _xlpm.row_name, $A7,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0.57132954726682539</v>
      </c>
      <c r="X7" cm="1">
        <f t="array" ref="X7">_xlfn.LET(
    _xlpm.row_name, $A7,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0.32428135024138371</v>
      </c>
      <c r="Y7" cm="1">
        <f t="array" ref="Y7">_xlfn.LET(
    _xlpm.row_name, $A7,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0.67157919380764364</v>
      </c>
      <c r="Z7" cm="1">
        <f t="array" ref="Z7">_xlfn.LET(
    _xlpm.row_name, $A7,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0.3602425023758381</v>
      </c>
      <c r="AA7" cm="1">
        <f t="array" ref="AA7">_xlfn.LET(
    _xlpm.row_name, $A7,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0.48359743531222638</v>
      </c>
      <c r="AB7" cm="1">
        <f t="array" ref="AB7">_xlfn.LET(
    _xlpm.row_name, $A7,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0.45353914662038675</v>
      </c>
      <c r="AC7" cm="1">
        <f t="array" ref="AC7">_xlfn.LET(
    _xlpm.row_name, $A7,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0.71356271357296719</v>
      </c>
      <c r="AD7" cm="1">
        <f t="array" ref="AD7">_xlfn.LET(
    _xlpm.row_name, $A7,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0.31013881586338443</v>
      </c>
      <c r="AE7" cm="1">
        <f t="array" ref="AE7">_xlfn.LET(
    _xlpm.row_name, $A7,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0.45289533427429463</v>
      </c>
      <c r="AF7" cm="1">
        <f t="array" ref="AF7">_xlfn.LET(
    _xlpm.row_name, $A7,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0.81682480484520559</v>
      </c>
      <c r="AG7" cm="1">
        <f t="array" ref="AG7">_xlfn.LET(
    _xlpm.row_name, $A7,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0.89629867549724818</v>
      </c>
      <c r="AH7" cm="1">
        <f t="array" ref="AH7">_xlfn.LET(
    _xlpm.row_name, $A7,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0.19663170751732911</v>
      </c>
      <c r="AI7" cm="1">
        <f t="array" ref="AI7">_xlfn.LET(
    _xlpm.row_name, $A7,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0.67045433523144382</v>
      </c>
      <c r="AJ7" cm="1">
        <f t="array" ref="AJ7">_xlfn.LET(
    _xlpm.row_name, $A7,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0.32924715161652773</v>
      </c>
      <c r="AK7" cm="1">
        <f t="array" ref="AK7">_xlfn.LET(
    _xlpm.row_name, $A7,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0.70639227478227395</v>
      </c>
      <c r="AL7" cm="1">
        <f t="array" ref="AL7">_xlfn.LET(
    _xlpm.row_name, $A7,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0.300121015227785</v>
      </c>
      <c r="AM7" cm="1">
        <f t="array" ref="AM7">_xlfn.LET(
    _xlpm.row_name, $A7,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0.6680755938933044</v>
      </c>
      <c r="AN7" cm="1">
        <f t="array" ref="AN7">_xlfn.LET(
    _xlpm.row_name, $A7,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0.29660652868087956</v>
      </c>
      <c r="AO7" cm="1">
        <f t="array" ref="AO7">_xlfn.LET(
    _xlpm.row_name, $A7,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0.54946787442925304</v>
      </c>
      <c r="AP7" cm="1">
        <f t="array" ref="AP7">_xlfn.LET(
    _xlpm.row_name, $A7,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0.72327249007157635</v>
      </c>
      <c r="AQ7" cm="1">
        <f t="array" ref="AQ7">_xlfn.LET(
    _xlpm.row_name, $A7,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0.61251519602275339</v>
      </c>
      <c r="AR7" cm="1">
        <f t="array" ref="AR7">_xlfn.LET(
    _xlpm.row_name, $A7,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0.64181474810230077</v>
      </c>
      <c r="AS7" cm="1">
        <f t="array" ref="AS7">_xlfn.LET(
    _xlpm.row_name, $A7,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0.73820202204095053</v>
      </c>
      <c r="AT7" cm="1">
        <f t="array" ref="AT7">_xlfn.LET(
    _xlpm.row_name, $A7,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0.4369375908135481</v>
      </c>
      <c r="AU7" cm="1">
        <f t="array" ref="AU7">_xlfn.LET(
    _xlpm.row_name, $A7,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0.56558308352608377</v>
      </c>
      <c r="AV7" cm="1">
        <f t="array" ref="AV7">_xlfn.LET(
    _xlpm.row_name, $A7,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0.63774701401506584</v>
      </c>
      <c r="AW7" cm="1">
        <f t="array" ref="AW7">_xlfn.LET(
    _xlpm.row_name, $A7,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0.36151884107872057</v>
      </c>
      <c r="AX7" cm="1">
        <f t="array" ref="AX7">_xlfn.LET(
    _xlpm.row_name, $A7,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0.86666622219321987</v>
      </c>
      <c r="AY7" cm="1">
        <f t="array" ref="AY7">_xlfn.LET(
    _xlpm.row_name, $A7,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0.62211988550738384</v>
      </c>
      <c r="AZ7" cm="1">
        <f t="array" ref="AZ7">_xlfn.LET(
    _xlpm.row_name, $A7,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0.52279417770118675</v>
      </c>
      <c r="BA7" cm="1">
        <f t="array" ref="BA7">_xlfn.LET(
    _xlpm.row_name, $A7,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0.39684062833529116</v>
      </c>
      <c r="BB7" cm="1">
        <f t="array" ref="BB7">_xlfn.LET(
    _xlpm.row_name, $A7,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0.58242937812511797</v>
      </c>
      <c r="BC7" cm="1">
        <f t="array" ref="BC7">_xlfn.LET(
    _xlpm.row_name, $A7,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0.5917995531074387</v>
      </c>
      <c r="BD7" cm="1">
        <f t="array" ref="BD7">_xlfn.LET(
    _xlpm.row_name, $A7,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0.51703710852151397</v>
      </c>
      <c r="BE7" cm="1">
        <f t="array" ref="BE7">_xlfn.LET(
    _xlpm.row_name, $A7,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0.83183215541160882</v>
      </c>
      <c r="BF7" cm="1">
        <f t="array" ref="BF7">_xlfn.LET(
    _xlpm.row_name, $A7,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0.39284377457705455</v>
      </c>
      <c r="BG7" cm="1">
        <f t="array" ref="BG7">_xlfn.LET(
    _xlpm.row_name, $A7,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0.20271516154150437</v>
      </c>
      <c r="BH7" cm="1">
        <f t="array" ref="BH7">_xlfn.LET(
    _xlpm.row_name, $A7,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0.49359134168221325</v>
      </c>
      <c r="BI7" cm="1">
        <f t="array" ref="BI7">_xlfn.LET(
    _xlpm.row_name, $A7,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0.36556722926202195</v>
      </c>
      <c r="BJ7" cm="1">
        <f t="array" ref="BJ7">_xlfn.LET(
    _xlpm.row_name, $A7,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0.35884532646038564</v>
      </c>
      <c r="BK7" cm="1">
        <f t="array" ref="BK7">_xlfn.LET(
    _xlpm.row_name, $A7,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0.36334077817585864</v>
      </c>
      <c r="BL7" cm="1">
        <f t="array" ref="BL7">_xlfn.LET(
    _xlpm.row_name, $A7,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0.47054829341711968</v>
      </c>
      <c r="BM7" cm="1">
        <f t="array" ref="BM7">_xlfn.LET(
    _xlpm.row_name, $A7,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0.93599419316795762</v>
      </c>
      <c r="BN7" cm="1">
        <f t="array" ref="BN7">_xlfn.LET(
    _xlpm.row_name, $A7,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0.48898961247404343</v>
      </c>
      <c r="BO7" cm="1">
        <f t="array" ref="BO7">_xlfn.LET(
    _xlpm.row_name, $A7,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0.29106665859474001</v>
      </c>
      <c r="BP7" cm="1">
        <f t="array" ref="BP7">_xlfn.LET(
    _xlpm.row_name, $A7,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0.49848735015121981</v>
      </c>
      <c r="BQ7" cm="1">
        <f t="array" ref="BQ7">_xlfn.LET(
    _xlpm.row_name, $A7,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0.30263454636285625</v>
      </c>
      <c r="BR7" cm="1">
        <f t="array" ref="BR7">_xlfn.LET(
    _xlpm.row_name, $A7,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0.58933630207636267</v>
      </c>
      <c r="BS7" cm="1">
        <f t="array" ref="BS7">_xlfn.LET(
    _xlpm.row_name, $A7,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0.69699310015141791</v>
      </c>
      <c r="BT7" cm="1">
        <f t="array" ref="BT7">_xlfn.LET(
    _xlpm.row_name, $A7,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0.53159517298259806</v>
      </c>
      <c r="BU7" cm="1">
        <f t="array" ref="BU7">_xlfn.LET(
    _xlpm.row_name, $A7,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0.33720647289666639</v>
      </c>
      <c r="BV7" cm="1">
        <f t="array" ref="BV7">_xlfn.LET(
    _xlpm.row_name, $A7,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0.57547965519280975</v>
      </c>
    </row>
    <row r="8" spans="1:74" x14ac:dyDescent="0.3">
      <c r="A8" t="str">
        <v>Anderson, Ian</v>
      </c>
      <c r="B8" cm="1">
        <f t="array" ref="B8">_xlfn.LET(
    _xlpm.row_name, $A8,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0.44479726232345007</v>
      </c>
      <c r="C8" cm="1">
        <f t="array" ref="C8">_xlfn.LET(
    _xlpm.row_name, $A8,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0.23757970720597726</v>
      </c>
      <c r="D8" cm="1">
        <f t="array" ref="D8">_xlfn.LET(
    _xlpm.row_name, $A8,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0.74766718521411279</v>
      </c>
      <c r="E8" cm="1">
        <f t="array" ref="E8">_xlfn.LET(
    _xlpm.row_name, $A8,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0.22602892114366985</v>
      </c>
      <c r="F8" cm="1">
        <f t="array" ref="F8">_xlfn.LET(
    _xlpm.row_name, $A8,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0.52704422124705586</v>
      </c>
      <c r="G8" cm="1">
        <f t="array" ref="G8">_xlfn.LET(
    _xlpm.row_name, $A8,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H8" cm="1">
        <f t="array" ref="H8">_xlfn.LET(
    _xlpm.row_name, $A8,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0.20938371154501001</v>
      </c>
      <c r="I8" cm="1">
        <f t="array" ref="I8">_xlfn.LET(
    _xlpm.row_name, $A8,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0.43058906500646521</v>
      </c>
      <c r="J8" cm="1">
        <f t="array" ref="J8">_xlfn.LET(
    _xlpm.row_name, $A8,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0.70513210291792894</v>
      </c>
      <c r="K8" cm="1">
        <f t="array" ref="K8">_xlfn.LET(
    _xlpm.row_name, $A8,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0.29049881828931379</v>
      </c>
      <c r="L8" cm="1">
        <f t="array" ref="L8">_xlfn.LET(
    _xlpm.row_name, $A8,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0.52390129030334487</v>
      </c>
      <c r="M8" cm="1">
        <f t="array" ref="M8">_xlfn.LET(
    _xlpm.row_name, $A8,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0.57774057595701322</v>
      </c>
      <c r="N8" cm="1">
        <f t="array" ref="N8">_xlfn.LET(
    _xlpm.row_name, $A8,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0.3987381190114942</v>
      </c>
      <c r="O8" cm="1">
        <f t="array" ref="O8">_xlfn.LET(
    _xlpm.row_name, $A8,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0.86892357574348722</v>
      </c>
      <c r="P8" cm="1">
        <f t="array" ref="P8">_xlfn.LET(
    _xlpm.row_name, $A8,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0.1538712153961358</v>
      </c>
      <c r="Q8" cm="1">
        <f t="array" ref="Q8">_xlfn.LET(
    _xlpm.row_name, $A8,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0.17858941672623369</v>
      </c>
      <c r="R8" cm="1">
        <f t="array" ref="R8">_xlfn.LET(
    _xlpm.row_name, $A8,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0.21004373330191695</v>
      </c>
      <c r="S8" cm="1">
        <f t="array" ref="S8">_xlfn.LET(
    _xlpm.row_name, $A8,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0.1850302340589432</v>
      </c>
      <c r="T8" cm="1">
        <f t="array" ref="T8">_xlfn.LET(
    _xlpm.row_name, $A8,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0.20321753748142884</v>
      </c>
      <c r="U8" cm="1">
        <f t="array" ref="U8">_xlfn.LET(
    _xlpm.row_name, $A8,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0.98103615179375248</v>
      </c>
      <c r="V8" cm="1">
        <f t="array" ref="V8">_xlfn.LET(
    _xlpm.row_name, $A8,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0.66987139774146964</v>
      </c>
      <c r="W8" cm="1">
        <f t="array" ref="W8">_xlfn.LET(
    _xlpm.row_name, $A8,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6.0782247780331533E-2</v>
      </c>
      <c r="X8" cm="1">
        <f t="array" ref="X8">_xlfn.LET(
    _xlpm.row_name, $A8,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0.92298306384059847</v>
      </c>
      <c r="Y8" cm="1">
        <f t="array" ref="Y8">_xlfn.LET(
    _xlpm.row_name, $A8,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0.62805324146275576</v>
      </c>
      <c r="Z8" cm="1">
        <f t="array" ref="Z8">_xlfn.LET(
    _xlpm.row_name, $A8,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0.63056753863035619</v>
      </c>
      <c r="AA8" cm="1">
        <f t="array" ref="AA8">_xlfn.LET(
    _xlpm.row_name, $A8,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0.82480721947203395</v>
      </c>
      <c r="AB8" cm="1">
        <f t="array" ref="AB8">_xlfn.LET(
    _xlpm.row_name, $A8,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0.80669159609253283</v>
      </c>
      <c r="AC8" cm="1">
        <f t="array" ref="AC8">_xlfn.LET(
    _xlpm.row_name, $A8,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0.18968662154727917</v>
      </c>
      <c r="AD8" cm="1">
        <f t="array" ref="AD8">_xlfn.LET(
    _xlpm.row_name, $A8,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0.38773513405325744</v>
      </c>
      <c r="AE8" cm="1">
        <f t="array" ref="AE8">_xlfn.LET(
    _xlpm.row_name, $A8,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0.95370237662012058</v>
      </c>
      <c r="AF8" cm="1">
        <f t="array" ref="AF8">_xlfn.LET(
    _xlpm.row_name, $A8,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0.70483094304399585</v>
      </c>
      <c r="AG8" cm="1">
        <f t="array" ref="AG8">_xlfn.LET(
    _xlpm.row_name, $A8,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0.74738621592190624</v>
      </c>
      <c r="AH8" cm="1">
        <f t="array" ref="AH8">_xlfn.LET(
    _xlpm.row_name, $A8,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0.53909243758668213</v>
      </c>
      <c r="AI8" cm="1">
        <f t="array" ref="AI8">_xlfn.LET(
    _xlpm.row_name, $A8,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0.82697911455652329</v>
      </c>
      <c r="AJ8" cm="1">
        <f t="array" ref="AJ8">_xlfn.LET(
    _xlpm.row_name, $A8,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0.75922702708069645</v>
      </c>
      <c r="AK8" cm="1">
        <f t="array" ref="AK8">_xlfn.LET(
    _xlpm.row_name, $A8,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0.60103220821399717</v>
      </c>
      <c r="AL8" cm="1">
        <f t="array" ref="AL8">_xlfn.LET(
    _xlpm.row_name, $A8,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0.67176062675991866</v>
      </c>
      <c r="AM8" cm="1">
        <f t="array" ref="AM8">_xlfn.LET(
    _xlpm.row_name, $A8,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0.17213855451726184</v>
      </c>
      <c r="AN8" cm="1">
        <f t="array" ref="AN8">_xlfn.LET(
    _xlpm.row_name, $A8,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0.49552885167722871</v>
      </c>
      <c r="AO8" cm="1">
        <f t="array" ref="AO8">_xlfn.LET(
    _xlpm.row_name, $A8,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0.51481266230966038</v>
      </c>
      <c r="AP8" cm="1">
        <f t="array" ref="AP8">_xlfn.LET(
    _xlpm.row_name, $A8,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0.76456224367399206</v>
      </c>
      <c r="AQ8" cm="1">
        <f t="array" ref="AQ8">_xlfn.LET(
    _xlpm.row_name, $A8,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0.56847293574250723</v>
      </c>
      <c r="AR8" cm="1">
        <f t="array" ref="AR8">_xlfn.LET(
    _xlpm.row_name, $A8,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0.46097323822506542</v>
      </c>
      <c r="AS8" cm="1">
        <f t="array" ref="AS8">_xlfn.LET(
    _xlpm.row_name, $A8,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0.54187355009382021</v>
      </c>
      <c r="AT8" cm="1">
        <f t="array" ref="AT8">_xlfn.LET(
    _xlpm.row_name, $A8,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0.65238499254289128</v>
      </c>
      <c r="AU8" cm="1">
        <f t="array" ref="AU8">_xlfn.LET(
    _xlpm.row_name, $A8,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0.75731049629329994</v>
      </c>
      <c r="AV8" cm="1">
        <f t="array" ref="AV8">_xlfn.LET(
    _xlpm.row_name, $A8,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0.23581236259092675</v>
      </c>
      <c r="AW8" cm="1">
        <f t="array" ref="AW8">_xlfn.LET(
    _xlpm.row_name, $A8,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0.40787664349103003</v>
      </c>
      <c r="AX8" cm="1">
        <f t="array" ref="AX8">_xlfn.LET(
    _xlpm.row_name, $A8,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0.27093533467186148</v>
      </c>
      <c r="AY8" cm="1">
        <f t="array" ref="AY8">_xlfn.LET(
    _xlpm.row_name, $A8,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0.55975922443234516</v>
      </c>
      <c r="AZ8" cm="1">
        <f t="array" ref="AZ8">_xlfn.LET(
    _xlpm.row_name, $A8,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0.16251069174580157</v>
      </c>
      <c r="BA8" cm="1">
        <f t="array" ref="BA8">_xlfn.LET(
    _xlpm.row_name, $A8,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0.93640383686273299</v>
      </c>
      <c r="BB8" cm="1">
        <f t="array" ref="BB8">_xlfn.LET(
    _xlpm.row_name, $A8,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0.45951264834918343</v>
      </c>
      <c r="BC8" cm="1">
        <f t="array" ref="BC8">_xlfn.LET(
    _xlpm.row_name, $A8,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0.23460533994861754</v>
      </c>
      <c r="BD8" cm="1">
        <f t="array" ref="BD8">_xlfn.LET(
    _xlpm.row_name, $A8,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0.9900065058824985</v>
      </c>
      <c r="BE8" cm="1">
        <f t="array" ref="BE8">_xlfn.LET(
    _xlpm.row_name, $A8,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0.59784302308070458</v>
      </c>
      <c r="BF8" cm="1">
        <f t="array" ref="BF8">_xlfn.LET(
    _xlpm.row_name, $A8,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0.16161830604086536</v>
      </c>
      <c r="BG8" cm="1">
        <f t="array" ref="BG8">_xlfn.LET(
    _xlpm.row_name, $A8,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0.81200854076693907</v>
      </c>
      <c r="BH8" cm="1">
        <f t="array" ref="BH8">_xlfn.LET(
    _xlpm.row_name, $A8,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0.36353839092853202</v>
      </c>
      <c r="BI8" cm="1">
        <f t="array" ref="BI8">_xlfn.LET(
    _xlpm.row_name, $A8,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0.64689992919891648</v>
      </c>
      <c r="BJ8" cm="1">
        <f t="array" ref="BJ8">_xlfn.LET(
    _xlpm.row_name, $A8,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0.58727386290876993</v>
      </c>
      <c r="BK8" cm="1">
        <f t="array" ref="BK8">_xlfn.LET(
    _xlpm.row_name, $A8,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0.6722324504673125</v>
      </c>
      <c r="BL8" cm="1">
        <f t="array" ref="BL8">_xlfn.LET(
    _xlpm.row_name, $A8,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0.49237111589411636</v>
      </c>
      <c r="BM8" cm="1">
        <f t="array" ref="BM8">_xlfn.LET(
    _xlpm.row_name, $A8,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0.38749909031373969</v>
      </c>
      <c r="BN8" cm="1">
        <f t="array" ref="BN8">_xlfn.LET(
    _xlpm.row_name, $A8,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0.36523260939026581</v>
      </c>
      <c r="BO8" cm="1">
        <f t="array" ref="BO8">_xlfn.LET(
    _xlpm.row_name, $A8,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0.39663243792657571</v>
      </c>
      <c r="BP8" cm="1">
        <f t="array" ref="BP8">_xlfn.LET(
    _xlpm.row_name, $A8,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0.90530434552581751</v>
      </c>
      <c r="BQ8" cm="1">
        <f t="array" ref="BQ8">_xlfn.LET(
    _xlpm.row_name, $A8,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8.8435588960640632E-2</v>
      </c>
      <c r="BR8" cm="1">
        <f t="array" ref="BR8">_xlfn.LET(
    _xlpm.row_name, $A8,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0.44914528057052733</v>
      </c>
      <c r="BS8" cm="1">
        <f t="array" ref="BS8">_xlfn.LET(
    _xlpm.row_name, $A8,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0.79180369342981571</v>
      </c>
      <c r="BT8" cm="1">
        <f t="array" ref="BT8">_xlfn.LET(
    _xlpm.row_name, $A8,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0.34243910781572123</v>
      </c>
      <c r="BU8" cm="1">
        <f t="array" ref="BU8">_xlfn.LET(
    _xlpm.row_name, $A8,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0.56144110632301658</v>
      </c>
      <c r="BV8" cm="1">
        <f t="array" ref="BV8">_xlfn.LET(
    _xlpm.row_name, $A8,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0.41840835216422262</v>
      </c>
    </row>
    <row r="9" spans="1:74" x14ac:dyDescent="0.3">
      <c r="A9" t="str">
        <v>Minter, A.J.</v>
      </c>
      <c r="B9" cm="1">
        <f t="array" ref="B9">_xlfn.LET(
    _xlpm.row_name, $A9,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0.6572951088421175</v>
      </c>
      <c r="C9" cm="1">
        <f t="array" ref="C9">_xlfn.LET(
    _xlpm.row_name, $A9,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0.75327010883303469</v>
      </c>
      <c r="D9" cm="1">
        <f t="array" ref="D9">_xlfn.LET(
    _xlpm.row_name, $A9,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0.45242753795421542</v>
      </c>
      <c r="E9" cm="1">
        <f t="array" ref="E9">_xlfn.LET(
    _xlpm.row_name, $A9,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0.41774744528922769</v>
      </c>
      <c r="F9" cm="1">
        <f t="array" ref="F9">_xlfn.LET(
    _xlpm.row_name, $A9,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0.28558141041186086</v>
      </c>
      <c r="G9" cm="1">
        <f t="array" ref="G9">_xlfn.LET(
    _xlpm.row_name, $A9,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0.20938371154501001</v>
      </c>
      <c r="H9" cm="1">
        <f t="array" ref="H9">_xlfn.LET(
    _xlpm.row_name, $A9,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I9" cm="1">
        <f t="array" ref="I9">_xlfn.LET(
    _xlpm.row_name, $A9,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0.88367049341519344</v>
      </c>
      <c r="J9" cm="1">
        <f t="array" ref="J9">_xlfn.LET(
    _xlpm.row_name, $A9,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0.42666458856784989</v>
      </c>
      <c r="K9" cm="1">
        <f t="array" ref="K9">_xlfn.LET(
    _xlpm.row_name, $A9,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0.73928735208854623</v>
      </c>
      <c r="L9" cm="1">
        <f t="array" ref="L9">_xlfn.LET(
    _xlpm.row_name, $A9,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0.44144287128655368</v>
      </c>
      <c r="M9" cm="1">
        <f t="array" ref="M9">_xlfn.LET(
    _xlpm.row_name, $A9,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0.82991966173945508</v>
      </c>
      <c r="N9" cm="1">
        <f t="array" ref="N9">_xlfn.LET(
    _xlpm.row_name, $A9,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0.30944246422830413</v>
      </c>
      <c r="O9" cm="1">
        <f t="array" ref="O9">_xlfn.LET(
    _xlpm.row_name, $A9,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0.352094875490503</v>
      </c>
      <c r="P9" cm="1">
        <f t="array" ref="P9">_xlfn.LET(
    _xlpm.row_name, $A9,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0.61348116921132612</v>
      </c>
      <c r="Q9" cm="1">
        <f t="array" ref="Q9">_xlfn.LET(
    _xlpm.row_name, $A9,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0.55318001706703246</v>
      </c>
      <c r="R9" cm="1">
        <f t="array" ref="R9">_xlfn.LET(
    _xlpm.row_name, $A9,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0.9347513171129529</v>
      </c>
      <c r="S9" cm="1">
        <f t="array" ref="S9">_xlfn.LET(
    _xlpm.row_name, $A9,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0.92117173286266363</v>
      </c>
      <c r="T9" cm="1">
        <f t="array" ref="T9">_xlfn.LET(
    _xlpm.row_name, $A9,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0.70397345441379877</v>
      </c>
      <c r="U9" cm="1">
        <f t="array" ref="U9">_xlfn.LET(
    _xlpm.row_name, $A9,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0.21351823396375325</v>
      </c>
      <c r="V9" cm="1">
        <f t="array" ref="V9">_xlfn.LET(
    _xlpm.row_name, $A9,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0.33198313777398969</v>
      </c>
      <c r="W9" cm="1">
        <f t="array" ref="W9">_xlfn.LET(
    _xlpm.row_name, $A9,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0.60112278995969681</v>
      </c>
      <c r="X9" cm="1">
        <f t="array" ref="X9">_xlfn.LET(
    _xlpm.row_name, $A9,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0.31961642112598032</v>
      </c>
      <c r="Y9" cm="1">
        <f t="array" ref="Y9">_xlfn.LET(
    _xlpm.row_name, $A9,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0.65843460673675724</v>
      </c>
      <c r="Z9" cm="1">
        <f t="array" ref="Z9">_xlfn.LET(
    _xlpm.row_name, $A9,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0.61878403678551808</v>
      </c>
      <c r="AA9" cm="1">
        <f t="array" ref="AA9">_xlfn.LET(
    _xlpm.row_name, $A9,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0.37068316117737432</v>
      </c>
      <c r="AB9" cm="1">
        <f t="array" ref="AB9">_xlfn.LET(
    _xlpm.row_name, $A9,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0.61941540982816745</v>
      </c>
      <c r="AC9" cm="1">
        <f t="array" ref="AC9">_xlfn.LET(
    _xlpm.row_name, $A9,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0.63446866280252212</v>
      </c>
      <c r="AD9" cm="1">
        <f t="array" ref="AD9">_xlfn.LET(
    _xlpm.row_name, $A9,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0.93200213411857313</v>
      </c>
      <c r="AE9" cm="1">
        <f t="array" ref="AE9">_xlfn.LET(
    _xlpm.row_name, $A9,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0.28054936851144963</v>
      </c>
      <c r="AF9" cm="1">
        <f t="array" ref="AF9">_xlfn.LET(
    _xlpm.row_name, $A9,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0.24148776415048928</v>
      </c>
      <c r="AG9" cm="1">
        <f t="array" ref="AG9">_xlfn.LET(
    _xlpm.row_name, $A9,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0.24475449505343277</v>
      </c>
      <c r="AH9" cm="1">
        <f t="array" ref="AH9">_xlfn.LET(
    _xlpm.row_name, $A9,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0.87008192902317361</v>
      </c>
      <c r="AI9" cm="1">
        <f t="array" ref="AI9">_xlfn.LET(
    _xlpm.row_name, $A9,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0.41956092931572508</v>
      </c>
      <c r="AJ9" cm="1">
        <f t="array" ref="AJ9">_xlfn.LET(
    _xlpm.row_name, $A9,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0.59059005188882396</v>
      </c>
      <c r="AK9" cm="1">
        <f t="array" ref="AK9">_xlfn.LET(
    _xlpm.row_name, $A9,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0.34949201860461132</v>
      </c>
      <c r="AL9" cm="1">
        <f t="array" ref="AL9">_xlfn.LET(
    _xlpm.row_name, $A9,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0.63037517721565872</v>
      </c>
      <c r="AM9" cm="1">
        <f t="array" ref="AM9">_xlfn.LET(
    _xlpm.row_name, $A9,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0.53283516460831803</v>
      </c>
      <c r="AN9" cm="1">
        <f t="array" ref="AN9">_xlfn.LET(
    _xlpm.row_name, $A9,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0.81860377523180339</v>
      </c>
      <c r="AO9" cm="1">
        <f t="array" ref="AO9">_xlfn.LET(
    _xlpm.row_name, $A9,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0.2940694374812447</v>
      </c>
      <c r="AP9" cm="1">
        <f t="array" ref="AP9">_xlfn.LET(
    _xlpm.row_name, $A9,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0.22262290951520169</v>
      </c>
      <c r="AQ9" cm="1">
        <f t="array" ref="AQ9">_xlfn.LET(
    _xlpm.row_name, $A9,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0.38539975469099352</v>
      </c>
      <c r="AR9" cm="1">
        <f t="array" ref="AR9">_xlfn.LET(
    _xlpm.row_name, $A9,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0.63107958067239378</v>
      </c>
      <c r="AS9" cm="1">
        <f t="array" ref="AS9">_xlfn.LET(
    _xlpm.row_name, $A9,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0.46923559335753096</v>
      </c>
      <c r="AT9" cm="1">
        <f t="array" ref="AT9">_xlfn.LET(
    _xlpm.row_name, $A9,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0.17196279438795381</v>
      </c>
      <c r="AU9" cm="1">
        <f t="array" ref="AU9">_xlfn.LET(
    _xlpm.row_name, $A9,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0.60051628896203701</v>
      </c>
      <c r="AV9" cm="1">
        <f t="array" ref="AV9">_xlfn.LET(
    _xlpm.row_name, $A9,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0.67867828084749537</v>
      </c>
      <c r="AW9" cm="1">
        <f t="array" ref="AW9">_xlfn.LET(
    _xlpm.row_name, $A9,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0.59890466703890655</v>
      </c>
      <c r="AX9" cm="1">
        <f t="array" ref="AX9">_xlfn.LET(
    _xlpm.row_name, $A9,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0.40561897411196135</v>
      </c>
      <c r="AY9" cm="1">
        <f t="array" ref="AY9">_xlfn.LET(
    _xlpm.row_name, $A9,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0.71903682876235897</v>
      </c>
      <c r="AZ9" cm="1">
        <f t="array" ref="AZ9">_xlfn.LET(
    _xlpm.row_name, $A9,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0.59481269847187501</v>
      </c>
      <c r="BA9" cm="1">
        <f t="array" ref="BA9">_xlfn.LET(
    _xlpm.row_name, $A9,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0.34151437104833537</v>
      </c>
      <c r="BB9" cm="1">
        <f t="array" ref="BB9">_xlfn.LET(
    _xlpm.row_name, $A9,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0.60942870695232509</v>
      </c>
      <c r="BC9" cm="1">
        <f t="array" ref="BC9">_xlfn.LET(
    _xlpm.row_name, $A9,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0.39338378911213256</v>
      </c>
      <c r="BD9" cm="1">
        <f t="array" ref="BD9">_xlfn.LET(
    _xlpm.row_name, $A9,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0.18098467415201658</v>
      </c>
      <c r="BE9" cm="1">
        <f t="array" ref="BE9">_xlfn.LET(
    _xlpm.row_name, $A9,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0.19489679166442009</v>
      </c>
      <c r="BF9" cm="1">
        <f t="array" ref="BF9">_xlfn.LET(
    _xlpm.row_name, $A9,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0.76046070355682194</v>
      </c>
      <c r="BG9" cm="1">
        <f t="array" ref="BG9">_xlfn.LET(
    _xlpm.row_name, $A9,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0.36507228306315276</v>
      </c>
      <c r="BH9" cm="1">
        <f t="array" ref="BH9">_xlfn.LET(
    _xlpm.row_name, $A9,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0.40330317686467954</v>
      </c>
      <c r="BI9" cm="1">
        <f t="array" ref="BI9">_xlfn.LET(
    _xlpm.row_name, $A9,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0.50675220995633807</v>
      </c>
      <c r="BJ9" cm="1">
        <f t="array" ref="BJ9">_xlfn.LET(
    _xlpm.row_name, $A9,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0.8118688996005361</v>
      </c>
      <c r="BK9" cm="1">
        <f t="array" ref="BK9">_xlfn.LET(
    _xlpm.row_name, $A9,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0.58715353332360942</v>
      </c>
      <c r="BL9" cm="1">
        <f t="array" ref="BL9">_xlfn.LET(
    _xlpm.row_name, $A9,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0.42721098822079462</v>
      </c>
      <c r="BM9" cm="1">
        <f t="array" ref="BM9">_xlfn.LET(
    _xlpm.row_name, $A9,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0.29653163372178304</v>
      </c>
      <c r="BN9" cm="1">
        <f t="array" ref="BN9">_xlfn.LET(
    _xlpm.row_name, $A9,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0.70270005989771778</v>
      </c>
      <c r="BO9" cm="1">
        <f t="array" ref="BO9">_xlfn.LET(
    _xlpm.row_name, $A9,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0.40300681750407269</v>
      </c>
      <c r="BP9" cm="1">
        <f t="array" ref="BP9">_xlfn.LET(
    _xlpm.row_name, $A9,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0.41176501514453523</v>
      </c>
      <c r="BQ9" cm="1">
        <f t="array" ref="BQ9">_xlfn.LET(
    _xlpm.row_name, $A9,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0.90219685070503897</v>
      </c>
      <c r="BR9" cm="1">
        <f t="array" ref="BR9">_xlfn.LET(
    _xlpm.row_name, $A9,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0.4764937513731991</v>
      </c>
      <c r="BS9" cm="1">
        <f t="array" ref="BS9">_xlfn.LET(
    _xlpm.row_name, $A9,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0.23913502497846745</v>
      </c>
      <c r="BT9" cm="1">
        <f t="array" ref="BT9">_xlfn.LET(
    _xlpm.row_name, $A9,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0.62446459808979382</v>
      </c>
      <c r="BU9" cm="1">
        <f t="array" ref="BU9">_xlfn.LET(
    _xlpm.row_name, $A9,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0.51311907304186444</v>
      </c>
      <c r="BV9" cm="1">
        <f t="array" ref="BV9">_xlfn.LET(
    _xlpm.row_name, $A9,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0.44605548011266533</v>
      </c>
    </row>
    <row r="10" spans="1:74" x14ac:dyDescent="0.3">
      <c r="A10" t="str">
        <v>Wright, Kyle</v>
      </c>
      <c r="B10" cm="1">
        <f t="array" ref="B10">_xlfn.LET(
    _xlpm.row_name, $A10,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0.76534397406793642</v>
      </c>
      <c r="C10" cm="1">
        <f t="array" ref="C10">_xlfn.LET(
    _xlpm.row_name, $A10,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0.78183973636996429</v>
      </c>
      <c r="D10" cm="1">
        <f t="array" ref="D10">_xlfn.LET(
    _xlpm.row_name, $A10,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0.55790210071806723</v>
      </c>
      <c r="E10" cm="1">
        <f t="array" ref="E10">_xlfn.LET(
    _xlpm.row_name, $A10,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0.3126218444442625</v>
      </c>
      <c r="F10" cm="1">
        <f t="array" ref="F10">_xlfn.LET(
    _xlpm.row_name, $A10,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0.4651136915138705</v>
      </c>
      <c r="G10" cm="1">
        <f t="array" ref="G10">_xlfn.LET(
    _xlpm.row_name, $A10,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0.43058906500646521</v>
      </c>
      <c r="H10" cm="1">
        <f t="array" ref="H10">_xlfn.LET(
    _xlpm.row_name, $A10,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0.88367049341519344</v>
      </c>
      <c r="I10" cm="1">
        <f t="array" ref="I10">_xlfn.LET(
    _xlpm.row_name, $A10,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J10" cm="1">
        <f t="array" ref="J10">_xlfn.LET(
    _xlpm.row_name, $A10,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0.70514249909749105</v>
      </c>
      <c r="K10" cm="1">
        <f t="array" ref="K10">_xlfn.LET(
    _xlpm.row_name, $A10,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0.67874855061825734</v>
      </c>
      <c r="L10" cm="1">
        <f t="array" ref="L10">_xlfn.LET(
    _xlpm.row_name, $A10,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0.51091085486447274</v>
      </c>
      <c r="M10" cm="1">
        <f t="array" ref="M10">_xlfn.LET(
    _xlpm.row_name, $A10,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0.92361922301714472</v>
      </c>
      <c r="N10" cm="1">
        <f t="array" ref="N10">_xlfn.LET(
    _xlpm.row_name, $A10,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0.2896339724843211</v>
      </c>
      <c r="O10" cm="1">
        <f t="array" ref="O10">_xlfn.LET(
    _xlpm.row_name, $A10,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0.40029235696065124</v>
      </c>
      <c r="P10" cm="1">
        <f t="array" ref="P10">_xlfn.LET(
    _xlpm.row_name, $A10,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0.49561653653249788</v>
      </c>
      <c r="Q10" cm="1">
        <f t="array" ref="Q10">_xlfn.LET(
    _xlpm.row_name, $A10,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0.31062541226631601</v>
      </c>
      <c r="R10" cm="1">
        <f t="array" ref="R10">_xlfn.LET(
    _xlpm.row_name, $A10,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0.73349981568918987</v>
      </c>
      <c r="S10" cm="1">
        <f t="array" ref="S10">_xlfn.LET(
    _xlpm.row_name, $A10,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0.75035219119818697</v>
      </c>
      <c r="T10" cm="1">
        <f t="array" ref="T10">_xlfn.LET(
    _xlpm.row_name, $A10,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0.51870009078530555</v>
      </c>
      <c r="U10" cm="1">
        <f t="array" ref="U10">_xlfn.LET(
    _xlpm.row_name, $A10,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0.4369861606334528</v>
      </c>
      <c r="V10" cm="1">
        <f t="array" ref="V10">_xlfn.LET(
    _xlpm.row_name, $A10,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0.35226907177573652</v>
      </c>
      <c r="W10" cm="1">
        <f t="array" ref="W10">_xlfn.LET(
    _xlpm.row_name, $A10,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0.35674834898447394</v>
      </c>
      <c r="X10" cm="1">
        <f t="array" ref="X10">_xlfn.LET(
    _xlpm.row_name, $A10,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0.49105381235224266</v>
      </c>
      <c r="Y10" cm="1">
        <f t="array" ref="Y10">_xlfn.LET(
    _xlpm.row_name, $A10,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0.89998771392229537</v>
      </c>
      <c r="Z10" cm="1">
        <f t="array" ref="Z10">_xlfn.LET(
    _xlpm.row_name, $A10,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0.63591671960627916</v>
      </c>
      <c r="AA10" cm="1">
        <f t="array" ref="AA10">_xlfn.LET(
    _xlpm.row_name, $A10,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0.39528144851478547</v>
      </c>
      <c r="AB10" cm="1">
        <f t="array" ref="AB10">_xlfn.LET(
    _xlpm.row_name, $A10,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0.83263221217278338</v>
      </c>
      <c r="AC10" cm="1">
        <f t="array" ref="AC10">_xlfn.LET(
    _xlpm.row_name, $A10,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0.62095414765733714</v>
      </c>
      <c r="AD10" cm="1">
        <f t="array" ref="AD10">_xlfn.LET(
    _xlpm.row_name, $A10,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0.96184349532137503</v>
      </c>
      <c r="AE10" cm="1">
        <f t="array" ref="AE10">_xlfn.LET(
    _xlpm.row_name, $A10,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0.47853543191144887</v>
      </c>
      <c r="AF10" cm="1">
        <f t="array" ref="AF10">_xlfn.LET(
    _xlpm.row_name, $A10,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0.3934090877433335</v>
      </c>
      <c r="AG10" cm="1">
        <f t="array" ref="AG10">_xlfn.LET(
    _xlpm.row_name, $A10,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0.5025038694463011</v>
      </c>
      <c r="AH10" cm="1">
        <f t="array" ref="AH10">_xlfn.LET(
    _xlpm.row_name, $A10,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0.84003941876119725</v>
      </c>
      <c r="AI10" cm="1">
        <f t="array" ref="AI10">_xlfn.LET(
    _xlpm.row_name, $A10,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0.66671971585937551</v>
      </c>
      <c r="AJ10" cm="1">
        <f t="array" ref="AJ10">_xlfn.LET(
    _xlpm.row_name, $A10,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0.61693101687856489</v>
      </c>
      <c r="AK10" cm="1">
        <f t="array" ref="AK10">_xlfn.LET(
    _xlpm.row_name, $A10,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0.4186063016271771</v>
      </c>
      <c r="AL10" cm="1">
        <f t="array" ref="AL10">_xlfn.LET(
    _xlpm.row_name, $A10,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0.69705650889302051</v>
      </c>
      <c r="AM10" cm="1">
        <f t="array" ref="AM10">_xlfn.LET(
    _xlpm.row_name, $A10,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0.38206882252019003</v>
      </c>
      <c r="AN10" cm="1">
        <f t="array" ref="AN10">_xlfn.LET(
    _xlpm.row_name, $A10,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0.74085554129808484</v>
      </c>
      <c r="AO10" cm="1">
        <f t="array" ref="AO10">_xlfn.LET(
    _xlpm.row_name, $A10,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0.22259408111310675</v>
      </c>
      <c r="AP10" cm="1">
        <f t="array" ref="AP10">_xlfn.LET(
    _xlpm.row_name, $A10,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0.4801734618199871</v>
      </c>
      <c r="AQ10" cm="1">
        <f t="array" ref="AQ10">_xlfn.LET(
    _xlpm.row_name, $A10,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0.28641131554411409</v>
      </c>
      <c r="AR10" cm="1">
        <f t="array" ref="AR10">_xlfn.LET(
    _xlpm.row_name, $A10,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0.59195318054407431</v>
      </c>
      <c r="AS10" cm="1">
        <f t="array" ref="AS10">_xlfn.LET(
    _xlpm.row_name, $A10,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0.46362201626073818</v>
      </c>
      <c r="AT10" cm="1">
        <f t="array" ref="AT10">_xlfn.LET(
    _xlpm.row_name, $A10,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0.13027902613165171</v>
      </c>
      <c r="AU10" cm="1">
        <f t="array" ref="AU10">_xlfn.LET(
    _xlpm.row_name, $A10,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0.80080165424997363</v>
      </c>
      <c r="AV10" cm="1">
        <f t="array" ref="AV10">_xlfn.LET(
    _xlpm.row_name, $A10,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0.62352086056116307</v>
      </c>
      <c r="AW10" cm="1">
        <f t="array" ref="AW10">_xlfn.LET(
    _xlpm.row_name, $A10,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0.59022731149010088</v>
      </c>
      <c r="AX10" cm="1">
        <f t="array" ref="AX10">_xlfn.LET(
    _xlpm.row_name, $A10,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0.34317756519534548</v>
      </c>
      <c r="AY10" cm="1">
        <f t="array" ref="AY10">_xlfn.LET(
    _xlpm.row_name, $A10,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0.80533300069567759</v>
      </c>
      <c r="AZ10" cm="1">
        <f t="array" ref="AZ10">_xlfn.LET(
    _xlpm.row_name, $A10,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0.38744722493499162</v>
      </c>
      <c r="BA10" cm="1">
        <f t="array" ref="BA10">_xlfn.LET(
    _xlpm.row_name, $A10,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0.50247069365516284</v>
      </c>
      <c r="BB10" cm="1">
        <f t="array" ref="BB10">_xlfn.LET(
    _xlpm.row_name, $A10,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0.74717180874256739</v>
      </c>
      <c r="BC10" cm="1">
        <f t="array" ref="BC10">_xlfn.LET(
    _xlpm.row_name, $A10,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0.20277348697209951</v>
      </c>
      <c r="BD10" cm="1">
        <f t="array" ref="BD10">_xlfn.LET(
    _xlpm.row_name, $A10,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0.35936301950488586</v>
      </c>
      <c r="BE10" cm="1">
        <f t="array" ref="BE10">_xlfn.LET(
    _xlpm.row_name, $A10,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0.38834522718829856</v>
      </c>
      <c r="BF10" cm="1">
        <f t="array" ref="BF10">_xlfn.LET(
    _xlpm.row_name, $A10,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0.57600346189272389</v>
      </c>
      <c r="BG10" cm="1">
        <f t="array" ref="BG10">_xlfn.LET(
    _xlpm.row_name, $A10,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0.36347194601514388</v>
      </c>
      <c r="BH10" cm="1">
        <f t="array" ref="BH10">_xlfn.LET(
    _xlpm.row_name, $A10,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0.16473012599435166</v>
      </c>
      <c r="BI10" cm="1">
        <f t="array" ref="BI10">_xlfn.LET(
    _xlpm.row_name, $A10,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0.64637734657214685</v>
      </c>
      <c r="BJ10" cm="1">
        <f t="array" ref="BJ10">_xlfn.LET(
    _xlpm.row_name, $A10,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0.83391593817140719</v>
      </c>
      <c r="BK10" cm="1">
        <f t="array" ref="BK10">_xlfn.LET(
    _xlpm.row_name, $A10,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0.70431111285080705</v>
      </c>
      <c r="BL10" cm="1">
        <f t="array" ref="BL10">_xlfn.LET(
    _xlpm.row_name, $A10,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0.32285771635876592</v>
      </c>
      <c r="BM10" cm="1">
        <f t="array" ref="BM10">_xlfn.LET(
    _xlpm.row_name, $A10,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0.31859281682756996</v>
      </c>
      <c r="BN10" cm="1">
        <f t="array" ref="BN10">_xlfn.LET(
    _xlpm.row_name, $A10,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0.81192278476690793</v>
      </c>
      <c r="BO10" cm="1">
        <f t="array" ref="BO10">_xlfn.LET(
    _xlpm.row_name, $A10,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0.25775918752087856</v>
      </c>
      <c r="BP10" cm="1">
        <f t="array" ref="BP10">_xlfn.LET(
    _xlpm.row_name, $A10,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0.62243244808928533</v>
      </c>
      <c r="BQ10" cm="1">
        <f t="array" ref="BQ10">_xlfn.LET(
    _xlpm.row_name, $A10,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0.68052086318959359</v>
      </c>
      <c r="BR10" cm="1">
        <f t="array" ref="BR10">_xlfn.LET(
    _xlpm.row_name, $A10,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0.54992545819510241</v>
      </c>
      <c r="BS10" cm="1">
        <f t="array" ref="BS10">_xlfn.LET(
    _xlpm.row_name, $A10,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0.43682358974111218</v>
      </c>
      <c r="BT10" cm="1">
        <f t="array" ref="BT10">_xlfn.LET(
    _xlpm.row_name, $A10,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0.55241254666172823</v>
      </c>
      <c r="BU10" cm="1">
        <f t="array" ref="BU10">_xlfn.LET(
    _xlpm.row_name, $A10,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0.37510627771162625</v>
      </c>
      <c r="BV10" cm="1">
        <f t="array" ref="BV10">_xlfn.LET(
    _xlpm.row_name, $A10,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0.30066780641327884</v>
      </c>
    </row>
    <row r="11" spans="1:74" x14ac:dyDescent="0.3">
      <c r="A11" t="str">
        <v>Schwellenbach, Spencer</v>
      </c>
      <c r="B11" cm="1">
        <f t="array" ref="B11">_xlfn.LET(
    _xlpm.row_name, $A11,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0.45715552134513116</v>
      </c>
      <c r="C11" cm="1">
        <f t="array" ref="C11">_xlfn.LET(
    _xlpm.row_name, $A11,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0.56237540273137054</v>
      </c>
      <c r="D11" cm="1">
        <f t="array" ref="D11">_xlfn.LET(
    _xlpm.row_name, $A11,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0.80461036978141864</v>
      </c>
      <c r="E11" cm="1">
        <f t="array" ref="E11">_xlfn.LET(
    _xlpm.row_name, $A11,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0.24536567840882034</v>
      </c>
      <c r="F11" cm="1">
        <f t="array" ref="F11">_xlfn.LET(
    _xlpm.row_name, $A11,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0.79956010543723588</v>
      </c>
      <c r="G11" cm="1">
        <f t="array" ref="G11">_xlfn.LET(
    _xlpm.row_name, $A11,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0.70513210291792894</v>
      </c>
      <c r="H11" cm="1">
        <f t="array" ref="H11">_xlfn.LET(
    _xlpm.row_name, $A11,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0.42666458856784989</v>
      </c>
      <c r="I11" cm="1">
        <f t="array" ref="I11">_xlfn.LET(
    _xlpm.row_name, $A11,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0.70514249909749105</v>
      </c>
      <c r="J11" cm="1">
        <f t="array" ref="J11">_xlfn.LET(
    _xlpm.row_name, $A11,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K11" cm="1">
        <f t="array" ref="K11">_xlfn.LET(
    _xlpm.row_name, $A11,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0.33158343031861093</v>
      </c>
      <c r="L11" cm="1">
        <f t="array" ref="L11">_xlfn.LET(
    _xlpm.row_name, $A11,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0.39431871566741183</v>
      </c>
      <c r="M11" cm="1">
        <f t="array" ref="M11">_xlfn.LET(
    _xlpm.row_name, $A11,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0.72583312975753556</v>
      </c>
      <c r="N11" cm="1">
        <f t="array" ref="N11">_xlfn.LET(
    _xlpm.row_name, $A11,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0.67020649900295959</v>
      </c>
      <c r="O11" cm="1">
        <f t="array" ref="O11">_xlfn.LET(
    _xlpm.row_name, $A11,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0.51064587579388243</v>
      </c>
      <c r="P11" cm="1">
        <f t="array" ref="P11">_xlfn.LET(
    _xlpm.row_name, $A11,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0.58331638751129733</v>
      </c>
      <c r="Q11" cm="1">
        <f t="array" ref="Q11">_xlfn.LET(
    _xlpm.row_name, $A11,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9.8681871953926414E-2</v>
      </c>
      <c r="R11" cm="1">
        <f t="array" ref="R11">_xlfn.LET(
    _xlpm.row_name, $A11,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0.38377763151638866</v>
      </c>
      <c r="S11" cm="1">
        <f t="array" ref="S11">_xlfn.LET(
    _xlpm.row_name, $A11,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0.41919324941520414</v>
      </c>
      <c r="T11" cm="1">
        <f t="array" ref="T11">_xlfn.LET(
    _xlpm.row_name, $A11,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0.51440748964888572</v>
      </c>
      <c r="U11" cm="1">
        <f t="array" ref="U11">_xlfn.LET(
    _xlpm.row_name, $A11,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0.7498597072214932</v>
      </c>
      <c r="V11" cm="1">
        <f t="array" ref="V11">_xlfn.LET(
    _xlpm.row_name, $A11,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0.27636351791032143</v>
      </c>
      <c r="W11" cm="1">
        <f t="array" ref="W11">_xlfn.LET(
    _xlpm.row_name, $A11,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0.28719068080920035</v>
      </c>
      <c r="X11" cm="1">
        <f t="array" ref="X11">_xlfn.LET(
    _xlpm.row_name, $A11,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0.61607592897626728</v>
      </c>
      <c r="Y11" cm="1">
        <f t="array" ref="Y11">_xlfn.LET(
    _xlpm.row_name, $A11,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0.80160152656352168</v>
      </c>
      <c r="Z11" cm="1">
        <f t="array" ref="Z11">_xlfn.LET(
    _xlpm.row_name, $A11,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0.72491600777638743</v>
      </c>
      <c r="AA11" cm="1">
        <f t="array" ref="AA11">_xlfn.LET(
    _xlpm.row_name, $A11,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0.54289925323552091</v>
      </c>
      <c r="AB11" cm="1">
        <f t="array" ref="AB11">_xlfn.LET(
    _xlpm.row_name, $A11,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0.74748299036228438</v>
      </c>
      <c r="AC11" cm="1">
        <f t="array" ref="AC11">_xlfn.LET(
    _xlpm.row_name, $A11,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0.41740043195912585</v>
      </c>
      <c r="AD11" cm="1">
        <f t="array" ref="AD11">_xlfn.LET(
    _xlpm.row_name, $A11,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0.52386133541498159</v>
      </c>
      <c r="AE11" cm="1">
        <f t="array" ref="AE11">_xlfn.LET(
    _xlpm.row_name, $A11,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0.75840969664937308</v>
      </c>
      <c r="AF11" cm="1">
        <f t="array" ref="AF11">_xlfn.LET(
    _xlpm.row_name, $A11,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0.56920174288448699</v>
      </c>
      <c r="AG11" cm="1">
        <f t="array" ref="AG11">_xlfn.LET(
    _xlpm.row_name, $A11,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0.7605356151806113</v>
      </c>
      <c r="AH11" cm="1">
        <f t="array" ref="AH11">_xlfn.LET(
    _xlpm.row_name, $A11,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0.47621666322417422</v>
      </c>
      <c r="AI11" cm="1">
        <f t="array" ref="AI11">_xlfn.LET(
    _xlpm.row_name, $A11,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0.70984333350798345</v>
      </c>
      <c r="AJ11" cm="1">
        <f t="array" ref="AJ11">_xlfn.LET(
    _xlpm.row_name, $A11,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0.63728377845714568</v>
      </c>
      <c r="AK11" cm="1">
        <f t="array" ref="AK11">_xlfn.LET(
    _xlpm.row_name, $A11,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0.41376327339648006</v>
      </c>
      <c r="AL11" cm="1">
        <f t="array" ref="AL11">_xlfn.LET(
    _xlpm.row_name, $A11,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0.7292050403504019</v>
      </c>
      <c r="AM11" cm="1">
        <f t="array" ref="AM11">_xlfn.LET(
    _xlpm.row_name, $A11,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0.2539418780484507</v>
      </c>
      <c r="AN11" cm="1">
        <f t="array" ref="AN11">_xlfn.LET(
    _xlpm.row_name, $A11,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0.56296120966351149</v>
      </c>
      <c r="AO11" cm="1">
        <f t="array" ref="AO11">_xlfn.LET(
    _xlpm.row_name, $A11,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0.59062126318033314</v>
      </c>
      <c r="AP11" cm="1">
        <f t="array" ref="AP11">_xlfn.LET(
    _xlpm.row_name, $A11,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0.89238738634847725</v>
      </c>
      <c r="AQ11" cm="1">
        <f t="array" ref="AQ11">_xlfn.LET(
    _xlpm.row_name, $A11,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0.42047761461079586</v>
      </c>
      <c r="AR11" cm="1">
        <f t="array" ref="AR11">_xlfn.LET(
    _xlpm.row_name, $A11,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0.67011012217941457</v>
      </c>
      <c r="AS11" cm="1">
        <f t="array" ref="AS11">_xlfn.LET(
    _xlpm.row_name, $A11,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0.54765241518471286</v>
      </c>
      <c r="AT11" cm="1">
        <f t="array" ref="AT11">_xlfn.LET(
    _xlpm.row_name, $A11,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0.2138260575142743</v>
      </c>
      <c r="AU11" cm="1">
        <f t="array" ref="AU11">_xlfn.LET(
    _xlpm.row_name, $A11,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0.88437810898833358</v>
      </c>
      <c r="AV11" cm="1">
        <f t="array" ref="AV11">_xlfn.LET(
    _xlpm.row_name, $A11,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0.34195315924992564</v>
      </c>
      <c r="AW11" cm="1">
        <f t="array" ref="AW11">_xlfn.LET(
    _xlpm.row_name, $A11,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0.24409116626309901</v>
      </c>
      <c r="AX11" cm="1">
        <f t="array" ref="AX11">_xlfn.LET(
    _xlpm.row_name, $A11,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0.55465890509853055</v>
      </c>
      <c r="AY11" cm="1">
        <f t="array" ref="AY11">_xlfn.LET(
    _xlpm.row_name, $A11,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0.73931152717979953</v>
      </c>
      <c r="AZ11" cm="1">
        <f t="array" ref="AZ11">_xlfn.LET(
    _xlpm.row_name, $A11,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0.45016989405745145</v>
      </c>
      <c r="BA11" cm="1">
        <f t="array" ref="BA11">_xlfn.LET(
    _xlpm.row_name, $A11,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0.5360251068323687</v>
      </c>
      <c r="BB11" cm="1">
        <f t="array" ref="BB11">_xlfn.LET(
    _xlpm.row_name, $A11,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0.49727774372013139</v>
      </c>
      <c r="BC11" cm="1">
        <f t="array" ref="BC11">_xlfn.LET(
    _xlpm.row_name, $A11,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0.16642114457272672</v>
      </c>
      <c r="BD11" cm="1">
        <f t="array" ref="BD11">_xlfn.LET(
    _xlpm.row_name, $A11,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0.67468143456845597</v>
      </c>
      <c r="BE11" cm="1">
        <f t="array" ref="BE11">_xlfn.LET(
    _xlpm.row_name, $A11,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0.60421924047460973</v>
      </c>
      <c r="BF11" cm="1">
        <f t="array" ref="BF11">_xlfn.LET(
    _xlpm.row_name, $A11,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0.48724208839930883</v>
      </c>
      <c r="BG11" cm="1">
        <f t="array" ref="BG11">_xlfn.LET(
    _xlpm.row_name, $A11,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0.29196166229598092</v>
      </c>
      <c r="BH11" cm="1">
        <f t="array" ref="BH11">_xlfn.LET(
    _xlpm.row_name, $A11,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0.15882430867524044</v>
      </c>
      <c r="BI11" cm="1">
        <f t="array" ref="BI11">_xlfn.LET(
    _xlpm.row_name, $A11,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0.43961437083270916</v>
      </c>
      <c r="BJ11" cm="1">
        <f t="array" ref="BJ11">_xlfn.LET(
    _xlpm.row_name, $A11,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0.5967154291574448</v>
      </c>
      <c r="BK11" cm="1">
        <f t="array" ref="BK11">_xlfn.LET(
    _xlpm.row_name, $A11,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0.4236854353886314</v>
      </c>
      <c r="BL11" cm="1">
        <f t="array" ref="BL11">_xlfn.LET(
    _xlpm.row_name, $A11,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0.58901419075236672</v>
      </c>
      <c r="BM11" cm="1">
        <f t="array" ref="BM11">_xlfn.LET(
    _xlpm.row_name, $A11,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0.58780797106483673</v>
      </c>
      <c r="BN11" cm="1">
        <f t="array" ref="BN11">_xlfn.LET(
    _xlpm.row_name, $A11,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0.52266745610790333</v>
      </c>
      <c r="BO11" cm="1">
        <f t="array" ref="BO11">_xlfn.LET(
    _xlpm.row_name, $A11,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0.34578375625393787</v>
      </c>
      <c r="BP11" cm="1">
        <f t="array" ref="BP11">_xlfn.LET(
    _xlpm.row_name, $A11,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0.8424460656108842</v>
      </c>
      <c r="BQ11" cm="1">
        <f t="array" ref="BQ11">_xlfn.LET(
    _xlpm.row_name, $A11,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0.19612295559306986</v>
      </c>
      <c r="BR11" cm="1">
        <f t="array" ref="BR11">_xlfn.LET(
    _xlpm.row_name, $A11,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0.36327623857982239</v>
      </c>
      <c r="BS11" cm="1">
        <f t="array" ref="BS11">_xlfn.LET(
    _xlpm.row_name, $A11,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0.89592755749820285</v>
      </c>
      <c r="BT11" cm="1">
        <f t="array" ref="BT11">_xlfn.LET(
    _xlpm.row_name, $A11,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0.6869429195800274</v>
      </c>
      <c r="BU11" cm="1">
        <f t="array" ref="BU11">_xlfn.LET(
    _xlpm.row_name, $A11,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0.50496765038973823</v>
      </c>
      <c r="BV11" cm="1">
        <f t="array" ref="BV11">_xlfn.LET(
    _xlpm.row_name, $A11,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0.2260487492053026</v>
      </c>
    </row>
    <row r="12" spans="1:74" x14ac:dyDescent="0.3">
      <c r="A12" t="str">
        <v>Soroka, Michael</v>
      </c>
      <c r="B12" cm="1">
        <f t="array" ref="B12">_xlfn.LET(
    _xlpm.row_name, $A12,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0.8602836938716123</v>
      </c>
      <c r="C12" cm="1">
        <f t="array" ref="C12">_xlfn.LET(
    _xlpm.row_name, $A12,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0.91468427182315737</v>
      </c>
      <c r="D12" cm="1">
        <f t="array" ref="D12">_xlfn.LET(
    _xlpm.row_name, $A12,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0.1050070909345735</v>
      </c>
      <c r="E12" cm="1">
        <f t="array" ref="E12">_xlfn.LET(
    _xlpm.row_name, $A12,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0.75390019704004807</v>
      </c>
      <c r="F12" cm="1">
        <f t="array" ref="F12">_xlfn.LET(
    _xlpm.row_name, $A12,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0.55452574167147528</v>
      </c>
      <c r="G12" cm="1">
        <f t="array" ref="G12">_xlfn.LET(
    _xlpm.row_name, $A12,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0.29049881828931379</v>
      </c>
      <c r="H12" cm="1">
        <f t="array" ref="H12">_xlfn.LET(
    _xlpm.row_name, $A12,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0.73928735208854623</v>
      </c>
      <c r="I12" cm="1">
        <f t="array" ref="I12">_xlfn.LET(
    _xlpm.row_name, $A12,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0.67874855061825734</v>
      </c>
      <c r="J12" cm="1">
        <f t="array" ref="J12">_xlfn.LET(
    _xlpm.row_name, $A12,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0.33158343031861093</v>
      </c>
      <c r="K12" cm="1">
        <f t="array" ref="K12">_xlfn.LET(
    _xlpm.row_name, $A12,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L12" cm="1">
        <f t="array" ref="L12">_xlfn.LET(
    _xlpm.row_name, $A12,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0.89129535028633022</v>
      </c>
      <c r="M12" cm="1">
        <f t="array" ref="M12">_xlfn.LET(
    _xlpm.row_name, $A12,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0.57795788067313825</v>
      </c>
      <c r="N12" cm="1">
        <f t="array" ref="N12">_xlfn.LET(
    _xlpm.row_name, $A12,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0.20794404127217653</v>
      </c>
      <c r="O12" cm="1">
        <f t="array" ref="O12">_xlfn.LET(
    _xlpm.row_name, $A12,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0.49639020446494736</v>
      </c>
      <c r="P12" cm="1">
        <f t="array" ref="P12">_xlfn.LET(
    _xlpm.row_name, $A12,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0.42930782314492594</v>
      </c>
      <c r="Q12" cm="1">
        <f t="array" ref="Q12">_xlfn.LET(
    _xlpm.row_name, $A12,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0.81253761219416476</v>
      </c>
      <c r="R12" cm="1">
        <f t="array" ref="R12">_xlfn.LET(
    _xlpm.row_name, $A12,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0.54999114037614139</v>
      </c>
      <c r="S12" cm="1">
        <f t="array" ref="S12">_xlfn.LET(
    _xlpm.row_name, $A12,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0.78679896254622317</v>
      </c>
      <c r="T12" cm="1">
        <f t="array" ref="T12">_xlfn.LET(
    _xlpm.row_name, $A12,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0.38019252210367865</v>
      </c>
      <c r="U12" cm="1">
        <f t="array" ref="U12">_xlfn.LET(
    _xlpm.row_name, $A12,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0.18373612149854113</v>
      </c>
      <c r="V12" cm="1">
        <f t="array" ref="V12">_xlfn.LET(
    _xlpm.row_name, $A12,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0.74962416075887761</v>
      </c>
      <c r="W12" cm="1">
        <f t="array" ref="W12">_xlfn.LET(
    _xlpm.row_name, $A12,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0.62662260444079498</v>
      </c>
      <c r="X12" cm="1">
        <f t="array" ref="X12">_xlfn.LET(
    _xlpm.row_name, $A12,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0.21299366954656151</v>
      </c>
      <c r="Y12" cm="1">
        <f t="array" ref="Y12">_xlfn.LET(
    _xlpm.row_name, $A12,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0.71733594299077874</v>
      </c>
      <c r="Z12" cm="1">
        <f t="array" ref="Z12">_xlfn.LET(
    _xlpm.row_name, $A12,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0.21315198595487433</v>
      </c>
      <c r="AA12" cm="1">
        <f t="array" ref="AA12">_xlfn.LET(
    _xlpm.row_name, $A12,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0.47890515885902374</v>
      </c>
      <c r="AB12" cm="1">
        <f t="array" ref="AB12">_xlfn.LET(
    _xlpm.row_name, $A12,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0.55154213721622047</v>
      </c>
      <c r="AC12" cm="1">
        <f t="array" ref="AC12">_xlfn.LET(
    _xlpm.row_name, $A12,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0.89341966638203241</v>
      </c>
      <c r="AD12" cm="1">
        <f t="array" ref="AD12">_xlfn.LET(
    _xlpm.row_name, $A12,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0.73530365641576367</v>
      </c>
      <c r="AE12" cm="1">
        <f t="array" ref="AE12">_xlfn.LET(
    _xlpm.row_name, $A12,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0.15204234994609522</v>
      </c>
      <c r="AF12" cm="1">
        <f t="array" ref="AF12">_xlfn.LET(
    _xlpm.row_name, $A12,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0.71435996697418025</v>
      </c>
      <c r="AG12" cm="1">
        <f t="array" ref="AG12">_xlfn.LET(
    _xlpm.row_name, $A12,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0.61660486930323311</v>
      </c>
      <c r="AH12" cm="1">
        <f t="array" ref="AH12">_xlfn.LET(
    _xlpm.row_name, $A12,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0.63963954762439701</v>
      </c>
      <c r="AI12" cm="1">
        <f t="array" ref="AI12">_xlfn.LET(
    _xlpm.row_name, $A12,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0.67429622733731165</v>
      </c>
      <c r="AJ12" cm="1">
        <f t="array" ref="AJ12">_xlfn.LET(
    _xlpm.row_name, $A12,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0.36980706104784522</v>
      </c>
      <c r="AK12" cm="1">
        <f t="array" ref="AK12">_xlfn.LET(
    _xlpm.row_name, $A12,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0.83524721918119371</v>
      </c>
      <c r="AL12" cm="1">
        <f t="array" ref="AL12">_xlfn.LET(
    _xlpm.row_name, $A12,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0.19399611299840053</v>
      </c>
      <c r="AM12" cm="1">
        <f t="array" ref="AM12">_xlfn.LET(
    _xlpm.row_name, $A12,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0.85683707607527837</v>
      </c>
      <c r="AN12" cm="1">
        <f t="array" ref="AN12">_xlfn.LET(
    _xlpm.row_name, $A12,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0.51271480766810529</v>
      </c>
      <c r="AO12" cm="1">
        <f t="array" ref="AO12">_xlfn.LET(
    _xlpm.row_name, $A12,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0.10463261903382032</v>
      </c>
      <c r="AP12" cm="1">
        <f t="array" ref="AP12">_xlfn.LET(
    _xlpm.row_name, $A12,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0.13664557648223141</v>
      </c>
      <c r="AQ12" cm="1">
        <f t="array" ref="AQ12">_xlfn.LET(
    _xlpm.row_name, $A12,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0.62332062532405452</v>
      </c>
      <c r="AR12" cm="1">
        <f t="array" ref="AR12">_xlfn.LET(
    _xlpm.row_name, $A12,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0.56748979140307831</v>
      </c>
      <c r="AS12" cm="1">
        <f t="array" ref="AS12">_xlfn.LET(
    _xlpm.row_name, $A12,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0.75145332496280015</v>
      </c>
      <c r="AT12" cm="1">
        <f t="array" ref="AT12">_xlfn.LET(
    _xlpm.row_name, $A12,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0.49202311022721068</v>
      </c>
      <c r="AU12" cm="1">
        <f t="array" ref="AU12">_xlfn.LET(
    _xlpm.row_name, $A12,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0.42272701811247093</v>
      </c>
      <c r="AV12" cm="1">
        <f t="array" ref="AV12">_xlfn.LET(
    _xlpm.row_name, $A12,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0.9794238115362246</v>
      </c>
      <c r="AW12" cm="1">
        <f t="array" ref="AW12">_xlfn.LET(
    _xlpm.row_name, $A12,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0.77821419324896368</v>
      </c>
      <c r="AX12" cm="1">
        <f t="array" ref="AX12">_xlfn.LET(
    _xlpm.row_name, $A12,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0.60198627207119637</v>
      </c>
      <c r="AY12" cm="1">
        <f t="array" ref="AY12">_xlfn.LET(
    _xlpm.row_name, $A12,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0.69580518482080023</v>
      </c>
      <c r="AZ12" cm="1">
        <f t="array" ref="AZ12">_xlfn.LET(
    _xlpm.row_name, $A12,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0.38224527961003085</v>
      </c>
      <c r="BA12" cm="1">
        <f t="array" ref="BA12">_xlfn.LET(
    _xlpm.row_name, $A12,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0.48148014595040656</v>
      </c>
      <c r="BB12" cm="1">
        <f t="array" ref="BB12">_xlfn.LET(
    _xlpm.row_name, $A12,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0.82467181051136307</v>
      </c>
      <c r="BC12" cm="1">
        <f t="array" ref="BC12">_xlfn.LET(
    _xlpm.row_name, $A12,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0.71341234010109333</v>
      </c>
      <c r="BD12" cm="1">
        <f t="array" ref="BD12">_xlfn.LET(
    _xlpm.row_name, $A12,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0.25349344372619392</v>
      </c>
      <c r="BE12" cm="1">
        <f t="array" ref="BE12">_xlfn.LET(
    _xlpm.row_name, $A12,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0.55674823952730634</v>
      </c>
      <c r="BF12" cm="1">
        <f t="array" ref="BF12">_xlfn.LET(
    _xlpm.row_name, $A12,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0.38293077836913092</v>
      </c>
      <c r="BG12" cm="1">
        <f t="array" ref="BG12">_xlfn.LET(
    _xlpm.row_name, $A12,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0.4444495483242536</v>
      </c>
      <c r="BH12" cm="1">
        <f t="array" ref="BH12">_xlfn.LET(
    _xlpm.row_name, $A12,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0.66763268235615048</v>
      </c>
      <c r="BI12" cm="1">
        <f t="array" ref="BI12">_xlfn.LET(
    _xlpm.row_name, $A12,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0.59885629707552368</v>
      </c>
      <c r="BJ12" cm="1">
        <f t="array" ref="BJ12">_xlfn.LET(
    _xlpm.row_name, $A12,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0.66201947934792049</v>
      </c>
      <c r="BK12" cm="1">
        <f t="array" ref="BK12">_xlfn.LET(
    _xlpm.row_name, $A12,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0.74207825530302363</v>
      </c>
      <c r="BL12" cm="1">
        <f t="array" ref="BL12">_xlfn.LET(
    _xlpm.row_name, $A12,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0.14797695751424789</v>
      </c>
      <c r="BM12" cm="1">
        <f t="array" ref="BM12">_xlfn.LET(
    _xlpm.row_name, $A12,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0.62692688588679468</v>
      </c>
      <c r="BN12" cm="1">
        <f t="array" ref="BN12">_xlfn.LET(
    _xlpm.row_name, $A12,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0.69594249504649419</v>
      </c>
      <c r="BO12" cm="1">
        <f t="array" ref="BO12">_xlfn.LET(
    _xlpm.row_name, $A12,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0.15112321077694379</v>
      </c>
      <c r="BP12" cm="1">
        <f t="array" ref="BP12">_xlfn.LET(
    _xlpm.row_name, $A12,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0.2405952709500136</v>
      </c>
      <c r="BQ12" cm="1">
        <f t="array" ref="BQ12">_xlfn.LET(
    _xlpm.row_name, $A12,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0.84659283182061174</v>
      </c>
      <c r="BR12" cm="1">
        <f t="array" ref="BR12">_xlfn.LET(
    _xlpm.row_name, $A12,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0.8173854045883242</v>
      </c>
      <c r="BS12" cm="1">
        <f t="array" ref="BS12">_xlfn.LET(
    _xlpm.row_name, $A12,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0.1038631774464614</v>
      </c>
      <c r="BT12" cm="1">
        <f t="array" ref="BT12">_xlfn.LET(
    _xlpm.row_name, $A12,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0.26569340200429853</v>
      </c>
      <c r="BU12" cm="1">
        <f t="array" ref="BU12">_xlfn.LET(
    _xlpm.row_name, $A12,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0.24560397274918178</v>
      </c>
      <c r="BV12" cm="1">
        <f t="array" ref="BV12">_xlfn.LET(
    _xlpm.row_name, $A12,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0.83088572894885604</v>
      </c>
    </row>
    <row r="13" spans="1:74" x14ac:dyDescent="0.3">
      <c r="A13" t="str">
        <v>Chavez, Jesse</v>
      </c>
      <c r="B13" cm="1">
        <f t="array" ref="B13">_xlfn.LET(
    _xlpm.row_name, $A13,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0.88009863354390805</v>
      </c>
      <c r="C13" cm="1">
        <f t="array" ref="C13">_xlfn.LET(
    _xlpm.row_name, $A13,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0.78255361939559265</v>
      </c>
      <c r="D13" cm="1">
        <f t="array" ref="D13">_xlfn.LET(
    _xlpm.row_name, $A13,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0.10416508408540365</v>
      </c>
      <c r="E13" cm="1">
        <f t="array" ref="E13">_xlfn.LET(
    _xlpm.row_name, $A13,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0.79918819344270764</v>
      </c>
      <c r="F13" cm="1">
        <f t="array" ref="F13">_xlfn.LET(
    _xlpm.row_name, $A13,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0.67260399752437905</v>
      </c>
      <c r="G13" cm="1">
        <f t="array" ref="G13">_xlfn.LET(
    _xlpm.row_name, $A13,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0.52390129030334487</v>
      </c>
      <c r="H13" cm="1">
        <f t="array" ref="H13">_xlfn.LET(
    _xlpm.row_name, $A13,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0.44144287128655368</v>
      </c>
      <c r="I13" cm="1">
        <f t="array" ref="I13">_xlfn.LET(
    _xlpm.row_name, $A13,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0.51091085486447274</v>
      </c>
      <c r="J13" cm="1">
        <f t="array" ref="J13">_xlfn.LET(
    _xlpm.row_name, $A13,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0.39431871566741183</v>
      </c>
      <c r="K13" cm="1">
        <f t="array" ref="K13">_xlfn.LET(
    _xlpm.row_name, $A13,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0.89129535028633022</v>
      </c>
      <c r="L13" cm="1">
        <f t="array" ref="L13">_xlfn.LET(
    _xlpm.row_name, $A13,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M13" cm="1">
        <f t="array" ref="M13">_xlfn.LET(
    _xlpm.row_name, $A13,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0.41076119293358709</v>
      </c>
      <c r="N13" cm="1">
        <f t="array" ref="N13">_xlfn.LET(
    _xlpm.row_name, $A13,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0.22122235412141183</v>
      </c>
      <c r="O13" cm="1">
        <f t="array" ref="O13">_xlfn.LET(
    _xlpm.row_name, $A13,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0.59549824280690833</v>
      </c>
      <c r="P13" cm="1">
        <f t="array" ref="P13">_xlfn.LET(
    _xlpm.row_name, $A13,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0.25347768614459887</v>
      </c>
      <c r="Q13" cm="1">
        <f t="array" ref="Q13">_xlfn.LET(
    _xlpm.row_name, $A13,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0.74234476182911591</v>
      </c>
      <c r="R13" cm="1">
        <f t="array" ref="R13">_xlfn.LET(
    _xlpm.row_name, $A13,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0.23777848499707588</v>
      </c>
      <c r="S13" cm="1">
        <f t="array" ref="S13">_xlfn.LET(
    _xlpm.row_name, $A13,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0.4808212894632235</v>
      </c>
      <c r="T13" cm="1">
        <f t="array" ref="T13">_xlfn.LET(
    _xlpm.row_name, $A13,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0.13867226162810703</v>
      </c>
      <c r="U13" cm="1">
        <f t="array" ref="U13">_xlfn.LET(
    _xlpm.row_name, $A13,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0.40372730903292453</v>
      </c>
      <c r="V13" cm="1">
        <f t="array" ref="V13">_xlfn.LET(
    _xlpm.row_name, $A13,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0.92056325425711538</v>
      </c>
      <c r="W13" cm="1">
        <f t="array" ref="W13">_xlfn.LET(
    _xlpm.row_name, $A13,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0.46555046472346751</v>
      </c>
      <c r="X13" cm="1">
        <f t="array" ref="X13">_xlfn.LET(
    _xlpm.row_name, $A13,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0.39656257023128672</v>
      </c>
      <c r="Y13" cm="1">
        <f t="array" ref="Y13">_xlfn.LET(
    _xlpm.row_name, $A13,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0.71045692068410871</v>
      </c>
      <c r="Z13" cm="1">
        <f t="array" ref="Z13">_xlfn.LET(
    _xlpm.row_name, $A13,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9.4053403399634028E-2</v>
      </c>
      <c r="AA13" cm="1">
        <f t="array" ref="AA13">_xlfn.LET(
    _xlpm.row_name, $A13,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0.53829518296770462</v>
      </c>
      <c r="AB13" cm="1">
        <f t="array" ref="AB13">_xlfn.LET(
    _xlpm.row_name, $A13,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0.56721239088961639</v>
      </c>
      <c r="AC13" cm="1">
        <f t="array" ref="AC13">_xlfn.LET(
    _xlpm.row_name, $A13,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0.84045838507580251</v>
      </c>
      <c r="AD13" cm="1">
        <f t="array" ref="AD13">_xlfn.LET(
    _xlpm.row_name, $A13,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0.54681471881325239</v>
      </c>
      <c r="AE13" cm="1">
        <f t="array" ref="AE13">_xlfn.LET(
    _xlpm.row_name, $A13,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0.31926393120449925</v>
      </c>
      <c r="AF13" cm="1">
        <f t="array" ref="AF13">_xlfn.LET(
    _xlpm.row_name, $A13,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0.91536501885112487</v>
      </c>
      <c r="AG13" cm="1">
        <f t="array" ref="AG13">_xlfn.LET(
    _xlpm.row_name, $A13,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0.82868088523720362</v>
      </c>
      <c r="AH13" cm="1">
        <f t="array" ref="AH13">_xlfn.LET(
    _xlpm.row_name, $A13,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0.45260748745251261</v>
      </c>
      <c r="AI13" cm="1">
        <f t="array" ref="AI13">_xlfn.LET(
    _xlpm.row_name, $A13,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0.81703567505531938</v>
      </c>
      <c r="AJ13" cm="1">
        <f t="array" ref="AJ13">_xlfn.LET(
    _xlpm.row_name, $A13,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0.29886751243463616</v>
      </c>
      <c r="AK13" cm="1">
        <f t="array" ref="AK13">_xlfn.LET(
    _xlpm.row_name, $A13,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0.97889710762307625</v>
      </c>
      <c r="AL13" cm="1">
        <f t="array" ref="AL13">_xlfn.LET(
    _xlpm.row_name, $A13,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0.10904597769291846</v>
      </c>
      <c r="AM13" cm="1">
        <f t="array" ref="AM13">_xlfn.LET(
    _xlpm.row_name, $A13,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0.80557139733125172</v>
      </c>
      <c r="AN13" cm="1">
        <f t="array" ref="AN13">_xlfn.LET(
    _xlpm.row_name, $A13,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0.28024232954509598</v>
      </c>
      <c r="AO13" cm="1">
        <f t="array" ref="AO13">_xlfn.LET(
    _xlpm.row_name, $A13,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0.11882485581778068</v>
      </c>
      <c r="AP13" cm="1">
        <f t="array" ref="AP13">_xlfn.LET(
    _xlpm.row_name, $A13,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0.32576350949868604</v>
      </c>
      <c r="AQ13" cm="1">
        <f t="array" ref="AQ13">_xlfn.LET(
    _xlpm.row_name, $A13,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0.62027472984844201</v>
      </c>
      <c r="AR13" cm="1">
        <f t="array" ref="AR13">_xlfn.LET(
    _xlpm.row_name, $A13,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0.40469594641309603</v>
      </c>
      <c r="AS13" cm="1">
        <f t="array" ref="AS13">_xlfn.LET(
    _xlpm.row_name, $A13,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0.72985302944332875</v>
      </c>
      <c r="AT13" cm="1">
        <f t="array" ref="AT13">_xlfn.LET(
    _xlpm.row_name, $A13,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0.72094880299054198</v>
      </c>
      <c r="AU13" cm="1">
        <f t="array" ref="AU13">_xlfn.LET(
    _xlpm.row_name, $A13,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0.38646370444446454</v>
      </c>
      <c r="AV13" cm="1">
        <f t="array" ref="AV13">_xlfn.LET(
    _xlpm.row_name, $A13,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0.89929436407428842</v>
      </c>
      <c r="AW13" cm="1">
        <f t="array" ref="AW13">_xlfn.LET(
    _xlpm.row_name, $A13,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0.81949524141618912</v>
      </c>
      <c r="AX13" cm="1">
        <f t="array" ref="AX13">_xlfn.LET(
    _xlpm.row_name, $A13,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0.56788979394683303</v>
      </c>
      <c r="AY13" cm="1">
        <f t="array" ref="AY13">_xlfn.LET(
    _xlpm.row_name, $A13,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0.56164167389484021</v>
      </c>
      <c r="AZ13" cm="1">
        <f t="array" ref="AZ13">_xlfn.LET(
    _xlpm.row_name, $A13,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0.19792246546971676</v>
      </c>
      <c r="BA13" cm="1">
        <f t="array" ref="BA13">_xlfn.LET(
    _xlpm.row_name, $A13,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0.66738825233300947</v>
      </c>
      <c r="BB13" cm="1">
        <f t="array" ref="BB13">_xlfn.LET(
    _xlpm.row_name, $A13,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0.875317593068345</v>
      </c>
      <c r="BC13" cm="1">
        <f t="array" ref="BC13">_xlfn.LET(
    _xlpm.row_name, $A13,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0.73364946467660319</v>
      </c>
      <c r="BD13" cm="1">
        <f t="array" ref="BD13">_xlfn.LET(
    _xlpm.row_name, $A13,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0.47871675938343</v>
      </c>
      <c r="BE13" cm="1">
        <f t="array" ref="BE13">_xlfn.LET(
    _xlpm.row_name, $A13,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0.80592781855606221</v>
      </c>
      <c r="BF13" cm="1">
        <f t="array" ref="BF13">_xlfn.LET(
    _xlpm.row_name, $A13,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0.12799998552081321</v>
      </c>
      <c r="BG13" cm="1">
        <f t="array" ref="BG13">_xlfn.LET(
    _xlpm.row_name, $A13,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0.58886499520700375</v>
      </c>
      <c r="BH13" cm="1">
        <f t="array" ref="BH13">_xlfn.LET(
    _xlpm.row_name, $A13,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0.64850776771009244</v>
      </c>
      <c r="BI13" cm="1">
        <f t="array" ref="BI13">_xlfn.LET(
    _xlpm.row_name, $A13,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0.72930509687780221</v>
      </c>
      <c r="BJ13" cm="1">
        <f t="array" ref="BJ13">_xlfn.LET(
    _xlpm.row_name, $A13,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0.49321315257921972</v>
      </c>
      <c r="BK13" cm="1">
        <f t="array" ref="BK13">_xlfn.LET(
    _xlpm.row_name, $A13,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0.81816366199742196</v>
      </c>
      <c r="BL13" cm="1">
        <f t="array" ref="BL13">_xlfn.LET(
    _xlpm.row_name, $A13,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7.4543009778178959E-2</v>
      </c>
      <c r="BM13" cm="1">
        <f t="array" ref="BM13">_xlfn.LET(
    _xlpm.row_name, $A13,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0.69541135958746025</v>
      </c>
      <c r="BN13" cm="1">
        <f t="array" ref="BN13">_xlfn.LET(
    _xlpm.row_name, $A13,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0.67742261410502125</v>
      </c>
      <c r="BO13" cm="1">
        <f t="array" ref="BO13">_xlfn.LET(
    _xlpm.row_name, $A13,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0.15475766359939502</v>
      </c>
      <c r="BP13" cm="1">
        <f t="array" ref="BP13">_xlfn.LET(
    _xlpm.row_name, $A13,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0.32154748626843532</v>
      </c>
      <c r="BQ13" cm="1">
        <f t="array" ref="BQ13">_xlfn.LET(
    _xlpm.row_name, $A13,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0.59648292855141816</v>
      </c>
      <c r="BR13" cm="1">
        <f t="array" ref="BR13">_xlfn.LET(
    _xlpm.row_name, $A13,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0.93002798260889263</v>
      </c>
      <c r="BS13" cm="1">
        <f t="array" ref="BS13">_xlfn.LET(
    _xlpm.row_name, $A13,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0.23647391779839405</v>
      </c>
      <c r="BT13" cm="1">
        <f t="array" ref="BT13">_xlfn.LET(
    _xlpm.row_name, $A13,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8.6149614045539891E-2</v>
      </c>
      <c r="BU13" cm="1">
        <f t="array" ref="BU13">_xlfn.LET(
    _xlpm.row_name, $A13,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0.13569894532524263</v>
      </c>
      <c r="BV13" cm="1">
        <f t="array" ref="BV13">_xlfn.LET(
    _xlpm.row_name, $A13,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0.83382968282331071</v>
      </c>
    </row>
    <row r="14" spans="1:74" x14ac:dyDescent="0.3">
      <c r="A14" t="str">
        <v>Iglesias, Raisel</v>
      </c>
      <c r="B14" cm="1">
        <f t="array" ref="B14">_xlfn.LET(
    _xlpm.row_name, $A14,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0.57670418400231416</v>
      </c>
      <c r="C14" cm="1">
        <f t="array" ref="C14">_xlfn.LET(
    _xlpm.row_name, $A14,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0.63413081130907123</v>
      </c>
      <c r="D14" cm="1">
        <f t="array" ref="D14">_xlfn.LET(
    _xlpm.row_name, $A14,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0.72591673835713011</v>
      </c>
      <c r="E14" cm="1">
        <f t="array" ref="E14">_xlfn.LET(
    _xlpm.row_name, $A14,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0.13239186651215951</v>
      </c>
      <c r="F14" cm="1">
        <f t="array" ref="F14">_xlfn.LET(
    _xlpm.row_name, $A14,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0.40395710547504099</v>
      </c>
      <c r="G14" cm="1">
        <f t="array" ref="G14">_xlfn.LET(
    _xlpm.row_name, $A14,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0.57774057595701322</v>
      </c>
      <c r="H14" cm="1">
        <f t="array" ref="H14">_xlfn.LET(
    _xlpm.row_name, $A14,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0.82991966173945508</v>
      </c>
      <c r="I14" cm="1">
        <f t="array" ref="I14">_xlfn.LET(
    _xlpm.row_name, $A14,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0.92361922301714472</v>
      </c>
      <c r="J14" cm="1">
        <f t="array" ref="J14">_xlfn.LET(
    _xlpm.row_name, $A14,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0.72583312975753556</v>
      </c>
      <c r="K14" cm="1">
        <f t="array" ref="K14">_xlfn.LET(
    _xlpm.row_name, $A14,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0.57795788067313825</v>
      </c>
      <c r="L14" cm="1">
        <f t="array" ref="L14">_xlfn.LET(
    _xlpm.row_name, $A14,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0.41076119293358709</v>
      </c>
      <c r="M14" cm="1">
        <f t="array" ref="M14">_xlfn.LET(
    _xlpm.row_name, $A14,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N14" cm="1">
        <f t="array" ref="N14">_xlfn.LET(
    _xlpm.row_name, $A14,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0.30477705362662999</v>
      </c>
      <c r="O14" cm="1">
        <f t="array" ref="O14">_xlfn.LET(
    _xlpm.row_name, $A14,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0.62633860060196722</v>
      </c>
      <c r="P14" cm="1">
        <f t="array" ref="P14">_xlfn.LET(
    _xlpm.row_name, $A14,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0.45138496615008511</v>
      </c>
      <c r="Q14" cm="1">
        <f t="array" ref="Q14">_xlfn.LET(
    _xlpm.row_name, $A14,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0.22707391103368796</v>
      </c>
      <c r="R14" cm="1">
        <f t="array" ref="R14">_xlfn.LET(
    _xlpm.row_name, $A14,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0.75795856360533831</v>
      </c>
      <c r="S14" cm="1">
        <f t="array" ref="S14">_xlfn.LET(
    _xlpm.row_name, $A14,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0.76760329953260831</v>
      </c>
      <c r="T14" cm="1">
        <f t="array" ref="T14">_xlfn.LET(
    _xlpm.row_name, $A14,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0.57003634216747523</v>
      </c>
      <c r="U14" cm="1">
        <f t="array" ref="U14">_xlfn.LET(
    _xlpm.row_name, $A14,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0.57756557305294332</v>
      </c>
      <c r="V14" cm="1">
        <f t="array" ref="V14">_xlfn.LET(
    _xlpm.row_name, $A14,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0.34733818624778545</v>
      </c>
      <c r="W14" cm="1">
        <f t="array" ref="W14">_xlfn.LET(
    _xlpm.row_name, $A14,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0.27663950023095685</v>
      </c>
      <c r="X14" cm="1">
        <f t="array" ref="X14">_xlfn.LET(
    _xlpm.row_name, $A14,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0.5849569192763826</v>
      </c>
      <c r="Y14" cm="1">
        <f t="array" ref="Y14">_xlfn.LET(
    _xlpm.row_name, $A14,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0.84995175941303636</v>
      </c>
      <c r="Z14" cm="1">
        <f t="array" ref="Z14">_xlfn.LET(
    _xlpm.row_name, $A14,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0.81772158053549648</v>
      </c>
      <c r="AA14" cm="1">
        <f t="array" ref="AA14">_xlfn.LET(
    _xlpm.row_name, $A14,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0.64268329789219836</v>
      </c>
      <c r="AB14" cm="1">
        <f t="array" ref="AB14">_xlfn.LET(
    _xlpm.row_name, $A14,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0.90952468605430725</v>
      </c>
      <c r="AC14" cm="1">
        <f t="array" ref="AC14">_xlfn.LET(
    _xlpm.row_name, $A14,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0.40174839708639887</v>
      </c>
      <c r="AD14" cm="1">
        <f t="array" ref="AD14">_xlfn.LET(
    _xlpm.row_name, $A14,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0.87936449807244776</v>
      </c>
      <c r="AE14" cm="1">
        <f t="array" ref="AE14">_xlfn.LET(
    _xlpm.row_name, $A14,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0.6391843014653924</v>
      </c>
      <c r="AF14" cm="1">
        <f t="array" ref="AF14">_xlfn.LET(
    _xlpm.row_name, $A14,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0.39281940787507941</v>
      </c>
      <c r="AG14" cm="1">
        <f t="array" ref="AG14">_xlfn.LET(
    _xlpm.row_name, $A14,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0.47666350290272269</v>
      </c>
      <c r="AH14" cm="1">
        <f t="array" ref="AH14">_xlfn.LET(
    _xlpm.row_name, $A14,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0.92924478029860846</v>
      </c>
      <c r="AI14" cm="1">
        <f t="array" ref="AI14">_xlfn.LET(
    _xlpm.row_name, $A14,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0.69890529182878292</v>
      </c>
      <c r="AJ14" cm="1">
        <f t="array" ref="AJ14">_xlfn.LET(
    _xlpm.row_name, $A14,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0.85481690599781002</v>
      </c>
      <c r="AK14" cm="1">
        <f t="array" ref="AK14">_xlfn.LET(
    _xlpm.row_name, $A14,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0.38476225130244746</v>
      </c>
      <c r="AL14" cm="1">
        <f t="array" ref="AL14">_xlfn.LET(
    _xlpm.row_name, $A14,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0.8316559789154383</v>
      </c>
      <c r="AM14" cm="1">
        <f t="array" ref="AM14">_xlfn.LET(
    _xlpm.row_name, $A14,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0.25540694421220278</v>
      </c>
      <c r="AN14" cm="1">
        <f t="array" ref="AN14">_xlfn.LET(
    _xlpm.row_name, $A14,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0.90907535559852781</v>
      </c>
      <c r="AO14" cm="1">
        <f t="array" ref="AO14">_xlfn.LET(
    _xlpm.row_name, $A14,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0.34520877070225414</v>
      </c>
      <c r="AP14" cm="1">
        <f t="array" ref="AP14">_xlfn.LET(
    _xlpm.row_name, $A14,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0.47798281920442276</v>
      </c>
      <c r="AQ14" cm="1">
        <f t="array" ref="AQ14">_xlfn.LET(
    _xlpm.row_name, $A14,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0.46870611352926594</v>
      </c>
      <c r="AR14" cm="1">
        <f t="array" ref="AR14">_xlfn.LET(
    _xlpm.row_name, $A14,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0.74920715482106326</v>
      </c>
      <c r="AS14" cm="1">
        <f t="array" ref="AS14">_xlfn.LET(
    _xlpm.row_name, $A14,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0.5794321929254489</v>
      </c>
      <c r="AT14" cm="1">
        <f t="array" ref="AT14">_xlfn.LET(
    _xlpm.row_name, $A14,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0.12687099542870689</v>
      </c>
      <c r="AU14" cm="1">
        <f t="array" ref="AU14">_xlfn.LET(
    _xlpm.row_name, $A14,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0.92900649638277977</v>
      </c>
      <c r="AV14" cm="1">
        <f t="array" ref="AV14">_xlfn.LET(
    _xlpm.row_name, $A14,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0.47301840557226604</v>
      </c>
      <c r="AW14" cm="1">
        <f t="array" ref="AW14">_xlfn.LET(
    _xlpm.row_name, $A14,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0.40482137672990809</v>
      </c>
      <c r="AX14" cm="1">
        <f t="array" ref="AX14">_xlfn.LET(
    _xlpm.row_name, $A14,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0.31183214464310233</v>
      </c>
      <c r="AY14" cm="1">
        <f t="array" ref="AY14">_xlfn.LET(
    _xlpm.row_name, $A14,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0.90688882940620041</v>
      </c>
      <c r="AZ14" cm="1">
        <f t="array" ref="AZ14">_xlfn.LET(
    _xlpm.row_name, $A14,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0.39851040770374418</v>
      </c>
      <c r="BA14" cm="1">
        <f t="array" ref="BA14">_xlfn.LET(
    _xlpm.row_name, $A14,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0.61478579337160866</v>
      </c>
      <c r="BB14" cm="1">
        <f t="array" ref="BB14">_xlfn.LET(
    _xlpm.row_name, $A14,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0.54303482475849341</v>
      </c>
      <c r="BC14" cm="1">
        <f t="array" ref="BC14">_xlfn.LET(
    _xlpm.row_name, $A14,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0.10854289712306142</v>
      </c>
      <c r="BD14" cm="1">
        <f t="array" ref="BD14">_xlfn.LET(
    _xlpm.row_name, $A14,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0.54129988981812471</v>
      </c>
      <c r="BE14" cm="1">
        <f t="array" ref="BE14">_xlfn.LET(
    _xlpm.row_name, $A14,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0.23126011206874564</v>
      </c>
      <c r="BF14" cm="1">
        <f t="array" ref="BF14">_xlfn.LET(
    _xlpm.row_name, $A14,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0.57495666314866345</v>
      </c>
      <c r="BG14" cm="1">
        <f t="array" ref="BG14">_xlfn.LET(
    _xlpm.row_name, $A14,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0.46963655912480118</v>
      </c>
      <c r="BH14" cm="1">
        <f t="array" ref="BH14">_xlfn.LET(
    _xlpm.row_name, $A14,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0.24002050139848935</v>
      </c>
      <c r="BI14" cm="1">
        <f t="array" ref="BI14">_xlfn.LET(
    _xlpm.row_name, $A14,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0.51473901754488183</v>
      </c>
      <c r="BJ14" cm="1">
        <f t="array" ref="BJ14">_xlfn.LET(
    _xlpm.row_name, $A14,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0.96154008653549639</v>
      </c>
      <c r="BK14" cm="1">
        <f t="array" ref="BK14">_xlfn.LET(
    _xlpm.row_name, $A14,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0.64279889478808627</v>
      </c>
      <c r="BL14" cm="1">
        <f t="array" ref="BL14">_xlfn.LET(
    _xlpm.row_name, $A14,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0.48732614818803532</v>
      </c>
      <c r="BM14" cm="1">
        <f t="array" ref="BM14">_xlfn.LET(
    _xlpm.row_name, $A14,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0.27022476435003079</v>
      </c>
      <c r="BN14" cm="1">
        <f t="array" ref="BN14">_xlfn.LET(
    _xlpm.row_name, $A14,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0.57413514108669128</v>
      </c>
      <c r="BO14" cm="1">
        <f t="array" ref="BO14">_xlfn.LET(
    _xlpm.row_name, $A14,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0.24893049317448274</v>
      </c>
      <c r="BP14" cm="1">
        <f t="array" ref="BP14">_xlfn.LET(
    _xlpm.row_name, $A14,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0.79470755195113085</v>
      </c>
      <c r="BQ14" cm="1">
        <f t="array" ref="BQ14">_xlfn.LET(
    _xlpm.row_name, $A14,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0.56270128771736971</v>
      </c>
      <c r="BR14" cm="1">
        <f t="array" ref="BR14">_xlfn.LET(
    _xlpm.row_name, $A14,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0.35022278057250905</v>
      </c>
      <c r="BS14" cm="1">
        <f t="array" ref="BS14">_xlfn.LET(
    _xlpm.row_name, $A14,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0.55078859445389317</v>
      </c>
      <c r="BT14" cm="1">
        <f t="array" ref="BT14">_xlfn.LET(
    _xlpm.row_name, $A14,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0.62897392856597623</v>
      </c>
      <c r="BU14" cm="1">
        <f t="array" ref="BU14">_xlfn.LET(
    _xlpm.row_name, $A14,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0.61026931674007645</v>
      </c>
      <c r="BV14" cm="1">
        <f t="array" ref="BV14">_xlfn.LET(
    _xlpm.row_name, $A14,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0.34115493248053641</v>
      </c>
    </row>
    <row r="15" spans="1:74" x14ac:dyDescent="0.3">
      <c r="A15" t="str">
        <v>Jackson, Luke</v>
      </c>
      <c r="B15" cm="1">
        <f t="array" ref="B15">_xlfn.LET(
    _xlpm.row_name, $A15,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0.14632606975775003</v>
      </c>
      <c r="C15" cm="1">
        <f t="array" ref="C15">_xlfn.LET(
    _xlpm.row_name, $A15,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0.39971859409742672</v>
      </c>
      <c r="D15" cm="1">
        <f t="array" ref="D15">_xlfn.LET(
    _xlpm.row_name, $A15,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0.68106697103836278</v>
      </c>
      <c r="E15" cm="1">
        <f t="array" ref="E15">_xlfn.LET(
    _xlpm.row_name, $A15,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0.52854320587275783</v>
      </c>
      <c r="F15" cm="1">
        <f t="array" ref="F15">_xlfn.LET(
    _xlpm.row_name, $A15,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0.73464187825164151</v>
      </c>
      <c r="G15" cm="1">
        <f t="array" ref="G15">_xlfn.LET(
    _xlpm.row_name, $A15,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0.3987381190114942</v>
      </c>
      <c r="H15" cm="1">
        <f t="array" ref="H15">_xlfn.LET(
    _xlpm.row_name, $A15,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0.30944246422830413</v>
      </c>
      <c r="I15" cm="1">
        <f t="array" ref="I15">_xlfn.LET(
    _xlpm.row_name, $A15,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0.2896339724843211</v>
      </c>
      <c r="J15" cm="1">
        <f t="array" ref="J15">_xlfn.LET(
    _xlpm.row_name, $A15,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0.67020649900295959</v>
      </c>
      <c r="K15" cm="1">
        <f t="array" ref="K15">_xlfn.LET(
    _xlpm.row_name, $A15,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0.20794404127217653</v>
      </c>
      <c r="L15" cm="1">
        <f t="array" ref="L15">_xlfn.LET(
    _xlpm.row_name, $A15,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0.22122235412141183</v>
      </c>
      <c r="M15" cm="1">
        <f t="array" ref="M15">_xlfn.LET(
    _xlpm.row_name, $A15,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0.30477705362662999</v>
      </c>
      <c r="N15" cm="1">
        <f t="array" ref="N15">_xlfn.LET(
    _xlpm.row_name, $A15,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O15" cm="1">
        <f t="array" ref="O15">_xlfn.LET(
    _xlpm.row_name, $A15,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0.31228744757652815</v>
      </c>
      <c r="P15" cm="1">
        <f t="array" ref="P15">_xlfn.LET(
    _xlpm.row_name, $A15,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0.89514852266707434</v>
      </c>
      <c r="Q15" cm="1">
        <f t="array" ref="Q15">_xlfn.LET(
    _xlpm.row_name, $A15,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0.44394778065315288</v>
      </c>
      <c r="R15" cm="1">
        <f t="array" ref="R15">_xlfn.LET(
    _xlpm.row_name, $A15,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0.46569986185074669</v>
      </c>
      <c r="S15" cm="1">
        <f t="array" ref="S15">_xlfn.LET(
    _xlpm.row_name, $A15,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0.42389929013004118</v>
      </c>
      <c r="T15" cm="1">
        <f t="array" ref="T15">_xlfn.LET(
    _xlpm.row_name, $A15,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0.81199694163455671</v>
      </c>
      <c r="U15" cm="1">
        <f t="array" ref="U15">_xlfn.LET(
    _xlpm.row_name, $A15,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0.48509135749508492</v>
      </c>
      <c r="V15" cm="1">
        <f t="array" ref="V15">_xlfn.LET(
    _xlpm.row_name, $A15,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0.17740243049723736</v>
      </c>
      <c r="W15" cm="1">
        <f t="array" ref="W15">_xlfn.LET(
    _xlpm.row_name, $A15,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0.74374961094938641</v>
      </c>
      <c r="X15" cm="1">
        <f t="array" ref="X15">_xlfn.LET(
    _xlpm.row_name, $A15,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0.35684253216640882</v>
      </c>
      <c r="Y15" cm="1">
        <f t="array" ref="Y15">_xlfn.LET(
    _xlpm.row_name, $A15,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0.26905091650920099</v>
      </c>
      <c r="Z15" cm="1">
        <f t="array" ref="Z15">_xlfn.LET(
    _xlpm.row_name, $A15,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0.62132230820488332</v>
      </c>
      <c r="AA15" cm="1">
        <f t="array" ref="AA15">_xlfn.LET(
    _xlpm.row_name, $A15,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0.39410322599018821</v>
      </c>
      <c r="AB15" cm="1">
        <f t="array" ref="AB15">_xlfn.LET(
    _xlpm.row_name, $A15,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0.20000340443020714</v>
      </c>
      <c r="AC15" cm="1">
        <f t="array" ref="AC15">_xlfn.LET(
    _xlpm.row_name, $A15,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0.42521840284116058</v>
      </c>
      <c r="AD15" cm="1">
        <f t="array" ref="AD15">_xlfn.LET(
    _xlpm.row_name, $A15,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0.17496737426767539</v>
      </c>
      <c r="AE15" cm="1">
        <f t="array" ref="AE15">_xlfn.LET(
    _xlpm.row_name, $A15,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0.50091325199759185</v>
      </c>
      <c r="AF15" cm="1">
        <f t="array" ref="AF15">_xlfn.LET(
    _xlpm.row_name, $A15,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0.38769322392772909</v>
      </c>
      <c r="AG15" cm="1">
        <f t="array" ref="AG15">_xlfn.LET(
    _xlpm.row_name, $A15,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0.46536470134832048</v>
      </c>
      <c r="AH15" cm="1">
        <f t="array" ref="AH15">_xlfn.LET(
    _xlpm.row_name, $A15,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0.16256491616588858</v>
      </c>
      <c r="AI15" cm="1">
        <f t="array" ref="AI15">_xlfn.LET(
    _xlpm.row_name, $A15,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0.22112159110014851</v>
      </c>
      <c r="AJ15" cm="1">
        <f t="array" ref="AJ15">_xlfn.LET(
    _xlpm.row_name, $A15,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0.40426859745622729</v>
      </c>
      <c r="AK15" cm="1">
        <f t="array" ref="AK15">_xlfn.LET(
    _xlpm.row_name, $A15,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0.27387710910427565</v>
      </c>
      <c r="AL15" cm="1">
        <f t="array" ref="AL15">_xlfn.LET(
    _xlpm.row_name, $A15,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0.5390030067978272</v>
      </c>
      <c r="AM15" cm="1">
        <f t="array" ref="AM15">_xlfn.LET(
    _xlpm.row_name, $A15,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0.5084603291642561</v>
      </c>
      <c r="AN15" cm="1">
        <f t="array" ref="AN15">_xlfn.LET(
    _xlpm.row_name, $A15,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0.41295661785622462</v>
      </c>
      <c r="AO15" cm="1">
        <f t="array" ref="AO15">_xlfn.LET(
    _xlpm.row_name, $A15,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0.93745185590271962</v>
      </c>
      <c r="AP15" cm="1">
        <f t="array" ref="AP15">_xlfn.LET(
    _xlpm.row_name, $A15,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0.75268477816169033</v>
      </c>
      <c r="AQ15" cm="1">
        <f t="array" ref="AQ15">_xlfn.LET(
    _xlpm.row_name, $A15,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0.52862557394651877</v>
      </c>
      <c r="AR15" cm="1">
        <f t="array" ref="AR15">_xlfn.LET(
    _xlpm.row_name, $A15,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0.62831557234962587</v>
      </c>
      <c r="AS15" cm="1">
        <f t="array" ref="AS15">_xlfn.LET(
    _xlpm.row_name, $A15,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0.47293075678214319</v>
      </c>
      <c r="AT15" cm="1">
        <f t="array" ref="AT15">_xlfn.LET(
    _xlpm.row_name, $A15,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0.39197424049107171</v>
      </c>
      <c r="AU15" cm="1">
        <f t="array" ref="AU15">_xlfn.LET(
    _xlpm.row_name, $A15,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0.44377651560246995</v>
      </c>
      <c r="AV15" cm="1">
        <f t="array" ref="AV15">_xlfn.LET(
    _xlpm.row_name, $A15,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0.30228250123810108</v>
      </c>
      <c r="AW15" cm="1">
        <f t="array" ref="AW15">_xlfn.LET(
    _xlpm.row_name, $A15,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0.15032799400265756</v>
      </c>
      <c r="AX15" cm="1">
        <f t="array" ref="AX15">_xlfn.LET(
    _xlpm.row_name, $A15,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0.8250762411739534</v>
      </c>
      <c r="AY15" cm="1">
        <f t="array" ref="AY15">_xlfn.LET(
    _xlpm.row_name, $A15,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0.38651992390920636</v>
      </c>
      <c r="AZ15" cm="1">
        <f t="array" ref="AZ15">_xlfn.LET(
    _xlpm.row_name, $A15,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0.87945181081174595</v>
      </c>
      <c r="BA15" cm="1">
        <f t="array" ref="BA15">_xlfn.LET(
    _xlpm.row_name, $A15,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0.17828463553391877</v>
      </c>
      <c r="BB15" cm="1">
        <f t="array" ref="BB15">_xlfn.LET(
    _xlpm.row_name, $A15,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0.19110880470873837</v>
      </c>
      <c r="BC15" cm="1">
        <f t="array" ref="BC15">_xlfn.LET(
    _xlpm.row_name, $A15,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0.56676120796636797</v>
      </c>
      <c r="BD15" cm="1">
        <f t="array" ref="BD15">_xlfn.LET(
    _xlpm.row_name, $A15,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0.45443592203245486</v>
      </c>
      <c r="BE15" cm="1">
        <f t="array" ref="BE15">_xlfn.LET(
    _xlpm.row_name, $A15,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0.5348242202895771</v>
      </c>
      <c r="BF15" cm="1">
        <f t="array" ref="BF15">_xlfn.LET(
    _xlpm.row_name, $A15,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0.76885131707577381</v>
      </c>
      <c r="BG15" cm="1">
        <f t="array" ref="BG15">_xlfn.LET(
    _xlpm.row_name, $A15,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0.18721118346436405</v>
      </c>
      <c r="BH15" cm="1">
        <f t="array" ref="BH15">_xlfn.LET(
    _xlpm.row_name, $A15,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0.52922456073211233</v>
      </c>
      <c r="BI15" cm="1">
        <f t="array" ref="BI15">_xlfn.LET(
    _xlpm.row_name, $A15,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0.14445048340376876</v>
      </c>
      <c r="BJ15" cm="1">
        <f t="array" ref="BJ15">_xlfn.LET(
    _xlpm.row_name, $A15,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0.23235770149051432</v>
      </c>
      <c r="BK15" cm="1">
        <f t="array" ref="BK15">_xlfn.LET(
    _xlpm.row_name, $A15,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3.1720724604756501E-2</v>
      </c>
      <c r="BL15" cm="1">
        <f t="array" ref="BL15">_xlfn.LET(
    _xlpm.row_name, $A15,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0.87535573229259667</v>
      </c>
      <c r="BM15" cm="1">
        <f t="array" ref="BM15">_xlfn.LET(
    _xlpm.row_name, $A15,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0.75799883430750858</v>
      </c>
      <c r="BN15" cm="1">
        <f t="array" ref="BN15">_xlfn.LET(
    _xlpm.row_name, $A15,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0.28422865833541122</v>
      </c>
      <c r="BO15" cm="1">
        <f t="array" ref="BO15">_xlfn.LET(
    _xlpm.row_name, $A15,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0.75298366175072884</v>
      </c>
      <c r="BP15" cm="1">
        <f t="array" ref="BP15">_xlfn.LET(
    _xlpm.row_name, $A15,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0.48237109776666526</v>
      </c>
      <c r="BQ15" cm="1">
        <f t="array" ref="BQ15">_xlfn.LET(
    _xlpm.row_name, $A15,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0.31295184945010629</v>
      </c>
      <c r="BR15" cm="1">
        <f t="array" ref="BR15">_xlfn.LET(
    _xlpm.row_name, $A15,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0.23296582816391803</v>
      </c>
      <c r="BS15" cm="1">
        <f t="array" ref="BS15">_xlfn.LET(
    _xlpm.row_name, $A15,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0.80180218340600629</v>
      </c>
      <c r="BT15" cm="1">
        <f t="array" ref="BT15">_xlfn.LET(
    _xlpm.row_name, $A15,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0.8616962301654576</v>
      </c>
      <c r="BU15" cm="1">
        <f t="array" ref="BU15">_xlfn.LET(
    _xlpm.row_name, $A15,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0.68394752920058666</v>
      </c>
      <c r="BV15" cm="1">
        <f t="array" ref="BV15">_xlfn.LET(
    _xlpm.row_name, $A15,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0.37505056391570246</v>
      </c>
    </row>
    <row r="16" spans="1:74" x14ac:dyDescent="0.3">
      <c r="A16" t="str">
        <v>Lee, Dylan</v>
      </c>
      <c r="B16" cm="1">
        <f t="array" ref="B16">_xlfn.LET(
    _xlpm.row_name, $A16,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0.40367167822260952</v>
      </c>
      <c r="C16" cm="1">
        <f t="array" ref="C16">_xlfn.LET(
    _xlpm.row_name, $A16,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0.33870207717108836</v>
      </c>
      <c r="D16" cm="1">
        <f t="array" ref="D16">_xlfn.LET(
    _xlpm.row_name, $A16,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0.62874506368470717</v>
      </c>
      <c r="E16" cm="1">
        <f t="array" ref="E16">_xlfn.LET(
    _xlpm.row_name, $A16,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0.27648030388988765</v>
      </c>
      <c r="F16" cm="1">
        <f t="array" ref="F16">_xlfn.LET(
    _xlpm.row_name, $A16,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0.44639308883294576</v>
      </c>
      <c r="G16" cm="1">
        <f t="array" ref="G16">_xlfn.LET(
    _xlpm.row_name, $A16,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0.86892357574348722</v>
      </c>
      <c r="H16" cm="1">
        <f t="array" ref="H16">_xlfn.LET(
    _xlpm.row_name, $A16,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0.352094875490503</v>
      </c>
      <c r="I16" cm="1">
        <f t="array" ref="I16">_xlfn.LET(
    _xlpm.row_name, $A16,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0.40029235696065124</v>
      </c>
      <c r="J16" cm="1">
        <f t="array" ref="J16">_xlfn.LET(
    _xlpm.row_name, $A16,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0.51064587579388243</v>
      </c>
      <c r="K16" cm="1">
        <f t="array" ref="K16">_xlfn.LET(
    _xlpm.row_name, $A16,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0.49639020446494736</v>
      </c>
      <c r="L16" cm="1">
        <f t="array" ref="L16">_xlfn.LET(
    _xlpm.row_name, $A16,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0.59549824280690833</v>
      </c>
      <c r="M16" cm="1">
        <f t="array" ref="M16">_xlfn.LET(
    _xlpm.row_name, $A16,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0.62633860060196722</v>
      </c>
      <c r="N16" cm="1">
        <f t="array" ref="N16">_xlfn.LET(
    _xlpm.row_name, $A16,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0.31228744757652815</v>
      </c>
      <c r="O16" cm="1">
        <f t="array" ref="O16">_xlfn.LET(
    _xlpm.row_name, $A16,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P16" cm="1">
        <f t="array" ref="P16">_xlfn.LET(
    _xlpm.row_name, $A16,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0.19104076397025244</v>
      </c>
      <c r="Q16" cm="1">
        <f t="array" ref="Q16">_xlfn.LET(
    _xlpm.row_name, $A16,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0.40280566926361144</v>
      </c>
      <c r="R16" cm="1">
        <f t="array" ref="R16">_xlfn.LET(
    _xlpm.row_name, $A16,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0.36713356994131469</v>
      </c>
      <c r="S16" cm="1">
        <f t="array" ref="S16">_xlfn.LET(
    _xlpm.row_name, $A16,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0.45355960611519297</v>
      </c>
      <c r="T16" cm="1">
        <f t="array" ref="T16">_xlfn.LET(
    _xlpm.row_name, $A16,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0.31518764204210925</v>
      </c>
      <c r="U16" cm="1">
        <f t="array" ref="U16">_xlfn.LET(
    _xlpm.row_name, $A16,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0.79309278235935476</v>
      </c>
      <c r="V16" cm="1">
        <f t="array" ref="V16">_xlfn.LET(
    _xlpm.row_name, $A16,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0.75146662657762464</v>
      </c>
      <c r="W16" cm="1">
        <f t="array" ref="W16">_xlfn.LET(
    _xlpm.row_name, $A16,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0.22309086769361458</v>
      </c>
      <c r="X16" cm="1">
        <f t="array" ref="X16">_xlfn.LET(
    _xlpm.row_name, $A16,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0.72459372006764855</v>
      </c>
      <c r="Y16" cm="1">
        <f t="array" ref="Y16">_xlfn.LET(
    _xlpm.row_name, $A16,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0.57102145337466292</v>
      </c>
      <c r="Z16" cm="1">
        <f t="array" ref="Z16">_xlfn.LET(
    _xlpm.row_name, $A16,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0.62646258586192705</v>
      </c>
      <c r="AA16" cm="1">
        <f t="array" ref="AA16">_xlfn.LET(
    _xlpm.row_name, $A16,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0.98665974749623109</v>
      </c>
      <c r="AB16" cm="1">
        <f t="array" ref="AB16">_xlfn.LET(
    _xlpm.row_name, $A16,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0.76085644410924469</v>
      </c>
      <c r="AC16" cm="1">
        <f t="array" ref="AC16">_xlfn.LET(
    _xlpm.row_name, $A16,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0.23865707989163815</v>
      </c>
      <c r="AD16" cm="1">
        <f t="array" ref="AD16">_xlfn.LET(
    _xlpm.row_name, $A16,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0.41299884252332186</v>
      </c>
      <c r="AE16" cm="1">
        <f t="array" ref="AE16">_xlfn.LET(
    _xlpm.row_name, $A16,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0.78071667638355313</v>
      </c>
      <c r="AF16" cm="1">
        <f t="array" ref="AF16">_xlfn.LET(
    _xlpm.row_name, $A16,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0.73176178318269924</v>
      </c>
      <c r="AG16" cm="1">
        <f t="array" ref="AG16">_xlfn.LET(
    _xlpm.row_name, $A16,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0.6561249273447376</v>
      </c>
      <c r="AH16" cm="1">
        <f t="array" ref="AH16">_xlfn.LET(
    _xlpm.row_name, $A16,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0.67579794767191426</v>
      </c>
      <c r="AI16" cm="1">
        <f t="array" ref="AI16">_xlfn.LET(
    _xlpm.row_name, $A16,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0.79523342562163668</v>
      </c>
      <c r="AJ16" cm="1">
        <f t="array" ref="AJ16">_xlfn.LET(
    _xlpm.row_name, $A16,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0.8578294716552386</v>
      </c>
      <c r="AK16" cm="1">
        <f t="array" ref="AK16">_xlfn.LET(
    _xlpm.row_name, $A16,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0.69903529807860154</v>
      </c>
      <c r="AL16" cm="1">
        <f t="array" ref="AL16">_xlfn.LET(
    _xlpm.row_name, $A16,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0.58254833126559258</v>
      </c>
      <c r="AM16" cm="1">
        <f t="array" ref="AM16">_xlfn.LET(
    _xlpm.row_name, $A16,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0.35042877508529835</v>
      </c>
      <c r="AN16" cm="1">
        <f t="array" ref="AN16">_xlfn.LET(
    _xlpm.row_name, $A16,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0.67922364268356872</v>
      </c>
      <c r="AO16" cm="1">
        <f t="array" ref="AO16">_xlfn.LET(
    _xlpm.row_name, $A16,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0.47288175642243357</v>
      </c>
      <c r="AP16" cm="1">
        <f t="array" ref="AP16">_xlfn.LET(
    _xlpm.row_name, $A16,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0.45143802443751269</v>
      </c>
      <c r="AQ16" cm="1">
        <f t="array" ref="AQ16">_xlfn.LET(
    _xlpm.row_name, $A16,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0.83921327386525557</v>
      </c>
      <c r="AR16" cm="1">
        <f t="array" ref="AR16">_xlfn.LET(
    _xlpm.row_name, $A16,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0.67194063194689235</v>
      </c>
      <c r="AS16" cm="1">
        <f t="array" ref="AS16">_xlfn.LET(
    _xlpm.row_name, $A16,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0.78265960736218143</v>
      </c>
      <c r="AT16" cm="1">
        <f t="array" ref="AT16">_xlfn.LET(
    _xlpm.row_name, $A16,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0.63847879612933722</v>
      </c>
      <c r="AU16" cm="1">
        <f t="array" ref="AU16">_xlfn.LET(
    _xlpm.row_name, $A16,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0.7178870190820138</v>
      </c>
      <c r="AV16" cm="1">
        <f t="array" ref="AV16">_xlfn.LET(
    _xlpm.row_name, $A16,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0.39669696326359166</v>
      </c>
      <c r="AW16" cm="1">
        <f t="array" ref="AW16">_xlfn.LET(
    _xlpm.row_name, $A16,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0.37618973972620501</v>
      </c>
      <c r="AX16" cm="1">
        <f t="array" ref="AX16">_xlfn.LET(
    _xlpm.row_name, $A16,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0.3759415019053336</v>
      </c>
      <c r="AY16" cm="1">
        <f t="array" ref="AY16">_xlfn.LET(
    _xlpm.row_name, $A16,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0.70893834773479436</v>
      </c>
      <c r="AZ16" cm="1">
        <f t="array" ref="AZ16">_xlfn.LET(
    _xlpm.row_name, $A16,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0.25832710122593544</v>
      </c>
      <c r="BA16" cm="1">
        <f t="array" ref="BA16">_xlfn.LET(
    _xlpm.row_name, $A16,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0.89134876291055454</v>
      </c>
      <c r="BB16" cm="1">
        <f t="array" ref="BB16">_xlfn.LET(
    _xlpm.row_name, $A16,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0.37490070697271416</v>
      </c>
      <c r="BC16" cm="1">
        <f t="array" ref="BC16">_xlfn.LET(
    _xlpm.row_name, $A16,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0.37828736733199264</v>
      </c>
      <c r="BD16" cm="1">
        <f t="array" ref="BD16">_xlfn.LET(
    _xlpm.row_name, $A16,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0.89344284536879082</v>
      </c>
      <c r="BE16" cm="1">
        <f t="array" ref="BE16">_xlfn.LET(
    _xlpm.row_name, $A16,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0.40153223928495319</v>
      </c>
      <c r="BF16" cm="1">
        <f t="array" ref="BF16">_xlfn.LET(
    _xlpm.row_name, $A16,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0.22742147864216883</v>
      </c>
      <c r="BG16" cm="1">
        <f t="array" ref="BG16">_xlfn.LET(
    _xlpm.row_name, $A16,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0.820566446794326</v>
      </c>
      <c r="BH16" cm="1">
        <f t="array" ref="BH16">_xlfn.LET(
    _xlpm.row_name, $A16,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0.63935188729967496</v>
      </c>
      <c r="BI16" cm="1">
        <f t="array" ref="BI16">_xlfn.LET(
    _xlpm.row_name, $A16,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0.47956255165032163</v>
      </c>
      <c r="BJ16" cm="1">
        <f t="array" ref="BJ16">_xlfn.LET(
    _xlpm.row_name, $A16,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0.7513637649179099</v>
      </c>
      <c r="BK16" cm="1">
        <f t="array" ref="BK16">_xlfn.LET(
    _xlpm.row_name, $A16,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0.64485982053259794</v>
      </c>
      <c r="BL16" cm="1">
        <f t="array" ref="BL16">_xlfn.LET(
    _xlpm.row_name, $A16,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0.52247571167806151</v>
      </c>
      <c r="BM16" cm="1">
        <f t="array" ref="BM16">_xlfn.LET(
    _xlpm.row_name, $A16,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0.43916742826246474</v>
      </c>
      <c r="BN16" cm="1">
        <f t="array" ref="BN16">_xlfn.LET(
    _xlpm.row_name, $A16,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0.20738340133298966</v>
      </c>
      <c r="BO16" cm="1">
        <f t="array" ref="BO16">_xlfn.LET(
    _xlpm.row_name, $A16,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0.28685934374921668</v>
      </c>
      <c r="BP16" cm="1">
        <f t="array" ref="BP16">_xlfn.LET(
    _xlpm.row_name, $A16,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0.78967399967099472</v>
      </c>
      <c r="BQ16" cm="1">
        <f t="array" ref="BQ16">_xlfn.LET(
    _xlpm.row_name, $A16,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0.28842649869045034</v>
      </c>
      <c r="BR16" cm="1">
        <f t="array" ref="BR16">_xlfn.LET(
    _xlpm.row_name, $A16,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0.39596701332978124</v>
      </c>
      <c r="BS16" cm="1">
        <f t="array" ref="BS16">_xlfn.LET(
    _xlpm.row_name, $A16,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0.59202959447963766</v>
      </c>
      <c r="BT16" cm="1">
        <f t="array" ref="BT16">_xlfn.LET(
    _xlpm.row_name, $A16,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0.35795423308339902</v>
      </c>
      <c r="BU16" cm="1">
        <f t="array" ref="BU16">_xlfn.LET(
    _xlpm.row_name, $A16,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0.7001148252879299</v>
      </c>
      <c r="BV16" cm="1">
        <f t="array" ref="BV16">_xlfn.LET(
    _xlpm.row_name, $A16,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0.69613979686519811</v>
      </c>
    </row>
    <row r="17" spans="1:74" x14ac:dyDescent="0.3">
      <c r="A17" t="str">
        <v>Holmes, Grant</v>
      </c>
      <c r="B17" cm="1">
        <f t="array" ref="B17">_xlfn.LET(
    _xlpm.row_name, $A17,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0.27366473726608098</v>
      </c>
      <c r="C17" cm="1">
        <f t="array" ref="C17">_xlfn.LET(
    _xlpm.row_name, $A17,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0.62576876073070475</v>
      </c>
      <c r="D17" cm="1">
        <f t="array" ref="D17">_xlfn.LET(
    _xlpm.row_name, $A17,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0.5591401493346464</v>
      </c>
      <c r="E17" cm="1">
        <f t="array" ref="E17">_xlfn.LET(
    _xlpm.row_name, $A17,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0.57715393399632198</v>
      </c>
      <c r="F17" cm="1">
        <f t="array" ref="F17">_xlfn.LET(
    _xlpm.row_name, $A17,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0.65540483115050541</v>
      </c>
      <c r="G17" cm="1">
        <f t="array" ref="G17">_xlfn.LET(
    _xlpm.row_name, $A17,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0.1538712153961358</v>
      </c>
      <c r="H17" cm="1">
        <f t="array" ref="H17">_xlfn.LET(
    _xlpm.row_name, $A17,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0.61348116921132612</v>
      </c>
      <c r="I17" cm="1">
        <f t="array" ref="I17">_xlfn.LET(
    _xlpm.row_name, $A17,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0.49561653653249788</v>
      </c>
      <c r="J17" cm="1">
        <f t="array" ref="J17">_xlfn.LET(
    _xlpm.row_name, $A17,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0.58331638751129733</v>
      </c>
      <c r="K17" cm="1">
        <f t="array" ref="K17">_xlfn.LET(
    _xlpm.row_name, $A17,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0.42930782314492594</v>
      </c>
      <c r="L17" cm="1">
        <f t="array" ref="L17">_xlfn.LET(
    _xlpm.row_name, $A17,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0.25347768614459887</v>
      </c>
      <c r="M17" cm="1">
        <f t="array" ref="M17">_xlfn.LET(
    _xlpm.row_name, $A17,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0.45138496615008511</v>
      </c>
      <c r="N17" cm="1">
        <f t="array" ref="N17">_xlfn.LET(
    _xlpm.row_name, $A17,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0.89514852266707434</v>
      </c>
      <c r="O17" cm="1">
        <f t="array" ref="O17">_xlfn.LET(
    _xlpm.row_name, $A17,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0.19104076397025244</v>
      </c>
      <c r="P17" cm="1">
        <f t="array" ref="P17">_xlfn.LET(
    _xlpm.row_name, $A17,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Q17" cm="1">
        <f t="array" ref="Q17">_xlfn.LET(
    _xlpm.row_name, $A17,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0.5715455067707067</v>
      </c>
      <c r="R17" cm="1">
        <f t="array" ref="R17">_xlfn.LET(
    _xlpm.row_name, $A17,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0.71235008663784793</v>
      </c>
      <c r="S17" cm="1">
        <f t="array" ref="S17">_xlfn.LET(
    _xlpm.row_name, $A17,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0.7142035489676638</v>
      </c>
      <c r="T17" cm="1">
        <f t="array" ref="T17">_xlfn.LET(
    _xlpm.row_name, $A17,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0.93975226265950862</v>
      </c>
      <c r="U17" cm="1">
        <f t="array" ref="U17">_xlfn.LET(
    _xlpm.row_name, $A17,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0.22713305667262551</v>
      </c>
      <c r="V17" cm="1">
        <f t="array" ref="V17">_xlfn.LET(
    _xlpm.row_name, $A17,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0.11162161043164576</v>
      </c>
      <c r="W17" cm="1">
        <f t="array" ref="W17">_xlfn.LET(
    _xlpm.row_name, $A17,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0.88738648723483882</v>
      </c>
      <c r="X17" cm="1">
        <f t="array" ref="X17">_xlfn.LET(
    _xlpm.row_name, $A17,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0.15250440842103435</v>
      </c>
      <c r="Y17" cm="1">
        <f t="array" ref="Y17">_xlfn.LET(
    _xlpm.row_name, $A17,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0.35326017958369244</v>
      </c>
      <c r="Z17" cm="1">
        <f t="array" ref="Z17">_xlfn.LET(
    _xlpm.row_name, $A17,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0.61065136218185845</v>
      </c>
      <c r="AA17" cm="1">
        <f t="array" ref="AA17">_xlfn.LET(
    _xlpm.row_name, $A17,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0.28899739707248495</v>
      </c>
      <c r="AB17" cm="1">
        <f t="array" ref="AB17">_xlfn.LET(
    _xlpm.row_name, $A17,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0.20825999699904674</v>
      </c>
      <c r="AC17" cm="1">
        <f t="array" ref="AC17">_xlfn.LET(
    _xlpm.row_name, $A17,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0.59869108525987658</v>
      </c>
      <c r="AD17" cm="1">
        <f t="array" ref="AD17">_xlfn.LET(
    _xlpm.row_name, $A17,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0.41414934196835829</v>
      </c>
      <c r="AE17" cm="1">
        <f t="array" ref="AE17">_xlfn.LET(
    _xlpm.row_name, $A17,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0.2721437469218328</v>
      </c>
      <c r="AF17" cm="1">
        <f t="array" ref="AF17">_xlfn.LET(
    _xlpm.row_name, $A17,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0.28017352689109187</v>
      </c>
      <c r="AG17" cm="1">
        <f t="array" ref="AG17">_xlfn.LET(
    _xlpm.row_name, $A17,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0.3364111768837148</v>
      </c>
      <c r="AH17" cm="1">
        <f t="array" ref="AH17">_xlfn.LET(
    _xlpm.row_name, $A17,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0.33837039131511193</v>
      </c>
      <c r="AI17" cm="1">
        <f t="array" ref="AI17">_xlfn.LET(
    _xlpm.row_name, $A17,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0.16096985390792856</v>
      </c>
      <c r="AJ17" cm="1">
        <f t="array" ref="AJ17">_xlfn.LET(
    _xlpm.row_name, $A17,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0.38550407191319458</v>
      </c>
      <c r="AK17" cm="1">
        <f t="array" ref="AK17">_xlfn.LET(
    _xlpm.row_name, $A17,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0.24740178666673041</v>
      </c>
      <c r="AL17" cm="1">
        <f t="array" ref="AL17">_xlfn.LET(
    _xlpm.row_name, $A17,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0.51772648670096688</v>
      </c>
      <c r="AM17" cm="1">
        <f t="array" ref="AM17">_xlfn.LET(
    _xlpm.row_name, $A17,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0.63874826825497499</v>
      </c>
      <c r="AN17" cm="1">
        <f t="array" ref="AN17">_xlfn.LET(
    _xlpm.row_name, $A17,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0.5616979075761348</v>
      </c>
      <c r="AO17" cm="1">
        <f t="array" ref="AO17">_xlfn.LET(
    _xlpm.row_name, $A17,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0.7886407520403258</v>
      </c>
      <c r="AP17" cm="1">
        <f t="array" ref="AP17">_xlfn.LET(
    _xlpm.row_name, $A17,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0.52863526509685321</v>
      </c>
      <c r="AQ17" cm="1">
        <f t="array" ref="AQ17">_xlfn.LET(
    _xlpm.row_name, $A17,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0.50076568297552504</v>
      </c>
      <c r="AR17" cm="1">
        <f t="array" ref="AR17">_xlfn.LET(
    _xlpm.row_name, $A17,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0.71950502490384127</v>
      </c>
      <c r="AS17" cm="1">
        <f t="array" ref="AS17">_xlfn.LET(
    _xlpm.row_name, $A17,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0.50769292629226015</v>
      </c>
      <c r="AT17" cm="1">
        <f t="array" ref="AT17">_xlfn.LET(
    _xlpm.row_name, $A17,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0.21476895117484557</v>
      </c>
      <c r="AU17" cm="1">
        <f t="array" ref="AU17">_xlfn.LET(
    _xlpm.row_name, $A17,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0.43875785898429587</v>
      </c>
      <c r="AV17" cm="1">
        <f t="array" ref="AV17">_xlfn.LET(
    _xlpm.row_name, $A17,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0.50291968947964139</v>
      </c>
      <c r="AW17" cm="1">
        <f t="array" ref="AW17">_xlfn.LET(
    _xlpm.row_name, $A17,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0.23991185929462333</v>
      </c>
      <c r="AX17" cm="1">
        <f t="array" ref="AX17">_xlfn.LET(
    _xlpm.row_name, $A17,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0.85180944240291989</v>
      </c>
      <c r="AY17" cm="1">
        <f t="array" ref="AY17">_xlfn.LET(
    _xlpm.row_name, $A17,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0.51507882278930428</v>
      </c>
      <c r="AZ17" cm="1">
        <f t="array" ref="AZ17">_xlfn.LET(
    _xlpm.row_name, $A17,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0.96614600160478381</v>
      </c>
      <c r="BA17" cm="1">
        <f t="array" ref="BA17">_xlfn.LET(
    _xlpm.row_name, $A17,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2.8408996422884747E-2</v>
      </c>
      <c r="BB17" cm="1">
        <f t="array" ref="BB17">_xlfn.LET(
    _xlpm.row_name, $A17,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0.28922773020704484</v>
      </c>
      <c r="BC17" cm="1">
        <f t="array" ref="BC17">_xlfn.LET(
    _xlpm.row_name, $A17,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0.59999110157920676</v>
      </c>
      <c r="BD17" cm="1">
        <f t="array" ref="BD17">_xlfn.LET(
    _xlpm.row_name, $A17,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0.19475500787875821</v>
      </c>
      <c r="BE17" cm="1">
        <f t="array" ref="BE17">_xlfn.LET(
    _xlpm.row_name, $A17,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0.39096999693034307</v>
      </c>
      <c r="BF17" cm="1">
        <f t="array" ref="BF17">_xlfn.LET(
    _xlpm.row_name, $A17,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0.92434711510169199</v>
      </c>
      <c r="BG17" cm="1">
        <f t="array" ref="BG17">_xlfn.LET(
    _xlpm.row_name, $A17,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5.8120743697123667E-2</v>
      </c>
      <c r="BH17" cm="1">
        <f t="array" ref="BH17">_xlfn.LET(
    _xlpm.row_name, $A17,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0.54355475206084147</v>
      </c>
      <c r="BI17" cm="1">
        <f t="array" ref="BI17">_xlfn.LET(
    _xlpm.row_name, $A17,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0.12346315032615945</v>
      </c>
      <c r="BJ17" cm="1">
        <f t="array" ref="BJ17">_xlfn.LET(
    _xlpm.row_name, $A17,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0.38479425449533072</v>
      </c>
      <c r="BK17" cm="1">
        <f t="array" ref="BK17">_xlfn.LET(
    _xlpm.row_name, $A17,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6.9555242029239128E-2</v>
      </c>
      <c r="BL17" cm="1">
        <f t="array" ref="BL17">_xlfn.LET(
    _xlpm.row_name, $A17,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0.79702237456116476</v>
      </c>
      <c r="BM17" cm="1">
        <f t="array" ref="BM17">_xlfn.LET(
    _xlpm.row_name, $A17,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0.71997133887765419</v>
      </c>
      <c r="BN17" cm="1">
        <f t="array" ref="BN17">_xlfn.LET(
    _xlpm.row_name, $A17,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0.41498941334625056</v>
      </c>
      <c r="BO17" cm="1">
        <f t="array" ref="BO17">_xlfn.LET(
    _xlpm.row_name, $A17,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0.6650044470635541</v>
      </c>
      <c r="BP17" cm="1">
        <f t="array" ref="BP17">_xlfn.LET(
    _xlpm.row_name, $A17,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0.33738268415498396</v>
      </c>
      <c r="BQ17" cm="1">
        <f t="array" ref="BQ17">_xlfn.LET(
    _xlpm.row_name, $A17,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0.6097600289097117</v>
      </c>
      <c r="BR17" cm="1">
        <f t="array" ref="BR17">_xlfn.LET(
    _xlpm.row_name, $A17,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0.27335752139791847</v>
      </c>
      <c r="BS17" cm="1">
        <f t="array" ref="BS17">_xlfn.LET(
    _xlpm.row_name, $A17,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0.58148313584037703</v>
      </c>
      <c r="BT17" cm="1">
        <f t="array" ref="BT17">_xlfn.LET(
    _xlpm.row_name, $A17,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0.91391054645496306</v>
      </c>
      <c r="BU17" cm="1">
        <f t="array" ref="BU17">_xlfn.LET(
    _xlpm.row_name, $A17,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0.64721752183014636</v>
      </c>
      <c r="BV17" cm="1">
        <f t="array" ref="BV17">_xlfn.LET(
    _xlpm.row_name, $A17,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0.42511916824932544</v>
      </c>
    </row>
    <row r="18" spans="1:74" x14ac:dyDescent="0.3">
      <c r="A18" t="str">
        <v>Tomlin, Josh</v>
      </c>
      <c r="B18" cm="1">
        <f t="array" ref="B18">_xlfn.LET(
    _xlpm.row_name, $A18,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0.60337108059788658</v>
      </c>
      <c r="C18" cm="1">
        <f t="array" ref="C18">_xlfn.LET(
    _xlpm.row_name, $A18,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0.67545613968887119</v>
      </c>
      <c r="D18" cm="1">
        <f t="array" ref="D18">_xlfn.LET(
    _xlpm.row_name, $A18,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6.8971822866011723E-2</v>
      </c>
      <c r="E18" cm="1">
        <f t="array" ref="E18">_xlfn.LET(
    _xlpm.row_name, $A18,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0.91950129422087068</v>
      </c>
      <c r="F18" cm="1">
        <f t="array" ref="F18">_xlfn.LET(
    _xlpm.row_name, $A18,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0.4763060692654848</v>
      </c>
      <c r="G18" cm="1">
        <f t="array" ref="G18">_xlfn.LET(
    _xlpm.row_name, $A18,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0.17858941672623369</v>
      </c>
      <c r="H18" cm="1">
        <f t="array" ref="H18">_xlfn.LET(
    _xlpm.row_name, $A18,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0.55318001706703246</v>
      </c>
      <c r="I18" cm="1">
        <f t="array" ref="I18">_xlfn.LET(
    _xlpm.row_name, $A18,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0.31062541226631601</v>
      </c>
      <c r="J18" cm="1">
        <f t="array" ref="J18">_xlfn.LET(
    _xlpm.row_name, $A18,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9.8681871953926414E-2</v>
      </c>
      <c r="K18" cm="1">
        <f t="array" ref="K18">_xlfn.LET(
    _xlpm.row_name, $A18,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0.81253761219416476</v>
      </c>
      <c r="L18" cm="1">
        <f t="array" ref="L18">_xlfn.LET(
    _xlpm.row_name, $A18,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0.74234476182911591</v>
      </c>
      <c r="M18" cm="1">
        <f t="array" ref="M18">_xlfn.LET(
    _xlpm.row_name, $A18,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0.22707391103368796</v>
      </c>
      <c r="N18" cm="1">
        <f t="array" ref="N18">_xlfn.LET(
    _xlpm.row_name, $A18,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0.44394778065315288</v>
      </c>
      <c r="O18" cm="1">
        <f t="array" ref="O18">_xlfn.LET(
    _xlpm.row_name, $A18,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0.40280566926361144</v>
      </c>
      <c r="P18" cm="1">
        <f t="array" ref="P18">_xlfn.LET(
    _xlpm.row_name, $A18,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0.5715455067707067</v>
      </c>
      <c r="Q18" cm="1">
        <f t="array" ref="Q18">_xlfn.LET(
    _xlpm.row_name, $A18,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R18" cm="1">
        <f t="array" ref="R18">_xlfn.LET(
    _xlpm.row_name, $A18,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0.53125305103234333</v>
      </c>
      <c r="S18" cm="1">
        <f t="array" ref="S18">_xlfn.LET(
    _xlpm.row_name, $A18,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0.66107061080436325</v>
      </c>
      <c r="T18" cm="1">
        <f t="array" ref="T18">_xlfn.LET(
    _xlpm.row_name, $A18,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0.52249107186948973</v>
      </c>
      <c r="U18" cm="1">
        <f t="array" ref="U18">_xlfn.LET(
    _xlpm.row_name, $A18,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0.11013242311521598</v>
      </c>
      <c r="V18" cm="1">
        <f t="array" ref="V18">_xlfn.LET(
    _xlpm.row_name, $A18,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0.71572603075530083</v>
      </c>
      <c r="W18" cm="1">
        <f t="array" ref="W18">_xlfn.LET(
    _xlpm.row_name, $A18,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0.86646777342831993</v>
      </c>
      <c r="X18" cm="1">
        <f t="array" ref="X18">_xlfn.LET(
    _xlpm.row_name, $A18,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0.15160101099824402</v>
      </c>
      <c r="Y18" cm="1">
        <f t="array" ref="Y18">_xlfn.LET(
    _xlpm.row_name, $A18,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0.29259042315387279</v>
      </c>
      <c r="Z18" cm="1">
        <f t="array" ref="Z18">_xlfn.LET(
    _xlpm.row_name, $A18,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0.14894872288320415</v>
      </c>
      <c r="AA18" cm="1">
        <f t="array" ref="AA18">_xlfn.LET(
    _xlpm.row_name, $A18,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0.40301284031676932</v>
      </c>
      <c r="AB18" cm="1">
        <f t="array" ref="AB18">_xlfn.LET(
    _xlpm.row_name, $A18,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0.17323620911849713</v>
      </c>
      <c r="AC18" cm="1">
        <f t="array" ref="AC18">_xlfn.LET(
    _xlpm.row_name, $A18,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0.80655562193576336</v>
      </c>
      <c r="AD18" cm="1">
        <f t="array" ref="AD18">_xlfn.LET(
    _xlpm.row_name, $A18,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0.42188098556877929</v>
      </c>
      <c r="AE18" cm="1">
        <f t="array" ref="AE18">_xlfn.LET(
    _xlpm.row_name, $A18,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7.568268511698939E-2</v>
      </c>
      <c r="AF18" cm="1">
        <f t="array" ref="AF18">_xlfn.LET(
    _xlpm.row_name, $A18,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0.59278462895755657</v>
      </c>
      <c r="AG18" cm="1">
        <f t="array" ref="AG18">_xlfn.LET(
    _xlpm.row_name, $A18,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0.41797499561367835</v>
      </c>
      <c r="AH18" cm="1">
        <f t="array" ref="AH18">_xlfn.LET(
    _xlpm.row_name, $A18,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0.37936020554062105</v>
      </c>
      <c r="AI18" cm="1">
        <f t="array" ref="AI18">_xlfn.LET(
    _xlpm.row_name, $A18,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0.33991325549193308</v>
      </c>
      <c r="AJ18" cm="1">
        <f t="array" ref="AJ18">_xlfn.LET(
    _xlpm.row_name, $A18,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0.22018839727475981</v>
      </c>
      <c r="AK18" cm="1">
        <f t="array" ref="AK18">_xlfn.LET(
    _xlpm.row_name, $A18,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0.72437745480754456</v>
      </c>
      <c r="AL18" cm="1">
        <f t="array" ref="AL18">_xlfn.LET(
    _xlpm.row_name, $A18,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9.0639318171238936E-2</v>
      </c>
      <c r="AM18" cm="1">
        <f t="array" ref="AM18">_xlfn.LET(
    _xlpm.row_name, $A18,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0.95571124681474162</v>
      </c>
      <c r="AN18" cm="1">
        <f t="array" ref="AN18">_xlfn.LET(
    _xlpm.row_name, $A18,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0.3521376622908427</v>
      </c>
      <c r="AO18" cm="1">
        <f t="array" ref="AO18">_xlfn.LET(
    _xlpm.row_name, $A18,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0.39052710052513823</v>
      </c>
      <c r="AP18" cm="1">
        <f t="array" ref="AP18">_xlfn.LET(
    _xlpm.row_name, $A18,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0.1137241845755923</v>
      </c>
      <c r="AQ18" cm="1">
        <f t="array" ref="AQ18">_xlfn.LET(
    _xlpm.row_name, $A18,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0.67246225439013618</v>
      </c>
      <c r="AR18" cm="1">
        <f t="array" ref="AR18">_xlfn.LET(
    _xlpm.row_name, $A18,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0.45511380112680627</v>
      </c>
      <c r="AS18" cm="1">
        <f t="array" ref="AS18">_xlfn.LET(
    _xlpm.row_name, $A18,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0.63354375724305523</v>
      </c>
      <c r="AT18" cm="1">
        <f t="array" ref="AT18">_xlfn.LET(
    _xlpm.row_name, $A18,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0.7092179339749437</v>
      </c>
      <c r="AU18" cm="1">
        <f t="array" ref="AU18">_xlfn.LET(
    _xlpm.row_name, $A18,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9.9971750960473171E-2</v>
      </c>
      <c r="AV18" cm="1">
        <f t="array" ref="AV18">_xlfn.LET(
    _xlpm.row_name, $A18,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0.85154842469224168</v>
      </c>
      <c r="AW18" cm="1">
        <f t="array" ref="AW18">_xlfn.LET(
    _xlpm.row_name, $A18,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0.7142718372918041</v>
      </c>
      <c r="AX18" cm="1">
        <f t="array" ref="AX18">_xlfn.LET(
    _xlpm.row_name, $A18,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0.71908322202213804</v>
      </c>
      <c r="AY18" cm="1">
        <f t="array" ref="AY18">_xlfn.LET(
    _xlpm.row_name, $A18,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0.3630165517472882</v>
      </c>
      <c r="AZ18" cm="1">
        <f t="array" ref="AZ18">_xlfn.LET(
    _xlpm.row_name, $A18,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0.62799801830273017</v>
      </c>
      <c r="BA18" cm="1">
        <f t="array" ref="BA18">_xlfn.LET(
    _xlpm.row_name, $A18,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0.31361278857146513</v>
      </c>
      <c r="BB18" cm="1">
        <f t="array" ref="BB18">_xlfn.LET(
    _xlpm.row_name, $A18,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0.57906580272947161</v>
      </c>
      <c r="BC18" cm="1">
        <f t="array" ref="BC18">_xlfn.LET(
    _xlpm.row_name, $A18,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0.96665532822758404</v>
      </c>
      <c r="BD18" cm="1">
        <f t="array" ref="BD18">_xlfn.LET(
    _xlpm.row_name, $A18,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0.20506783278043977</v>
      </c>
      <c r="BE18" cm="1">
        <f t="array" ref="BE18">_xlfn.LET(
    _xlpm.row_name, $A18,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0.54398023459377043</v>
      </c>
      <c r="BF18" cm="1">
        <f t="array" ref="BF18">_xlfn.LET(
    _xlpm.row_name, $A18,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0.51678261835528505</v>
      </c>
      <c r="BG18" cm="1">
        <f t="array" ref="BG18">_xlfn.LET(
    _xlpm.row_name, $A18,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0.47033746976436969</v>
      </c>
      <c r="BH18" cm="1">
        <f t="array" ref="BH18">_xlfn.LET(
    _xlpm.row_name, $A18,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0.9060584649782748</v>
      </c>
      <c r="BI18" cm="1">
        <f t="array" ref="BI18">_xlfn.LET(
    _xlpm.row_name, $A18,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0.44397376834961289</v>
      </c>
      <c r="BJ18" cm="1">
        <f t="array" ref="BJ18">_xlfn.LET(
    _xlpm.row_name, $A18,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0.34851580755611838</v>
      </c>
      <c r="BK18" cm="1">
        <f t="array" ref="BK18">_xlfn.LET(
    _xlpm.row_name, $A18,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0.48560862782091463</v>
      </c>
      <c r="BL18" cm="1">
        <f t="array" ref="BL18">_xlfn.LET(
    _xlpm.row_name, $A18,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0.3665429934092293</v>
      </c>
      <c r="BM18" cm="1">
        <f t="array" ref="BM18">_xlfn.LET(
    _xlpm.row_name, $A18,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0.6979094558730321</v>
      </c>
      <c r="BN18" cm="1">
        <f t="array" ref="BN18">_xlfn.LET(
    _xlpm.row_name, $A18,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0.49909500408811852</v>
      </c>
      <c r="BO18" cm="1">
        <f t="array" ref="BO18">_xlfn.LET(
    _xlpm.row_name, $A18,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0.5045227245154803</v>
      </c>
      <c r="BP18" cm="1">
        <f t="array" ref="BP18">_xlfn.LET(
    _xlpm.row_name, $A18,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4.5568286161741578E-2</v>
      </c>
      <c r="BQ18" cm="1">
        <f t="array" ref="BQ18">_xlfn.LET(
    _xlpm.row_name, $A18,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0.82815859796981128</v>
      </c>
      <c r="BR18" cm="1">
        <f t="array" ref="BR18">_xlfn.LET(
    _xlpm.row_name, $A18,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0.71786925349147201</v>
      </c>
      <c r="BS18" cm="1">
        <f t="array" ref="BS18">_xlfn.LET(
    _xlpm.row_name, $A18,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0.10130383080357047</v>
      </c>
      <c r="BT18" cm="1">
        <f t="array" ref="BT18">_xlfn.LET(
    _xlpm.row_name, $A18,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0.34565627894860251</v>
      </c>
      <c r="BU18" cm="1">
        <f t="array" ref="BU18">_xlfn.LET(
    _xlpm.row_name, $A18,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0.38428840737972297</v>
      </c>
      <c r="BV18" cm="1">
        <f t="array" ref="BV18">_xlfn.LET(
    _xlpm.row_name, $A18,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0.89240246440481807</v>
      </c>
    </row>
    <row r="19" spans="1:74" x14ac:dyDescent="0.3">
      <c r="A19" t="str">
        <v>Matzek, Tyler</v>
      </c>
      <c r="B19" cm="1">
        <f t="array" ref="B19">_xlfn.LET(
    _xlpm.row_name, $A19,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0.41726723661789578</v>
      </c>
      <c r="C19" cm="1">
        <f t="array" ref="C19">_xlfn.LET(
    _xlpm.row_name, $A19,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0.56093621065650057</v>
      </c>
      <c r="D19" cm="1">
        <f t="array" ref="D19">_xlfn.LET(
    _xlpm.row_name, $A19,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0.5899148222991446</v>
      </c>
      <c r="E19" cm="1">
        <f t="array" ref="E19">_xlfn.LET(
    _xlpm.row_name, $A19,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0.34479537727817178</v>
      </c>
      <c r="F19" cm="1">
        <f t="array" ref="F19">_xlfn.LET(
    _xlpm.row_name, $A19,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0.2030819625736226</v>
      </c>
      <c r="G19" cm="1">
        <f t="array" ref="G19">_xlfn.LET(
    _xlpm.row_name, $A19,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0.21004373330191695</v>
      </c>
      <c r="H19" cm="1">
        <f t="array" ref="H19">_xlfn.LET(
    _xlpm.row_name, $A19,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0.9347513171129529</v>
      </c>
      <c r="I19" cm="1">
        <f t="array" ref="I19">_xlfn.LET(
    _xlpm.row_name, $A19,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0.73349981568918987</v>
      </c>
      <c r="J19" cm="1">
        <f t="array" ref="J19">_xlfn.LET(
    _xlpm.row_name, $A19,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0.38377763151638866</v>
      </c>
      <c r="K19" cm="1">
        <f t="array" ref="K19">_xlfn.LET(
    _xlpm.row_name, $A19,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0.54999114037614139</v>
      </c>
      <c r="L19" cm="1">
        <f t="array" ref="L19">_xlfn.LET(
    _xlpm.row_name, $A19,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0.23777848499707588</v>
      </c>
      <c r="M19" cm="1">
        <f t="array" ref="M19">_xlfn.LET(
    _xlpm.row_name, $A19,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0.75795856360533831</v>
      </c>
      <c r="N19" cm="1">
        <f t="array" ref="N19">_xlfn.LET(
    _xlpm.row_name, $A19,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0.46569986185074669</v>
      </c>
      <c r="O19" cm="1">
        <f t="array" ref="O19">_xlfn.LET(
    _xlpm.row_name, $A19,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0.36713356994131469</v>
      </c>
      <c r="P19" cm="1">
        <f t="array" ref="P19">_xlfn.LET(
    _xlpm.row_name, $A19,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0.71235008663784793</v>
      </c>
      <c r="Q19" cm="1">
        <f t="array" ref="Q19">_xlfn.LET(
    _xlpm.row_name, $A19,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0.53125305103234333</v>
      </c>
      <c r="R19" cm="1">
        <f t="array" ref="R19">_xlfn.LET(
    _xlpm.row_name, $A19,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S19" cm="1">
        <f t="array" ref="S19">_xlfn.LET(
    _xlpm.row_name, $A19,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0.89147023105983014</v>
      </c>
      <c r="T19" cm="1">
        <f t="array" ref="T19">_xlfn.LET(
    _xlpm.row_name, $A19,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0.85939086925830366</v>
      </c>
      <c r="U19" cm="1">
        <f t="array" ref="U19">_xlfn.LET(
    _xlpm.row_name, $A19,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0.25435874546517601</v>
      </c>
      <c r="V19" cm="1">
        <f t="array" ref="V19">_xlfn.LET(
    _xlpm.row_name, $A19,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0.21376926957917697</v>
      </c>
      <c r="W19" cm="1">
        <f t="array" ref="W19">_xlfn.LET(
    _xlpm.row_name, $A19,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0.66830429697521632</v>
      </c>
      <c r="X19" cm="1">
        <f t="array" ref="X19">_xlfn.LET(
    _xlpm.row_name, $A19,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0.34925181561328722</v>
      </c>
      <c r="Y19" cm="1">
        <f t="array" ref="Y19">_xlfn.LET(
    _xlpm.row_name, $A19,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0.44962142712000674</v>
      </c>
      <c r="Z19" cm="1">
        <f t="array" ref="Z19">_xlfn.LET(
    _xlpm.row_name, $A19,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0.75387533019852793</v>
      </c>
      <c r="AA19" cm="1">
        <f t="array" ref="AA19">_xlfn.LET(
    _xlpm.row_name, $A19,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0.4135690596909179</v>
      </c>
      <c r="AB19" cm="1">
        <f t="array" ref="AB19">_xlfn.LET(
    _xlpm.row_name, $A19,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0.4984605437554267</v>
      </c>
      <c r="AC19" cm="1">
        <f t="array" ref="AC19">_xlfn.LET(
    _xlpm.row_name, $A19,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0.45551371985865374</v>
      </c>
      <c r="AD19" cm="1">
        <f t="array" ref="AD19">_xlfn.LET(
    _xlpm.row_name, $A19,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0.78764432276367358</v>
      </c>
      <c r="AE19" cm="1">
        <f t="array" ref="AE19">_xlfn.LET(
    _xlpm.row_name, $A19,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0.34740203231054928</v>
      </c>
      <c r="AF19" cm="1">
        <f t="array" ref="AF19">_xlfn.LET(
    _xlpm.row_name, $A19,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0.10051798677575174</v>
      </c>
      <c r="AG19" cm="1">
        <f t="array" ref="AG19">_xlfn.LET(
    _xlpm.row_name, $A19,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9.184822349757471E-2</v>
      </c>
      <c r="AH19" cm="1">
        <f t="array" ref="AH19">_xlfn.LET(
    _xlpm.row_name, $A19,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0.81991409614265165</v>
      </c>
      <c r="AI19" cm="1">
        <f t="array" ref="AI19">_xlfn.LET(
    _xlpm.row_name, $A19,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0.23962539163846103</v>
      </c>
      <c r="AJ19" cm="1">
        <f t="array" ref="AJ19">_xlfn.LET(
    _xlpm.row_name, $A19,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0.66345772052645358</v>
      </c>
      <c r="AK19" cm="1">
        <f t="array" ref="AK19">_xlfn.LET(
    _xlpm.row_name, $A19,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0.18510642876543731</v>
      </c>
      <c r="AL19" cm="1">
        <f t="array" ref="AL19">_xlfn.LET(
    _xlpm.row_name, $A19,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0.73216723942022766</v>
      </c>
      <c r="AM19" cm="1">
        <f t="array" ref="AM19">_xlfn.LET(
    _xlpm.row_name, $A19,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0.4542022662137753</v>
      </c>
      <c r="AN19" cm="1">
        <f t="array" ref="AN19">_xlfn.LET(
    _xlpm.row_name, $A19,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0.87163705471978292</v>
      </c>
      <c r="AO19" cm="1">
        <f t="array" ref="AO19">_xlfn.LET(
    _xlpm.row_name, $A19,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0.52389532261722105</v>
      </c>
      <c r="AP19" cm="1">
        <f t="array" ref="AP19">_xlfn.LET(
    _xlpm.row_name, $A19,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0.25766582332077081</v>
      </c>
      <c r="AQ19" cm="1">
        <f t="array" ref="AQ19">_xlfn.LET(
    _xlpm.row_name, $A19,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0.43245700695514389</v>
      </c>
      <c r="AR19" cm="1">
        <f t="array" ref="AR19">_xlfn.LET(
    _xlpm.row_name, $A19,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0.67061246455441159</v>
      </c>
      <c r="AS19" cm="1">
        <f t="array" ref="AS19">_xlfn.LET(
    _xlpm.row_name, $A19,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0.41371128945517233</v>
      </c>
      <c r="AT19" cm="1">
        <f t="array" ref="AT19">_xlfn.LET(
    _xlpm.row_name, $A19,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0.18660115152914952</v>
      </c>
      <c r="AU19" cm="1">
        <f t="array" ref="AU19">_xlfn.LET(
    _xlpm.row_name, $A19,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0.56127106880685285</v>
      </c>
      <c r="AV19" cm="1">
        <f t="array" ref="AV19">_xlfn.LET(
    _xlpm.row_name, $A19,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0.49259581293078902</v>
      </c>
      <c r="AW19" cm="1">
        <f t="array" ref="AW19">_xlfn.LET(
    _xlpm.row_name, $A19,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0.43735036457573717</v>
      </c>
      <c r="AX19" cm="1">
        <f t="array" ref="AX19">_xlfn.LET(
    _xlpm.row_name, $A19,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0.42441365596479402</v>
      </c>
      <c r="AY19" cm="1">
        <f t="array" ref="AY19">_xlfn.LET(
    _xlpm.row_name, $A19,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0.62705964598760999</v>
      </c>
      <c r="AZ19" cm="1">
        <f t="array" ref="AZ19">_xlfn.LET(
    _xlpm.row_name, $A19,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0.75818211589494156</v>
      </c>
      <c r="BA19" cm="1">
        <f t="array" ref="BA19">_xlfn.LET(
    _xlpm.row_name, $A19,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0.27568831220004297</v>
      </c>
      <c r="BB19" cm="1">
        <f t="array" ref="BB19">_xlfn.LET(
    _xlpm.row_name, $A19,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0.36976819622648421</v>
      </c>
      <c r="BC19" cm="1">
        <f t="array" ref="BC19">_xlfn.LET(
    _xlpm.row_name, $A19,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0.39300353646883612</v>
      </c>
      <c r="BD19" cm="1">
        <f t="array" ref="BD19">_xlfn.LET(
    _xlpm.row_name, $A19,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0.2252713032238452</v>
      </c>
      <c r="BE19" cm="1">
        <f t="array" ref="BE19">_xlfn.LET(
    _xlpm.row_name, $A19,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6.7247250564802852E-2</v>
      </c>
      <c r="BF19" cm="1">
        <f t="array" ref="BF19">_xlfn.LET(
    _xlpm.row_name, $A19,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0.89816831220795446</v>
      </c>
      <c r="BG19" cm="1">
        <f t="array" ref="BG19">_xlfn.LET(
    _xlpm.row_name, $A19,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0.37985572297416448</v>
      </c>
      <c r="BH19" cm="1">
        <f t="array" ref="BH19">_xlfn.LET(
    _xlpm.row_name, $A19,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0.47191154183152972</v>
      </c>
      <c r="BI19" cm="1">
        <f t="array" ref="BI19">_xlfn.LET(
    _xlpm.row_name, $A19,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0.35256004115631007</v>
      </c>
      <c r="BJ19" cm="1">
        <f t="array" ref="BJ19">_xlfn.LET(
    _xlpm.row_name, $A19,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0.74811247318389629</v>
      </c>
      <c r="BK19" cm="1">
        <f t="array" ref="BK19">_xlfn.LET(
    _xlpm.row_name, $A19,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0.39982351788624448</v>
      </c>
      <c r="BL19" cm="1">
        <f t="array" ref="BL19">_xlfn.LET(
    _xlpm.row_name, $A19,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0.65837556212993187</v>
      </c>
      <c r="BM19" cm="1">
        <f t="array" ref="BM19">_xlfn.LET(
    _xlpm.row_name, $A19,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0.26277703030299387</v>
      </c>
      <c r="BN19" cm="1">
        <f t="array" ref="BN19">_xlfn.LET(
    _xlpm.row_name, $A19,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0.51676866655365783</v>
      </c>
      <c r="BO19" cm="1">
        <f t="array" ref="BO19">_xlfn.LET(
    _xlpm.row_name, $A19,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0.60134979096704388</v>
      </c>
      <c r="BP19" cm="1">
        <f t="array" ref="BP19">_xlfn.LET(
    _xlpm.row_name, $A19,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0.44330586712128422</v>
      </c>
      <c r="BQ19" cm="1">
        <f t="array" ref="BQ19">_xlfn.LET(
    _xlpm.row_name, $A19,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0.83501342398692446</v>
      </c>
      <c r="BR19" cm="1">
        <f t="array" ref="BR19">_xlfn.LET(
    _xlpm.row_name, $A19,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0.27367733005636369</v>
      </c>
      <c r="BS19" cm="1">
        <f t="array" ref="BS19">_xlfn.LET(
    _xlpm.row_name, $A19,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0.34032742198837751</v>
      </c>
      <c r="BT19" cm="1">
        <f t="array" ref="BT19">_xlfn.LET(
    _xlpm.row_name, $A19,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0.77998943412535149</v>
      </c>
      <c r="BU19" cm="1">
        <f t="array" ref="BU19">_xlfn.LET(
    _xlpm.row_name, $A19,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0.7233372935021839</v>
      </c>
      <c r="BV19" cm="1">
        <f t="array" ref="BV19">_xlfn.LET(
    _xlpm.row_name, $A19,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0.3991706058020118</v>
      </c>
    </row>
    <row r="20" spans="1:74" x14ac:dyDescent="0.3">
      <c r="A20" t="str">
        <v>Newcomb, Sean</v>
      </c>
      <c r="B20" cm="1">
        <f t="array" ref="B20">_xlfn.LET(
    _xlpm.row_name, $A20,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0.52889122024726698</v>
      </c>
      <c r="C20" cm="1">
        <f t="array" ref="C20">_xlfn.LET(
    _xlpm.row_name, $A20,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0.7986275410761855</v>
      </c>
      <c r="D20" cm="1">
        <f t="array" ref="D20">_xlfn.LET(
    _xlpm.row_name, $A20,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0.42457932845456542</v>
      </c>
      <c r="E20" cm="1">
        <f t="array" ref="E20">_xlfn.LET(
    _xlpm.row_name, $A20,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0.47770472178933204</v>
      </c>
      <c r="F20" cm="1">
        <f t="array" ref="F20">_xlfn.LET(
    _xlpm.row_name, $A20,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0.42133128402426823</v>
      </c>
      <c r="G20" cm="1">
        <f t="array" ref="G20">_xlfn.LET(
    _xlpm.row_name, $A20,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0.1850302340589432</v>
      </c>
      <c r="H20" cm="1">
        <f t="array" ref="H20">_xlfn.LET(
    _xlpm.row_name, $A20,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0.92117173286266363</v>
      </c>
      <c r="I20" cm="1">
        <f t="array" ref="I20">_xlfn.LET(
    _xlpm.row_name, $A20,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0.75035219119818697</v>
      </c>
      <c r="J20" cm="1">
        <f t="array" ref="J20">_xlfn.LET(
    _xlpm.row_name, $A20,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0.41919324941520414</v>
      </c>
      <c r="K20" cm="1">
        <f t="array" ref="K20">_xlfn.LET(
    _xlpm.row_name, $A20,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0.78679896254622317</v>
      </c>
      <c r="L20" cm="1">
        <f t="array" ref="L20">_xlfn.LET(
    _xlpm.row_name, $A20,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0.4808212894632235</v>
      </c>
      <c r="M20" cm="1">
        <f t="array" ref="M20">_xlfn.LET(
    _xlpm.row_name, $A20,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0.76760329953260831</v>
      </c>
      <c r="N20" cm="1">
        <f t="array" ref="N20">_xlfn.LET(
    _xlpm.row_name, $A20,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0.42389929013004118</v>
      </c>
      <c r="O20" cm="1">
        <f t="array" ref="O20">_xlfn.LET(
    _xlpm.row_name, $A20,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0.45355960611519297</v>
      </c>
      <c r="P20" cm="1">
        <f t="array" ref="P20">_xlfn.LET(
    _xlpm.row_name, $A20,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0.7142035489676638</v>
      </c>
      <c r="Q20" cm="1">
        <f t="array" ref="Q20">_xlfn.LET(
    _xlpm.row_name, $A20,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0.66107061080436325</v>
      </c>
      <c r="R20" cm="1">
        <f t="array" ref="R20">_xlfn.LET(
    _xlpm.row_name, $A20,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0.89147023105983014</v>
      </c>
      <c r="S20" cm="1">
        <f t="array" ref="S20">_xlfn.LET(
    _xlpm.row_name, $A20,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T20" cm="1">
        <f t="array" ref="T20">_xlfn.LET(
    _xlpm.row_name, $A20,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0.79052580836416453</v>
      </c>
      <c r="U20" cm="1">
        <f t="array" ref="U20">_xlfn.LET(
    _xlpm.row_name, $A20,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0.15930032448882092</v>
      </c>
      <c r="V20" cm="1">
        <f t="array" ref="V20">_xlfn.LET(
    _xlpm.row_name, $A20,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0.3579815815846662</v>
      </c>
      <c r="W20" cm="1">
        <f t="array" ref="W20">_xlfn.LET(
    _xlpm.row_name, $A20,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0.73341994994051807</v>
      </c>
      <c r="X20" cm="1">
        <f t="array" ref="X20">_xlfn.LET(
    _xlpm.row_name, $A20,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0.16760948982577212</v>
      </c>
      <c r="Y20" cm="1">
        <f t="array" ref="Y20">_xlfn.LET(
    _xlpm.row_name, $A20,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0.59666232823596344</v>
      </c>
      <c r="Z20" cm="1">
        <f t="array" ref="Z20">_xlfn.LET(
    _xlpm.row_name, $A20,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0.61078592432912437</v>
      </c>
      <c r="AA20" cm="1">
        <f t="array" ref="AA20">_xlfn.LET(
    _xlpm.row_name, $A20,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0.51494366150593862</v>
      </c>
      <c r="AB20" cm="1">
        <f t="array" ref="AB20">_xlfn.LET(
    _xlpm.row_name, $A20,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0.5251478487798692</v>
      </c>
      <c r="AC20" cm="1">
        <f t="array" ref="AC20">_xlfn.LET(
    _xlpm.row_name, $A20,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0.65222256076741836</v>
      </c>
      <c r="AD20" cm="1">
        <f t="array" ref="AD20">_xlfn.LET(
    _xlpm.row_name, $A20,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0.76846375851333359</v>
      </c>
      <c r="AE20" cm="1">
        <f t="array" ref="AE20">_xlfn.LET(
    _xlpm.row_name, $A20,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0.21736640550625652</v>
      </c>
      <c r="AF20" cm="1">
        <f t="array" ref="AF20">_xlfn.LET(
    _xlpm.row_name, $A20,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0.36227522262374168</v>
      </c>
      <c r="AG20" cm="1">
        <f t="array" ref="AG20">_xlfn.LET(
    _xlpm.row_name, $A20,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0.31712127918898636</v>
      </c>
      <c r="AH20" cm="1">
        <f t="array" ref="AH20">_xlfn.LET(
    _xlpm.row_name, $A20,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0.7852116067227437</v>
      </c>
      <c r="AI20" cm="1">
        <f t="array" ref="AI20">_xlfn.LET(
    _xlpm.row_name, $A20,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0.41679178255581451</v>
      </c>
      <c r="AJ20" cm="1">
        <f t="array" ref="AJ20">_xlfn.LET(
    _xlpm.row_name, $A20,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0.62053568655648539</v>
      </c>
      <c r="AK20" cm="1">
        <f t="array" ref="AK20">_xlfn.LET(
    _xlpm.row_name, $A20,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0.44790039885669231</v>
      </c>
      <c r="AL20" cm="1">
        <f t="array" ref="AL20">_xlfn.LET(
    _xlpm.row_name, $A20,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0.5296743595773391</v>
      </c>
      <c r="AM20" cm="1">
        <f t="array" ref="AM20">_xlfn.LET(
    _xlpm.row_name, $A20,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0.66632405768037395</v>
      </c>
      <c r="AN20" cm="1">
        <f t="array" ref="AN20">_xlfn.LET(
    _xlpm.row_name, $A20,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0.84972395010198931</v>
      </c>
      <c r="AO20" cm="1">
        <f t="array" ref="AO20">_xlfn.LET(
    _xlpm.row_name, $A20,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0.40010160264220235</v>
      </c>
      <c r="AP20" cm="1">
        <f t="array" ref="AP20">_xlfn.LET(
    _xlpm.row_name, $A20,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0.15984094183323178</v>
      </c>
      <c r="AQ20" cm="1">
        <f t="array" ref="AQ20">_xlfn.LET(
    _xlpm.row_name, $A20,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0.64097707208596599</v>
      </c>
      <c r="AR20" cm="1">
        <f t="array" ref="AR20">_xlfn.LET(
    _xlpm.row_name, $A20,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0.82903214597309338</v>
      </c>
      <c r="AS20" cm="1">
        <f t="array" ref="AS20">_xlfn.LET(
    _xlpm.row_name, $A20,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0.70504056924186498</v>
      </c>
      <c r="AT20" cm="1">
        <f t="array" ref="AT20">_xlfn.LET(
    _xlpm.row_name, $A20,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0.18019861487569799</v>
      </c>
      <c r="AU20" cm="1">
        <f t="array" ref="AU20">_xlfn.LET(
    _xlpm.row_name, $A20,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0.58852354751919578</v>
      </c>
      <c r="AV20" cm="1">
        <f t="array" ref="AV20">_xlfn.LET(
    _xlpm.row_name, $A20,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0.73443186986446385</v>
      </c>
      <c r="AW20" cm="1">
        <f t="array" ref="AW20">_xlfn.LET(
    _xlpm.row_name, $A20,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0.44261312179179535</v>
      </c>
      <c r="AX20" cm="1">
        <f t="array" ref="AX20">_xlfn.LET(
    _xlpm.row_name, $A20,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0.62748973969256339</v>
      </c>
      <c r="AY20" cm="1">
        <f t="array" ref="AY20">_xlfn.LET(
    _xlpm.row_name, $A20,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0.81150707144543044</v>
      </c>
      <c r="AZ20" cm="1">
        <f t="array" ref="AZ20">_xlfn.LET(
    _xlpm.row_name, $A20,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0.70895329077580194</v>
      </c>
      <c r="BA20" cm="1">
        <f t="array" ref="BA20">_xlfn.LET(
    _xlpm.row_name, $A20,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0.27869171360817035</v>
      </c>
      <c r="BB20" cm="1">
        <f t="array" ref="BB20">_xlfn.LET(
    _xlpm.row_name, $A20,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0.4771801096635096</v>
      </c>
      <c r="BC20" cm="1">
        <f t="array" ref="BC20">_xlfn.LET(
    _xlpm.row_name, $A20,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0.52106590391392715</v>
      </c>
      <c r="BD20" cm="1">
        <f t="array" ref="BD20">_xlfn.LET(
    _xlpm.row_name, $A20,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0.19515354950554026</v>
      </c>
      <c r="BE20" cm="1">
        <f t="array" ref="BE20">_xlfn.LET(
    _xlpm.row_name, $A20,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0.18005949657513376</v>
      </c>
      <c r="BF20" cm="1">
        <f t="array" ref="BF20">_xlfn.LET(
    _xlpm.row_name, $A20,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0.77705638767529894</v>
      </c>
      <c r="BG20" cm="1">
        <f t="array" ref="BG20">_xlfn.LET(
    _xlpm.row_name, $A20,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0.28391997304658401</v>
      </c>
      <c r="BH20" cm="1">
        <f t="array" ref="BH20">_xlfn.LET(
    _xlpm.row_name, $A20,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0.61150411059059095</v>
      </c>
      <c r="BI20" cm="1">
        <f t="array" ref="BI20">_xlfn.LET(
    _xlpm.row_name, $A20,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0.28614710878119864</v>
      </c>
      <c r="BJ20" cm="1">
        <f t="array" ref="BJ20">_xlfn.LET(
    _xlpm.row_name, $A20,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0.81239503169261895</v>
      </c>
      <c r="BK20" cm="1">
        <f t="array" ref="BK20">_xlfn.LET(
    _xlpm.row_name, $A20,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0.43769587703940244</v>
      </c>
      <c r="BL20" cm="1">
        <f t="array" ref="BL20">_xlfn.LET(
    _xlpm.row_name, $A20,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0.53606295358620915</v>
      </c>
      <c r="BM20" cm="1">
        <f t="array" ref="BM20">_xlfn.LET(
    _xlpm.row_name, $A20,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0.50533254232999114</v>
      </c>
      <c r="BN20" cm="1">
        <f t="array" ref="BN20">_xlfn.LET(
    _xlpm.row_name, $A20,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0.4939031921883078</v>
      </c>
      <c r="BO20" cm="1">
        <f t="array" ref="BO20">_xlfn.LET(
    _xlpm.row_name, $A20,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0.33188445917724579</v>
      </c>
      <c r="BP20" cm="1">
        <f t="array" ref="BP20">_xlfn.LET(
    _xlpm.row_name, $A20,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0.3759359238516482</v>
      </c>
      <c r="BQ20" cm="1">
        <f t="array" ref="BQ20">_xlfn.LET(
    _xlpm.row_name, $A20,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0.86987279650532257</v>
      </c>
      <c r="BR20" cm="1">
        <f t="array" ref="BR20">_xlfn.LET(
    _xlpm.row_name, $A20,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0.39415256062531584</v>
      </c>
      <c r="BS20" cm="1">
        <f t="array" ref="BS20">_xlfn.LET(
    _xlpm.row_name, $A20,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0.26693738051674765</v>
      </c>
      <c r="BT20" cm="1">
        <f t="array" ref="BT20">_xlfn.LET(
    _xlpm.row_name, $A20,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0.69242108997875085</v>
      </c>
      <c r="BU20" cm="1">
        <f t="array" ref="BU20">_xlfn.LET(
    _xlpm.row_name, $A20,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0.62625500111434806</v>
      </c>
      <c r="BV20" cm="1">
        <f t="array" ref="BV20">_xlfn.LET(
    _xlpm.row_name, $A20,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0.63999531436985901</v>
      </c>
    </row>
    <row r="21" spans="1:74" x14ac:dyDescent="0.3">
      <c r="A21" t="str">
        <v>Johnson, Pierce</v>
      </c>
      <c r="B21" cm="1">
        <f t="array" ref="B21">_xlfn.LET(
    _xlpm.row_name, $A21,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0.1813445303841516</v>
      </c>
      <c r="C21" cm="1">
        <f t="array" ref="C21">_xlfn.LET(
    _xlpm.row_name, $A21,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0.50650431569210108</v>
      </c>
      <c r="D21" cm="1">
        <f t="array" ref="D21">_xlfn.LET(
    _xlpm.row_name, $A21,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0.67287099566125774</v>
      </c>
      <c r="E21" cm="1">
        <f t="array" ref="E21">_xlfn.LET(
    _xlpm.row_name, $A21,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0.41199279334134054</v>
      </c>
      <c r="F21" cm="1">
        <f t="array" ref="F21">_xlfn.LET(
    _xlpm.row_name, $A21,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0.45571683713310351</v>
      </c>
      <c r="G21" cm="1">
        <f t="array" ref="G21">_xlfn.LET(
    _xlpm.row_name, $A21,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0.20321753748142884</v>
      </c>
      <c r="H21" cm="1">
        <f t="array" ref="H21">_xlfn.LET(
    _xlpm.row_name, $A21,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0.70397345441379877</v>
      </c>
      <c r="I21" cm="1">
        <f t="array" ref="I21">_xlfn.LET(
    _xlpm.row_name, $A21,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0.51870009078530555</v>
      </c>
      <c r="J21" cm="1">
        <f t="array" ref="J21">_xlfn.LET(
    _xlpm.row_name, $A21,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0.51440748964888572</v>
      </c>
      <c r="K21" cm="1">
        <f t="array" ref="K21">_xlfn.LET(
    _xlpm.row_name, $A21,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0.38019252210367865</v>
      </c>
      <c r="L21" cm="1">
        <f t="array" ref="L21">_xlfn.LET(
    _xlpm.row_name, $A21,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0.13867226162810703</v>
      </c>
      <c r="M21" cm="1">
        <f t="array" ref="M21">_xlfn.LET(
    _xlpm.row_name, $A21,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0.57003634216747523</v>
      </c>
      <c r="N21" cm="1">
        <f t="array" ref="N21">_xlfn.LET(
    _xlpm.row_name, $A21,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0.81199694163455671</v>
      </c>
      <c r="O21" cm="1">
        <f t="array" ref="O21">_xlfn.LET(
    _xlpm.row_name, $A21,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0.31518764204210925</v>
      </c>
      <c r="P21" cm="1">
        <f t="array" ref="P21">_xlfn.LET(
    _xlpm.row_name, $A21,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0.93975226265950862</v>
      </c>
      <c r="Q21" cm="1">
        <f t="array" ref="Q21">_xlfn.LET(
    _xlpm.row_name, $A21,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0.52249107186948973</v>
      </c>
      <c r="R21" cm="1">
        <f t="array" ref="R21">_xlfn.LET(
    _xlpm.row_name, $A21,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0.85939086925830366</v>
      </c>
      <c r="S21" cm="1">
        <f t="array" ref="S21">_xlfn.LET(
    _xlpm.row_name, $A21,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0.79052580836416453</v>
      </c>
      <c r="T21" cm="1">
        <f t="array" ref="T21">_xlfn.LET(
    _xlpm.row_name, $A21,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U21" cm="1">
        <f t="array" ref="U21">_xlfn.LET(
    _xlpm.row_name, $A21,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0.2804302057249819</v>
      </c>
      <c r="V21" cm="1">
        <f t="array" ref="V21">_xlfn.LET(
    _xlpm.row_name, $A21,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8.6147167287858872E-2</v>
      </c>
      <c r="W21" cm="1">
        <f t="array" ref="W21">_xlfn.LET(
    _xlpm.row_name, $A21,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0.82100963891484147</v>
      </c>
      <c r="X21" cm="1">
        <f t="array" ref="X21">_xlfn.LET(
    _xlpm.row_name, $A21,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0.24444227327159046</v>
      </c>
      <c r="Y21" cm="1">
        <f t="array" ref="Y21">_xlfn.LET(
    _xlpm.row_name, $A21,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0.30683827998614693</v>
      </c>
      <c r="Z21" cm="1">
        <f t="array" ref="Z21">_xlfn.LET(
    _xlpm.row_name, $A21,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0.77268444112393886</v>
      </c>
      <c r="AA21" cm="1">
        <f t="array" ref="AA21">_xlfn.LET(
    _xlpm.row_name, $A21,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0.41558330653812159</v>
      </c>
      <c r="AB21" cm="1">
        <f t="array" ref="AB21">_xlfn.LET(
    _xlpm.row_name, $A21,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0.29128390172737711</v>
      </c>
      <c r="AC21" cm="1">
        <f t="array" ref="AC21">_xlfn.LET(
    _xlpm.row_name, $A21,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0.42708972712931215</v>
      </c>
      <c r="AD21" cm="1">
        <f t="array" ref="AD21">_xlfn.LET(
    _xlpm.row_name, $A21,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0.48026442753970616</v>
      </c>
      <c r="AE21" cm="1">
        <f t="array" ref="AE21">_xlfn.LET(
    _xlpm.row_name, $A21,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0.36054799534582171</v>
      </c>
      <c r="AF21" cm="1">
        <f t="array" ref="AF21">_xlfn.LET(
    _xlpm.row_name, $A21,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0.15837576598569542</v>
      </c>
      <c r="AG21" cm="1">
        <f t="array" ref="AG21">_xlfn.LET(
    _xlpm.row_name, $A21,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0.18461372262235182</v>
      </c>
      <c r="AH21" cm="1">
        <f t="array" ref="AH21">_xlfn.LET(
    _xlpm.row_name, $A21,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0.52271585491207684</v>
      </c>
      <c r="AI21" cm="1">
        <f t="array" ref="AI21">_xlfn.LET(
    _xlpm.row_name, $A21,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0.12947057363171577</v>
      </c>
      <c r="AJ21" cm="1">
        <f t="array" ref="AJ21">_xlfn.LET(
    _xlpm.row_name, $A21,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0.5826294348404969</v>
      </c>
      <c r="AK21" cm="1">
        <f t="array" ref="AK21">_xlfn.LET(
    _xlpm.row_name, $A21,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0.14794481173180374</v>
      </c>
      <c r="AL21" cm="1">
        <f t="array" ref="AL21">_xlfn.LET(
    _xlpm.row_name, $A21,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0.67549342594626305</v>
      </c>
      <c r="AM21" cm="1">
        <f t="array" ref="AM21">_xlfn.LET(
    _xlpm.row_name, $A21,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0.51139723031278317</v>
      </c>
      <c r="AN21" cm="1">
        <f t="array" ref="AN21">_xlfn.LET(
    _xlpm.row_name, $A21,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0.75285120820996576</v>
      </c>
      <c r="AO21" cm="1">
        <f t="array" ref="AO21">_xlfn.LET(
    _xlpm.row_name, $A21,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0.81570021922956326</v>
      </c>
      <c r="AP21" cm="1">
        <f t="array" ref="AP21">_xlfn.LET(
    _xlpm.row_name, $A21,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0.44320958466611382</v>
      </c>
      <c r="AQ21" cm="1">
        <f t="array" ref="AQ21">_xlfn.LET(
    _xlpm.row_name, $A21,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0.54718883938302332</v>
      </c>
      <c r="AR21" cm="1">
        <f t="array" ref="AR21">_xlfn.LET(
    _xlpm.row_name, $A21,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0.7801337142184066</v>
      </c>
      <c r="AS21" cm="1">
        <f t="array" ref="AS21">_xlfn.LET(
    _xlpm.row_name, $A21,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0.49513330198421279</v>
      </c>
      <c r="AT21" cm="1">
        <f t="array" ref="AT21">_xlfn.LET(
    _xlpm.row_name, $A21,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0.1853293980500289</v>
      </c>
      <c r="AU21" cm="1">
        <f t="array" ref="AU21">_xlfn.LET(
    _xlpm.row_name, $A21,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0.51589864234309979</v>
      </c>
      <c r="AV21" cm="1">
        <f t="array" ref="AV21">_xlfn.LET(
    _xlpm.row_name, $A21,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0.39430852084323886</v>
      </c>
      <c r="AW21" cm="1">
        <f t="array" ref="AW21">_xlfn.LET(
    _xlpm.row_name, $A21,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0.18675009840606688</v>
      </c>
      <c r="AX21" cm="1">
        <f t="array" ref="AX21">_xlfn.LET(
    _xlpm.row_name, $A21,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0.71018663216746414</v>
      </c>
      <c r="AY21" cm="1">
        <f t="array" ref="AY21">_xlfn.LET(
    _xlpm.row_name, $A21,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0.56742438112878668</v>
      </c>
      <c r="AZ21" cm="1">
        <f t="array" ref="AZ21">_xlfn.LET(
    _xlpm.row_name, $A21,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0.96863742037450895</v>
      </c>
      <c r="BA21" cm="1">
        <f t="array" ref="BA21">_xlfn.LET(
    _xlpm.row_name, $A21,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0.10858700151732176</v>
      </c>
      <c r="BB21" cm="1">
        <f t="array" ref="BB21">_xlfn.LET(
    _xlpm.row_name, $A21,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0.16982536463165149</v>
      </c>
      <c r="BC21" cm="1">
        <f t="array" ref="BC21">_xlfn.LET(
    _xlpm.row_name, $A21,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0.49387522647043525</v>
      </c>
      <c r="BD21" cm="1">
        <f t="array" ref="BD21">_xlfn.LET(
    _xlpm.row_name, $A21,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0.26071625046073266</v>
      </c>
      <c r="BE21" cm="1">
        <f t="array" ref="BE21">_xlfn.LET(
    _xlpm.row_name, $A21,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0.17566120871778862</v>
      </c>
      <c r="BF21" cm="1">
        <f t="array" ref="BF21">_xlfn.LET(
    _xlpm.row_name, $A21,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0.98139368580619146</v>
      </c>
      <c r="BG21" cm="1">
        <f t="array" ref="BG21">_xlfn.LET(
    _xlpm.row_name, $A21,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0.1864704555907199</v>
      </c>
      <c r="BH21" cm="1">
        <f t="array" ref="BH21">_xlfn.LET(
    _xlpm.row_name, $A21,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0.55964421871574277</v>
      </c>
      <c r="BI21" cm="1">
        <f t="array" ref="BI21">_xlfn.LET(
    _xlpm.row_name, $A21,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9.6726289186084558E-2</v>
      </c>
      <c r="BJ21" cm="1">
        <f t="array" ref="BJ21">_xlfn.LET(
    _xlpm.row_name, $A21,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0.53787033996942024</v>
      </c>
      <c r="BK21" cm="1">
        <f t="array" ref="BK21">_xlfn.LET(
    _xlpm.row_name, $A21,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9.0295771895140542E-2</v>
      </c>
      <c r="BL21" cm="1">
        <f t="array" ref="BL21">_xlfn.LET(
    _xlpm.row_name, $A21,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0.8859085553845838</v>
      </c>
      <c r="BM21" cm="1">
        <f t="array" ref="BM21">_xlfn.LET(
    _xlpm.row_name, $A21,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0.53828431080888561</v>
      </c>
      <c r="BN21" cm="1">
        <f t="array" ref="BN21">_xlfn.LET(
    _xlpm.row_name, $A21,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0.31662662697318428</v>
      </c>
      <c r="BO21" cm="1">
        <f t="array" ref="BO21">_xlfn.LET(
    _xlpm.row_name, $A21,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0.70451655381312805</v>
      </c>
      <c r="BP21" cm="1">
        <f t="array" ref="BP21">_xlfn.LET(
    _xlpm.row_name, $A21,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0.43609825297650689</v>
      </c>
      <c r="BQ21" cm="1">
        <f t="array" ref="BQ21">_xlfn.LET(
    _xlpm.row_name, $A21,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0.63970573951838838</v>
      </c>
      <c r="BR21" cm="1">
        <f t="array" ref="BR21">_xlfn.LET(
    _xlpm.row_name, $A21,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0.13329756895749245</v>
      </c>
      <c r="BS21" cm="1">
        <f t="array" ref="BS21">_xlfn.LET(
    _xlpm.row_name, $A21,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0.56769266903978699</v>
      </c>
      <c r="BT21" cm="1">
        <f t="array" ref="BT21">_xlfn.LET(
    _xlpm.row_name, $A21,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0.96279736403288607</v>
      </c>
      <c r="BU21" cm="1">
        <f t="array" ref="BU21">_xlfn.LET(
    _xlpm.row_name, $A21,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0.82285577529901188</v>
      </c>
      <c r="BV21" cm="1">
        <f t="array" ref="BV21">_xlfn.LET(
    _xlpm.row_name, $A21,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0.40670822333442103</v>
      </c>
    </row>
    <row r="22" spans="1:74" x14ac:dyDescent="0.3">
      <c r="A22" t="str">
        <v>López, Reynaldo</v>
      </c>
      <c r="B22" cm="1">
        <f t="array" ref="B22">_xlfn.LET(
    _xlpm.row_name, $A22,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0.37647223483522824</v>
      </c>
      <c r="C22" cm="1">
        <f t="array" ref="C22">_xlfn.LET(
    _xlpm.row_name, $A22,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0.17917328273208705</v>
      </c>
      <c r="D22" cm="1">
        <f t="array" ref="D22">_xlfn.LET(
    _xlpm.row_name, $A22,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0.83362173223795821</v>
      </c>
      <c r="E22" cm="1">
        <f t="array" ref="E22">_xlfn.LET(
    _xlpm.row_name, $A22,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0.17738086941759662</v>
      </c>
      <c r="F22" cm="1">
        <f t="array" ref="F22">_xlfn.LET(
    _xlpm.row_name, $A22,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0.50763119478120355</v>
      </c>
      <c r="G22" cm="1">
        <f t="array" ref="G22">_xlfn.LET(
    _xlpm.row_name, $A22,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0.98103615179375248</v>
      </c>
      <c r="H22" cm="1">
        <f t="array" ref="H22">_xlfn.LET(
    _xlpm.row_name, $A22,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0.21351823396375325</v>
      </c>
      <c r="I22" cm="1">
        <f t="array" ref="I22">_xlfn.LET(
    _xlpm.row_name, $A22,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0.4369861606334528</v>
      </c>
      <c r="J22" cm="1">
        <f t="array" ref="J22">_xlfn.LET(
    _xlpm.row_name, $A22,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0.7498597072214932</v>
      </c>
      <c r="K22" cm="1">
        <f t="array" ref="K22">_xlfn.LET(
    _xlpm.row_name, $A22,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0.18373612149854113</v>
      </c>
      <c r="L22" cm="1">
        <f t="array" ref="L22">_xlfn.LET(
    _xlpm.row_name, $A22,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0.40372730903292453</v>
      </c>
      <c r="M22" cm="1">
        <f t="array" ref="M22">_xlfn.LET(
    _xlpm.row_name, $A22,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0.57756557305294332</v>
      </c>
      <c r="N22" cm="1">
        <f t="array" ref="N22">_xlfn.LET(
    _xlpm.row_name, $A22,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0.48509135749508492</v>
      </c>
      <c r="O22" cm="1">
        <f t="array" ref="O22">_xlfn.LET(
    _xlpm.row_name, $A22,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0.79309278235935476</v>
      </c>
      <c r="P22" cm="1">
        <f t="array" ref="P22">_xlfn.LET(
    _xlpm.row_name, $A22,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0.22713305667262551</v>
      </c>
      <c r="Q22" cm="1">
        <f t="array" ref="Q22">_xlfn.LET(
    _xlpm.row_name, $A22,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0.11013242311521598</v>
      </c>
      <c r="R22" cm="1">
        <f t="array" ref="R22">_xlfn.LET(
    _xlpm.row_name, $A22,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0.25435874546517601</v>
      </c>
      <c r="S22" cm="1">
        <f t="array" ref="S22">_xlfn.LET(
    _xlpm.row_name, $A22,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0.15930032448882092</v>
      </c>
      <c r="T22" cm="1">
        <f t="array" ref="T22">_xlfn.LET(
    _xlpm.row_name, $A22,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0.2804302057249819</v>
      </c>
      <c r="U22" cm="1">
        <f t="array" ref="U22">_xlfn.LET(
    _xlpm.row_name, $A22,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V22" cm="1">
        <f t="array" ref="V22">_xlfn.LET(
    _xlpm.row_name, $A22,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0.55243105645884716</v>
      </c>
      <c r="W22" cm="1">
        <f t="array" ref="W22">_xlfn.LET(
    _xlpm.row_name, $A22,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7.2523446598097063E-2</v>
      </c>
      <c r="X22" cm="1">
        <f t="array" ref="X22">_xlfn.LET(
    _xlpm.row_name, $A22,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0.94894748753887281</v>
      </c>
      <c r="Y22" cm="1">
        <f t="array" ref="Y22">_xlfn.LET(
    _xlpm.row_name, $A22,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0.58357933646857552</v>
      </c>
      <c r="Z22" cm="1">
        <f t="array" ref="Z22">_xlfn.LET(
    _xlpm.row_name, $A22,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0.70438575658261315</v>
      </c>
      <c r="AA22" cm="1">
        <f t="array" ref="AA22">_xlfn.LET(
    _xlpm.row_name, $A22,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0.7586518008694465</v>
      </c>
      <c r="AB22" cm="1">
        <f t="array" ref="AB22">_xlfn.LET(
    _xlpm.row_name, $A22,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0.77471150709022918</v>
      </c>
      <c r="AC22" cm="1">
        <f t="array" ref="AC22">_xlfn.LET(
    _xlpm.row_name, $A22,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0.13422050016656811</v>
      </c>
      <c r="AD22" cm="1">
        <f t="array" ref="AD22">_xlfn.LET(
    _xlpm.row_name, $A22,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0.37838691690513232</v>
      </c>
      <c r="AE22" cm="1">
        <f t="array" ref="AE22">_xlfn.LET(
    _xlpm.row_name, $A22,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0.98908720323694244</v>
      </c>
      <c r="AF22" cm="1">
        <f t="array" ref="AF22">_xlfn.LET(
    _xlpm.row_name, $A22,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0.59805053965924693</v>
      </c>
      <c r="AG22" cm="1">
        <f t="array" ref="AG22">_xlfn.LET(
    _xlpm.row_name, $A22,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0.67869521828804402</v>
      </c>
      <c r="AH22" cm="1">
        <f t="array" ref="AH22">_xlfn.LET(
    _xlpm.row_name, $A22,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0.51507028432718804</v>
      </c>
      <c r="AI22" cm="1">
        <f t="array" ref="AI22">_xlfn.LET(
    _xlpm.row_name, $A22,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0.74026491414284346</v>
      </c>
      <c r="AJ22" cm="1">
        <f t="array" ref="AJ22">_xlfn.LET(
    _xlpm.row_name, $A22,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0.75912580246906725</v>
      </c>
      <c r="AK22" cm="1">
        <f t="array" ref="AK22">_xlfn.LET(
    _xlpm.row_name, $A22,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0.47445872260975241</v>
      </c>
      <c r="AL22" cm="1">
        <f t="array" ref="AL22">_xlfn.LET(
    _xlpm.row_name, $A22,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0.75537809028656056</v>
      </c>
      <c r="AM22" cm="1">
        <f t="array" ref="AM22">_xlfn.LET(
    _xlpm.row_name, $A22,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0.10073801357921675</v>
      </c>
      <c r="AN22" cm="1">
        <f t="array" ref="AN22">_xlfn.LET(
    _xlpm.row_name, $A22,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0.50292254410739201</v>
      </c>
      <c r="AO22" cm="1">
        <f t="array" ref="AO22">_xlfn.LET(
    _xlpm.row_name, $A22,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0.60371244844456462</v>
      </c>
      <c r="AP22" cm="1">
        <f t="array" ref="AP22">_xlfn.LET(
    _xlpm.row_name, $A22,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0.84332118972366921</v>
      </c>
      <c r="AQ22" cm="1">
        <f t="array" ref="AQ22">_xlfn.LET(
    _xlpm.row_name, $A22,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0.48555729947707088</v>
      </c>
      <c r="AR22" cm="1">
        <f t="array" ref="AR22">_xlfn.LET(
    _xlpm.row_name, $A22,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0.4423489091988369</v>
      </c>
      <c r="AS22" cm="1">
        <f t="array" ref="AS22">_xlfn.LET(
    _xlpm.row_name, $A22,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0.44379860530816545</v>
      </c>
      <c r="AT22" cm="1">
        <f t="array" ref="AT22">_xlfn.LET(
    _xlpm.row_name, $A22,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0.59817831071150751</v>
      </c>
      <c r="AU22" cm="1">
        <f t="array" ref="AU22">_xlfn.LET(
    _xlpm.row_name, $A22,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0.76674956299476005</v>
      </c>
      <c r="AV22" cm="1">
        <f t="array" ref="AV22">_xlfn.LET(
    _xlpm.row_name, $A22,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0.14154061888304564</v>
      </c>
      <c r="AW22" cm="1">
        <f t="array" ref="AW22">_xlfn.LET(
    _xlpm.row_name, $A22,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0.35342037013132216</v>
      </c>
      <c r="AX22" cm="1">
        <f t="array" ref="AX22">_xlfn.LET(
    _xlpm.row_name, $A22,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0.25724650882435174</v>
      </c>
      <c r="AY22" cm="1">
        <f t="array" ref="AY22">_xlfn.LET(
    _xlpm.row_name, $A22,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0.51121279745908477</v>
      </c>
      <c r="AZ22" cm="1">
        <f t="array" ref="AZ22">_xlfn.LET(
    _xlpm.row_name, $A22,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0.23492176803688247</v>
      </c>
      <c r="BA22" cm="1">
        <f t="array" ref="BA22">_xlfn.LET(
    _xlpm.row_name, $A22,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0.87426983481100962</v>
      </c>
      <c r="BB22" cm="1">
        <f t="array" ref="BB22">_xlfn.LET(
    _xlpm.row_name, $A22,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0.40002247116681205</v>
      </c>
      <c r="BC22" cm="1">
        <f t="array" ref="BC22">_xlfn.LET(
    _xlpm.row_name, $A22,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0.18069825208435375</v>
      </c>
      <c r="BD22" cm="1">
        <f t="array" ref="BD22">_xlfn.LET(
    _xlpm.row_name, $A22,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0.97479700489162846</v>
      </c>
      <c r="BE22" cm="1">
        <f t="array" ref="BE22">_xlfn.LET(
    _xlpm.row_name, $A22,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0.56728544156401406</v>
      </c>
      <c r="BF22" cm="1">
        <f t="array" ref="BF22">_xlfn.LET(
    _xlpm.row_name, $A22,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0.25298317236382378</v>
      </c>
      <c r="BG22" cm="1">
        <f t="array" ref="BG22">_xlfn.LET(
    _xlpm.row_name, $A22,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0.76548470586383988</v>
      </c>
      <c r="BH22" cm="1">
        <f t="array" ref="BH22">_xlfn.LET(
    _xlpm.row_name, $A22,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0.29036946621417759</v>
      </c>
      <c r="BI22" cm="1">
        <f t="array" ref="BI22">_xlfn.LET(
    _xlpm.row_name, $A22,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0.61867964606716219</v>
      </c>
      <c r="BJ22" cm="1">
        <f t="array" ref="BJ22">_xlfn.LET(
    _xlpm.row_name, $A22,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0.54628290347287789</v>
      </c>
      <c r="BK22" cm="1">
        <f t="array" ref="BK22">_xlfn.LET(
    _xlpm.row_name, $A22,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0.59510031362950655</v>
      </c>
      <c r="BL22" cm="1">
        <f t="array" ref="BL22">_xlfn.LET(
    _xlpm.row_name, $A22,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0.57703734243741045</v>
      </c>
      <c r="BM22" cm="1">
        <f t="array" ref="BM22">_xlfn.LET(
    _xlpm.row_name, $A22,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0.3487455327017267</v>
      </c>
      <c r="BN22" cm="1">
        <f t="array" ref="BN22">_xlfn.LET(
    _xlpm.row_name, $A22,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0.36861664881239453</v>
      </c>
      <c r="BO22" cm="1">
        <f t="array" ref="BO22">_xlfn.LET(
    _xlpm.row_name, $A22,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0.49951242511153249</v>
      </c>
      <c r="BP22" cm="1">
        <f t="array" ref="BP22">_xlfn.LET(
    _xlpm.row_name, $A22,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0.93215520281319508</v>
      </c>
      <c r="BQ22" cm="1">
        <f t="array" ref="BQ22">_xlfn.LET(
    _xlpm.row_name, $A22,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5.9699088807631528E-2</v>
      </c>
      <c r="BR22" cm="1">
        <f t="array" ref="BR22">_xlfn.LET(
    _xlpm.row_name, $A22,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0.37390364902390416</v>
      </c>
      <c r="BS22" cm="1">
        <f t="array" ref="BS22">_xlfn.LET(
    _xlpm.row_name, $A22,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0.8645901518740029</v>
      </c>
      <c r="BT22" cm="1">
        <f t="array" ref="BT22">_xlfn.LET(
    _xlpm.row_name, $A22,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0.43879981087405306</v>
      </c>
      <c r="BU22" cm="1">
        <f t="array" ref="BU22">_xlfn.LET(
    _xlpm.row_name, $A22,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0.60502840907785849</v>
      </c>
      <c r="BV22" cm="1">
        <f t="array" ref="BV22">_xlfn.LET(
    _xlpm.row_name, $A22,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0.30122532050614648</v>
      </c>
    </row>
    <row r="23" spans="1:74" x14ac:dyDescent="0.3">
      <c r="A23" t="str">
        <v>Smyly, Drew</v>
      </c>
      <c r="B23" cm="1">
        <f t="array" ref="B23">_xlfn.LET(
    _xlpm.row_name, $A23,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0.75345944158870048</v>
      </c>
      <c r="C23" cm="1">
        <f t="array" ref="C23">_xlfn.LET(
    _xlpm.row_name, $A23,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0.52966343853708997</v>
      </c>
      <c r="D23" cm="1">
        <f t="array" ref="D23">_xlfn.LET(
    _xlpm.row_name, $A23,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0.19027324408756158</v>
      </c>
      <c r="E23" cm="1">
        <f t="array" ref="E23">_xlfn.LET(
    _xlpm.row_name, $A23,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0.70904078712064333</v>
      </c>
      <c r="F23" cm="1">
        <f t="array" ref="F23">_xlfn.LET(
    _xlpm.row_name, $A23,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0.49457264382085703</v>
      </c>
      <c r="G23" cm="1">
        <f t="array" ref="G23">_xlfn.LET(
    _xlpm.row_name, $A23,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0.66987139774146964</v>
      </c>
      <c r="H23" cm="1">
        <f t="array" ref="H23">_xlfn.LET(
    _xlpm.row_name, $A23,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0.33198313777398969</v>
      </c>
      <c r="I23" cm="1">
        <f t="array" ref="I23">_xlfn.LET(
    _xlpm.row_name, $A23,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0.35226907177573652</v>
      </c>
      <c r="J23" cm="1">
        <f t="array" ref="J23">_xlfn.LET(
    _xlpm.row_name, $A23,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0.27636351791032143</v>
      </c>
      <c r="K23" cm="1">
        <f t="array" ref="K23">_xlfn.LET(
    _xlpm.row_name, $A23,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0.74962416075887761</v>
      </c>
      <c r="L23" cm="1">
        <f t="array" ref="L23">_xlfn.LET(
    _xlpm.row_name, $A23,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0.92056325425711538</v>
      </c>
      <c r="M23" cm="1">
        <f t="array" ref="M23">_xlfn.LET(
    _xlpm.row_name, $A23,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0.34733818624778545</v>
      </c>
      <c r="N23" cm="1">
        <f t="array" ref="N23">_xlfn.LET(
    _xlpm.row_name, $A23,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0.17740243049723736</v>
      </c>
      <c r="O23" cm="1">
        <f t="array" ref="O23">_xlfn.LET(
    _xlpm.row_name, $A23,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0.75146662657762464</v>
      </c>
      <c r="P23" cm="1">
        <f t="array" ref="P23">_xlfn.LET(
    _xlpm.row_name, $A23,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0.11162161043164576</v>
      </c>
      <c r="Q23" cm="1">
        <f t="array" ref="Q23">_xlfn.LET(
    _xlpm.row_name, $A23,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0.71572603075530083</v>
      </c>
      <c r="R23" cm="1">
        <f t="array" ref="R23">_xlfn.LET(
    _xlpm.row_name, $A23,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0.21376926957917697</v>
      </c>
      <c r="S23" cm="1">
        <f t="array" ref="S23">_xlfn.LET(
    _xlpm.row_name, $A23,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0.3579815815846662</v>
      </c>
      <c r="T23" cm="1">
        <f t="array" ref="T23">_xlfn.LET(
    _xlpm.row_name, $A23,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8.6147167287858872E-2</v>
      </c>
      <c r="U23" cm="1">
        <f t="array" ref="U23">_xlfn.LET(
    _xlpm.row_name, $A23,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0.55243105645884716</v>
      </c>
      <c r="V23" cm="1">
        <f t="array" ref="V23">_xlfn.LET(
    _xlpm.row_name, $A23,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W23" cm="1">
        <f t="array" ref="W23">_xlfn.LET(
    _xlpm.row_name, $A23,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0.36608865775722588</v>
      </c>
      <c r="X23" cm="1">
        <f t="array" ref="X23">_xlfn.LET(
    _xlpm.row_name, $A23,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0.58025587175452553</v>
      </c>
      <c r="Y23" cm="1">
        <f t="array" ref="Y23">_xlfn.LET(
    _xlpm.row_name, $A23,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0.55146073184923616</v>
      </c>
      <c r="Z23" cm="1">
        <f t="array" ref="Z23">_xlfn.LET(
    _xlpm.row_name, $A23,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0.15990142591803225</v>
      </c>
      <c r="AA23" cm="1">
        <f t="array" ref="AA23">_xlfn.LET(
    _xlpm.row_name, $A23,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0.67336716168528854</v>
      </c>
      <c r="AB23" cm="1">
        <f t="array" ref="AB23">_xlfn.LET(
    _xlpm.row_name, $A23,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0.56666124453650601</v>
      </c>
      <c r="AC23" cm="1">
        <f t="array" ref="AC23">_xlfn.LET(
    _xlpm.row_name, $A23,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0.62407221822121228</v>
      </c>
      <c r="AD23" cm="1">
        <f t="array" ref="AD23">_xlfn.LET(
    _xlpm.row_name, $A23,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0.44562499489503737</v>
      </c>
      <c r="AE23" cm="1">
        <f t="array" ref="AE23">_xlfn.LET(
    _xlpm.row_name, $A23,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0.47239836004440267</v>
      </c>
      <c r="AF23" cm="1">
        <f t="array" ref="AF23">_xlfn.LET(
    _xlpm.row_name, $A23,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0.871002087169641</v>
      </c>
      <c r="AG23" cm="1">
        <f t="array" ref="AG23">_xlfn.LET(
    _xlpm.row_name, $A23,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0.73294557943828731</v>
      </c>
      <c r="AH23" cm="1">
        <f t="array" ref="AH23">_xlfn.LET(
    _xlpm.row_name, $A23,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0.48198705699302385</v>
      </c>
      <c r="AI23" cm="1">
        <f t="array" ref="AI23">_xlfn.LET(
    _xlpm.row_name, $A23,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0.78129211349531924</v>
      </c>
      <c r="AJ23" cm="1">
        <f t="array" ref="AJ23">_xlfn.LET(
    _xlpm.row_name, $A23,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0.41379138511307517</v>
      </c>
      <c r="AK23" cm="1">
        <f t="array" ref="AK23">_xlfn.LET(
    _xlpm.row_name, $A23,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0.93864615193098055</v>
      </c>
      <c r="AL23" cm="1">
        <f t="array" ref="AL23">_xlfn.LET(
    _xlpm.row_name, $A23,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0.18609698976900541</v>
      </c>
      <c r="AM23" cm="1">
        <f t="array" ref="AM23">_xlfn.LET(
    _xlpm.row_name, $A23,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0.67991857205969031</v>
      </c>
      <c r="AN23" cm="1">
        <f t="array" ref="AN23">_xlfn.LET(
    _xlpm.row_name, $A23,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0.29974529526119775</v>
      </c>
      <c r="AO23" cm="1">
        <f t="array" ref="AO23">_xlfn.LET(
    _xlpm.row_name, $A23,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0.20307704975984747</v>
      </c>
      <c r="AP23" cm="1">
        <f t="array" ref="AP23">_xlfn.LET(
    _xlpm.row_name, $A23,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0.31826871124974176</v>
      </c>
      <c r="AQ23" cm="1">
        <f t="array" ref="AQ23">_xlfn.LET(
    _xlpm.row_name, $A23,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0.66866976384277366</v>
      </c>
      <c r="AR23" cm="1">
        <f t="array" ref="AR23">_xlfn.LET(
    _xlpm.row_name, $A23,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0.32701839102918889</v>
      </c>
      <c r="AS23" cm="1">
        <f t="array" ref="AS23">_xlfn.LET(
    _xlpm.row_name, $A23,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0.66484293456224242</v>
      </c>
      <c r="AT23" cm="1">
        <f t="array" ref="AT23">_xlfn.LET(
    _xlpm.row_name, $A23,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0.88805249626857719</v>
      </c>
      <c r="AU23" cm="1">
        <f t="array" ref="AU23">_xlfn.LET(
    _xlpm.row_name, $A23,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0.34830726061021666</v>
      </c>
      <c r="AV23" cm="1">
        <f t="array" ref="AV23">_xlfn.LET(
    _xlpm.row_name, $A23,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0.72555909660345952</v>
      </c>
      <c r="AW23" cm="1">
        <f t="array" ref="AW23">_xlfn.LET(
    _xlpm.row_name, $A23,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0.80191638104965035</v>
      </c>
      <c r="AX23" cm="1">
        <f t="array" ref="AX23">_xlfn.LET(
    _xlpm.row_name, $A23,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0.41584235463339447</v>
      </c>
      <c r="AY23" cm="1">
        <f t="array" ref="AY23">_xlfn.LET(
    _xlpm.row_name, $A23,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0.44558860662602634</v>
      </c>
      <c r="AZ23" cm="1">
        <f t="array" ref="AZ23">_xlfn.LET(
    _xlpm.row_name, $A23,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0.14507092618232131</v>
      </c>
      <c r="BA23" cm="1">
        <f t="array" ref="BA23">_xlfn.LET(
    _xlpm.row_name, $A23,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0.81928916100959048</v>
      </c>
      <c r="BB23" cm="1">
        <f t="array" ref="BB23">_xlfn.LET(
    _xlpm.row_name, $A23,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0.73878025756622667</v>
      </c>
      <c r="BC23" cm="1">
        <f t="array" ref="BC23">_xlfn.LET(
    _xlpm.row_name, $A23,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0.70943306070145495</v>
      </c>
      <c r="BD23" cm="1">
        <f t="array" ref="BD23">_xlfn.LET(
    _xlpm.row_name, $A23,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0.65044192836439751</v>
      </c>
      <c r="BE23" cm="1">
        <f t="array" ref="BE23">_xlfn.LET(
    _xlpm.row_name, $A23,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0.72226384706120361</v>
      </c>
      <c r="BF23" cm="1">
        <f t="array" ref="BF23">_xlfn.LET(
    _xlpm.row_name, $A23,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6.8187044517491802E-2</v>
      </c>
      <c r="BG23" cm="1">
        <f t="array" ref="BG23">_xlfn.LET(
    _xlpm.row_name, $A23,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0.82481405000646824</v>
      </c>
      <c r="BH23" cm="1">
        <f t="array" ref="BH23">_xlfn.LET(
    _xlpm.row_name, $A23,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0.71820257571089652</v>
      </c>
      <c r="BI23" cm="1">
        <f t="array" ref="BI23">_xlfn.LET(
    _xlpm.row_name, $A23,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0.75931130431569804</v>
      </c>
      <c r="BJ23" cm="1">
        <f t="array" ref="BJ23">_xlfn.LET(
    _xlpm.row_name, $A23,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0.47748813349220137</v>
      </c>
      <c r="BK23" cm="1">
        <f t="array" ref="BK23">_xlfn.LET(
    _xlpm.row_name, $A23,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0.84097111691052184</v>
      </c>
      <c r="BL23" cm="1">
        <f t="array" ref="BL23">_xlfn.LET(
    _xlpm.row_name, $A23,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0.1566530530559273</v>
      </c>
      <c r="BM23" cm="1">
        <f t="array" ref="BM23">_xlfn.LET(
    _xlpm.row_name, $A23,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0.55018322872704584</v>
      </c>
      <c r="BN23" cm="1">
        <f t="array" ref="BN23">_xlfn.LET(
    _xlpm.row_name, $A23,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0.53485327052794385</v>
      </c>
      <c r="BO23" cm="1">
        <f t="array" ref="BO23">_xlfn.LET(
    _xlpm.row_name, $A23,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0.28594367090002226</v>
      </c>
      <c r="BP23" cm="1">
        <f t="array" ref="BP23">_xlfn.LET(
    _xlpm.row_name, $A23,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0.4033026101185786</v>
      </c>
      <c r="BQ23" cm="1">
        <f t="array" ref="BQ23">_xlfn.LET(
    _xlpm.row_name, $A23,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0.50295206010846993</v>
      </c>
      <c r="BR23" cm="1">
        <f t="array" ref="BR23">_xlfn.LET(
    _xlpm.row_name, $A23,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0.84612252770106133</v>
      </c>
      <c r="BS23" cm="1">
        <f t="array" ref="BS23">_xlfn.LET(
    _xlpm.row_name, $A23,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0.26836681726044453</v>
      </c>
      <c r="BT23" cm="1">
        <f t="array" ref="BT23">_xlfn.LET(
    _xlpm.row_name, $A23,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3.3076049324099022E-2</v>
      </c>
      <c r="BU23" cm="1">
        <f t="array" ref="BU23">_xlfn.LET(
    _xlpm.row_name, $A23,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0.27309832794877875</v>
      </c>
      <c r="BV23" cm="1">
        <f t="array" ref="BV23">_xlfn.LET(
    _xlpm.row_name, $A23,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0.83986254712925601</v>
      </c>
    </row>
    <row r="24" spans="1:74" x14ac:dyDescent="0.3">
      <c r="A24" t="str">
        <v>McHugh, Collin</v>
      </c>
      <c r="B24" cm="1">
        <f t="array" ref="B24">_xlfn.LET(
    _xlpm.row_name, $A24,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0.39265929590590742</v>
      </c>
      <c r="C24" cm="1">
        <f t="array" ref="C24">_xlfn.LET(
    _xlpm.row_name, $A24,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0.6681882024102026</v>
      </c>
      <c r="D24" cm="1">
        <f t="array" ref="D24">_xlfn.LET(
    _xlpm.row_name, $A24,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0.27548404233259838</v>
      </c>
      <c r="E24" cm="1">
        <f t="array" ref="E24">_xlfn.LET(
    _xlpm.row_name, $A24,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0.81687372341140585</v>
      </c>
      <c r="F24" cm="1">
        <f t="array" ref="F24">_xlfn.LET(
    _xlpm.row_name, $A24,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0.57132954726682539</v>
      </c>
      <c r="G24" cm="1">
        <f t="array" ref="G24">_xlfn.LET(
    _xlpm.row_name, $A24,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6.0782247780331533E-2</v>
      </c>
      <c r="H24" cm="1">
        <f t="array" ref="H24">_xlfn.LET(
    _xlpm.row_name, $A24,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0.60112278995969681</v>
      </c>
      <c r="I24" cm="1">
        <f t="array" ref="I24">_xlfn.LET(
    _xlpm.row_name, $A24,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0.35674834898447394</v>
      </c>
      <c r="J24" cm="1">
        <f t="array" ref="J24">_xlfn.LET(
    _xlpm.row_name, $A24,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0.28719068080920035</v>
      </c>
      <c r="K24" cm="1">
        <f t="array" ref="K24">_xlfn.LET(
    _xlpm.row_name, $A24,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0.62662260444079498</v>
      </c>
      <c r="L24" cm="1">
        <f t="array" ref="L24">_xlfn.LET(
    _xlpm.row_name, $A24,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0.46555046472346751</v>
      </c>
      <c r="M24" cm="1">
        <f t="array" ref="M24">_xlfn.LET(
    _xlpm.row_name, $A24,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0.27663950023095685</v>
      </c>
      <c r="N24" cm="1">
        <f t="array" ref="N24">_xlfn.LET(
    _xlpm.row_name, $A24,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0.74374961094938641</v>
      </c>
      <c r="O24" cm="1">
        <f t="array" ref="O24">_xlfn.LET(
    _xlpm.row_name, $A24,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0.22309086769361458</v>
      </c>
      <c r="P24" cm="1">
        <f t="array" ref="P24">_xlfn.LET(
    _xlpm.row_name, $A24,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0.88738648723483882</v>
      </c>
      <c r="Q24" cm="1">
        <f t="array" ref="Q24">_xlfn.LET(
    _xlpm.row_name, $A24,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0.86646777342831993</v>
      </c>
      <c r="R24" cm="1">
        <f t="array" ref="R24">_xlfn.LET(
    _xlpm.row_name, $A24,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0.66830429697521632</v>
      </c>
      <c r="S24" cm="1">
        <f t="array" ref="S24">_xlfn.LET(
    _xlpm.row_name, $A24,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0.73341994994051807</v>
      </c>
      <c r="T24" cm="1">
        <f t="array" ref="T24">_xlfn.LET(
    _xlpm.row_name, $A24,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0.82100963891484147</v>
      </c>
      <c r="U24" cm="1">
        <f t="array" ref="U24">_xlfn.LET(
    _xlpm.row_name, $A24,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7.2523446598097063E-2</v>
      </c>
      <c r="V24" cm="1">
        <f t="array" ref="V24">_xlfn.LET(
    _xlpm.row_name, $A24,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0.36608865775722588</v>
      </c>
      <c r="W24" cm="1">
        <f t="array" ref="W24">_xlfn.LET(
    _xlpm.row_name, $A24,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X24" cm="1">
        <f t="array" ref="X24">_xlfn.LET(
    _xlpm.row_name, $A24,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5.4336018409499087E-2</v>
      </c>
      <c r="Y24" cm="1">
        <f t="array" ref="Y24">_xlfn.LET(
    _xlpm.row_name, $A24,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0.23922784405979775</v>
      </c>
      <c r="Z24" cm="1">
        <f t="array" ref="Z24">_xlfn.LET(
    _xlpm.row_name, $A24,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0.35827507463845931</v>
      </c>
      <c r="AA24" cm="1">
        <f t="array" ref="AA24">_xlfn.LET(
    _xlpm.row_name, $A24,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0.28908034225363799</v>
      </c>
      <c r="AB24" cm="1">
        <f t="array" ref="AB24">_xlfn.LET(
    _xlpm.row_name, $A24,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7.6915034394443693E-2</v>
      </c>
      <c r="AC24" cm="1">
        <f t="array" ref="AC24">_xlfn.LET(
    _xlpm.row_name, $A24,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0.74276971572082628</v>
      </c>
      <c r="AD24" cm="1">
        <f t="array" ref="AD24">_xlfn.LET(
    _xlpm.row_name, $A24,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0.37771408065097895</v>
      </c>
      <c r="AE24" cm="1">
        <f t="array" ref="AE24">_xlfn.LET(
    _xlpm.row_name, $A24,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8.3008370158340228E-2</v>
      </c>
      <c r="AF24" cm="1">
        <f t="array" ref="AF24">_xlfn.LET(
    _xlpm.row_name, $A24,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0.38945099068088862</v>
      </c>
      <c r="AG24" cm="1">
        <f t="array" ref="AG24">_xlfn.LET(
    _xlpm.row_name, $A24,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0.31421331678069286</v>
      </c>
      <c r="AH24" cm="1">
        <f t="array" ref="AH24">_xlfn.LET(
    _xlpm.row_name, $A24,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0.30499311163597098</v>
      </c>
      <c r="AI24" cm="1">
        <f t="array" ref="AI24">_xlfn.LET(
    _xlpm.row_name, $A24,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0.14369032569968099</v>
      </c>
      <c r="AJ24" cm="1">
        <f t="array" ref="AJ24">_xlfn.LET(
    _xlpm.row_name, $A24,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0.24270171992879774</v>
      </c>
      <c r="AK24" cm="1">
        <f t="array" ref="AK24">_xlfn.LET(
    _xlpm.row_name, $A24,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0.45131840880421054</v>
      </c>
      <c r="AL24" cm="1">
        <f t="array" ref="AL24">_xlfn.LET(
    _xlpm.row_name, $A24,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0.26014810685527012</v>
      </c>
      <c r="AM24" cm="1">
        <f t="array" ref="AM24">_xlfn.LET(
    _xlpm.row_name, $A24,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0.87355485741789574</v>
      </c>
      <c r="AN24" cm="1">
        <f t="array" ref="AN24">_xlfn.LET(
    _xlpm.row_name, $A24,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0.44233887843914599</v>
      </c>
      <c r="AO24" cm="1">
        <f t="array" ref="AO24">_xlfn.LET(
    _xlpm.row_name, $A24,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0.64682162311708313</v>
      </c>
      <c r="AP24" cm="1">
        <f t="array" ref="AP24">_xlfn.LET(
    _xlpm.row_name, $A24,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0.2784053856390597</v>
      </c>
      <c r="AQ24" cm="1">
        <f t="array" ref="AQ24">_xlfn.LET(
    _xlpm.row_name, $A24,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0.60146930850069036</v>
      </c>
      <c r="AR24" cm="1">
        <f t="array" ref="AR24">_xlfn.LET(
    _xlpm.row_name, $A24,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0.60486424163929975</v>
      </c>
      <c r="AS24" cm="1">
        <f t="array" ref="AS24">_xlfn.LET(
    _xlpm.row_name, $A24,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0.56742889580292011</v>
      </c>
      <c r="AT24" cm="1">
        <f t="array" ref="AT24">_xlfn.LET(
    _xlpm.row_name, $A24,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0.45278753549607365</v>
      </c>
      <c r="AU24" cm="1">
        <f t="array" ref="AU24">_xlfn.LET(
    _xlpm.row_name, $A24,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0.18811049688296994</v>
      </c>
      <c r="AV24" cm="1">
        <f t="array" ref="AV24">_xlfn.LET(
    _xlpm.row_name, $A24,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0.70297889937939861</v>
      </c>
      <c r="AW24" cm="1">
        <f t="array" ref="AW24">_xlfn.LET(
    _xlpm.row_name, $A24,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0.4566286325465263</v>
      </c>
      <c r="AX24" cm="1">
        <f t="array" ref="AX24">_xlfn.LET(
    _xlpm.row_name, $A24,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0.86831245730672701</v>
      </c>
      <c r="AY24" cm="1">
        <f t="array" ref="AY24">_xlfn.LET(
    _xlpm.row_name, $A24,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0.39619169578758462</v>
      </c>
      <c r="AZ24" cm="1">
        <f t="array" ref="AZ24">_xlfn.LET(
    _xlpm.row_name, $A24,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0.90933199210935023</v>
      </c>
      <c r="BA24" cm="1">
        <f t="array" ref="BA24">_xlfn.LET(
    _xlpm.row_name, $A24,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5.7697090931032313E-2</v>
      </c>
      <c r="BB24" cm="1">
        <f t="array" ref="BB24">_xlfn.LET(
    _xlpm.row_name, $A24,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0.38831363952995079</v>
      </c>
      <c r="BC24" cm="1">
        <f t="array" ref="BC24">_xlfn.LET(
    _xlpm.row_name, $A24,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0.8675901157806164</v>
      </c>
      <c r="BD24" cm="1">
        <f t="array" ref="BD24">_xlfn.LET(
    _xlpm.row_name, $A24,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0.10880848880442046</v>
      </c>
      <c r="BE24" cm="1">
        <f t="array" ref="BE24">_xlfn.LET(
    _xlpm.row_name, $A24,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0.4458140750373108</v>
      </c>
      <c r="BF24" cm="1">
        <f t="array" ref="BF24">_xlfn.LET(
    _xlpm.row_name, $A24,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0.80936154603836052</v>
      </c>
      <c r="BG24" cm="1">
        <f t="array" ref="BG24">_xlfn.LET(
    _xlpm.row_name, $A24,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0.19287841868300415</v>
      </c>
      <c r="BH24" cm="1">
        <f t="array" ref="BH24">_xlfn.LET(
    _xlpm.row_name, $A24,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0.79131661817482513</v>
      </c>
      <c r="BI24" cm="1">
        <f t="array" ref="BI24">_xlfn.LET(
    _xlpm.row_name, $A24,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0.20703181686575267</v>
      </c>
      <c r="BJ24" cm="1">
        <f t="array" ref="BJ24">_xlfn.LET(
    _xlpm.row_name, $A24,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0.30815899475731939</v>
      </c>
      <c r="BK24" cm="1">
        <f t="array" ref="BK24">_xlfn.LET(
    _xlpm.row_name, $A24,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0.18657723896257278</v>
      </c>
      <c r="BL24" cm="1">
        <f t="array" ref="BL24">_xlfn.LET(
    _xlpm.row_name, $A24,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0.63416965497122368</v>
      </c>
      <c r="BM24" cm="1">
        <f t="array" ref="BM24">_xlfn.LET(
    _xlpm.row_name, $A24,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0.76155116805953083</v>
      </c>
      <c r="BN24" cm="1">
        <f t="array" ref="BN24">_xlfn.LET(
    _xlpm.row_name, $A24,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0.43192075405354324</v>
      </c>
      <c r="BO24" cm="1">
        <f t="array" ref="BO24">_xlfn.LET(
    _xlpm.row_name, $A24,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0.64746470453762739</v>
      </c>
      <c r="BP24" cm="1">
        <f t="array" ref="BP24">_xlfn.LET(
    _xlpm.row_name, $A24,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9.8025495064083368E-2</v>
      </c>
      <c r="BQ24" cm="1">
        <f t="array" ref="BQ24">_xlfn.LET(
    _xlpm.row_name, $A24,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0.77819941376337076</v>
      </c>
      <c r="BR24" cm="1">
        <f t="array" ref="BR24">_xlfn.LET(
    _xlpm.row_name, $A24,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0.47237822751027475</v>
      </c>
      <c r="BS24" cm="1">
        <f t="array" ref="BS24">_xlfn.LET(
    _xlpm.row_name, $A24,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0.30652653707581379</v>
      </c>
      <c r="BT24" cm="1">
        <f t="array" ref="BT24">_xlfn.LET(
    _xlpm.row_name, $A24,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0.68952087081955082</v>
      </c>
      <c r="BU24" cm="1">
        <f t="array" ref="BU24">_xlfn.LET(
    _xlpm.row_name, $A24,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0.54013242185808708</v>
      </c>
      <c r="BV24" cm="1">
        <f t="array" ref="BV24">_xlfn.LET(
    _xlpm.row_name, $A24,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0.6879226641365972</v>
      </c>
    </row>
    <row r="25" spans="1:74" x14ac:dyDescent="0.3">
      <c r="A25" t="str">
        <v>Ynoa, Huascar</v>
      </c>
      <c r="B25" cm="1">
        <f t="array" ref="B25">_xlfn.LET(
    _xlpm.row_name, $A25,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0.46927481555543182</v>
      </c>
      <c r="C25" cm="1">
        <f t="array" ref="C25">_xlfn.LET(
    _xlpm.row_name, $A25,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0.14796634094417788</v>
      </c>
      <c r="D25" cm="1">
        <f t="array" ref="D25">_xlfn.LET(
    _xlpm.row_name, $A25,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0.77392117310430508</v>
      </c>
      <c r="E25" cm="1">
        <f t="array" ref="E25">_xlfn.LET(
    _xlpm.row_name, $A25,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0.19385767036338875</v>
      </c>
      <c r="F25" cm="1">
        <f t="array" ref="F25">_xlfn.LET(
    _xlpm.row_name, $A25,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0.32428135024138371</v>
      </c>
      <c r="G25" cm="1">
        <f t="array" ref="G25">_xlfn.LET(
    _xlpm.row_name, $A25,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0.92298306384059847</v>
      </c>
      <c r="H25" cm="1">
        <f t="array" ref="H25">_xlfn.LET(
    _xlpm.row_name, $A25,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0.31961642112598032</v>
      </c>
      <c r="I25" cm="1">
        <f t="array" ref="I25">_xlfn.LET(
    _xlpm.row_name, $A25,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0.49105381235224266</v>
      </c>
      <c r="J25" cm="1">
        <f t="array" ref="J25">_xlfn.LET(
    _xlpm.row_name, $A25,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0.61607592897626728</v>
      </c>
      <c r="K25" cm="1">
        <f t="array" ref="K25">_xlfn.LET(
    _xlpm.row_name, $A25,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0.21299366954656151</v>
      </c>
      <c r="L25" cm="1">
        <f t="array" ref="L25">_xlfn.LET(
    _xlpm.row_name, $A25,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0.39656257023128672</v>
      </c>
      <c r="M25" cm="1">
        <f t="array" ref="M25">_xlfn.LET(
    _xlpm.row_name, $A25,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0.5849569192763826</v>
      </c>
      <c r="N25" cm="1">
        <f t="array" ref="N25">_xlfn.LET(
    _xlpm.row_name, $A25,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0.35684253216640882</v>
      </c>
      <c r="O25" cm="1">
        <f t="array" ref="O25">_xlfn.LET(
    _xlpm.row_name, $A25,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0.72459372006764855</v>
      </c>
      <c r="P25" cm="1">
        <f t="array" ref="P25">_xlfn.LET(
    _xlpm.row_name, $A25,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0.15250440842103435</v>
      </c>
      <c r="Q25" cm="1">
        <f t="array" ref="Q25">_xlfn.LET(
    _xlpm.row_name, $A25,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0.15160101099824402</v>
      </c>
      <c r="R25" cm="1">
        <f t="array" ref="R25">_xlfn.LET(
    _xlpm.row_name, $A25,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0.34925181561328722</v>
      </c>
      <c r="S25" cm="1">
        <f t="array" ref="S25">_xlfn.LET(
    _xlpm.row_name, $A25,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0.16760948982577212</v>
      </c>
      <c r="T25" cm="1">
        <f t="array" ref="T25">_xlfn.LET(
    _xlpm.row_name, $A25,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0.24444227327159046</v>
      </c>
      <c r="U25" cm="1">
        <f t="array" ref="U25">_xlfn.LET(
    _xlpm.row_name, $A25,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0.94894748753887281</v>
      </c>
      <c r="V25" cm="1">
        <f t="array" ref="V25">_xlfn.LET(
    _xlpm.row_name, $A25,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0.58025587175452553</v>
      </c>
      <c r="W25" cm="1">
        <f t="array" ref="W25">_xlfn.LET(
    _xlpm.row_name, $A25,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5.4336018409499087E-2</v>
      </c>
      <c r="X25" cm="1">
        <f t="array" ref="X25">_xlfn.LET(
    _xlpm.row_name, $A25,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Y25" cm="1">
        <f t="array" ref="Y25">_xlfn.LET(
    _xlpm.row_name, $A25,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0.54999096542565806</v>
      </c>
      <c r="Z25" cm="1">
        <f t="array" ref="Z25">_xlfn.LET(
    _xlpm.row_name, $A25,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0.66790051416927065</v>
      </c>
      <c r="AA25" cm="1">
        <f t="array" ref="AA25">_xlfn.LET(
    _xlpm.row_name, $A25,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0.65813329806428311</v>
      </c>
      <c r="AB25" cm="1">
        <f t="array" ref="AB25">_xlfn.LET(
    _xlpm.row_name, $A25,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0.77789489366694031</v>
      </c>
      <c r="AC25" cm="1">
        <f t="array" ref="AC25">_xlfn.LET(
    _xlpm.row_name, $A25,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0.14601514860833187</v>
      </c>
      <c r="AD25" cm="1">
        <f t="array" ref="AD25">_xlfn.LET(
    _xlpm.row_name, $A25,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0.50280401953939968</v>
      </c>
      <c r="AE25" cm="1">
        <f t="array" ref="AE25">_xlfn.LET(
    _xlpm.row_name, $A25,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0.9478544932656302</v>
      </c>
      <c r="AF25" cm="1">
        <f t="array" ref="AF25">_xlfn.LET(
    _xlpm.row_name, $A25,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0.48274653432410441</v>
      </c>
      <c r="AG25" cm="1">
        <f t="array" ref="AG25">_xlfn.LET(
    _xlpm.row_name, $A25,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0.54145488128257968</v>
      </c>
      <c r="AH25" cm="1">
        <f t="array" ref="AH25">_xlfn.LET(
    _xlpm.row_name, $A25,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0.60646344692302478</v>
      </c>
      <c r="AI25" cm="1">
        <f t="array" ref="AI25">_xlfn.LET(
    _xlpm.row_name, $A25,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0.67860977896508778</v>
      </c>
      <c r="AJ25" cm="1">
        <f t="array" ref="AJ25">_xlfn.LET(
    _xlpm.row_name, $A25,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0.72163564830343596</v>
      </c>
      <c r="AK25" cm="1">
        <f t="array" ref="AK25">_xlfn.LET(
    _xlpm.row_name, $A25,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0.42142195181646058</v>
      </c>
      <c r="AL25" cm="1">
        <f t="array" ref="AL25">_xlfn.LET(
    _xlpm.row_name, $A25,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0.77319068640173017</v>
      </c>
      <c r="AM25" cm="1">
        <f t="array" ref="AM25">_xlfn.LET(
    _xlpm.row_name, $A25,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8.1428588654668677E-2</v>
      </c>
      <c r="AN25" cm="1">
        <f t="array" ref="AN25">_xlfn.LET(
    _xlpm.row_name, $A25,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0.50042664092072531</v>
      </c>
      <c r="AO25" cm="1">
        <f t="array" ref="AO25">_xlfn.LET(
    _xlpm.row_name, $A25,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0.50533190787170712</v>
      </c>
      <c r="AP25" cm="1">
        <f t="array" ref="AP25">_xlfn.LET(
    _xlpm.row_name, $A25,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0.75513551855206318</v>
      </c>
      <c r="AQ25" cm="1">
        <f t="array" ref="AQ25">_xlfn.LET(
    _xlpm.row_name, $A25,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0.34833356125601989</v>
      </c>
      <c r="AR25" cm="1">
        <f t="array" ref="AR25">_xlfn.LET(
    _xlpm.row_name, $A25,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0.29345327414858036</v>
      </c>
      <c r="AS25" cm="1">
        <f t="array" ref="AS25">_xlfn.LET(
    _xlpm.row_name, $A25,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0.28812515131128408</v>
      </c>
      <c r="AT25" cm="1">
        <f t="array" ref="AT25">_xlfn.LET(
    _xlpm.row_name, $A25,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0.64194644952567581</v>
      </c>
      <c r="AU25" cm="1">
        <f t="array" ref="AU25">_xlfn.LET(
    _xlpm.row_name, $A25,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0.68474990556666504</v>
      </c>
      <c r="AV25" cm="1">
        <f t="array" ref="AV25">_xlfn.LET(
    _xlpm.row_name, $A25,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0.15621185269743149</v>
      </c>
      <c r="AW25" cm="1">
        <f t="array" ref="AW25">_xlfn.LET(
    _xlpm.row_name, $A25,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0.51601729831976562</v>
      </c>
      <c r="AX25" cm="1">
        <f t="array" ref="AX25">_xlfn.LET(
    _xlpm.row_name, $A25,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9.8480863554164355E-2</v>
      </c>
      <c r="AY25" cm="1">
        <f t="array" ref="AY25">_xlfn.LET(
    _xlpm.row_name, $A25,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0.41197312766641669</v>
      </c>
      <c r="AZ25" cm="1">
        <f t="array" ref="AZ25">_xlfn.LET(
    _xlpm.row_name, $A25,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0.1886968433233307</v>
      </c>
      <c r="BA25" cm="1">
        <f t="array" ref="BA25">_xlfn.LET(
    _xlpm.row_name, $A25,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0.89332740270323074</v>
      </c>
      <c r="BB25" cm="1">
        <f t="array" ref="BB25">_xlfn.LET(
    _xlpm.row_name, $A25,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0.48001868363470834</v>
      </c>
      <c r="BC25" cm="1">
        <f t="array" ref="BC25">_xlfn.LET(
    _xlpm.row_name, $A25,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0.17879809870038033</v>
      </c>
      <c r="BD25" cm="1">
        <f t="array" ref="BD25">_xlfn.LET(
    _xlpm.row_name, $A25,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0.90076704247867534</v>
      </c>
      <c r="BE25" cm="1">
        <f t="array" ref="BE25">_xlfn.LET(
    _xlpm.row_name, $A25,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0.51610840524074009</v>
      </c>
      <c r="BF25" cm="1">
        <f t="array" ref="BF25">_xlfn.LET(
    _xlpm.row_name, $A25,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0.26944670657627778</v>
      </c>
      <c r="BG25" cm="1">
        <f t="array" ref="BG25">_xlfn.LET(
    _xlpm.row_name, $A25,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0.86316307266374137</v>
      </c>
      <c r="BH25" cm="1">
        <f t="array" ref="BH25">_xlfn.LET(
    _xlpm.row_name, $A25,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0.24923747801889473</v>
      </c>
      <c r="BI25" cm="1">
        <f t="array" ref="BI25">_xlfn.LET(
    _xlpm.row_name, $A25,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0.76321897779904946</v>
      </c>
      <c r="BJ25" cm="1">
        <f t="array" ref="BJ25">_xlfn.LET(
    _xlpm.row_name, $A25,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0.55000128578786855</v>
      </c>
      <c r="BK25" cm="1">
        <f t="array" ref="BK25">_xlfn.LET(
    _xlpm.row_name, $A25,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0.70920283738111856</v>
      </c>
      <c r="BL25" cm="1">
        <f t="array" ref="BL25">_xlfn.LET(
    _xlpm.row_name, $A25,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0.48992201327715201</v>
      </c>
      <c r="BM25" cm="1">
        <f t="array" ref="BM25">_xlfn.LET(
    _xlpm.row_name, $A25,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0.17887434186140577</v>
      </c>
      <c r="BN25" cm="1">
        <f t="array" ref="BN25">_xlfn.LET(
    _xlpm.row_name, $A25,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0.49579803122088661</v>
      </c>
      <c r="BO25" cm="1">
        <f t="array" ref="BO25">_xlfn.LET(
    _xlpm.row_name, $A25,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0.57800894825766869</v>
      </c>
      <c r="BP25" cm="1">
        <f t="array" ref="BP25">_xlfn.LET(
    _xlpm.row_name, $A25,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0.8627610544253087</v>
      </c>
      <c r="BQ25" cm="1">
        <f t="array" ref="BQ25">_xlfn.LET(
    _xlpm.row_name, $A25,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0.1880116174208829</v>
      </c>
      <c r="BR25" cm="1">
        <f t="array" ref="BR25">_xlfn.LET(
    _xlpm.row_name, $A25,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0.44856703836164374</v>
      </c>
      <c r="BS25" cm="1">
        <f t="array" ref="BS25">_xlfn.LET(
    _xlpm.row_name, $A25,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0.72660939854213002</v>
      </c>
      <c r="BT25" cm="1">
        <f t="array" ref="BT25">_xlfn.LET(
    _xlpm.row_name, $A25,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0.36281204003206391</v>
      </c>
      <c r="BU25" cm="1">
        <f t="array" ref="BU25">_xlfn.LET(
    _xlpm.row_name, $A25,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0.54701264327874821</v>
      </c>
      <c r="BV25" cm="1">
        <f t="array" ref="BV25">_xlfn.LET(
    _xlpm.row_name, $A25,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0.25177665593820131</v>
      </c>
    </row>
    <row r="26" spans="1:74" x14ac:dyDescent="0.3">
      <c r="A26" t="str">
        <v>Toussaint, Touki</v>
      </c>
      <c r="B26" cm="1">
        <f t="array" ref="B26">_xlfn.LET(
    _xlpm.row_name, $A26,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0.81850885463642764</v>
      </c>
      <c r="C26" cm="1">
        <f t="array" ref="C26">_xlfn.LET(
    _xlpm.row_name, $A26,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0.80364571100975313</v>
      </c>
      <c r="D26" cm="1">
        <f t="array" ref="D26">_xlfn.LET(
    _xlpm.row_name, $A26,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0.50965770905526497</v>
      </c>
      <c r="E26" cm="1">
        <f t="array" ref="E26">_xlfn.LET(
    _xlpm.row_name, $A26,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0.36618164021818411</v>
      </c>
      <c r="F26" cm="1">
        <f t="array" ref="F26">_xlfn.LET(
    _xlpm.row_name, $A26,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0.67157919380764364</v>
      </c>
      <c r="G26" cm="1">
        <f t="array" ref="G26">_xlfn.LET(
    _xlpm.row_name, $A26,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0.62805324146275576</v>
      </c>
      <c r="H26" cm="1">
        <f t="array" ref="H26">_xlfn.LET(
    _xlpm.row_name, $A26,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0.65843460673675724</v>
      </c>
      <c r="I26" cm="1">
        <f t="array" ref="I26">_xlfn.LET(
    _xlpm.row_name, $A26,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0.89998771392229537</v>
      </c>
      <c r="J26" cm="1">
        <f t="array" ref="J26">_xlfn.LET(
    _xlpm.row_name, $A26,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0.80160152656352168</v>
      </c>
      <c r="K26" cm="1">
        <f t="array" ref="K26">_xlfn.LET(
    _xlpm.row_name, $A26,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0.71733594299077874</v>
      </c>
      <c r="L26" cm="1">
        <f t="array" ref="L26">_xlfn.LET(
    _xlpm.row_name, $A26,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0.71045692068410871</v>
      </c>
      <c r="M26" cm="1">
        <f t="array" ref="M26">_xlfn.LET(
    _xlpm.row_name, $A26,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0.84995175941303636</v>
      </c>
      <c r="N26" cm="1">
        <f t="array" ref="N26">_xlfn.LET(
    _xlpm.row_name, $A26,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0.26905091650920099</v>
      </c>
      <c r="O26" cm="1">
        <f t="array" ref="O26">_xlfn.LET(
    _xlpm.row_name, $A26,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0.57102145337466292</v>
      </c>
      <c r="P26" cm="1">
        <f t="array" ref="P26">_xlfn.LET(
    _xlpm.row_name, $A26,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0.35326017958369244</v>
      </c>
      <c r="Q26" cm="1">
        <f t="array" ref="Q26">_xlfn.LET(
    _xlpm.row_name, $A26,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0.29259042315387279</v>
      </c>
      <c r="R26" cm="1">
        <f t="array" ref="R26">_xlfn.LET(
    _xlpm.row_name, $A26,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0.44962142712000674</v>
      </c>
      <c r="S26" cm="1">
        <f t="array" ref="S26">_xlfn.LET(
    _xlpm.row_name, $A26,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0.59666232823596344</v>
      </c>
      <c r="T26" cm="1">
        <f t="array" ref="T26">_xlfn.LET(
    _xlpm.row_name, $A26,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0.30683827998614693</v>
      </c>
      <c r="U26" cm="1">
        <f t="array" ref="U26">_xlfn.LET(
    _xlpm.row_name, $A26,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0.58357933646857552</v>
      </c>
      <c r="V26" cm="1">
        <f t="array" ref="V26">_xlfn.LET(
    _xlpm.row_name, $A26,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0.55146073184923616</v>
      </c>
      <c r="W26" cm="1">
        <f t="array" ref="W26">_xlfn.LET(
    _xlpm.row_name, $A26,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0.23922784405979775</v>
      </c>
      <c r="X26" cm="1">
        <f t="array" ref="X26">_xlfn.LET(
    _xlpm.row_name, $A26,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0.54999096542565806</v>
      </c>
      <c r="Y26" cm="1">
        <f t="array" ref="Y26">_xlfn.LET(
    _xlpm.row_name, $A26,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Z26" cm="1">
        <f t="array" ref="Z26">_xlfn.LET(
    _xlpm.row_name, $A26,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0.51633563364584512</v>
      </c>
      <c r="AA26" cm="1">
        <f t="array" ref="AA26">_xlfn.LET(
    _xlpm.row_name, $A26,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0.5493288203926453</v>
      </c>
      <c r="AB26" cm="1">
        <f t="array" ref="AB26">_xlfn.LET(
    _xlpm.row_name, $A26,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0.90374397984142418</v>
      </c>
      <c r="AC26" cm="1">
        <f t="array" ref="AC26">_xlfn.LET(
    _xlpm.row_name, $A26,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0.650433933803376</v>
      </c>
      <c r="AD26" cm="1">
        <f t="array" ref="AD26">_xlfn.LET(
    _xlpm.row_name, $A26,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0.817724116535687</v>
      </c>
      <c r="AE26" cm="1">
        <f t="array" ref="AE26">_xlfn.LET(
    _xlpm.row_name, $A26,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0.57185124316477753</v>
      </c>
      <c r="AF26" cm="1">
        <f t="array" ref="AF26">_xlfn.LET(
    _xlpm.row_name, $A26,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0.69300227352358745</v>
      </c>
      <c r="AG26" cm="1">
        <f t="array" ref="AG26">_xlfn.LET(
    _xlpm.row_name, $A26,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0.7946918855183922</v>
      </c>
      <c r="AH26" cm="1">
        <f t="array" ref="AH26">_xlfn.LET(
    _xlpm.row_name, $A26,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0.7180740165189412</v>
      </c>
      <c r="AI26" cm="1">
        <f t="array" ref="AI26">_xlfn.LET(
    _xlpm.row_name, $A26,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0.90059833675532142</v>
      </c>
      <c r="AJ26" cm="1">
        <f t="array" ref="AJ26">_xlfn.LET(
    _xlpm.row_name, $A26,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0.60175460288497273</v>
      </c>
      <c r="AK26" cm="1">
        <f t="array" ref="AK26">_xlfn.LET(
    _xlpm.row_name, $A26,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0.6657883045962919</v>
      </c>
      <c r="AL26" cm="1">
        <f t="array" ref="AL26">_xlfn.LET(
    _xlpm.row_name, $A26,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0.56273747827267773</v>
      </c>
      <c r="AM26" cm="1">
        <f t="array" ref="AM26">_xlfn.LET(
    _xlpm.row_name, $A26,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0.42401575720723983</v>
      </c>
      <c r="AN26" cm="1">
        <f t="array" ref="AN26">_xlfn.LET(
    _xlpm.row_name, $A26,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0.60465043903016413</v>
      </c>
      <c r="AO26" cm="1">
        <f t="array" ref="AO26">_xlfn.LET(
    _xlpm.row_name, $A26,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0.17376580239753481</v>
      </c>
      <c r="AP26" cm="1">
        <f t="array" ref="AP26">_xlfn.LET(
    _xlpm.row_name, $A26,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0.57490017350841816</v>
      </c>
      <c r="AQ26" cm="1">
        <f t="array" ref="AQ26">_xlfn.LET(
    _xlpm.row_name, $A26,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0.43024430217632165</v>
      </c>
      <c r="AR26" cm="1">
        <f t="array" ref="AR26">_xlfn.LET(
    _xlpm.row_name, $A26,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0.60335959178628173</v>
      </c>
      <c r="AS26" cm="1">
        <f t="array" ref="AS26">_xlfn.LET(
    _xlpm.row_name, $A26,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0.63992763689620769</v>
      </c>
      <c r="AT26" cm="1">
        <f t="array" ref="AT26">_xlfn.LET(
    _xlpm.row_name, $A26,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0.27187462608522239</v>
      </c>
      <c r="AU26" cm="1">
        <f t="array" ref="AU26">_xlfn.LET(
    _xlpm.row_name, $A26,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0.84471863921096246</v>
      </c>
      <c r="AV26" cm="1">
        <f t="array" ref="AV26">_xlfn.LET(
    _xlpm.row_name, $A26,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0.67236207463878739</v>
      </c>
      <c r="AW26" cm="1">
        <f t="array" ref="AW26">_xlfn.LET(
    _xlpm.row_name, $A26,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0.58368309087799763</v>
      </c>
      <c r="AX26" cm="1">
        <f t="array" ref="AX26">_xlfn.LET(
    _xlpm.row_name, $A26,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0.41816269959419955</v>
      </c>
      <c r="AY26" cm="1">
        <f t="array" ref="AY26">_xlfn.LET(
    _xlpm.row_name, $A26,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0.85622177671395394</v>
      </c>
      <c r="AZ26" cm="1">
        <f t="array" ref="AZ26">_xlfn.LET(
    _xlpm.row_name, $A26,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0.21196584756503756</v>
      </c>
      <c r="BA26" cm="1">
        <f t="array" ref="BA26">_xlfn.LET(
    _xlpm.row_name, $A26,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0.67301531061256847</v>
      </c>
      <c r="BB26" cm="1">
        <f t="array" ref="BB26">_xlfn.LET(
    _xlpm.row_name, $A26,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0.81769251404204835</v>
      </c>
      <c r="BC26" cm="1">
        <f t="array" ref="BC26">_xlfn.LET(
    _xlpm.row_name, $A26,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0.24510608000357276</v>
      </c>
      <c r="BD26" cm="1">
        <f t="array" ref="BD26">_xlfn.LET(
    _xlpm.row_name, $A26,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0.5502807297433383</v>
      </c>
      <c r="BE26" cm="1">
        <f t="array" ref="BE26">_xlfn.LET(
    _xlpm.row_name, $A26,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0.60398467976686432</v>
      </c>
      <c r="BF26" cm="1">
        <f t="array" ref="BF26">_xlfn.LET(
    _xlpm.row_name, $A26,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0.31501262335859181</v>
      </c>
      <c r="BG26" cm="1">
        <f t="array" ref="BG26">_xlfn.LET(
    _xlpm.row_name, $A26,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0.42988313677497125</v>
      </c>
      <c r="BH26" cm="1">
        <f t="array" ref="BH26">_xlfn.LET(
    _xlpm.row_name, $A26,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0.21921664457283363</v>
      </c>
      <c r="BI26" cm="1">
        <f t="array" ref="BI26">_xlfn.LET(
    _xlpm.row_name, $A26,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0.68654265250390489</v>
      </c>
      <c r="BJ26" cm="1">
        <f t="array" ref="BJ26">_xlfn.LET(
    _xlpm.row_name, $A26,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0.79375159409881202</v>
      </c>
      <c r="BK26" cm="1">
        <f t="array" ref="BK26">_xlfn.LET(
    _xlpm.row_name, $A26,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0.78219016990898904</v>
      </c>
      <c r="BL26" cm="1">
        <f t="array" ref="BL26">_xlfn.LET(
    _xlpm.row_name, $A26,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0.22353990114393796</v>
      </c>
      <c r="BM26" cm="1">
        <f t="array" ref="BM26">_xlfn.LET(
    _xlpm.row_name, $A26,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0.49026832330010894</v>
      </c>
      <c r="BN26" cm="1">
        <f t="array" ref="BN26">_xlfn.LET(
    _xlpm.row_name, $A26,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0.75130371661070328</v>
      </c>
      <c r="BO26" cm="1">
        <f t="array" ref="BO26">_xlfn.LET(
    _xlpm.row_name, $A26,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8.4423085709881052E-2</v>
      </c>
      <c r="BP26" cm="1">
        <f t="array" ref="BP26">_xlfn.LET(
    _xlpm.row_name, $A26,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0.69930222316077972</v>
      </c>
      <c r="BQ26" cm="1">
        <f t="array" ref="BQ26">_xlfn.LET(
    _xlpm.row_name, $A26,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0.48768776967013255</v>
      </c>
      <c r="BR26" cm="1">
        <f t="array" ref="BR26">_xlfn.LET(
    _xlpm.row_name, $A26,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0.66116906490292582</v>
      </c>
      <c r="BS26" cm="1">
        <f t="array" ref="BS26">_xlfn.LET(
    _xlpm.row_name, $A26,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0.5258354650294057</v>
      </c>
      <c r="BT26" cm="1">
        <f t="array" ref="BT26">_xlfn.LET(
    _xlpm.row_name, $A26,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0.38862411025626731</v>
      </c>
      <c r="BU26" cm="1">
        <f t="array" ref="BU26">_xlfn.LET(
    _xlpm.row_name, $A26,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0.27999997678627442</v>
      </c>
      <c r="BV26" cm="1">
        <f t="array" ref="BV26">_xlfn.LET(
    _xlpm.row_name, $A26,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0.4327059070634186</v>
      </c>
    </row>
    <row r="27" spans="1:74" x14ac:dyDescent="0.3">
      <c r="A27" t="str">
        <v>Jiménez, Joe</v>
      </c>
      <c r="B27" cm="1">
        <f t="array" ref="B27">_xlfn.LET(
    _xlpm.row_name, $A27,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0.18579867959327728</v>
      </c>
      <c r="C27" cm="1">
        <f t="array" ref="C27">_xlfn.LET(
    _xlpm.row_name, $A27,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0.30050394814833137</v>
      </c>
      <c r="D27" cm="1">
        <f t="array" ref="D27">_xlfn.LET(
    _xlpm.row_name, $A27,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0.96169978790497246</v>
      </c>
      <c r="E27" cm="1">
        <f t="array" ref="E27">_xlfn.LET(
    _xlpm.row_name, $A27,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4.0929954040487437E-2</v>
      </c>
      <c r="F27" cm="1">
        <f t="array" ref="F27">_xlfn.LET(
    _xlpm.row_name, $A27,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0.3602425023758381</v>
      </c>
      <c r="G27" cm="1">
        <f t="array" ref="G27">_xlfn.LET(
    _xlpm.row_name, $A27,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0.63056753863035619</v>
      </c>
      <c r="H27" cm="1">
        <f t="array" ref="H27">_xlfn.LET(
    _xlpm.row_name, $A27,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0.61878403678551808</v>
      </c>
      <c r="I27" cm="1">
        <f t="array" ref="I27">_xlfn.LET(
    _xlpm.row_name, $A27,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0.63591671960627916</v>
      </c>
      <c r="J27" cm="1">
        <f t="array" ref="J27">_xlfn.LET(
    _xlpm.row_name, $A27,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0.72491600777638743</v>
      </c>
      <c r="K27" cm="1">
        <f t="array" ref="K27">_xlfn.LET(
    _xlpm.row_name, $A27,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0.21315198595487433</v>
      </c>
      <c r="L27" cm="1">
        <f t="array" ref="L27">_xlfn.LET(
    _xlpm.row_name, $A27,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9.4053403399634028E-2</v>
      </c>
      <c r="M27" cm="1">
        <f t="array" ref="M27">_xlfn.LET(
    _xlpm.row_name, $A27,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0.81772158053549648</v>
      </c>
      <c r="N27" cm="1">
        <f t="array" ref="N27">_xlfn.LET(
    _xlpm.row_name, $A27,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0.62132230820488332</v>
      </c>
      <c r="O27" cm="1">
        <f t="array" ref="O27">_xlfn.LET(
    _xlpm.row_name, $A27,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0.62646258586192705</v>
      </c>
      <c r="P27" cm="1">
        <f t="array" ref="P27">_xlfn.LET(
    _xlpm.row_name, $A27,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0.61065136218185845</v>
      </c>
      <c r="Q27" cm="1">
        <f t="array" ref="Q27">_xlfn.LET(
    _xlpm.row_name, $A27,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0.14894872288320415</v>
      </c>
      <c r="R27" cm="1">
        <f t="array" ref="R27">_xlfn.LET(
    _xlpm.row_name, $A27,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0.75387533019852793</v>
      </c>
      <c r="S27" cm="1">
        <f t="array" ref="S27">_xlfn.LET(
    _xlpm.row_name, $A27,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0.61078592432912437</v>
      </c>
      <c r="T27" cm="1">
        <f t="array" ref="T27">_xlfn.LET(
    _xlpm.row_name, $A27,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0.77268444112393886</v>
      </c>
      <c r="U27" cm="1">
        <f t="array" ref="U27">_xlfn.LET(
    _xlpm.row_name, $A27,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0.70438575658261315</v>
      </c>
      <c r="V27" cm="1">
        <f t="array" ref="V27">_xlfn.LET(
    _xlpm.row_name, $A27,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0.15990142591803225</v>
      </c>
      <c r="W27" cm="1">
        <f t="array" ref="W27">_xlfn.LET(
    _xlpm.row_name, $A27,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0.35827507463845931</v>
      </c>
      <c r="X27" cm="1">
        <f t="array" ref="X27">_xlfn.LET(
    _xlpm.row_name, $A27,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0.66790051416927065</v>
      </c>
      <c r="Y27" cm="1">
        <f t="array" ref="Y27">_xlfn.LET(
    _xlpm.row_name, $A27,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0.51633563364584512</v>
      </c>
      <c r="Z27" cm="1">
        <f t="array" ref="Z27">_xlfn.LET(
    _xlpm.row_name, $A27,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A27" cm="1">
        <f t="array" ref="AA27">_xlfn.LET(
    _xlpm.row_name, $A27,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0.68290386748228538</v>
      </c>
      <c r="AB27" cm="1">
        <f t="array" ref="AB27">_xlfn.LET(
    _xlpm.row_name, $A27,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0.69417908988864685</v>
      </c>
      <c r="AC27" cm="1">
        <f t="array" ref="AC27">_xlfn.LET(
    _xlpm.row_name, $A27,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0.11725937634881622</v>
      </c>
      <c r="AD27" cm="1">
        <f t="array" ref="AD27">_xlfn.LET(
    _xlpm.row_name, $A27,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0.5714333010699375</v>
      </c>
      <c r="AE27" cm="1">
        <f t="array" ref="AE27">_xlfn.LET(
    _xlpm.row_name, $A27,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0.79124135990494293</v>
      </c>
      <c r="AF27" cm="1">
        <f t="array" ref="AF27">_xlfn.LET(
    _xlpm.row_name, $A27,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0.21866934868489962</v>
      </c>
      <c r="AG27" cm="1">
        <f t="array" ref="AG27">_xlfn.LET(
    _xlpm.row_name, $A27,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0.31214834261057534</v>
      </c>
      <c r="AH27" cm="1">
        <f t="array" ref="AH27">_xlfn.LET(
    _xlpm.row_name, $A27,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0.74218834641681242</v>
      </c>
      <c r="AI27" cm="1">
        <f t="array" ref="AI27">_xlfn.LET(
    _xlpm.row_name, $A27,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0.43263895198272595</v>
      </c>
      <c r="AJ27" cm="1">
        <f t="array" ref="AJ27">_xlfn.LET(
    _xlpm.row_name, $A27,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0.91387034568494285</v>
      </c>
      <c r="AK27" cm="1">
        <f t="array" ref="AK27">_xlfn.LET(
    _xlpm.row_name, $A27,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0.13819124703504976</v>
      </c>
      <c r="AL27" cm="1">
        <f t="array" ref="AL27">_xlfn.LET(
    _xlpm.row_name, $A27,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0.9701370458121148</v>
      </c>
      <c r="AM27" cm="1">
        <f t="array" ref="AM27">_xlfn.LET(
    _xlpm.row_name, $A27,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0.1155048109138701</v>
      </c>
      <c r="AN27" cm="1">
        <f t="array" ref="AN27">_xlfn.LET(
    _xlpm.row_name, $A27,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0.89383743802379301</v>
      </c>
      <c r="AO27" cm="1">
        <f t="array" ref="AO27">_xlfn.LET(
    _xlpm.row_name, $A27,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0.75219392365405713</v>
      </c>
      <c r="AP27" cm="1">
        <f t="array" ref="AP27">_xlfn.LET(
    _xlpm.row_name, $A27,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0.64573917053003937</v>
      </c>
      <c r="AQ27" cm="1">
        <f t="array" ref="AQ27">_xlfn.LET(
    _xlpm.row_name, $A27,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0.51152489282132396</v>
      </c>
      <c r="AR27" cm="1">
        <f t="array" ref="AR27">_xlfn.LET(
    _xlpm.row_name, $A27,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0.76362142329725002</v>
      </c>
      <c r="AS27" cm="1">
        <f t="array" ref="AS27">_xlfn.LET(
    _xlpm.row_name, $A27,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0.46466591512509636</v>
      </c>
      <c r="AT27" cm="1">
        <f t="array" ref="AT27">_xlfn.LET(
    _xlpm.row_name, $A27,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0.18887514364649349</v>
      </c>
      <c r="AU27" cm="1">
        <f t="array" ref="AU27">_xlfn.LET(
    _xlpm.row_name, $A27,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0.85613585380791246</v>
      </c>
      <c r="AV27" cm="1">
        <f t="array" ref="AV27">_xlfn.LET(
    _xlpm.row_name, $A27,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0.14008031212161282</v>
      </c>
      <c r="AW27" cm="1">
        <f t="array" ref="AW27">_xlfn.LET(
    _xlpm.row_name, $A27,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0.13217631206864133</v>
      </c>
      <c r="AX27" cm="1">
        <f t="array" ref="AX27">_xlfn.LET(
    _xlpm.row_name, $A27,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0.37274960807470103</v>
      </c>
      <c r="AY27" cm="1">
        <f t="array" ref="AY27">_xlfn.LET(
    _xlpm.row_name, $A27,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0.70687518352350875</v>
      </c>
      <c r="AZ27" cm="1">
        <f t="array" ref="AZ27">_xlfn.LET(
    _xlpm.row_name, $A27,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0.639750814910233</v>
      </c>
      <c r="BA27" cm="1">
        <f t="array" ref="BA27">_xlfn.LET(
    _xlpm.row_name, $A27,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0.51706802478069991</v>
      </c>
      <c r="BB27" cm="1">
        <f t="array" ref="BB27">_xlfn.LET(
    _xlpm.row_name, $A27,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0.17185319556682399</v>
      </c>
      <c r="BC27" cm="1">
        <f t="array" ref="BC27">_xlfn.LET(
    _xlpm.row_name, $A27,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0.11138269774908327</v>
      </c>
      <c r="BD27" cm="1">
        <f t="array" ref="BD27">_xlfn.LET(
    _xlpm.row_name, $A27,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0.66007314602481504</v>
      </c>
      <c r="BE27" cm="1">
        <f t="array" ref="BE27">_xlfn.LET(
    _xlpm.row_name, $A27,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0.13564942953632358</v>
      </c>
      <c r="BF27" cm="1">
        <f t="array" ref="BF27">_xlfn.LET(
    _xlpm.row_name, $A27,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0.74711930019787187</v>
      </c>
      <c r="BG27" cm="1">
        <f t="array" ref="BG27">_xlfn.LET(
    _xlpm.row_name, $A27,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0.47436701201902109</v>
      </c>
      <c r="BH27" cm="1">
        <f t="array" ref="BH27">_xlfn.LET(
    _xlpm.row_name, $A27,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0.31129600333582674</v>
      </c>
      <c r="BI27" cm="1">
        <f t="array" ref="BI27">_xlfn.LET(
    _xlpm.row_name, $A27,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0.28601344288827557</v>
      </c>
      <c r="BJ27" cm="1">
        <f t="array" ref="BJ27">_xlfn.LET(
    _xlpm.row_name, $A27,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0.76726087161874101</v>
      </c>
      <c r="BK27" cm="1">
        <f t="array" ref="BK27">_xlfn.LET(
    _xlpm.row_name, $A27,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0.32025977229790203</v>
      </c>
      <c r="BL27" cm="1">
        <f t="array" ref="BL27">_xlfn.LET(
    _xlpm.row_name, $A27,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0.85706015965584004</v>
      </c>
      <c r="BM27" cm="1">
        <f t="array" ref="BM27">_xlfn.LET(
    _xlpm.row_name, $A27,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0.27540549652045071</v>
      </c>
      <c r="BN27" cm="1">
        <f t="array" ref="BN27">_xlfn.LET(
    _xlpm.row_name, $A27,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0.28577732249157334</v>
      </c>
      <c r="BO27" cm="1">
        <f t="array" ref="BO27">_xlfn.LET(
    _xlpm.row_name, $A27,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0.58709082334415674</v>
      </c>
      <c r="BP27" cm="1">
        <f t="array" ref="BP27">_xlfn.LET(
    _xlpm.row_name, $A27,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0.86578664783314208</v>
      </c>
      <c r="BQ27" cm="1">
        <f t="array" ref="BQ27">_xlfn.LET(
    _xlpm.row_name, $A27,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0.35669435380463205</v>
      </c>
      <c r="BR27" cm="1">
        <f t="array" ref="BR27">_xlfn.LET(
    _xlpm.row_name, $A27,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5.1158694078838329E-2</v>
      </c>
      <c r="BS27" cm="1">
        <f t="array" ref="BS27">_xlfn.LET(
    _xlpm.row_name, $A27,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0.79510670937706918</v>
      </c>
      <c r="BT27" cm="1">
        <f t="array" ref="BT27">_xlfn.LET(
    _xlpm.row_name, $A27,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0.86389267452844565</v>
      </c>
      <c r="BU27" cm="1">
        <f t="array" ref="BU27">_xlfn.LET(
    _xlpm.row_name, $A27,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0.89868228346773282</v>
      </c>
      <c r="BV27" cm="1">
        <f t="array" ref="BV27">_xlfn.LET(
    _xlpm.row_name, $A27,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0.22701041993345988</v>
      </c>
    </row>
    <row r="28" spans="1:74" x14ac:dyDescent="0.3">
      <c r="A28" t="str">
        <v>Smith, Will</v>
      </c>
      <c r="B28" cm="1">
        <f t="array" ref="B28">_xlfn.LET(
    _xlpm.row_name, $A28,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0.3278014693728345</v>
      </c>
      <c r="C28" cm="1">
        <f t="array" ref="C28">_xlfn.LET(
    _xlpm.row_name, $A28,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0.3568351809821827</v>
      </c>
      <c r="D28" cm="1">
        <f t="array" ref="D28">_xlfn.LET(
    _xlpm.row_name, $A28,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0.66873325399522343</v>
      </c>
      <c r="E28" cm="1">
        <f t="array" ref="E28">_xlfn.LET(
    _xlpm.row_name, $A28,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0.2585491506594908</v>
      </c>
      <c r="F28" cm="1">
        <f t="array" ref="F28">_xlfn.LET(
    _xlpm.row_name, $A28,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0.48359743531222638</v>
      </c>
      <c r="G28" cm="1">
        <f t="array" ref="G28">_xlfn.LET(
    _xlpm.row_name, $A28,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0.82480721947203395</v>
      </c>
      <c r="H28" cm="1">
        <f t="array" ref="H28">_xlfn.LET(
    _xlpm.row_name, $A28,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0.37068316117737432</v>
      </c>
      <c r="I28" cm="1">
        <f t="array" ref="I28">_xlfn.LET(
    _xlpm.row_name, $A28,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0.39528144851478547</v>
      </c>
      <c r="J28" cm="1">
        <f t="array" ref="J28">_xlfn.LET(
    _xlpm.row_name, $A28,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0.54289925323552091</v>
      </c>
      <c r="K28" cm="1">
        <f t="array" ref="K28">_xlfn.LET(
    _xlpm.row_name, $A28,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0.47890515885902374</v>
      </c>
      <c r="L28" cm="1">
        <f t="array" ref="L28">_xlfn.LET(
    _xlpm.row_name, $A28,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0.53829518296770462</v>
      </c>
      <c r="M28" cm="1">
        <f t="array" ref="M28">_xlfn.LET(
    _xlpm.row_name, $A28,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0.64268329789219836</v>
      </c>
      <c r="N28" cm="1">
        <f t="array" ref="N28">_xlfn.LET(
    _xlpm.row_name, $A28,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0.39410322599018821</v>
      </c>
      <c r="O28" cm="1">
        <f t="array" ref="O28">_xlfn.LET(
    _xlpm.row_name, $A28,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0.98665974749623109</v>
      </c>
      <c r="P28" cm="1">
        <f t="array" ref="P28">_xlfn.LET(
    _xlpm.row_name, $A28,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0.28899739707248495</v>
      </c>
      <c r="Q28" cm="1">
        <f t="array" ref="Q28">_xlfn.LET(
    _xlpm.row_name, $A28,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0.40301284031676932</v>
      </c>
      <c r="R28" cm="1">
        <f t="array" ref="R28">_xlfn.LET(
    _xlpm.row_name, $A28,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0.4135690596909179</v>
      </c>
      <c r="S28" cm="1">
        <f t="array" ref="S28">_xlfn.LET(
    _xlpm.row_name, $A28,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0.51494366150593862</v>
      </c>
      <c r="T28" cm="1">
        <f t="array" ref="T28">_xlfn.LET(
    _xlpm.row_name, $A28,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0.41558330653812159</v>
      </c>
      <c r="U28" cm="1">
        <f t="array" ref="U28">_xlfn.LET(
    _xlpm.row_name, $A28,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0.7586518008694465</v>
      </c>
      <c r="V28" cm="1">
        <f t="array" ref="V28">_xlfn.LET(
    _xlpm.row_name, $A28,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0.67336716168528854</v>
      </c>
      <c r="W28" cm="1">
        <f t="array" ref="W28">_xlfn.LET(
    _xlpm.row_name, $A28,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0.28908034225363799</v>
      </c>
      <c r="X28" cm="1">
        <f t="array" ref="X28">_xlfn.LET(
    _xlpm.row_name, $A28,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0.65813329806428311</v>
      </c>
      <c r="Y28" cm="1">
        <f t="array" ref="Y28">_xlfn.LET(
    _xlpm.row_name, $A28,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0.5493288203926453</v>
      </c>
      <c r="Z28" cm="1">
        <f t="array" ref="Z28">_xlfn.LET(
    _xlpm.row_name, $A28,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0.68290386748228538</v>
      </c>
      <c r="AA28" cm="1">
        <f t="array" ref="AA28">_xlfn.LET(
    _xlpm.row_name, $A28,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B28" cm="1">
        <f t="array" ref="AB28">_xlfn.LET(
    _xlpm.row_name, $A28,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0.72503407347803028</v>
      </c>
      <c r="AC28" cm="1">
        <f t="array" ref="AC28">_xlfn.LET(
    _xlpm.row_name, $A28,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0.22869155627683657</v>
      </c>
      <c r="AD28" cm="1">
        <f t="array" ref="AD28">_xlfn.LET(
    _xlpm.row_name, $A28,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0.38468391136191415</v>
      </c>
      <c r="AE28" cm="1">
        <f t="array" ref="AE28">_xlfn.LET(
    _xlpm.row_name, $A28,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0.75852813117030093</v>
      </c>
      <c r="AF28" cm="1">
        <f t="array" ref="AF28">_xlfn.LET(
    _xlpm.row_name, $A28,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0.70186964141903752</v>
      </c>
      <c r="AG28" cm="1">
        <f t="array" ref="AG28">_xlfn.LET(
    _xlpm.row_name, $A28,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0.63369949378030621</v>
      </c>
      <c r="AH28" cm="1">
        <f t="array" ref="AH28">_xlfn.LET(
    _xlpm.row_name, $A28,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0.66419071973568533</v>
      </c>
      <c r="AI28" cm="1">
        <f t="array" ref="AI28">_xlfn.LET(
    _xlpm.row_name, $A28,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0.74707923515482311</v>
      </c>
      <c r="AJ28" cm="1">
        <f t="array" ref="AJ28">_xlfn.LET(
    _xlpm.row_name, $A28,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0.88434426072192895</v>
      </c>
      <c r="AK28" cm="1">
        <f t="array" ref="AK28">_xlfn.LET(
    _xlpm.row_name, $A28,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0.65448301279766641</v>
      </c>
      <c r="AL28" cm="1">
        <f t="array" ref="AL28">_xlfn.LET(
    _xlpm.row_name, $A28,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0.606020478737332</v>
      </c>
      <c r="AM28" cm="1">
        <f t="array" ref="AM28">_xlfn.LET(
    _xlpm.row_name, $A28,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0.36414149357027481</v>
      </c>
      <c r="AN28" cm="1">
        <f t="array" ref="AN28">_xlfn.LET(
    _xlpm.row_name, $A28,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0.73181633846833138</v>
      </c>
      <c r="AO28" cm="1">
        <f t="array" ref="AO28">_xlfn.LET(
    _xlpm.row_name, $A28,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0.54719602546539503</v>
      </c>
      <c r="AP28" cm="1">
        <f t="array" ref="AP28">_xlfn.LET(
    _xlpm.row_name, $A28,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0.45253068014933651</v>
      </c>
      <c r="AQ28" cm="1">
        <f t="array" ref="AQ28">_xlfn.LET(
    _xlpm.row_name, $A28,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0.88856122683745142</v>
      </c>
      <c r="AR28" cm="1">
        <f t="array" ref="AR28">_xlfn.LET(
    _xlpm.row_name, $A28,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0.76669795597229551</v>
      </c>
      <c r="AS28" cm="1">
        <f t="array" ref="AS28">_xlfn.LET(
    _xlpm.row_name, $A28,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0.82950797287366529</v>
      </c>
      <c r="AT28" cm="1">
        <f t="array" ref="AT28">_xlfn.LET(
    _xlpm.row_name, $A28,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0.56726801640037516</v>
      </c>
      <c r="AU28" cm="1">
        <f t="array" ref="AU28">_xlfn.LET(
    _xlpm.row_name, $A28,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0.74265318637141275</v>
      </c>
      <c r="AV28" cm="1">
        <f t="array" ref="AV28">_xlfn.LET(
    _xlpm.row_name, $A28,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0.38368952076707469</v>
      </c>
      <c r="AW28" cm="1">
        <f t="array" ref="AW28">_xlfn.LET(
    _xlpm.row_name, $A28,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0.28132208790710844</v>
      </c>
      <c r="AX28" cm="1">
        <f t="array" ref="AX28">_xlfn.LET(
    _xlpm.row_name, $A28,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0.45627277154873835</v>
      </c>
      <c r="AY28" cm="1">
        <f t="array" ref="AY28">_xlfn.LET(
    _xlpm.row_name, $A28,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0.75458954209934792</v>
      </c>
      <c r="AZ28" cm="1">
        <f t="array" ref="AZ28">_xlfn.LET(
    _xlpm.row_name, $A28,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0.3541892873803868</v>
      </c>
      <c r="BA28" cm="1">
        <f t="array" ref="BA28">_xlfn.LET(
    _xlpm.row_name, $A28,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0.81516678595513481</v>
      </c>
      <c r="BB28" cm="1">
        <f t="array" ref="BB28">_xlfn.LET(
    _xlpm.row_name, $A28,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0.29868314586549727</v>
      </c>
      <c r="BC28" cm="1">
        <f t="array" ref="BC28">_xlfn.LET(
    _xlpm.row_name, $A28,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0.38058607298715674</v>
      </c>
      <c r="BD28" cm="1">
        <f t="array" ref="BD28">_xlfn.LET(
    _xlpm.row_name, $A28,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0.86353968267239645</v>
      </c>
      <c r="BE28" cm="1">
        <f t="array" ref="BE28">_xlfn.LET(
    _xlpm.row_name, $A28,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0.35138037387046989</v>
      </c>
      <c r="BF28" cm="1">
        <f t="array" ref="BF28">_xlfn.LET(
    _xlpm.row_name, $A28,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0.31050592949773287</v>
      </c>
      <c r="BG28" cm="1">
        <f t="array" ref="BG28">_xlfn.LET(
    _xlpm.row_name, $A28,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0.73793174050710098</v>
      </c>
      <c r="BH28" cm="1">
        <f t="array" ref="BH28">_xlfn.LET(
    _xlpm.row_name, $A28,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0.66584904708754122</v>
      </c>
      <c r="BI28" cm="1">
        <f t="array" ref="BI28">_xlfn.LET(
    _xlpm.row_name, $A28,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0.36866970840036067</v>
      </c>
      <c r="BJ28" cm="1">
        <f t="array" ref="BJ28">_xlfn.LET(
    _xlpm.row_name, $A28,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0.7656980097582472</v>
      </c>
      <c r="BK28" cm="1">
        <f t="array" ref="BK28">_xlfn.LET(
    _xlpm.row_name, $A28,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0.54588215325959155</v>
      </c>
      <c r="BL28" cm="1">
        <f t="array" ref="BL28">_xlfn.LET(
    _xlpm.row_name, $A28,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0.60953008699081546</v>
      </c>
      <c r="BM28" cm="1">
        <f t="array" ref="BM28">_xlfn.LET(
    _xlpm.row_name, $A28,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0.49030391103338872</v>
      </c>
      <c r="BN28" cm="1">
        <f t="array" ref="BN28">_xlfn.LET(
    _xlpm.row_name, $A28,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0.14293859580315044</v>
      </c>
      <c r="BO28" cm="1">
        <f t="array" ref="BO28">_xlfn.LET(
    _xlpm.row_name, $A28,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0.29520322459852932</v>
      </c>
      <c r="BP28" cm="1">
        <f t="array" ref="BP28">_xlfn.LET(
    _xlpm.row_name, $A28,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0.79173232392662118</v>
      </c>
      <c r="BQ28" cm="1">
        <f t="array" ref="BQ28">_xlfn.LET(
    _xlpm.row_name, $A28,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0.29045881554753128</v>
      </c>
      <c r="BR28" cm="1">
        <f t="array" ref="BR28">_xlfn.LET(
    _xlpm.row_name, $A28,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0.31350788851962635</v>
      </c>
      <c r="BS28" cm="1">
        <f t="array" ref="BS28">_xlfn.LET(
    _xlpm.row_name, $A28,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0.63015755051074918</v>
      </c>
      <c r="BT28" cm="1">
        <f t="array" ref="BT28">_xlfn.LET(
    _xlpm.row_name, $A28,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0.45876679408994281</v>
      </c>
      <c r="BU28" cm="1">
        <f t="array" ref="BU28">_xlfn.LET(
    _xlpm.row_name, $A28,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0.77248167637385756</v>
      </c>
      <c r="BV28" cm="1">
        <f t="array" ref="BV28">_xlfn.LET(
    _xlpm.row_name, $A28,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0.70023439537569487</v>
      </c>
    </row>
    <row r="29" spans="1:74" x14ac:dyDescent="0.3">
      <c r="A29" t="str">
        <v>Foltynewicz, Mike</v>
      </c>
      <c r="B29" cm="1">
        <f t="array" ref="B29">_xlfn.LET(
    _xlpm.row_name, $A29,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0.67362009032284309</v>
      </c>
      <c r="C29" cm="1">
        <f t="array" ref="C29">_xlfn.LET(
    _xlpm.row_name, $A29,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0.54491712990634145</v>
      </c>
      <c r="D29" cm="1">
        <f t="array" ref="D29">_xlfn.LET(
    _xlpm.row_name, $A29,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0.68962397008882048</v>
      </c>
      <c r="E29" cm="1">
        <f t="array" ref="E29">_xlfn.LET(
    _xlpm.row_name, $A29,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0.15699873077976229</v>
      </c>
      <c r="F29" cm="1">
        <f t="array" ref="F29">_xlfn.LET(
    _xlpm.row_name, $A29,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0.45353914662038675</v>
      </c>
      <c r="G29" cm="1">
        <f t="array" ref="G29">_xlfn.LET(
    _xlpm.row_name, $A29,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0.80669159609253283</v>
      </c>
      <c r="H29" cm="1">
        <f t="array" ref="H29">_xlfn.LET(
    _xlpm.row_name, $A29,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0.61941540982816745</v>
      </c>
      <c r="I29" cm="1">
        <f t="array" ref="I29">_xlfn.LET(
    _xlpm.row_name, $A29,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0.83263221217278338</v>
      </c>
      <c r="J29" cm="1">
        <f t="array" ref="J29">_xlfn.LET(
    _xlpm.row_name, $A29,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0.74748299036228438</v>
      </c>
      <c r="K29" cm="1">
        <f t="array" ref="K29">_xlfn.LET(
    _xlpm.row_name, $A29,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0.55154213721622047</v>
      </c>
      <c r="L29" cm="1">
        <f t="array" ref="L29">_xlfn.LET(
    _xlpm.row_name, $A29,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0.56721239088961639</v>
      </c>
      <c r="M29" cm="1">
        <f t="array" ref="M29">_xlfn.LET(
    _xlpm.row_name, $A29,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0.90952468605430725</v>
      </c>
      <c r="N29" cm="1">
        <f t="array" ref="N29">_xlfn.LET(
    _xlpm.row_name, $A29,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0.20000340443020714</v>
      </c>
      <c r="O29" cm="1">
        <f t="array" ref="O29">_xlfn.LET(
    _xlpm.row_name, $A29,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0.76085644410924469</v>
      </c>
      <c r="P29" cm="1">
        <f t="array" ref="P29">_xlfn.LET(
    _xlpm.row_name, $A29,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0.20825999699904674</v>
      </c>
      <c r="Q29" cm="1">
        <f t="array" ref="Q29">_xlfn.LET(
    _xlpm.row_name, $A29,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0.17323620911849713</v>
      </c>
      <c r="R29" cm="1">
        <f t="array" ref="R29">_xlfn.LET(
    _xlpm.row_name, $A29,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0.4984605437554267</v>
      </c>
      <c r="S29" cm="1">
        <f t="array" ref="S29">_xlfn.LET(
    _xlpm.row_name, $A29,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0.5251478487798692</v>
      </c>
      <c r="T29" cm="1">
        <f t="array" ref="T29">_xlfn.LET(
    _xlpm.row_name, $A29,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0.29128390172737711</v>
      </c>
      <c r="U29" cm="1">
        <f t="array" ref="U29">_xlfn.LET(
    _xlpm.row_name, $A29,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0.77471150709022918</v>
      </c>
      <c r="V29" cm="1">
        <f t="array" ref="V29">_xlfn.LET(
    _xlpm.row_name, $A29,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0.56666124453650601</v>
      </c>
      <c r="W29" cm="1">
        <f t="array" ref="W29">_xlfn.LET(
    _xlpm.row_name, $A29,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7.6915034394443693E-2</v>
      </c>
      <c r="X29" cm="1">
        <f t="array" ref="X29">_xlfn.LET(
    _xlpm.row_name, $A29,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0.77789489366694031</v>
      </c>
      <c r="Y29" cm="1">
        <f t="array" ref="Y29">_xlfn.LET(
    _xlpm.row_name, $A29,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0.90374397984142418</v>
      </c>
      <c r="Z29" cm="1">
        <f t="array" ref="Z29">_xlfn.LET(
    _xlpm.row_name, $A29,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0.69417908988864685</v>
      </c>
      <c r="AA29" cm="1">
        <f t="array" ref="AA29">_xlfn.LET(
    _xlpm.row_name, $A29,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0.72503407347803028</v>
      </c>
      <c r="AB29" cm="1">
        <f t="array" ref="AB29">_xlfn.LET(
    _xlpm.row_name, $A29,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C29" cm="1">
        <f t="array" ref="AC29">_xlfn.LET(
    _xlpm.row_name, $A29,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0.36968654390314648</v>
      </c>
      <c r="AD29" cm="1">
        <f t="array" ref="AD29">_xlfn.LET(
    _xlpm.row_name, $A29,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0.79478273562532209</v>
      </c>
      <c r="AE29" cm="1">
        <f t="array" ref="AE29">_xlfn.LET(
    _xlpm.row_name, $A29,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0.78802173558711275</v>
      </c>
      <c r="AF29" cm="1">
        <f t="array" ref="AF29">_xlfn.LET(
    _xlpm.row_name, $A29,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0.59329490865410217</v>
      </c>
      <c r="AG29" cm="1">
        <f t="array" ref="AG29">_xlfn.LET(
    _xlpm.row_name, $A29,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0.67040707375087361</v>
      </c>
      <c r="AH29" cm="1">
        <f t="array" ref="AH29">_xlfn.LET(
    _xlpm.row_name, $A29,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0.85166718361285676</v>
      </c>
      <c r="AI29" cm="1">
        <f t="array" ref="AI29">_xlfn.LET(
    _xlpm.row_name, $A29,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0.89185239634067504</v>
      </c>
      <c r="AJ29" cm="1">
        <f t="array" ref="AJ29">_xlfn.LET(
    _xlpm.row_name, $A29,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0.82427667947782901</v>
      </c>
      <c r="AK29" cm="1">
        <f t="array" ref="AK29">_xlfn.LET(
    _xlpm.row_name, $A29,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0.56028636358713269</v>
      </c>
      <c r="AL29" cm="1">
        <f t="array" ref="AL29">_xlfn.LET(
    _xlpm.row_name, $A29,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0.7554144688862563</v>
      </c>
      <c r="AM29" cm="1">
        <f t="array" ref="AM29">_xlfn.LET(
    _xlpm.row_name, $A29,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0.20444002057361499</v>
      </c>
      <c r="AN29" cm="1">
        <f t="array" ref="AN29">_xlfn.LET(
    _xlpm.row_name, $A29,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0.73648636497079023</v>
      </c>
      <c r="AO29" cm="1">
        <f t="array" ref="AO29">_xlfn.LET(
    _xlpm.row_name, $A29,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0.25658243545417592</v>
      </c>
      <c r="AP29" cm="1">
        <f t="array" ref="AP29">_xlfn.LET(
    _xlpm.row_name, $A29,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0.58446263595986436</v>
      </c>
      <c r="AQ29" cm="1">
        <f t="array" ref="AQ29">_xlfn.LET(
    _xlpm.row_name, $A29,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0.46326466989609461</v>
      </c>
      <c r="AR29" cm="1">
        <f t="array" ref="AR29">_xlfn.LET(
    _xlpm.row_name, $A29,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0.58733715917480078</v>
      </c>
      <c r="AS29" cm="1">
        <f t="array" ref="AS29">_xlfn.LET(
    _xlpm.row_name, $A29,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0.57260272104710164</v>
      </c>
      <c r="AT29" cm="1">
        <f t="array" ref="AT29">_xlfn.LET(
    _xlpm.row_name, $A29,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0.342572439343382</v>
      </c>
      <c r="AU29" cm="1">
        <f t="array" ref="AU29">_xlfn.LET(
    _xlpm.row_name, $A29,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0.92065786273037042</v>
      </c>
      <c r="AV29" cm="1">
        <f t="array" ref="AV29">_xlfn.LET(
    _xlpm.row_name, $A29,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0.44761560478760537</v>
      </c>
      <c r="AW29" cm="1">
        <f t="array" ref="AW29">_xlfn.LET(
    _xlpm.row_name, $A29,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0.5149978203644594</v>
      </c>
      <c r="AX29" cm="1">
        <f t="array" ref="AX29">_xlfn.LET(
    _xlpm.row_name, $A29,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0.20703990833718644</v>
      </c>
      <c r="AY29" cm="1">
        <f t="array" ref="AY29">_xlfn.LET(
    _xlpm.row_name, $A29,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0.82695236619908052</v>
      </c>
      <c r="AZ29" cm="1">
        <f t="array" ref="AZ29">_xlfn.LET(
    _xlpm.row_name, $A29,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0.15060290953145111</v>
      </c>
      <c r="BA29" cm="1">
        <f t="array" ref="BA29">_xlfn.LET(
    _xlpm.row_name, $A29,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0.85244512743366418</v>
      </c>
      <c r="BB29" cm="1">
        <f t="array" ref="BB29">_xlfn.LET(
    _xlpm.row_name, $A29,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0.65582085784575794</v>
      </c>
      <c r="BC29" cm="1">
        <f t="array" ref="BC29">_xlfn.LET(
    _xlpm.row_name, $A29,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0.10329108961374861</v>
      </c>
      <c r="BD29" cm="1">
        <f t="array" ref="BD29">_xlfn.LET(
    _xlpm.row_name, $A29,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0.75027224454410357</v>
      </c>
      <c r="BE29" cm="1">
        <f t="array" ref="BE29">_xlfn.LET(
    _xlpm.row_name, $A29,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0.43399636456267016</v>
      </c>
      <c r="BF29" cm="1">
        <f t="array" ref="BF29">_xlfn.LET(
    _xlpm.row_name, $A29,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0.29315781244881733</v>
      </c>
      <c r="BG29" cm="1">
        <f t="array" ref="BG29">_xlfn.LET(
    _xlpm.row_name, $A29,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0.66516964608918738</v>
      </c>
      <c r="BH29" cm="1">
        <f t="array" ref="BH29">_xlfn.LET(
    _xlpm.row_name, $A29,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0.21379552205268915</v>
      </c>
      <c r="BI29" cm="1">
        <f t="array" ref="BI29">_xlfn.LET(
    _xlpm.row_name, $A29,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0.70602661480635587</v>
      </c>
      <c r="BJ29" cm="1">
        <f t="array" ref="BJ29">_xlfn.LET(
    _xlpm.row_name, $A29,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0.88627552217002159</v>
      </c>
      <c r="BK29" cm="1">
        <f t="array" ref="BK29">_xlfn.LET(
    _xlpm.row_name, $A29,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0.81655190462871519</v>
      </c>
      <c r="BL29" cm="1">
        <f t="array" ref="BL29">_xlfn.LET(
    _xlpm.row_name, $A29,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0.33979885838952373</v>
      </c>
      <c r="BM29" cm="1">
        <f t="array" ref="BM29">_xlfn.LET(
    _xlpm.row_name, $A29,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0.26907113224318852</v>
      </c>
      <c r="BN29" cm="1">
        <f t="array" ref="BN29">_xlfn.LET(
    _xlpm.row_name, $A29,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0.6047980992560007</v>
      </c>
      <c r="BO29" cm="1">
        <f t="array" ref="BO29">_xlfn.LET(
    _xlpm.row_name, $A29,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0.18747698588876349</v>
      </c>
      <c r="BP29" cm="1">
        <f t="array" ref="BP29">_xlfn.LET(
    _xlpm.row_name, $A29,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0.87656755878240067</v>
      </c>
      <c r="BQ29" cm="1">
        <f t="array" ref="BQ29">_xlfn.LET(
    _xlpm.row_name, $A29,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0.38718135107370066</v>
      </c>
      <c r="BR29" cm="1">
        <f t="array" ref="BR29">_xlfn.LET(
    _xlpm.row_name, $A29,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0.50381339597974661</v>
      </c>
      <c r="BS29" cm="1">
        <f t="array" ref="BS29">_xlfn.LET(
    _xlpm.row_name, $A29,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0.60022358228817763</v>
      </c>
      <c r="BT29" cm="1">
        <f t="array" ref="BT29">_xlfn.LET(
    _xlpm.row_name, $A29,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0.39433990750923104</v>
      </c>
      <c r="BU29" cm="1">
        <f t="array" ref="BU29">_xlfn.LET(
    _xlpm.row_name, $A29,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0.47754361736239442</v>
      </c>
      <c r="BV29" cm="1">
        <f t="array" ref="BV29">_xlfn.LET(
    _xlpm.row_name, $A29,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0.37134430595253476</v>
      </c>
    </row>
    <row r="30" spans="1:74" x14ac:dyDescent="0.3">
      <c r="A30" t="str">
        <v>Bummer, Aaron</v>
      </c>
      <c r="B30" cm="1">
        <f t="array" ref="B30">_xlfn.LET(
    _xlpm.row_name, $A30,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0.85254141588015431</v>
      </c>
      <c r="C30" cm="1">
        <f t="array" ref="C30">_xlfn.LET(
    _xlpm.row_name, $A30,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0.93346594289326701</v>
      </c>
      <c r="D30" cm="1">
        <f t="array" ref="D30">_xlfn.LET(
    _xlpm.row_name, $A30,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7.92425803217226E-2</v>
      </c>
      <c r="E30" cm="1">
        <f t="array" ref="E30">_xlfn.LET(
    _xlpm.row_name, $A30,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0.89613654963730038</v>
      </c>
      <c r="F30" cm="1">
        <f t="array" ref="F30">_xlfn.LET(
    _xlpm.row_name, $A30,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0.71356271357296719</v>
      </c>
      <c r="G30" cm="1">
        <f t="array" ref="G30">_xlfn.LET(
    _xlpm.row_name, $A30,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0.18968662154727917</v>
      </c>
      <c r="H30" cm="1">
        <f t="array" ref="H30">_xlfn.LET(
    _xlpm.row_name, $A30,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0.63446866280252212</v>
      </c>
      <c r="I30" cm="1">
        <f t="array" ref="I30">_xlfn.LET(
    _xlpm.row_name, $A30,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0.62095414765733714</v>
      </c>
      <c r="J30" cm="1">
        <f t="array" ref="J30">_xlfn.LET(
    _xlpm.row_name, $A30,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0.41740043195912585</v>
      </c>
      <c r="K30" cm="1">
        <f t="array" ref="K30">_xlfn.LET(
    _xlpm.row_name, $A30,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0.89341966638203241</v>
      </c>
      <c r="L30" cm="1">
        <f t="array" ref="L30">_xlfn.LET(
    _xlpm.row_name, $A30,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0.84045838507580251</v>
      </c>
      <c r="M30" cm="1">
        <f t="array" ref="M30">_xlfn.LET(
    _xlpm.row_name, $A30,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0.40174839708639887</v>
      </c>
      <c r="N30" cm="1">
        <f t="array" ref="N30">_xlfn.LET(
    _xlpm.row_name, $A30,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0.42521840284116058</v>
      </c>
      <c r="O30" cm="1">
        <f t="array" ref="O30">_xlfn.LET(
    _xlpm.row_name, $A30,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0.23865707989163815</v>
      </c>
      <c r="P30" cm="1">
        <f t="array" ref="P30">_xlfn.LET(
    _xlpm.row_name, $A30,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0.59869108525987658</v>
      </c>
      <c r="Q30" cm="1">
        <f t="array" ref="Q30">_xlfn.LET(
    _xlpm.row_name, $A30,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0.80655562193576336</v>
      </c>
      <c r="R30" cm="1">
        <f t="array" ref="R30">_xlfn.LET(
    _xlpm.row_name, $A30,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0.45551371985865374</v>
      </c>
      <c r="S30" cm="1">
        <f t="array" ref="S30">_xlfn.LET(
    _xlpm.row_name, $A30,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0.65222256076741836</v>
      </c>
      <c r="T30" cm="1">
        <f t="array" ref="T30">_xlfn.LET(
    _xlpm.row_name, $A30,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0.42708972712931215</v>
      </c>
      <c r="U30" cm="1">
        <f t="array" ref="U30">_xlfn.LET(
    _xlpm.row_name, $A30,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0.13422050016656811</v>
      </c>
      <c r="V30" cm="1">
        <f t="array" ref="V30">_xlfn.LET(
    _xlpm.row_name, $A30,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0.62407221822121228</v>
      </c>
      <c r="W30" cm="1">
        <f t="array" ref="W30">_xlfn.LET(
    _xlpm.row_name, $A30,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0.74276971572082628</v>
      </c>
      <c r="X30" cm="1">
        <f t="array" ref="X30">_xlfn.LET(
    _xlpm.row_name, $A30,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0.14601514860833187</v>
      </c>
      <c r="Y30" cm="1">
        <f t="array" ref="Y30">_xlfn.LET(
    _xlpm.row_name, $A30,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0.650433933803376</v>
      </c>
      <c r="Z30" cm="1">
        <f t="array" ref="Z30">_xlfn.LET(
    _xlpm.row_name, $A30,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0.11725937634881622</v>
      </c>
      <c r="AA30" cm="1">
        <f t="array" ref="AA30">_xlfn.LET(
    _xlpm.row_name, $A30,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0.22869155627683657</v>
      </c>
      <c r="AB30" cm="1">
        <f t="array" ref="AB30">_xlfn.LET(
    _xlpm.row_name, $A30,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0.36968654390314648</v>
      </c>
      <c r="AC30" cm="1">
        <f t="array" ref="AC30">_xlfn.LET(
    _xlpm.row_name, $A30,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D30" cm="1">
        <f t="array" ref="AD30">_xlfn.LET(
    _xlpm.row_name, $A30,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0.62639932424177069</v>
      </c>
      <c r="AE30" cm="1">
        <f t="array" ref="AE30">_xlfn.LET(
    _xlpm.row_name, $A30,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8.6139114992392352E-2</v>
      </c>
      <c r="AF30" cm="1">
        <f t="array" ref="AF30">_xlfn.LET(
    _xlpm.row_name, $A30,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0.67740504012242475</v>
      </c>
      <c r="AG30" cm="1">
        <f t="array" ref="AG30">_xlfn.LET(
    _xlpm.row_name, $A30,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0.64968165898488872</v>
      </c>
      <c r="AH30" cm="1">
        <f t="array" ref="AH30">_xlfn.LET(
    _xlpm.row_name, $A30,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0.38329392421287167</v>
      </c>
      <c r="AI30" cm="1">
        <f t="array" ref="AI30">_xlfn.LET(
    _xlpm.row_name, $A30,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0.54396637685815286</v>
      </c>
      <c r="AJ30" cm="1">
        <f t="array" ref="AJ30">_xlfn.LET(
    _xlpm.row_name, $A30,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0.12728873041706307</v>
      </c>
      <c r="AK30" cm="1">
        <f t="array" ref="AK30">_xlfn.LET(
    _xlpm.row_name, $A30,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0.7576513880713549</v>
      </c>
      <c r="AL30" cm="1">
        <f t="array" ref="AL30">_xlfn.LET(
    _xlpm.row_name, $A30,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0.11853063574722417</v>
      </c>
      <c r="AM30" cm="1">
        <f t="array" ref="AM30">_xlfn.LET(
    _xlpm.row_name, $A30,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0.91329568399615857</v>
      </c>
      <c r="AN30" cm="1">
        <f t="array" ref="AN30">_xlfn.LET(
    _xlpm.row_name, $A30,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0.28934616151912251</v>
      </c>
      <c r="AO30" cm="1">
        <f t="array" ref="AO30">_xlfn.LET(
    _xlpm.row_name, $A30,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0.21445366451914433</v>
      </c>
      <c r="AP30" cm="1">
        <f t="array" ref="AP30">_xlfn.LET(
    _xlpm.row_name, $A30,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0.31963461602329801</v>
      </c>
      <c r="AQ30" cm="1">
        <f t="array" ref="AQ30">_xlfn.LET(
    _xlpm.row_name, $A30,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0.45008756910702197</v>
      </c>
      <c r="AR30" cm="1">
        <f t="array" ref="AR30">_xlfn.LET(
    _xlpm.row_name, $A30,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0.43959216921549094</v>
      </c>
      <c r="AS30" cm="1">
        <f t="array" ref="AS30">_xlfn.LET(
    _xlpm.row_name, $A30,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0.59903770455663408</v>
      </c>
      <c r="AT30" cm="1">
        <f t="array" ref="AT30">_xlfn.LET(
    _xlpm.row_name, $A30,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0.48885318372447784</v>
      </c>
      <c r="AU30" cm="1">
        <f t="array" ref="AU30">_xlfn.LET(
    _xlpm.row_name, $A30,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0.29646989006479152</v>
      </c>
      <c r="AV30" cm="1">
        <f t="array" ref="AV30">_xlfn.LET(
    _xlpm.row_name, $A30,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0.96059961970347452</v>
      </c>
      <c r="AW30" cm="1">
        <f t="array" ref="AW30">_xlfn.LET(
    _xlpm.row_name, $A30,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0.78050574185334354</v>
      </c>
      <c r="AX30" cm="1">
        <f t="array" ref="AX30">_xlfn.LET(
    _xlpm.row_name, $A30,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0.73246945974007871</v>
      </c>
      <c r="AY30" cm="1">
        <f t="array" ref="AY30">_xlfn.LET(
    _xlpm.row_name, $A30,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0.51652038890074481</v>
      </c>
      <c r="AZ30" cm="1">
        <f t="array" ref="AZ30">_xlfn.LET(
    _xlpm.row_name, $A30,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0.49872649392108737</v>
      </c>
      <c r="BA30" cm="1">
        <f t="array" ref="BA30">_xlfn.LET(
    _xlpm.row_name, $A30,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0.29354115691393423</v>
      </c>
      <c r="BB30" cm="1">
        <f t="array" ref="BB30">_xlfn.LET(
    _xlpm.row_name, $A30,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0.85817781304782348</v>
      </c>
      <c r="BC30" cm="1">
        <f t="array" ref="BC30">_xlfn.LET(
    _xlpm.row_name, $A30,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0.79222332004387885</v>
      </c>
      <c r="BD30" cm="1">
        <f t="array" ref="BD30">_xlfn.LET(
    _xlpm.row_name, $A30,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0.14517261839550649</v>
      </c>
      <c r="BE30" cm="1">
        <f t="array" ref="BE30">_xlfn.LET(
    _xlpm.row_name, $A30,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0.74637954974179332</v>
      </c>
      <c r="BF30" cm="1">
        <f t="array" ref="BF30">_xlfn.LET(
    _xlpm.row_name, $A30,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0.45824945132644868</v>
      </c>
      <c r="BG30" cm="1">
        <f t="array" ref="BG30">_xlfn.LET(
    _xlpm.row_name, $A30,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0.25992339328036362</v>
      </c>
      <c r="BH30" cm="1">
        <f t="array" ref="BH30">_xlfn.LET(
    _xlpm.row_name, $A30,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0.57871725863348022</v>
      </c>
      <c r="BI30" cm="1">
        <f t="array" ref="BI30">_xlfn.LET(
    _xlpm.row_name, $A30,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0.59258339631880796</v>
      </c>
      <c r="BJ30" cm="1">
        <f t="array" ref="BJ30">_xlfn.LET(
    _xlpm.row_name, $A30,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0.39859103423596209</v>
      </c>
      <c r="BK30" cm="1">
        <f t="array" ref="BK30">_xlfn.LET(
    _xlpm.row_name, $A30,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0.60151851583405302</v>
      </c>
      <c r="BL30" cm="1">
        <f t="array" ref="BL30">_xlfn.LET(
    _xlpm.row_name, $A30,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0.17652522527730241</v>
      </c>
      <c r="BM30" cm="1">
        <f t="array" ref="BM30">_xlfn.LET(
    _xlpm.row_name, $A30,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0.76168121858432358</v>
      </c>
      <c r="BN30" cm="1">
        <f t="array" ref="BN30">_xlfn.LET(
    _xlpm.row_name, $A30,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0.80143361125952417</v>
      </c>
      <c r="BO30" cm="1">
        <f t="array" ref="BO30">_xlfn.LET(
    _xlpm.row_name, $A30,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0.29945986793285262</v>
      </c>
      <c r="BP30" cm="1">
        <f t="array" ref="BP30">_xlfn.LET(
    _xlpm.row_name, $A30,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0.13232022201099425</v>
      </c>
      <c r="BQ30" cm="1">
        <f t="array" ref="BQ30">_xlfn.LET(
    _xlpm.row_name, $A30,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0.79047642564971055</v>
      </c>
      <c r="BR30" cm="1">
        <f t="array" ref="BR30">_xlfn.LET(
    _xlpm.row_name, $A30,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0.87143869802239005</v>
      </c>
      <c r="BS30" cm="1">
        <f t="array" ref="BS30">_xlfn.LET(
    _xlpm.row_name, $A30,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0.19526929296698897</v>
      </c>
      <c r="BT30" cm="1">
        <f t="array" ref="BT30">_xlfn.LET(
    _xlpm.row_name, $A30,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0.33680779399279293</v>
      </c>
      <c r="BU30" cm="1">
        <f t="array" ref="BU30">_xlfn.LET(
    _xlpm.row_name, $A30,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0.11823529417845319</v>
      </c>
      <c r="BV30" cm="1">
        <f t="array" ref="BV30">_xlfn.LET(
    _xlpm.row_name, $A30,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0.69831291846200449</v>
      </c>
    </row>
    <row r="31" spans="1:74" x14ac:dyDescent="0.3">
      <c r="A31" t="str">
        <v>Tonkin, Michael</v>
      </c>
      <c r="B31" cm="1">
        <f t="array" ref="B31">_xlfn.LET(
    _xlpm.row_name, $A31,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0.80964285276652648</v>
      </c>
      <c r="C31" cm="1">
        <f t="array" ref="C31">_xlfn.LET(
    _xlpm.row_name, $A31,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0.74059407114246922</v>
      </c>
      <c r="D31" cm="1">
        <f t="array" ref="D31">_xlfn.LET(
    _xlpm.row_name, $A31,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0.46452211250075126</v>
      </c>
      <c r="E31" cm="1">
        <f t="array" ref="E31">_xlfn.LET(
    _xlpm.row_name, $A31,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0.36668720923448939</v>
      </c>
      <c r="F31" cm="1">
        <f t="array" ref="F31">_xlfn.LET(
    _xlpm.row_name, $A31,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0.31013881586338443</v>
      </c>
      <c r="G31" cm="1">
        <f t="array" ref="G31">_xlfn.LET(
    _xlpm.row_name, $A31,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0.38773513405325744</v>
      </c>
      <c r="H31" cm="1">
        <f t="array" ref="H31">_xlfn.LET(
    _xlpm.row_name, $A31,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0.93200213411857313</v>
      </c>
      <c r="I31" cm="1">
        <f t="array" ref="I31">_xlfn.LET(
    _xlpm.row_name, $A31,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0.96184349532137503</v>
      </c>
      <c r="J31" cm="1">
        <f t="array" ref="J31">_xlfn.LET(
    _xlpm.row_name, $A31,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0.52386133541498159</v>
      </c>
      <c r="K31" cm="1">
        <f t="array" ref="K31">_xlfn.LET(
    _xlpm.row_name, $A31,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0.73530365641576367</v>
      </c>
      <c r="L31" cm="1">
        <f t="array" ref="L31">_xlfn.LET(
    _xlpm.row_name, $A31,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0.54681471881325239</v>
      </c>
      <c r="M31" cm="1">
        <f t="array" ref="M31">_xlfn.LET(
    _xlpm.row_name, $A31,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0.87936449807244776</v>
      </c>
      <c r="N31" cm="1">
        <f t="array" ref="N31">_xlfn.LET(
    _xlpm.row_name, $A31,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0.17496737426767539</v>
      </c>
      <c r="O31" cm="1">
        <f t="array" ref="O31">_xlfn.LET(
    _xlpm.row_name, $A31,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0.41299884252332186</v>
      </c>
      <c r="P31" cm="1">
        <f t="array" ref="P31">_xlfn.LET(
    _xlpm.row_name, $A31,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0.41414934196835829</v>
      </c>
      <c r="Q31" cm="1">
        <f t="array" ref="Q31">_xlfn.LET(
    _xlpm.row_name, $A31,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0.42188098556877929</v>
      </c>
      <c r="R31" cm="1">
        <f t="array" ref="R31">_xlfn.LET(
    _xlpm.row_name, $A31,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0.78764432276367358</v>
      </c>
      <c r="S31" cm="1">
        <f t="array" ref="S31">_xlfn.LET(
    _xlpm.row_name, $A31,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0.76846375851333359</v>
      </c>
      <c r="T31" cm="1">
        <f t="array" ref="T31">_xlfn.LET(
    _xlpm.row_name, $A31,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0.48026442753970616</v>
      </c>
      <c r="U31" cm="1">
        <f t="array" ref="U31">_xlfn.LET(
    _xlpm.row_name, $A31,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0.37838691690513232</v>
      </c>
      <c r="V31" cm="1">
        <f t="array" ref="V31">_xlfn.LET(
    _xlpm.row_name, $A31,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0.44562499489503737</v>
      </c>
      <c r="W31" cm="1">
        <f t="array" ref="W31">_xlfn.LET(
    _xlpm.row_name, $A31,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0.37771408065097895</v>
      </c>
      <c r="X31" cm="1">
        <f t="array" ref="X31">_xlfn.LET(
    _xlpm.row_name, $A31,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0.50280401953939968</v>
      </c>
      <c r="Y31" cm="1">
        <f t="array" ref="Y31">_xlfn.LET(
    _xlpm.row_name, $A31,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0.817724116535687</v>
      </c>
      <c r="Z31" cm="1">
        <f t="array" ref="Z31">_xlfn.LET(
    _xlpm.row_name, $A31,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0.5714333010699375</v>
      </c>
      <c r="AA31" cm="1">
        <f t="array" ref="AA31">_xlfn.LET(
    _xlpm.row_name, $A31,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0.38468391136191415</v>
      </c>
      <c r="AB31" cm="1">
        <f t="array" ref="AB31">_xlfn.LET(
    _xlpm.row_name, $A31,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0.79478273562532209</v>
      </c>
      <c r="AC31" cm="1">
        <f t="array" ref="AC31">_xlfn.LET(
    _xlpm.row_name, $A31,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0.62639932424177069</v>
      </c>
      <c r="AD31" cm="1">
        <f t="array" ref="AD31">_xlfn.LET(
    _xlpm.row_name, $A31,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E31" cm="1">
        <f t="array" ref="AE31">_xlfn.LET(
    _xlpm.row_name, $A31,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0.41997101264536518</v>
      </c>
      <c r="AF31" cm="1">
        <f t="array" ref="AF31">_xlfn.LET(
    _xlpm.row_name, $A31,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0.35154619001008247</v>
      </c>
      <c r="AG31" cm="1">
        <f t="array" ref="AG31">_xlfn.LET(
    _xlpm.row_name, $A31,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0.39630772348420279</v>
      </c>
      <c r="AH31" cm="1">
        <f t="array" ref="AH31">_xlfn.LET(
    _xlpm.row_name, $A31,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0.89819661127082639</v>
      </c>
      <c r="AI31" cm="1">
        <f t="array" ref="AI31">_xlfn.LET(
    _xlpm.row_name, $A31,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0.61650368165540215</v>
      </c>
      <c r="AJ31" cm="1">
        <f t="array" ref="AJ31">_xlfn.LET(
    _xlpm.row_name, $A31,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0.59563366442178955</v>
      </c>
      <c r="AK31" cm="1">
        <f t="array" ref="AK31">_xlfn.LET(
    _xlpm.row_name, $A31,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0.43928464278502966</v>
      </c>
      <c r="AL31" cm="1">
        <f t="array" ref="AL31">_xlfn.LET(
    _xlpm.row_name, $A31,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0.65080109513375906</v>
      </c>
      <c r="AM31" cm="1">
        <f t="array" ref="AM31">_xlfn.LET(
    _xlpm.row_name, $A31,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0.42486630790863977</v>
      </c>
      <c r="AN31" cm="1">
        <f t="array" ref="AN31">_xlfn.LET(
    _xlpm.row_name, $A31,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0.73662541292698314</v>
      </c>
      <c r="AO31" cm="1">
        <f t="array" ref="AO31">_xlfn.LET(
    _xlpm.row_name, $A31,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0.15351411870715137</v>
      </c>
      <c r="AP31" cm="1">
        <f t="array" ref="AP31">_xlfn.LET(
    _xlpm.row_name, $A31,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0.340120488432332</v>
      </c>
      <c r="AQ31" cm="1">
        <f t="array" ref="AQ31">_xlfn.LET(
    _xlpm.row_name, $A31,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0.2787637646238455</v>
      </c>
      <c r="AR31" cm="1">
        <f t="array" ref="AR31">_xlfn.LET(
    _xlpm.row_name, $A31,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0.4999736042012497</v>
      </c>
      <c r="AS31" cm="1">
        <f t="array" ref="AS31">_xlfn.LET(
    _xlpm.row_name, $A31,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0.41212875013089223</v>
      </c>
      <c r="AT31" cm="1">
        <f t="array" ref="AT31">_xlfn.LET(
    _xlpm.row_name, $A31,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0.23517888624147409</v>
      </c>
      <c r="AU31" cm="1">
        <f t="array" ref="AU31">_xlfn.LET(
    _xlpm.row_name, $A31,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0.68754562756500537</v>
      </c>
      <c r="AV31" cm="1">
        <f t="array" ref="AV31">_xlfn.LET(
    _xlpm.row_name, $A31,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0.66298650152567429</v>
      </c>
      <c r="AW31" cm="1">
        <f t="array" ref="AW31">_xlfn.LET(
    _xlpm.row_name, $A31,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0.71465119362930052</v>
      </c>
      <c r="AX31" cm="1">
        <f t="array" ref="AX31">_xlfn.LET(
    _xlpm.row_name, $A31,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0.25245620502026023</v>
      </c>
      <c r="AY31" cm="1">
        <f t="array" ref="AY31">_xlfn.LET(
    _xlpm.row_name, $A31,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0.7212783348655698</v>
      </c>
      <c r="AZ31" cm="1">
        <f t="array" ref="AZ31">_xlfn.LET(
    _xlpm.row_name, $A31,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0.35668089016077509</v>
      </c>
      <c r="BA31" cm="1">
        <f t="array" ref="BA31">_xlfn.LET(
    _xlpm.row_name, $A31,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0.53718837097475314</v>
      </c>
      <c r="BB31" cm="1">
        <f t="array" ref="BB31">_xlfn.LET(
    _xlpm.row_name, $A31,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0.77366671746297389</v>
      </c>
      <c r="BC31" cm="1">
        <f t="array" ref="BC31">_xlfn.LET(
    _xlpm.row_name, $A31,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0.27709530541493466</v>
      </c>
      <c r="BD31" cm="1">
        <f t="array" ref="BD31">_xlfn.LET(
    _xlpm.row_name, $A31,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0.31918723854283554</v>
      </c>
      <c r="BE31" cm="1">
        <f t="array" ref="BE31">_xlfn.LET(
    _xlpm.row_name, $A31,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0.3356966227142465</v>
      </c>
      <c r="BF31" cm="1">
        <f t="array" ref="BF31">_xlfn.LET(
    _xlpm.row_name, $A31,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0.55872826758133998</v>
      </c>
      <c r="BG31" cm="1">
        <f t="array" ref="BG31">_xlfn.LET(
    _xlpm.row_name, $A31,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0.48563927792482398</v>
      </c>
      <c r="BH31" cm="1">
        <f t="array" ref="BH31">_xlfn.LET(
    _xlpm.row_name, $A31,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0.24609844295514283</v>
      </c>
      <c r="BI31" cm="1">
        <f t="array" ref="BI31">_xlfn.LET(
    _xlpm.row_name, $A31,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0.722789235654548</v>
      </c>
      <c r="BJ31" cm="1">
        <f t="array" ref="BJ31">_xlfn.LET(
    _xlpm.row_name, $A31,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0.83187582431480189</v>
      </c>
      <c r="BK31" cm="1">
        <f t="array" ref="BK31">_xlfn.LET(
    _xlpm.row_name, $A31,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0.78651185198688967</v>
      </c>
      <c r="BL31" cm="1">
        <f t="array" ref="BL31">_xlfn.LET(
    _xlpm.row_name, $A31,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0.26240816454747806</v>
      </c>
      <c r="BM31" cm="1">
        <f t="array" ref="BM31">_xlfn.LET(
    _xlpm.row_name, $A31,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0.22175444023146523</v>
      </c>
      <c r="BN31" cm="1">
        <f t="array" ref="BN31">_xlfn.LET(
    _xlpm.row_name, $A31,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0.83568118764989463</v>
      </c>
      <c r="BO31" cm="1">
        <f t="array" ref="BO31">_xlfn.LET(
    _xlpm.row_name, $A31,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0.30866086003010496</v>
      </c>
      <c r="BP31" cm="1">
        <f t="array" ref="BP31">_xlfn.LET(
    _xlpm.row_name, $A31,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0.53128859310808008</v>
      </c>
      <c r="BQ31" cm="1">
        <f t="array" ref="BQ31">_xlfn.LET(
    _xlpm.row_name, $A31,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0.79197558235652599</v>
      </c>
      <c r="BR31" cm="1">
        <f t="array" ref="BR31">_xlfn.LET(
    _xlpm.row_name, $A31,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0.61035549844369785</v>
      </c>
      <c r="BS31" cm="1">
        <f t="array" ref="BS31">_xlfn.LET(
    _xlpm.row_name, $A31,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0.28612042456131809</v>
      </c>
      <c r="BT31" cm="1">
        <f t="array" ref="BT31">_xlfn.LET(
    _xlpm.row_name, $A31,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0.45745570790466972</v>
      </c>
      <c r="BU31" cm="1">
        <f t="array" ref="BU31">_xlfn.LET(
    _xlpm.row_name, $A31,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0.36349975384225836</v>
      </c>
      <c r="BV31" cm="1">
        <f t="array" ref="BV31">_xlfn.LET(
    _xlpm.row_name, $A31,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0.36799037633500387</v>
      </c>
    </row>
    <row r="32" spans="1:74" x14ac:dyDescent="0.3">
      <c r="A32" t="str">
        <v>Smith-Shawver, AJ</v>
      </c>
      <c r="B32" cm="1">
        <f t="array" ref="B32">_xlfn.LET(
    _xlpm.row_name, $A32,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0.32820710483044202</v>
      </c>
      <c r="C32" cm="1">
        <f t="array" ref="C32">_xlfn.LET(
    _xlpm.row_name, $A32,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0.1609286059190656</v>
      </c>
      <c r="D32" cm="1">
        <f t="array" ref="D32">_xlfn.LET(
    _xlpm.row_name, $A32,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0.89681033935373411</v>
      </c>
      <c r="E32" cm="1">
        <f t="array" ref="E32">_xlfn.LET(
    _xlpm.row_name, $A32,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0.10995342251582962</v>
      </c>
      <c r="F32" cm="1">
        <f t="array" ref="F32">_xlfn.LET(
    _xlpm.row_name, $A32,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0.45289533427429463</v>
      </c>
      <c r="G32" cm="1">
        <f t="array" ref="G32">_xlfn.LET(
    _xlpm.row_name, $A32,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0.95370237662012058</v>
      </c>
      <c r="H32" cm="1">
        <f t="array" ref="H32">_xlfn.LET(
    _xlpm.row_name, $A32,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0.28054936851144963</v>
      </c>
      <c r="I32" cm="1">
        <f t="array" ref="I32">_xlfn.LET(
    _xlpm.row_name, $A32,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0.47853543191144887</v>
      </c>
      <c r="J32" cm="1">
        <f t="array" ref="J32">_xlfn.LET(
    _xlpm.row_name, $A32,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0.75840969664937308</v>
      </c>
      <c r="K32" cm="1">
        <f t="array" ref="K32">_xlfn.LET(
    _xlpm.row_name, $A32,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0.15204234994609522</v>
      </c>
      <c r="L32" cm="1">
        <f t="array" ref="L32">_xlfn.LET(
    _xlpm.row_name, $A32,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0.31926393120449925</v>
      </c>
      <c r="M32" cm="1">
        <f t="array" ref="M32">_xlfn.LET(
    _xlpm.row_name, $A32,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0.6391843014653924</v>
      </c>
      <c r="N32" cm="1">
        <f t="array" ref="N32">_xlfn.LET(
    _xlpm.row_name, $A32,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0.50091325199759185</v>
      </c>
      <c r="O32" cm="1">
        <f t="array" ref="O32">_xlfn.LET(
    _xlpm.row_name, $A32,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0.78071667638355313</v>
      </c>
      <c r="P32" cm="1">
        <f t="array" ref="P32">_xlfn.LET(
    _xlpm.row_name, $A32,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0.2721437469218328</v>
      </c>
      <c r="Q32" cm="1">
        <f t="array" ref="Q32">_xlfn.LET(
    _xlpm.row_name, $A32,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7.568268511698939E-2</v>
      </c>
      <c r="R32" cm="1">
        <f t="array" ref="R32">_xlfn.LET(
    _xlpm.row_name, $A32,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0.34740203231054928</v>
      </c>
      <c r="S32" cm="1">
        <f t="array" ref="S32">_xlfn.LET(
    _xlpm.row_name, $A32,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0.21736640550625652</v>
      </c>
      <c r="T32" cm="1">
        <f t="array" ref="T32">_xlfn.LET(
    _xlpm.row_name, $A32,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0.36054799534582171</v>
      </c>
      <c r="U32" cm="1">
        <f t="array" ref="U32">_xlfn.LET(
    _xlpm.row_name, $A32,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0.98908720323694244</v>
      </c>
      <c r="V32" cm="1">
        <f t="array" ref="V32">_xlfn.LET(
    _xlpm.row_name, $A32,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0.47239836004440267</v>
      </c>
      <c r="W32" cm="1">
        <f t="array" ref="W32">_xlfn.LET(
    _xlpm.row_name, $A32,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8.3008370158340228E-2</v>
      </c>
      <c r="X32" cm="1">
        <f t="array" ref="X32">_xlfn.LET(
    _xlpm.row_name, $A32,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0.9478544932656302</v>
      </c>
      <c r="Y32" cm="1">
        <f t="array" ref="Y32">_xlfn.LET(
    _xlpm.row_name, $A32,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0.57185124316477753</v>
      </c>
      <c r="Z32" cm="1">
        <f t="array" ref="Z32">_xlfn.LET(
    _xlpm.row_name, $A32,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0.79124135990494293</v>
      </c>
      <c r="AA32" cm="1">
        <f t="array" ref="AA32">_xlfn.LET(
    _xlpm.row_name, $A32,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0.75852813117030093</v>
      </c>
      <c r="AB32" cm="1">
        <f t="array" ref="AB32">_xlfn.LET(
    _xlpm.row_name, $A32,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0.78802173558711275</v>
      </c>
      <c r="AC32" cm="1">
        <f t="array" ref="AC32">_xlfn.LET(
    _xlpm.row_name, $A32,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8.6139114992392352E-2</v>
      </c>
      <c r="AD32" cm="1">
        <f t="array" ref="AD32">_xlfn.LET(
    _xlpm.row_name, $A32,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0.41997101264536518</v>
      </c>
      <c r="AE32" cm="1">
        <f t="array" ref="AE32">_xlfn.LET(
    _xlpm.row_name, $A32,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F32" cm="1">
        <f t="array" ref="AF32">_xlfn.LET(
    _xlpm.row_name, $A32,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0.5088447739468217</v>
      </c>
      <c r="AG32" cm="1">
        <f t="array" ref="AG32">_xlfn.LET(
    _xlpm.row_name, $A32,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0.60011565580552018</v>
      </c>
      <c r="AH32" cm="1">
        <f t="array" ref="AH32">_xlfn.LET(
    _xlpm.row_name, $A32,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0.57625441649699949</v>
      </c>
      <c r="AI32" cm="1">
        <f t="array" ref="AI32">_xlfn.LET(
    _xlpm.row_name, $A32,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0.6902226878462363</v>
      </c>
      <c r="AJ32" cm="1">
        <f t="array" ref="AJ32">_xlfn.LET(
    _xlpm.row_name, $A32,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0.81902421753372379</v>
      </c>
      <c r="AK32" cm="1">
        <f t="array" ref="AK32">_xlfn.LET(
    _xlpm.row_name, $A32,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0.38698080232672477</v>
      </c>
      <c r="AL32" cm="1">
        <f t="array" ref="AL32">_xlfn.LET(
    _xlpm.row_name, $A32,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0.83738073453798134</v>
      </c>
      <c r="AM32" cm="1">
        <f t="array" ref="AM32">_xlfn.LET(
    _xlpm.row_name, $A32,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5.2028978660041247E-2</v>
      </c>
      <c r="AN32" cm="1">
        <f t="array" ref="AN32">_xlfn.LET(
    _xlpm.row_name, $A32,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0.58840834571392253</v>
      </c>
      <c r="AO32" cm="1">
        <f t="array" ref="AO32">_xlfn.LET(
    _xlpm.row_name, $A32,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0.64036301221407521</v>
      </c>
      <c r="AP32" cm="1">
        <f t="array" ref="AP32">_xlfn.LET(
    _xlpm.row_name, $A32,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0.83252944764107495</v>
      </c>
      <c r="AQ32" cm="1">
        <f t="array" ref="AQ32">_xlfn.LET(
    _xlpm.row_name, $A32,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0.47050314565994666</v>
      </c>
      <c r="AR32" cm="1">
        <f t="array" ref="AR32">_xlfn.LET(
    _xlpm.row_name, $A32,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0.4867889171121022</v>
      </c>
      <c r="AS32" cm="1">
        <f t="array" ref="AS32">_xlfn.LET(
    _xlpm.row_name, $A32,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0.41929595295456851</v>
      </c>
      <c r="AT32" cm="1">
        <f t="array" ref="AT32">_xlfn.LET(
    _xlpm.row_name, $A32,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0.52467658220259605</v>
      </c>
      <c r="AU32" cm="1">
        <f t="array" ref="AU32">_xlfn.LET(
    _xlpm.row_name, $A32,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0.80739963959228822</v>
      </c>
      <c r="AV32" cm="1">
        <f t="array" ref="AV32">_xlfn.LET(
    _xlpm.row_name, $A32,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9.6809185552535482E-2</v>
      </c>
      <c r="AW32" cm="1">
        <f t="array" ref="AW32">_xlfn.LET(
    _xlpm.row_name, $A32,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0.30534248896571092</v>
      </c>
      <c r="AX32" cm="1">
        <f t="array" ref="AX32">_xlfn.LET(
    _xlpm.row_name, $A32,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0.23410521152329944</v>
      </c>
      <c r="AY32" cm="1">
        <f t="array" ref="AY32">_xlfn.LET(
    _xlpm.row_name, $A32,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0.54071717952380427</v>
      </c>
      <c r="AZ32" cm="1">
        <f t="array" ref="AZ32">_xlfn.LET(
    _xlpm.row_name, $A32,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0.28938151519940397</v>
      </c>
      <c r="BA32" cm="1">
        <f t="array" ref="BA32">_xlfn.LET(
    _xlpm.row_name, $A32,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0.84062503733452898</v>
      </c>
      <c r="BB32" cm="1">
        <f t="array" ref="BB32">_xlfn.LET(
    _xlpm.row_name, $A32,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0.34508169396256227</v>
      </c>
      <c r="BC32" cm="1">
        <f t="array" ref="BC32">_xlfn.LET(
    _xlpm.row_name, $A32,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0.12633240748489533</v>
      </c>
      <c r="BD32" cm="1">
        <f t="array" ref="BD32">_xlfn.LET(
    _xlpm.row_name, $A32,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0.95295343690702872</v>
      </c>
      <c r="BE32" cm="1">
        <f t="array" ref="BE32">_xlfn.LET(
    _xlpm.row_name, $A32,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0.47339039845605962</v>
      </c>
      <c r="BF32" cm="1">
        <f t="array" ref="BF32">_xlfn.LET(
    _xlpm.row_name, $A32,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0.33702182651952484</v>
      </c>
      <c r="BG32" cm="1">
        <f t="array" ref="BG32">_xlfn.LET(
    _xlpm.row_name, $A32,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0.74410033076274584</v>
      </c>
      <c r="BH32" cm="1">
        <f t="array" ref="BH32">_xlfn.LET(
    _xlpm.row_name, $A32,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0.26355010075952456</v>
      </c>
      <c r="BI32" cm="1">
        <f t="array" ref="BI32">_xlfn.LET(
    _xlpm.row_name, $A32,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0.57616353290495037</v>
      </c>
      <c r="BJ32" cm="1">
        <f t="array" ref="BJ32">_xlfn.LET(
    _xlpm.row_name, $A32,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0.59844099238625126</v>
      </c>
      <c r="BK32" cm="1">
        <f t="array" ref="BK32">_xlfn.LET(
    _xlpm.row_name, $A32,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0.55692472960627193</v>
      </c>
      <c r="BL32" cm="1">
        <f t="array" ref="BL32">_xlfn.LET(
    _xlpm.row_name, $A32,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0.64037287661106546</v>
      </c>
      <c r="BM32" cm="1">
        <f t="array" ref="BM32">_xlfn.LET(
    _xlpm.row_name, $A32,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0.29285590187639665</v>
      </c>
      <c r="BN32" cm="1">
        <f t="array" ref="BN32">_xlfn.LET(
    _xlpm.row_name, $A32,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0.34960303262983194</v>
      </c>
      <c r="BO32" cm="1">
        <f t="array" ref="BO32">_xlfn.LET(
    _xlpm.row_name, $A32,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0.53259928210459107</v>
      </c>
      <c r="BP32" cm="1">
        <f t="array" ref="BP32">_xlfn.LET(
    _xlpm.row_name, $A32,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0.96096976187089023</v>
      </c>
      <c r="BQ32" cm="1">
        <f t="array" ref="BQ32">_xlfn.LET(
    _xlpm.row_name, $A32,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8.6900357191651012E-2</v>
      </c>
      <c r="BR32" cm="1">
        <f t="array" ref="BR32">_xlfn.LET(
    _xlpm.row_name, $A32,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0.29450004154778392</v>
      </c>
      <c r="BS32" cm="1">
        <f t="array" ref="BS32">_xlfn.LET(
    _xlpm.row_name, $A32,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0.87828096646914866</v>
      </c>
      <c r="BT32" cm="1">
        <f t="array" ref="BT32">_xlfn.LET(
    _xlpm.row_name, $A32,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0.51859421304769715</v>
      </c>
      <c r="BU32" cm="1">
        <f t="array" ref="BU32">_xlfn.LET(
    _xlpm.row_name, $A32,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0.67677993259230484</v>
      </c>
      <c r="BV32" cm="1">
        <f t="array" ref="BV32">_xlfn.LET(
    _xlpm.row_name, $A32,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0.25186137924054752</v>
      </c>
    </row>
    <row r="33" spans="1:74" x14ac:dyDescent="0.3">
      <c r="A33" t="str">
        <v>Stephens, Jackson</v>
      </c>
      <c r="B33" cm="1">
        <f t="array" ref="B33">_xlfn.LET(
    _xlpm.row_name, $A33,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0.68873450443615591</v>
      </c>
      <c r="C33" cm="1">
        <f t="array" ref="C33">_xlfn.LET(
    _xlpm.row_name, $A33,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0.66047882483401965</v>
      </c>
      <c r="D33" cm="1">
        <f t="array" ref="D33">_xlfn.LET(
    _xlpm.row_name, $A33,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0.28922294565702533</v>
      </c>
      <c r="E33" cm="1">
        <f t="array" ref="E33">_xlfn.LET(
    _xlpm.row_name, $A33,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0.68059037375869225</v>
      </c>
      <c r="F33" cm="1">
        <f t="array" ref="F33">_xlfn.LET(
    _xlpm.row_name, $A33,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0.81682480484520559</v>
      </c>
      <c r="G33" cm="1">
        <f t="array" ref="G33">_xlfn.LET(
    _xlpm.row_name, $A33,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0.70483094304399585</v>
      </c>
      <c r="H33" cm="1">
        <f t="array" ref="H33">_xlfn.LET(
    _xlpm.row_name, $A33,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0.24148776415048928</v>
      </c>
      <c r="I33" cm="1">
        <f t="array" ref="I33">_xlfn.LET(
    _xlpm.row_name, $A33,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0.3934090877433335</v>
      </c>
      <c r="J33" cm="1">
        <f t="array" ref="J33">_xlfn.LET(
    _xlpm.row_name, $A33,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0.56920174288448699</v>
      </c>
      <c r="K33" cm="1">
        <f t="array" ref="K33">_xlfn.LET(
    _xlpm.row_name, $A33,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0.71435996697418025</v>
      </c>
      <c r="L33" cm="1">
        <f t="array" ref="L33">_xlfn.LET(
    _xlpm.row_name, $A33,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0.91536501885112487</v>
      </c>
      <c r="M33" cm="1">
        <f t="array" ref="M33">_xlfn.LET(
    _xlpm.row_name, $A33,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0.39281940787507941</v>
      </c>
      <c r="N33" cm="1">
        <f t="array" ref="N33">_xlfn.LET(
    _xlpm.row_name, $A33,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0.38769322392772909</v>
      </c>
      <c r="O33" cm="1">
        <f t="array" ref="O33">_xlfn.LET(
    _xlpm.row_name, $A33,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0.73176178318269924</v>
      </c>
      <c r="P33" cm="1">
        <f t="array" ref="P33">_xlfn.LET(
    _xlpm.row_name, $A33,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0.28017352689109187</v>
      </c>
      <c r="Q33" cm="1">
        <f t="array" ref="Q33">_xlfn.LET(
    _xlpm.row_name, $A33,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0.59278462895755657</v>
      </c>
      <c r="R33" cm="1">
        <f t="array" ref="R33">_xlfn.LET(
    _xlpm.row_name, $A33,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0.10051798677575174</v>
      </c>
      <c r="S33" cm="1">
        <f t="array" ref="S33">_xlfn.LET(
    _xlpm.row_name, $A33,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0.36227522262374168</v>
      </c>
      <c r="T33" cm="1">
        <f t="array" ref="T33">_xlfn.LET(
    _xlpm.row_name, $A33,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0.15837576598569542</v>
      </c>
      <c r="U33" cm="1">
        <f t="array" ref="U33">_xlfn.LET(
    _xlpm.row_name, $A33,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0.59805053965924693</v>
      </c>
      <c r="V33" cm="1">
        <f t="array" ref="V33">_xlfn.LET(
    _xlpm.row_name, $A33,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0.871002087169641</v>
      </c>
      <c r="W33" cm="1">
        <f t="array" ref="W33">_xlfn.LET(
    _xlpm.row_name, $A33,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0.38945099068088862</v>
      </c>
      <c r="X33" cm="1">
        <f t="array" ref="X33">_xlfn.LET(
    _xlpm.row_name, $A33,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0.48274653432410441</v>
      </c>
      <c r="Y33" cm="1">
        <f t="array" ref="Y33">_xlfn.LET(
    _xlpm.row_name, $A33,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0.69300227352358745</v>
      </c>
      <c r="Z33" cm="1">
        <f t="array" ref="Z33">_xlfn.LET(
    _xlpm.row_name, $A33,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0.21866934868489962</v>
      </c>
      <c r="AA33" cm="1">
        <f t="array" ref="AA33">_xlfn.LET(
    _xlpm.row_name, $A33,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0.70186964141903752</v>
      </c>
      <c r="AB33" cm="1">
        <f t="array" ref="AB33">_xlfn.LET(
    _xlpm.row_name, $A33,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0.59329490865410217</v>
      </c>
      <c r="AC33" cm="1">
        <f t="array" ref="AC33">_xlfn.LET(
    _xlpm.row_name, $A33,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0.67740504012242475</v>
      </c>
      <c r="AD33" cm="1">
        <f t="array" ref="AD33">_xlfn.LET(
    _xlpm.row_name, $A33,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0.35154619001008247</v>
      </c>
      <c r="AE33" cm="1">
        <f t="array" ref="AE33">_xlfn.LET(
    _xlpm.row_name, $A33,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0.5088447739468217</v>
      </c>
      <c r="AF33" cm="1">
        <f t="array" ref="AF33">_xlfn.LET(
    _xlpm.row_name, $A33,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G33" cm="1">
        <f t="array" ref="AG33">_xlfn.LET(
    _xlpm.row_name, $A33,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0.9530695289119504</v>
      </c>
      <c r="AH33" cm="1">
        <f t="array" ref="AH33">_xlfn.LET(
    _xlpm.row_name, $A33,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0.34798112945203286</v>
      </c>
      <c r="AI33" cm="1">
        <f t="array" ref="AI33">_xlfn.LET(
    _xlpm.row_name, $A33,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0.87596535882488602</v>
      </c>
      <c r="AJ33" cm="1">
        <f t="array" ref="AJ33">_xlfn.LET(
    _xlpm.row_name, $A33,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0.41481167174165917</v>
      </c>
      <c r="AK33" cm="1">
        <f t="array" ref="AK33">_xlfn.LET(
    _xlpm.row_name, $A33,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0.96575451924618472</v>
      </c>
      <c r="AL33" cm="1">
        <f t="array" ref="AL33">_xlfn.LET(
    _xlpm.row_name, $A33,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0.19039543971805822</v>
      </c>
      <c r="AM33" cm="1">
        <f t="array" ref="AM33">_xlfn.LET(
    _xlpm.row_name, $A33,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0.6911959869531823</v>
      </c>
      <c r="AN33" cm="1">
        <f t="array" ref="AN33">_xlfn.LET(
    _xlpm.row_name, $A33,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0.28811693933004351</v>
      </c>
      <c r="AO33" cm="1">
        <f t="array" ref="AO33">_xlfn.LET(
    _xlpm.row_name, $A33,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0.31071873934540428</v>
      </c>
      <c r="AP33" cm="1">
        <f t="array" ref="AP33">_xlfn.LET(
    _xlpm.row_name, $A33,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0.51640919694778598</v>
      </c>
      <c r="AQ33" cm="1">
        <f t="array" ref="AQ33">_xlfn.LET(
    _xlpm.row_name, $A33,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0.74565584963575038</v>
      </c>
      <c r="AR33" cm="1">
        <f t="array" ref="AR33">_xlfn.LET(
    _xlpm.row_name, $A33,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0.52503966263640023</v>
      </c>
      <c r="AS33" cm="1">
        <f t="array" ref="AS33">_xlfn.LET(
    _xlpm.row_name, $A33,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0.82775865003457416</v>
      </c>
      <c r="AT33" cm="1">
        <f t="array" ref="AT33">_xlfn.LET(
    _xlpm.row_name, $A33,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0.71760442253793633</v>
      </c>
      <c r="AU33" cm="1">
        <f t="array" ref="AU33">_xlfn.LET(
    _xlpm.row_name, $A33,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0.51233574002698568</v>
      </c>
      <c r="AV33" cm="1">
        <f t="array" ref="AV33">_xlfn.LET(
    _xlpm.row_name, $A33,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0.72847322595545361</v>
      </c>
      <c r="AW33" cm="1">
        <f t="array" ref="AW33">_xlfn.LET(
    _xlpm.row_name, $A33,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0.5865864993393195</v>
      </c>
      <c r="AX33" cm="1">
        <f t="array" ref="AX33">_xlfn.LET(
    _xlpm.row_name, $A33,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0.6520050481472548</v>
      </c>
      <c r="AY33" cm="1">
        <f t="array" ref="AY33">_xlfn.LET(
    _xlpm.row_name, $A33,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0.61349732442688376</v>
      </c>
      <c r="AZ33" cm="1">
        <f t="array" ref="AZ33">_xlfn.LET(
    _xlpm.row_name, $A33,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0.22042340976252667</v>
      </c>
      <c r="BA33" cm="1">
        <f t="array" ref="BA33">_xlfn.LET(
    _xlpm.row_name, $A33,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0.72677585178535931</v>
      </c>
      <c r="BB33" cm="1">
        <f t="array" ref="BB33">_xlfn.LET(
    _xlpm.row_name, $A33,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0.70364303094425695</v>
      </c>
      <c r="BC33" cm="1">
        <f t="array" ref="BC33">_xlfn.LET(
    _xlpm.row_name, $A33,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0.65260842141481512</v>
      </c>
      <c r="BD33" cm="1">
        <f t="array" ref="BD33">_xlfn.LET(
    _xlpm.row_name, $A33,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0.68554476100973583</v>
      </c>
      <c r="BE33" cm="1">
        <f t="array" ref="BE33">_xlfn.LET(
    _xlpm.row_name, $A33,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0.83919984632462941</v>
      </c>
      <c r="BF33" cm="1">
        <f t="array" ref="BF33">_xlfn.LET(
    _xlpm.row_name, $A33,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8.9415135369097287E-2</v>
      </c>
      <c r="BG33" cm="1">
        <f t="array" ref="BG33">_xlfn.LET(
    _xlpm.row_name, $A33,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0.57526264182379461</v>
      </c>
      <c r="BH33" cm="1">
        <f t="array" ref="BH33">_xlfn.LET(
    _xlpm.row_name, $A33,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0.64677952531312854</v>
      </c>
      <c r="BI33" cm="1">
        <f t="array" ref="BI33">_xlfn.LET(
    _xlpm.row_name, $A33,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0.58712111322805938</v>
      </c>
      <c r="BJ33" cm="1">
        <f t="array" ref="BJ33">_xlfn.LET(
    _xlpm.row_name, $A33,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0.46960420711649536</v>
      </c>
      <c r="BK33" cm="1">
        <f t="array" ref="BK33">_xlfn.LET(
    _xlpm.row_name, $A33,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0.68000581151125272</v>
      </c>
      <c r="BL33" cm="1">
        <f t="array" ref="BL33">_xlfn.LET(
    _xlpm.row_name, $A33,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0.24536949262964941</v>
      </c>
      <c r="BM33" cm="1">
        <f t="array" ref="BM33">_xlfn.LET(
    _xlpm.row_name, $A33,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0.79900357410278411</v>
      </c>
      <c r="BN33" cm="1">
        <f t="array" ref="BN33">_xlfn.LET(
    _xlpm.row_name, $A33,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0.47443483348091248</v>
      </c>
      <c r="BO33" cm="1">
        <f t="array" ref="BO33">_xlfn.LET(
    _xlpm.row_name, $A33,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0.15460106430532961</v>
      </c>
      <c r="BP33" cm="1">
        <f t="array" ref="BP33">_xlfn.LET(
    _xlpm.row_name, $A33,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0.50618714627558326</v>
      </c>
      <c r="BQ33" cm="1">
        <f t="array" ref="BQ33">_xlfn.LET(
    _xlpm.row_name, $A33,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0.33769873210504475</v>
      </c>
      <c r="BR33" cm="1">
        <f t="array" ref="BR33">_xlfn.LET(
    _xlpm.row_name, $A33,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0.7696579594980687</v>
      </c>
      <c r="BS33" cm="1">
        <f t="array" ref="BS33">_xlfn.LET(
    _xlpm.row_name, $A33,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0.49343927158389012</v>
      </c>
      <c r="BT33" cm="1">
        <f t="array" ref="BT33">_xlfn.LET(
    _xlpm.row_name, $A33,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0.18547292509407931</v>
      </c>
      <c r="BU33" cm="1">
        <f t="array" ref="BU33">_xlfn.LET(
    _xlpm.row_name, $A33,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0.27563199307676806</v>
      </c>
      <c r="BV33" cm="1">
        <f t="array" ref="BV33">_xlfn.LET(
    _xlpm.row_name, $A33,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0.8041774076978172</v>
      </c>
    </row>
    <row r="34" spans="1:74" x14ac:dyDescent="0.3">
      <c r="A34" t="str">
        <v>Martin, Chris</v>
      </c>
      <c r="B34" cm="1">
        <f t="array" ref="B34">_xlfn.LET(
    _xlpm.row_name, $A34,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0.68592828560132291</v>
      </c>
      <c r="C34" cm="1">
        <f t="array" ref="C34">_xlfn.LET(
    _xlpm.row_name, $A34,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0.67140635320266506</v>
      </c>
      <c r="D34" cm="1">
        <f t="array" ref="D34">_xlfn.LET(
    _xlpm.row_name, $A34,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0.41730038937587915</v>
      </c>
      <c r="E34" cm="1">
        <f t="array" ref="E34">_xlfn.LET(
    _xlpm.row_name, $A34,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0.58169645975263695</v>
      </c>
      <c r="F34" cm="1">
        <f t="array" ref="F34">_xlfn.LET(
    _xlpm.row_name, $A34,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0.89629867549724818</v>
      </c>
      <c r="G34" cm="1">
        <f t="array" ref="G34">_xlfn.LET(
    _xlpm.row_name, $A34,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0.74738621592190624</v>
      </c>
      <c r="H34" cm="1">
        <f t="array" ref="H34">_xlfn.LET(
    _xlpm.row_name, $A34,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0.24475449505343277</v>
      </c>
      <c r="I34" cm="1">
        <f t="array" ref="I34">_xlfn.LET(
    _xlpm.row_name, $A34,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0.5025038694463011</v>
      </c>
      <c r="J34" cm="1">
        <f t="array" ref="J34">_xlfn.LET(
    _xlpm.row_name, $A34,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0.7605356151806113</v>
      </c>
      <c r="K34" cm="1">
        <f t="array" ref="K34">_xlfn.LET(
    _xlpm.row_name, $A34,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0.61660486930323311</v>
      </c>
      <c r="L34" cm="1">
        <f t="array" ref="L34">_xlfn.LET(
    _xlpm.row_name, $A34,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0.82868088523720362</v>
      </c>
      <c r="M34" cm="1">
        <f t="array" ref="M34">_xlfn.LET(
    _xlpm.row_name, $A34,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0.47666350290272269</v>
      </c>
      <c r="N34" cm="1">
        <f t="array" ref="N34">_xlfn.LET(
    _xlpm.row_name, $A34,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0.46536470134832048</v>
      </c>
      <c r="O34" cm="1">
        <f t="array" ref="O34">_xlfn.LET(
    _xlpm.row_name, $A34,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0.6561249273447376</v>
      </c>
      <c r="P34" cm="1">
        <f t="array" ref="P34">_xlfn.LET(
    _xlpm.row_name, $A34,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0.3364111768837148</v>
      </c>
      <c r="Q34" cm="1">
        <f t="array" ref="Q34">_xlfn.LET(
    _xlpm.row_name, $A34,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0.41797499561367835</v>
      </c>
      <c r="R34" cm="1">
        <f t="array" ref="R34">_xlfn.LET(
    _xlpm.row_name, $A34,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9.184822349757471E-2</v>
      </c>
      <c r="S34" cm="1">
        <f t="array" ref="S34">_xlfn.LET(
    _xlpm.row_name, $A34,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0.31712127918898636</v>
      </c>
      <c r="T34" cm="1">
        <f t="array" ref="T34">_xlfn.LET(
    _xlpm.row_name, $A34,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0.18461372262235182</v>
      </c>
      <c r="U34" cm="1">
        <f t="array" ref="U34">_xlfn.LET(
    _xlpm.row_name, $A34,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0.67869521828804402</v>
      </c>
      <c r="V34" cm="1">
        <f t="array" ref="V34">_xlfn.LET(
    _xlpm.row_name, $A34,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0.73294557943828731</v>
      </c>
      <c r="W34" cm="1">
        <f t="array" ref="W34">_xlfn.LET(
    _xlpm.row_name, $A34,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0.31421331678069286</v>
      </c>
      <c r="X34" cm="1">
        <f t="array" ref="X34">_xlfn.LET(
    _xlpm.row_name, $A34,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0.54145488128257968</v>
      </c>
      <c r="Y34" cm="1">
        <f t="array" ref="Y34">_xlfn.LET(
    _xlpm.row_name, $A34,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0.7946918855183922</v>
      </c>
      <c r="Z34" cm="1">
        <f t="array" ref="Z34">_xlfn.LET(
    _xlpm.row_name, $A34,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0.31214834261057534</v>
      </c>
      <c r="AA34" cm="1">
        <f t="array" ref="AA34">_xlfn.LET(
    _xlpm.row_name, $A34,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0.63369949378030621</v>
      </c>
      <c r="AB34" cm="1">
        <f t="array" ref="AB34">_xlfn.LET(
    _xlpm.row_name, $A34,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0.67040707375087361</v>
      </c>
      <c r="AC34" cm="1">
        <f t="array" ref="AC34">_xlfn.LET(
    _xlpm.row_name, $A34,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0.64968165898488872</v>
      </c>
      <c r="AD34" cm="1">
        <f t="array" ref="AD34">_xlfn.LET(
    _xlpm.row_name, $A34,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0.39630772348420279</v>
      </c>
      <c r="AE34" cm="1">
        <f t="array" ref="AE34">_xlfn.LET(
    _xlpm.row_name, $A34,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0.60011565580552018</v>
      </c>
      <c r="AF34" cm="1">
        <f t="array" ref="AF34">_xlfn.LET(
    _xlpm.row_name, $A34,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0.9530695289119504</v>
      </c>
      <c r="AG34" cm="1">
        <f t="array" ref="AG34">_xlfn.LET(
    _xlpm.row_name, $A34,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H34" cm="1">
        <f t="array" ref="AH34">_xlfn.LET(
    _xlpm.row_name, $A34,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0.33652380374574303</v>
      </c>
      <c r="AI34" cm="1">
        <f t="array" ref="AI34">_xlfn.LET(
    _xlpm.row_name, $A34,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0.90366028006127741</v>
      </c>
      <c r="AJ34" cm="1">
        <f t="array" ref="AJ34">_xlfn.LET(
    _xlpm.row_name, $A34,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0.43110028923496774</v>
      </c>
      <c r="AK34" cm="1">
        <f t="array" ref="AK34">_xlfn.LET(
    _xlpm.row_name, $A34,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0.86489486174693209</v>
      </c>
      <c r="AL34" cm="1">
        <f t="array" ref="AL34">_xlfn.LET(
    _xlpm.row_name, $A34,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0.30873403323293797</v>
      </c>
      <c r="AM34" cm="1">
        <f t="array" ref="AM34">_xlfn.LET(
    _xlpm.row_name, $A34,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0.57017399244782097</v>
      </c>
      <c r="AN34" cm="1">
        <f t="array" ref="AN34">_xlfn.LET(
    _xlpm.row_name, $A34,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0.29460725476261307</v>
      </c>
      <c r="AO34" cm="1">
        <f t="array" ref="AO34">_xlfn.LET(
    _xlpm.row_name, $A34,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0.34982291467916671</v>
      </c>
      <c r="AP34" cm="1">
        <f t="array" ref="AP34">_xlfn.LET(
    _xlpm.row_name, $A34,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0.6928141919070534</v>
      </c>
      <c r="AQ34" cm="1">
        <f t="array" ref="AQ34">_xlfn.LET(
    _xlpm.row_name, $A34,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0.61992262286251798</v>
      </c>
      <c r="AR34" cm="1">
        <f t="array" ref="AR34">_xlfn.LET(
    _xlpm.row_name, $A34,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0.53128379039052354</v>
      </c>
      <c r="AS34" cm="1">
        <f t="array" ref="AS34">_xlfn.LET(
    _xlpm.row_name, $A34,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0.75150773435787699</v>
      </c>
      <c r="AT34" cm="1">
        <f t="array" ref="AT34">_xlfn.LET(
    _xlpm.row_name, $A34,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0.58639983518921379</v>
      </c>
      <c r="AU34" cm="1">
        <f t="array" ref="AU34">_xlfn.LET(
    _xlpm.row_name, $A34,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0.63807832371761586</v>
      </c>
      <c r="AV34" cm="1">
        <f t="array" ref="AV34">_xlfn.LET(
    _xlpm.row_name, $A34,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0.64383776564405459</v>
      </c>
      <c r="AW34" cm="1">
        <f t="array" ref="AW34">_xlfn.LET(
    _xlpm.row_name, $A34,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0.51867138664481716</v>
      </c>
      <c r="AX34" cm="1">
        <f t="array" ref="AX34">_xlfn.LET(
    _xlpm.row_name, $A34,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0.63578994052413718</v>
      </c>
      <c r="AY34" cm="1">
        <f t="array" ref="AY34">_xlfn.LET(
    _xlpm.row_name, $A34,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0.6529844207697072</v>
      </c>
      <c r="AZ34" cm="1">
        <f t="array" ref="AZ34">_xlfn.LET(
    _xlpm.row_name, $A34,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0.22115688383604382</v>
      </c>
      <c r="BA34" cm="1">
        <f t="array" ref="BA34">_xlfn.LET(
    _xlpm.row_name, $A34,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0.70272970987660499</v>
      </c>
      <c r="BB34" cm="1">
        <f t="array" ref="BB34">_xlfn.LET(
    _xlpm.row_name, $A34,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0.72036424631491613</v>
      </c>
      <c r="BC34" cm="1">
        <f t="array" ref="BC34">_xlfn.LET(
    _xlpm.row_name, $A34,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0.50359201497492156</v>
      </c>
      <c r="BD34" cm="1">
        <f t="array" ref="BD34">_xlfn.LET(
    _xlpm.row_name, $A34,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0.7091653780796493</v>
      </c>
      <c r="BE34" cm="1">
        <f t="array" ref="BE34">_xlfn.LET(
    _xlpm.row_name, $A34,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0.87663866146524505</v>
      </c>
      <c r="BF34" cm="1">
        <f t="array" ref="BF34">_xlfn.LET(
    _xlpm.row_name, $A34,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0.12990910545992124</v>
      </c>
      <c r="BG34" cm="1">
        <f t="array" ref="BG34">_xlfn.LET(
    _xlpm.row_name, $A34,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0.4774900731345203</v>
      </c>
      <c r="BH34" cm="1">
        <f t="array" ref="BH34">_xlfn.LET(
    _xlpm.row_name, $A34,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0.45466036200410231</v>
      </c>
      <c r="BI34" cm="1">
        <f t="array" ref="BI34">_xlfn.LET(
    _xlpm.row_name, $A34,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0.59990219184473748</v>
      </c>
      <c r="BJ34" cm="1">
        <f t="array" ref="BJ34">_xlfn.LET(
    _xlpm.row_name, $A34,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0.47448147717587619</v>
      </c>
      <c r="BK34" cm="1">
        <f t="array" ref="BK34">_xlfn.LET(
    _xlpm.row_name, $A34,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0.64773896051107882</v>
      </c>
      <c r="BL34" cm="1">
        <f t="array" ref="BL34">_xlfn.LET(
    _xlpm.row_name, $A34,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0.27897607397093882</v>
      </c>
      <c r="BM34" cm="1">
        <f t="array" ref="BM34">_xlfn.LET(
    _xlpm.row_name, $A34,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0.78454807347054534</v>
      </c>
      <c r="BN34" cm="1">
        <f t="array" ref="BN34">_xlfn.LET(
    _xlpm.row_name, $A34,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0.54551227392949642</v>
      </c>
      <c r="BO34" cm="1">
        <f t="array" ref="BO34">_xlfn.LET(
    _xlpm.row_name, $A34,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0.15783498508899285</v>
      </c>
      <c r="BP34" cm="1">
        <f t="array" ref="BP34">_xlfn.LET(
    _xlpm.row_name, $A34,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0.61989693212280828</v>
      </c>
      <c r="BQ34" cm="1">
        <f t="array" ref="BQ34">_xlfn.LET(
    _xlpm.row_name, $A34,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0.24523932013540062</v>
      </c>
      <c r="BR34" cm="1">
        <f t="array" ref="BR34">_xlfn.LET(
    _xlpm.row_name, $A34,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0.72263978076819235</v>
      </c>
      <c r="BS34" cm="1">
        <f t="array" ref="BS34">_xlfn.LET(
    _xlpm.row_name, $A34,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0.64193715212257141</v>
      </c>
      <c r="BT34" cm="1">
        <f t="array" ref="BT34">_xlfn.LET(
    _xlpm.row_name, $A34,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0.27848159282612561</v>
      </c>
      <c r="BU34" cm="1">
        <f t="array" ref="BU34">_xlfn.LET(
    _xlpm.row_name, $A34,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0.25352091677617644</v>
      </c>
      <c r="BV34" cm="1">
        <f t="array" ref="BV34">_xlfn.LET(
    _xlpm.row_name, $A34,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0.6220257289708675</v>
      </c>
    </row>
    <row r="35" spans="1:74" x14ac:dyDescent="0.3">
      <c r="A35" t="str">
        <v>Yates, Kirby</v>
      </c>
      <c r="B35" cm="1">
        <f t="array" ref="B35">_xlfn.LET(
    _xlpm.row_name, $A35,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0.60402549664703631</v>
      </c>
      <c r="C35" cm="1">
        <f t="array" ref="C35">_xlfn.LET(
    _xlpm.row_name, $A35,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0.55468204760224327</v>
      </c>
      <c r="D35" cm="1">
        <f t="array" ref="D35">_xlfn.LET(
    _xlpm.row_name, $A35,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0.6130564320467411</v>
      </c>
      <c r="E35" cm="1">
        <f t="array" ref="E35">_xlfn.LET(
    _xlpm.row_name, $A35,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0.19676611984779546</v>
      </c>
      <c r="F35" cm="1">
        <f t="array" ref="F35">_xlfn.LET(
    _xlpm.row_name, $A35,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0.19663170751732911</v>
      </c>
      <c r="G35" cm="1">
        <f t="array" ref="G35">_xlfn.LET(
    _xlpm.row_name, $A35,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0.53909243758668213</v>
      </c>
      <c r="H35" cm="1">
        <f t="array" ref="H35">_xlfn.LET(
    _xlpm.row_name, $A35,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0.87008192902317361</v>
      </c>
      <c r="I35" cm="1">
        <f t="array" ref="I35">_xlfn.LET(
    _xlpm.row_name, $A35,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0.84003941876119725</v>
      </c>
      <c r="J35" cm="1">
        <f t="array" ref="J35">_xlfn.LET(
    _xlpm.row_name, $A35,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0.47621666322417422</v>
      </c>
      <c r="K35" cm="1">
        <f t="array" ref="K35">_xlfn.LET(
    _xlpm.row_name, $A35,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0.63963954762439701</v>
      </c>
      <c r="L35" cm="1">
        <f t="array" ref="L35">_xlfn.LET(
    _xlpm.row_name, $A35,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0.45260748745251261</v>
      </c>
      <c r="M35" cm="1">
        <f t="array" ref="M35">_xlfn.LET(
    _xlpm.row_name, $A35,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0.92924478029860846</v>
      </c>
      <c r="N35" cm="1">
        <f t="array" ref="N35">_xlfn.LET(
    _xlpm.row_name, $A35,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0.16256491616588858</v>
      </c>
      <c r="O35" cm="1">
        <f t="array" ref="O35">_xlfn.LET(
    _xlpm.row_name, $A35,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0.67579794767191426</v>
      </c>
      <c r="P35" cm="1">
        <f t="array" ref="P35">_xlfn.LET(
    _xlpm.row_name, $A35,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0.33837039131511193</v>
      </c>
      <c r="Q35" cm="1">
        <f t="array" ref="Q35">_xlfn.LET(
    _xlpm.row_name, $A35,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0.37936020554062105</v>
      </c>
      <c r="R35" cm="1">
        <f t="array" ref="R35">_xlfn.LET(
    _xlpm.row_name, $A35,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0.81991409614265165</v>
      </c>
      <c r="S35" cm="1">
        <f t="array" ref="S35">_xlfn.LET(
    _xlpm.row_name, $A35,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0.7852116067227437</v>
      </c>
      <c r="T35" cm="1">
        <f t="array" ref="T35">_xlfn.LET(
    _xlpm.row_name, $A35,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0.52271585491207684</v>
      </c>
      <c r="U35" cm="1">
        <f t="array" ref="U35">_xlfn.LET(
    _xlpm.row_name, $A35,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0.51507028432718804</v>
      </c>
      <c r="V35" cm="1">
        <f t="array" ref="V35">_xlfn.LET(
    _xlpm.row_name, $A35,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0.48198705699302385</v>
      </c>
      <c r="W35" cm="1">
        <f t="array" ref="W35">_xlfn.LET(
    _xlpm.row_name, $A35,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0.30499311163597098</v>
      </c>
      <c r="X35" cm="1">
        <f t="array" ref="X35">_xlfn.LET(
    _xlpm.row_name, $A35,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0.60646344692302478</v>
      </c>
      <c r="Y35" cm="1">
        <f t="array" ref="Y35">_xlfn.LET(
    _xlpm.row_name, $A35,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0.7180740165189412</v>
      </c>
      <c r="Z35" cm="1">
        <f t="array" ref="Z35">_xlfn.LET(
    _xlpm.row_name, $A35,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0.74218834641681242</v>
      </c>
      <c r="AA35" cm="1">
        <f t="array" ref="AA35">_xlfn.LET(
    _xlpm.row_name, $A35,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0.66419071973568533</v>
      </c>
      <c r="AB35" cm="1">
        <f t="array" ref="AB35">_xlfn.LET(
    _xlpm.row_name, $A35,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0.85166718361285676</v>
      </c>
      <c r="AC35" cm="1">
        <f t="array" ref="AC35">_xlfn.LET(
    _xlpm.row_name, $A35,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0.38329392421287167</v>
      </c>
      <c r="AD35" cm="1">
        <f t="array" ref="AD35">_xlfn.LET(
    _xlpm.row_name, $A35,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0.89819661127082639</v>
      </c>
      <c r="AE35" cm="1">
        <f t="array" ref="AE35">_xlfn.LET(
    _xlpm.row_name, $A35,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0.57625441649699949</v>
      </c>
      <c r="AF35" cm="1">
        <f t="array" ref="AF35">_xlfn.LET(
    _xlpm.row_name, $A35,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0.34798112945203286</v>
      </c>
      <c r="AG35" cm="1">
        <f t="array" ref="AG35">_xlfn.LET(
    _xlpm.row_name, $A35,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0.33652380374574303</v>
      </c>
      <c r="AH35" cm="1">
        <f t="array" ref="AH35">_xlfn.LET(
    _xlpm.row_name, $A35,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I35" cm="1">
        <f t="array" ref="AI35">_xlfn.LET(
    _xlpm.row_name, $A35,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0.63105323678058445</v>
      </c>
      <c r="AJ35" cm="1">
        <f t="array" ref="AJ35">_xlfn.LET(
    _xlpm.row_name, $A35,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0.84670587414924192</v>
      </c>
      <c r="AK35" cm="1">
        <f t="array" ref="AK35">_xlfn.LET(
    _xlpm.row_name, $A35,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0.41875750845789445</v>
      </c>
      <c r="AL35" cm="1">
        <f t="array" ref="AL35">_xlfn.LET(
    _xlpm.row_name, $A35,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0.77044167396050189</v>
      </c>
      <c r="AM35" cm="1">
        <f t="array" ref="AM35">_xlfn.LET(
    _xlpm.row_name, $A35,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0.30971549364243167</v>
      </c>
      <c r="AN35" cm="1">
        <f t="array" ref="AN35">_xlfn.LET(
    _xlpm.row_name, $A35,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0.91083758642304447</v>
      </c>
      <c r="AO35" cm="1">
        <f t="array" ref="AO35">_xlfn.LET(
    _xlpm.row_name, $A35,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0.27741625553190841</v>
      </c>
      <c r="AP35" cm="1">
        <f t="array" ref="AP35">_xlfn.LET(
    _xlpm.row_name, $A35,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0.28825244404201705</v>
      </c>
      <c r="AQ35" cm="1">
        <f t="array" ref="AQ35">_xlfn.LET(
    _xlpm.row_name, $A35,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0.49515754594226458</v>
      </c>
      <c r="AR35" cm="1">
        <f t="array" ref="AR35">_xlfn.LET(
    _xlpm.row_name, $A35,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0.64414317263837162</v>
      </c>
      <c r="AS35" cm="1">
        <f t="array" ref="AS35">_xlfn.LET(
    _xlpm.row_name, $A35,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0.53303685213704655</v>
      </c>
      <c r="AT35" cm="1">
        <f t="array" ref="AT35">_xlfn.LET(
    _xlpm.row_name, $A35,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0.2841589289615668</v>
      </c>
      <c r="AU35" cm="1">
        <f t="array" ref="AU35">_xlfn.LET(
    _xlpm.row_name, $A35,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0.77795416730362366</v>
      </c>
      <c r="AV35" cm="1">
        <f t="array" ref="AV35">_xlfn.LET(
    _xlpm.row_name, $A35,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0.50897837992647676</v>
      </c>
      <c r="AW35" cm="1">
        <f t="array" ref="AW35">_xlfn.LET(
    _xlpm.row_name, $A35,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0.54559929367963411</v>
      </c>
      <c r="AX35" cm="1">
        <f t="array" ref="AX35">_xlfn.LET(
    _xlpm.row_name, $A35,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0.2000872548029457</v>
      </c>
      <c r="AY35" cm="1">
        <f t="array" ref="AY35">_xlfn.LET(
    _xlpm.row_name, $A35,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0.79599652046605507</v>
      </c>
      <c r="AZ35" cm="1">
        <f t="array" ref="AZ35">_xlfn.LET(
    _xlpm.row_name, $A35,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0.36370114837655998</v>
      </c>
      <c r="BA35" cm="1">
        <f t="array" ref="BA35">_xlfn.LET(
    _xlpm.row_name, $A35,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0.67320616984489079</v>
      </c>
      <c r="BB35" cm="1">
        <f t="array" ref="BB35">_xlfn.LET(
    _xlpm.row_name, $A35,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0.5454725638642538</v>
      </c>
      <c r="BC35" cm="1">
        <f t="array" ref="BC35">_xlfn.LET(
    _xlpm.row_name, $A35,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0.21522535504387447</v>
      </c>
      <c r="BD35" cm="1">
        <f t="array" ref="BD35">_xlfn.LET(
    _xlpm.row_name, $A35,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0.5136403387999855</v>
      </c>
      <c r="BE35" cm="1">
        <f t="array" ref="BE35">_xlfn.LET(
    _xlpm.row_name, $A35,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0.15050844095199217</v>
      </c>
      <c r="BF35" cm="1">
        <f t="array" ref="BF35">_xlfn.LET(
    _xlpm.row_name, $A35,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0.54584305785534881</v>
      </c>
      <c r="BG35" cm="1">
        <f t="array" ref="BG35">_xlfn.LET(
    _xlpm.row_name, $A35,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0.64886785511925371</v>
      </c>
      <c r="BH35" cm="1">
        <f t="array" ref="BH35">_xlfn.LET(
    _xlpm.row_name, $A35,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0.37772238379864082</v>
      </c>
      <c r="BI35" cm="1">
        <f t="array" ref="BI35">_xlfn.LET(
    _xlpm.row_name, $A35,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0.59246364094056325</v>
      </c>
      <c r="BJ35" cm="1">
        <f t="array" ref="BJ35">_xlfn.LET(
    _xlpm.row_name, $A35,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0.95892154987896294</v>
      </c>
      <c r="BK35" cm="1">
        <f t="array" ref="BK35">_xlfn.LET(
    _xlpm.row_name, $A35,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0.73619531771343616</v>
      </c>
      <c r="BL35" cm="1">
        <f t="array" ref="BL35">_xlfn.LET(
    _xlpm.row_name, $A35,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0.43119564905755281</v>
      </c>
      <c r="BM35" cm="1">
        <f t="array" ref="BM35">_xlfn.LET(
    _xlpm.row_name, $A35,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0.15020544285315324</v>
      </c>
      <c r="BN35" cm="1">
        <f t="array" ref="BN35">_xlfn.LET(
    _xlpm.row_name, $A35,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0.56281395136409051</v>
      </c>
      <c r="BO35" cm="1">
        <f t="array" ref="BO35">_xlfn.LET(
    _xlpm.row_name, $A35,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0.3212168290889682</v>
      </c>
      <c r="BP35" cm="1">
        <f t="array" ref="BP35">_xlfn.LET(
    _xlpm.row_name, $A35,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0.68427696459168108</v>
      </c>
      <c r="BQ35" cm="1">
        <f t="array" ref="BQ35">_xlfn.LET(
    _xlpm.row_name, $A35,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0.69117461801298774</v>
      </c>
      <c r="BR35" cm="1">
        <f t="array" ref="BR35">_xlfn.LET(
    _xlpm.row_name, $A35,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0.40847791654493903</v>
      </c>
      <c r="BS35" cm="1">
        <f t="array" ref="BS35">_xlfn.LET(
    _xlpm.row_name, $A35,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0.36301235788696617</v>
      </c>
      <c r="BT35" cm="1">
        <f t="array" ref="BT35">_xlfn.LET(
    _xlpm.row_name, $A35,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0.50655042741309486</v>
      </c>
      <c r="BU35" cm="1">
        <f t="array" ref="BU35">_xlfn.LET(
    _xlpm.row_name, $A35,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0.62564878893878118</v>
      </c>
      <c r="BV35" cm="1">
        <f t="array" ref="BV35">_xlfn.LET(
    _xlpm.row_name, $A35,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0.45182648388688956</v>
      </c>
    </row>
    <row r="36" spans="1:74" x14ac:dyDescent="0.3">
      <c r="A36" t="str">
        <v>Wilson, Bryse</v>
      </c>
      <c r="B36" cm="1">
        <f t="array" ref="B36">_xlfn.LET(
    _xlpm.row_name, $A36,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0.76130284019563033</v>
      </c>
      <c r="C36" cm="1">
        <f t="array" ref="C36">_xlfn.LET(
    _xlpm.row_name, $A36,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0.64041455859928198</v>
      </c>
      <c r="D36" cm="1">
        <f t="array" ref="D36">_xlfn.LET(
    _xlpm.row_name, $A36,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0.47937138258399975</v>
      </c>
      <c r="E36" cm="1">
        <f t="array" ref="E36">_xlfn.LET(
    _xlpm.row_name, $A36,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0.39945343107427328</v>
      </c>
      <c r="F36" cm="1">
        <f t="array" ref="F36">_xlfn.LET(
    _xlpm.row_name, $A36,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0.67045433523144382</v>
      </c>
      <c r="G36" cm="1">
        <f t="array" ref="G36">_xlfn.LET(
    _xlpm.row_name, $A36,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0.82697911455652329</v>
      </c>
      <c r="H36" cm="1">
        <f t="array" ref="H36">_xlfn.LET(
    _xlpm.row_name, $A36,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0.41956092931572508</v>
      </c>
      <c r="I36" cm="1">
        <f t="array" ref="I36">_xlfn.LET(
    _xlpm.row_name, $A36,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0.66671971585937551</v>
      </c>
      <c r="J36" cm="1">
        <f t="array" ref="J36">_xlfn.LET(
    _xlpm.row_name, $A36,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0.70984333350798345</v>
      </c>
      <c r="K36" cm="1">
        <f t="array" ref="K36">_xlfn.LET(
    _xlpm.row_name, $A36,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0.67429622733731165</v>
      </c>
      <c r="L36" cm="1">
        <f t="array" ref="L36">_xlfn.LET(
    _xlpm.row_name, $A36,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0.81703567505531938</v>
      </c>
      <c r="M36" cm="1">
        <f t="array" ref="M36">_xlfn.LET(
    _xlpm.row_name, $A36,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0.69890529182878292</v>
      </c>
      <c r="N36" cm="1">
        <f t="array" ref="N36">_xlfn.LET(
    _xlpm.row_name, $A36,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0.22112159110014851</v>
      </c>
      <c r="O36" cm="1">
        <f t="array" ref="O36">_xlfn.LET(
    _xlpm.row_name, $A36,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0.79523342562163668</v>
      </c>
      <c r="P36" cm="1">
        <f t="array" ref="P36">_xlfn.LET(
    _xlpm.row_name, $A36,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0.16096985390792856</v>
      </c>
      <c r="Q36" cm="1">
        <f t="array" ref="Q36">_xlfn.LET(
    _xlpm.row_name, $A36,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0.33991325549193308</v>
      </c>
      <c r="R36" cm="1">
        <f t="array" ref="R36">_xlfn.LET(
    _xlpm.row_name, $A36,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0.23962539163846103</v>
      </c>
      <c r="S36" cm="1">
        <f t="array" ref="S36">_xlfn.LET(
    _xlpm.row_name, $A36,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0.41679178255581451</v>
      </c>
      <c r="T36" cm="1">
        <f t="array" ref="T36">_xlfn.LET(
    _xlpm.row_name, $A36,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0.12947057363171577</v>
      </c>
      <c r="U36" cm="1">
        <f t="array" ref="U36">_xlfn.LET(
    _xlpm.row_name, $A36,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0.74026491414284346</v>
      </c>
      <c r="V36" cm="1">
        <f t="array" ref="V36">_xlfn.LET(
    _xlpm.row_name, $A36,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0.78129211349531924</v>
      </c>
      <c r="W36" cm="1">
        <f t="array" ref="W36">_xlfn.LET(
    _xlpm.row_name, $A36,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0.14369032569968099</v>
      </c>
      <c r="X36" cm="1">
        <f t="array" ref="X36">_xlfn.LET(
    _xlpm.row_name, $A36,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0.67860977896508778</v>
      </c>
      <c r="Y36" cm="1">
        <f t="array" ref="Y36">_xlfn.LET(
    _xlpm.row_name, $A36,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0.90059833675532142</v>
      </c>
      <c r="Z36" cm="1">
        <f t="array" ref="Z36">_xlfn.LET(
    _xlpm.row_name, $A36,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0.43263895198272595</v>
      </c>
      <c r="AA36" cm="1">
        <f t="array" ref="AA36">_xlfn.LET(
    _xlpm.row_name, $A36,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0.74707923515482311</v>
      </c>
      <c r="AB36" cm="1">
        <f t="array" ref="AB36">_xlfn.LET(
    _xlpm.row_name, $A36,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0.89185239634067504</v>
      </c>
      <c r="AC36" cm="1">
        <f t="array" ref="AC36">_xlfn.LET(
    _xlpm.row_name, $A36,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0.54396637685815286</v>
      </c>
      <c r="AD36" cm="1">
        <f t="array" ref="AD36">_xlfn.LET(
    _xlpm.row_name, $A36,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0.61650368165540215</v>
      </c>
      <c r="AE36" cm="1">
        <f t="array" ref="AE36">_xlfn.LET(
    _xlpm.row_name, $A36,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0.6902226878462363</v>
      </c>
      <c r="AF36" cm="1">
        <f t="array" ref="AF36">_xlfn.LET(
    _xlpm.row_name, $A36,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0.87596535882488602</v>
      </c>
      <c r="AG36" cm="1">
        <f t="array" ref="AG36">_xlfn.LET(
    _xlpm.row_name, $A36,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0.90366028006127741</v>
      </c>
      <c r="AH36" cm="1">
        <f t="array" ref="AH36">_xlfn.LET(
    _xlpm.row_name, $A36,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0.63105323678058445</v>
      </c>
      <c r="AI36" cm="1">
        <f t="array" ref="AI36">_xlfn.LET(
    _xlpm.row_name, $A36,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J36" cm="1">
        <f t="array" ref="AJ36">_xlfn.LET(
    _xlpm.row_name, $A36,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0.63680842667237081</v>
      </c>
      <c r="AK36" cm="1">
        <f t="array" ref="AK36">_xlfn.LET(
    _xlpm.row_name, $A36,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0.83523530721243855</v>
      </c>
      <c r="AL36" cm="1">
        <f t="array" ref="AL36">_xlfn.LET(
    _xlpm.row_name, $A36,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0.4663297302312423</v>
      </c>
      <c r="AM36" cm="1">
        <f t="array" ref="AM36">_xlfn.LET(
    _xlpm.row_name, $A36,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0.42637614359049547</v>
      </c>
      <c r="AN36" cm="1">
        <f t="array" ref="AN36">_xlfn.LET(
    _xlpm.row_name, $A36,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0.50111674138378348</v>
      </c>
      <c r="AO36" cm="1">
        <f t="array" ref="AO36">_xlfn.LET(
    _xlpm.row_name, $A36,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0.20021778075706359</v>
      </c>
      <c r="AP36" cm="1">
        <f t="array" ref="AP36">_xlfn.LET(
    _xlpm.row_name, $A36,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0.57546069763385432</v>
      </c>
      <c r="AQ36" cm="1">
        <f t="array" ref="AQ36">_xlfn.LET(
    _xlpm.row_name, $A36,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0.59816737189333946</v>
      </c>
      <c r="AR36" cm="1">
        <f t="array" ref="AR36">_xlfn.LET(
    _xlpm.row_name, $A36,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0.54439121000641943</v>
      </c>
      <c r="AS36" cm="1">
        <f t="array" ref="AS36">_xlfn.LET(
    _xlpm.row_name, $A36,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0.73054006633106272</v>
      </c>
      <c r="AT36" cm="1">
        <f t="array" ref="AT36">_xlfn.LET(
    _xlpm.row_name, $A36,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0.53660143044632036</v>
      </c>
      <c r="AU36" cm="1">
        <f t="array" ref="AU36">_xlfn.LET(
    _xlpm.row_name, $A36,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0.77710571172568133</v>
      </c>
      <c r="AV36" cm="1">
        <f t="array" ref="AV36">_xlfn.LET(
    _xlpm.row_name, $A36,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0.61875015880060869</v>
      </c>
      <c r="AW36" cm="1">
        <f t="array" ref="AW36">_xlfn.LET(
    _xlpm.row_name, $A36,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0.59209169913139215</v>
      </c>
      <c r="AX36" cm="1">
        <f t="array" ref="AX36">_xlfn.LET(
    _xlpm.row_name, $A36,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0.38997560727579311</v>
      </c>
      <c r="AY36" cm="1">
        <f t="array" ref="AY36">_xlfn.LET(
    _xlpm.row_name, $A36,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0.77262116522584656</v>
      </c>
      <c r="AZ36" cm="1">
        <f t="array" ref="AZ36">_xlfn.LET(
    _xlpm.row_name, $A36,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7.8112896874244997E-2</v>
      </c>
      <c r="BA36" cm="1">
        <f t="array" ref="BA36">_xlfn.LET(
    _xlpm.row_name, $A36,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0.87565954438323856</v>
      </c>
      <c r="BB36" cm="1">
        <f t="array" ref="BB36">_xlfn.LET(
    _xlpm.row_name, $A36,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0.76129648014490137</v>
      </c>
      <c r="BC36" cm="1">
        <f t="array" ref="BC36">_xlfn.LET(
    _xlpm.row_name, $A36,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0.33296691901136932</v>
      </c>
      <c r="BD36" cm="1">
        <f t="array" ref="BD36">_xlfn.LET(
    _xlpm.row_name, $A36,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0.77127183297635882</v>
      </c>
      <c r="BE36" cm="1">
        <f t="array" ref="BE36">_xlfn.LET(
    _xlpm.row_name, $A36,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0.69194001293488294</v>
      </c>
      <c r="BF36" cm="1">
        <f t="array" ref="BF36">_xlfn.LET(
    _xlpm.row_name, $A36,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9.588635373515203E-2</v>
      </c>
      <c r="BG36" cm="1">
        <f t="array" ref="BG36">_xlfn.LET(
    _xlpm.row_name, $A36,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0.65504106577409682</v>
      </c>
      <c r="BH36" cm="1">
        <f t="array" ref="BH36">_xlfn.LET(
    _xlpm.row_name, $A36,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0.38121312613258967</v>
      </c>
      <c r="BI36" cm="1">
        <f t="array" ref="BI36">_xlfn.LET(
    _xlpm.row_name, $A36,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0.72086208443468269</v>
      </c>
      <c r="BJ36" cm="1">
        <f t="array" ref="BJ36">_xlfn.LET(
    _xlpm.row_name, $A36,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0.72304888266165346</v>
      </c>
      <c r="BK36" cm="1">
        <f t="array" ref="BK36">_xlfn.LET(
    _xlpm.row_name, $A36,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0.84134190228159911</v>
      </c>
      <c r="BL36" cm="1">
        <f t="array" ref="BL36">_xlfn.LET(
    _xlpm.row_name, $A36,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0.20840759526205654</v>
      </c>
      <c r="BM36" cm="1">
        <f t="array" ref="BM36">_xlfn.LET(
    _xlpm.row_name, $A36,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0.52901672574640313</v>
      </c>
      <c r="BN36" cm="1">
        <f t="array" ref="BN36">_xlfn.LET(
    _xlpm.row_name, $A36,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0.58853895497053055</v>
      </c>
      <c r="BO36" cm="1">
        <f t="array" ref="BO36">_xlfn.LET(
    _xlpm.row_name, $A36,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7.7578396875774225E-2</v>
      </c>
      <c r="BP36" cm="1">
        <f t="array" ref="BP36">_xlfn.LET(
    _xlpm.row_name, $A36,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0.74330980094657351</v>
      </c>
      <c r="BQ36" cm="1">
        <f t="array" ref="BQ36">_xlfn.LET(
    _xlpm.row_name, $A36,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0.32931705463563266</v>
      </c>
      <c r="BR36" cm="1">
        <f t="array" ref="BR36">_xlfn.LET(
    _xlpm.row_name, $A36,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0.69923615355386715</v>
      </c>
      <c r="BS36" cm="1">
        <f t="array" ref="BS36">_xlfn.LET(
    _xlpm.row_name, $A36,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0.55380548811543662</v>
      </c>
      <c r="BT36" cm="1">
        <f t="array" ref="BT36">_xlfn.LET(
    _xlpm.row_name, $A36,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0.21575301606911734</v>
      </c>
      <c r="BU36" cm="1">
        <f t="array" ref="BU36">_xlfn.LET(
    _xlpm.row_name, $A36,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0.311537152060537</v>
      </c>
      <c r="BV36" cm="1">
        <f t="array" ref="BV36">_xlfn.LET(
    _xlpm.row_name, $A36,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0.59077029800928471</v>
      </c>
    </row>
    <row r="37" spans="1:74" x14ac:dyDescent="0.3">
      <c r="A37" t="str">
        <v>Wentz, Joey</v>
      </c>
      <c r="B37" cm="1">
        <f t="array" ref="B37">_xlfn.LET(
    _xlpm.row_name, $A37,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0.29305061346653494</v>
      </c>
      <c r="C37" cm="1">
        <f t="array" ref="C37">_xlfn.LET(
    _xlpm.row_name, $A37,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0.32878262523447238</v>
      </c>
      <c r="D37" cm="1">
        <f t="array" ref="D37">_xlfn.LET(
    _xlpm.row_name, $A37,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0.859239308073521</v>
      </c>
      <c r="E37" cm="1">
        <f t="array" ref="E37">_xlfn.LET(
    _xlpm.row_name, $A37,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5.1193901206620762E-2</v>
      </c>
      <c r="F37" cm="1">
        <f t="array" ref="F37">_xlfn.LET(
    _xlpm.row_name, $A37,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0.32924715161652773</v>
      </c>
      <c r="G37" cm="1">
        <f t="array" ref="G37">_xlfn.LET(
    _xlpm.row_name, $A37,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0.75922702708069645</v>
      </c>
      <c r="H37" cm="1">
        <f t="array" ref="H37">_xlfn.LET(
    _xlpm.row_name, $A37,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0.59059005188882396</v>
      </c>
      <c r="I37" cm="1">
        <f t="array" ref="I37">_xlfn.LET(
    _xlpm.row_name, $A37,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0.61693101687856489</v>
      </c>
      <c r="J37" cm="1">
        <f t="array" ref="J37">_xlfn.LET(
    _xlpm.row_name, $A37,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0.63728377845714568</v>
      </c>
      <c r="K37" cm="1">
        <f t="array" ref="K37">_xlfn.LET(
    _xlpm.row_name, $A37,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0.36980706104784522</v>
      </c>
      <c r="L37" cm="1">
        <f t="array" ref="L37">_xlfn.LET(
    _xlpm.row_name, $A37,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0.29886751243463616</v>
      </c>
      <c r="M37" cm="1">
        <f t="array" ref="M37">_xlfn.LET(
    _xlpm.row_name, $A37,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0.85481690599781002</v>
      </c>
      <c r="N37" cm="1">
        <f t="array" ref="N37">_xlfn.LET(
    _xlpm.row_name, $A37,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0.40426859745622729</v>
      </c>
      <c r="O37" cm="1">
        <f t="array" ref="O37">_xlfn.LET(
    _xlpm.row_name, $A37,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0.8578294716552386</v>
      </c>
      <c r="P37" cm="1">
        <f t="array" ref="P37">_xlfn.LET(
    _xlpm.row_name, $A37,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0.38550407191319458</v>
      </c>
      <c r="Q37" cm="1">
        <f t="array" ref="Q37">_xlfn.LET(
    _xlpm.row_name, $A37,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0.22018839727475981</v>
      </c>
      <c r="R37" cm="1">
        <f t="array" ref="R37">_xlfn.LET(
    _xlpm.row_name, $A37,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0.66345772052645358</v>
      </c>
      <c r="S37" cm="1">
        <f t="array" ref="S37">_xlfn.LET(
    _xlpm.row_name, $A37,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0.62053568655648539</v>
      </c>
      <c r="T37" cm="1">
        <f t="array" ref="T37">_xlfn.LET(
    _xlpm.row_name, $A37,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0.5826294348404969</v>
      </c>
      <c r="U37" cm="1">
        <f t="array" ref="U37">_xlfn.LET(
    _xlpm.row_name, $A37,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0.75912580246906725</v>
      </c>
      <c r="V37" cm="1">
        <f t="array" ref="V37">_xlfn.LET(
    _xlpm.row_name, $A37,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0.41379138511307517</v>
      </c>
      <c r="W37" cm="1">
        <f t="array" ref="W37">_xlfn.LET(
    _xlpm.row_name, $A37,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0.24270171992879774</v>
      </c>
      <c r="X37" cm="1">
        <f t="array" ref="X37">_xlfn.LET(
    _xlpm.row_name, $A37,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0.72163564830343596</v>
      </c>
      <c r="Y37" cm="1">
        <f t="array" ref="Y37">_xlfn.LET(
    _xlpm.row_name, $A37,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0.60175460288497273</v>
      </c>
      <c r="Z37" cm="1">
        <f t="array" ref="Z37">_xlfn.LET(
    _xlpm.row_name, $A37,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0.91387034568494285</v>
      </c>
      <c r="AA37" cm="1">
        <f t="array" ref="AA37">_xlfn.LET(
    _xlpm.row_name, $A37,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0.88434426072192895</v>
      </c>
      <c r="AB37" cm="1">
        <f t="array" ref="AB37">_xlfn.LET(
    _xlpm.row_name, $A37,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0.82427667947782901</v>
      </c>
      <c r="AC37" cm="1">
        <f t="array" ref="AC37">_xlfn.LET(
    _xlpm.row_name, $A37,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0.12728873041706307</v>
      </c>
      <c r="AD37" cm="1">
        <f t="array" ref="AD37">_xlfn.LET(
    _xlpm.row_name, $A37,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0.59563366442178955</v>
      </c>
      <c r="AE37" cm="1">
        <f t="array" ref="AE37">_xlfn.LET(
    _xlpm.row_name, $A37,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0.81902421753372379</v>
      </c>
      <c r="AF37" cm="1">
        <f t="array" ref="AF37">_xlfn.LET(
    _xlpm.row_name, $A37,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0.41481167174165917</v>
      </c>
      <c r="AG37" cm="1">
        <f t="array" ref="AG37">_xlfn.LET(
    _xlpm.row_name, $A37,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0.43110028923496774</v>
      </c>
      <c r="AH37" cm="1">
        <f t="array" ref="AH37">_xlfn.LET(
    _xlpm.row_name, $A37,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0.84670587414924192</v>
      </c>
      <c r="AI37" cm="1">
        <f t="array" ref="AI37">_xlfn.LET(
    _xlpm.row_name, $A37,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0.63680842667237081</v>
      </c>
      <c r="AJ37" cm="1">
        <f t="array" ref="AJ37">_xlfn.LET(
    _xlpm.row_name, $A37,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K37" cm="1">
        <f t="array" ref="AK37">_xlfn.LET(
    _xlpm.row_name, $A37,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0.36752280450828179</v>
      </c>
      <c r="AL37" cm="1">
        <f t="array" ref="AL37">_xlfn.LET(
    _xlpm.row_name, $A37,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0.87800274547431445</v>
      </c>
      <c r="AM37" cm="1">
        <f t="array" ref="AM37">_xlfn.LET(
    _xlpm.row_name, $A37,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0.16292366875889636</v>
      </c>
      <c r="AN37" cm="1">
        <f t="array" ref="AN37">_xlfn.LET(
    _xlpm.row_name, $A37,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0.92100298056595398</v>
      </c>
      <c r="AO37" cm="1">
        <f t="array" ref="AO37">_xlfn.LET(
    _xlpm.row_name, $A37,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0.58227683385822337</v>
      </c>
      <c r="AP37" cm="1">
        <f t="array" ref="AP37">_xlfn.LET(
    _xlpm.row_name, $A37,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0.50923674303981126</v>
      </c>
      <c r="AQ37" cm="1">
        <f t="array" ref="AQ37">_xlfn.LET(
    _xlpm.row_name, $A37,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0.67741535752450843</v>
      </c>
      <c r="AR37" cm="1">
        <f t="array" ref="AR37">_xlfn.LET(
    _xlpm.row_name, $A37,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0.78511280592978883</v>
      </c>
      <c r="AS37" cm="1">
        <f t="array" ref="AS37">_xlfn.LET(
    _xlpm.row_name, $A37,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0.63539410823509967</v>
      </c>
      <c r="AT37" cm="1">
        <f t="array" ref="AT37">_xlfn.LET(
    _xlpm.row_name, $A37,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0.32358661063602773</v>
      </c>
      <c r="AU37" cm="1">
        <f t="array" ref="AU37">_xlfn.LET(
    _xlpm.row_name, $A37,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0.88587385101173899</v>
      </c>
      <c r="AV37" cm="1">
        <f t="array" ref="AV37">_xlfn.LET(
    _xlpm.row_name, $A37,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0.24781418573779929</v>
      </c>
      <c r="AW37" cm="1">
        <f t="array" ref="AW37">_xlfn.LET(
    _xlpm.row_name, $A37,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0.22818527263828747</v>
      </c>
      <c r="AX37" cm="1">
        <f t="array" ref="AX37">_xlfn.LET(
    _xlpm.row_name, $A37,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0.30525246868737621</v>
      </c>
      <c r="AY37" cm="1">
        <f t="array" ref="AY37">_xlfn.LET(
    _xlpm.row_name, $A37,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0.80435439269505871</v>
      </c>
      <c r="AZ37" cm="1">
        <f t="array" ref="AZ37">_xlfn.LET(
    _xlpm.row_name, $A37,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0.43841388102874435</v>
      </c>
      <c r="BA37" cm="1">
        <f t="array" ref="BA37">_xlfn.LET(
    _xlpm.row_name, $A37,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0.73396023002281086</v>
      </c>
      <c r="BB37" cm="1">
        <f t="array" ref="BB37">_xlfn.LET(
    _xlpm.row_name, $A37,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0.25679966229958212</v>
      </c>
      <c r="BC37" cm="1">
        <f t="array" ref="BC37">_xlfn.LET(
    _xlpm.row_name, $A37,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0.14657137628181338</v>
      </c>
      <c r="BD37" cm="1">
        <f t="array" ref="BD37">_xlfn.LET(
    _xlpm.row_name, $A37,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0.78271160855410593</v>
      </c>
      <c r="BE37" cm="1">
        <f t="array" ref="BE37">_xlfn.LET(
    _xlpm.row_name, $A37,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0.15388184989612919</v>
      </c>
      <c r="BF37" cm="1">
        <f t="array" ref="BF37">_xlfn.LET(
    _xlpm.row_name, $A37,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0.52832562574830499</v>
      </c>
      <c r="BG37" cm="1">
        <f t="array" ref="BG37">_xlfn.LET(
    _xlpm.row_name, $A37,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0.66422279378070082</v>
      </c>
      <c r="BH37" cm="1">
        <f t="array" ref="BH37">_xlfn.LET(
    _xlpm.row_name, $A37,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0.43046763496398477</v>
      </c>
      <c r="BI37" cm="1">
        <f t="array" ref="BI37">_xlfn.LET(
    _xlpm.row_name, $A37,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0.37677718091051082</v>
      </c>
      <c r="BJ37" cm="1">
        <f t="array" ref="BJ37">_xlfn.LET(
    _xlpm.row_name, $A37,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0.89311812032338933</v>
      </c>
      <c r="BK37" cm="1">
        <f t="array" ref="BK37">_xlfn.LET(
    _xlpm.row_name, $A37,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0.51522703487664712</v>
      </c>
      <c r="BL37" cm="1">
        <f t="array" ref="BL37">_xlfn.LET(
    _xlpm.row_name, $A37,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0.70622381133656187</v>
      </c>
      <c r="BM37" cm="1">
        <f t="array" ref="BM37">_xlfn.LET(
    _xlpm.row_name, $A37,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0.26534996968522662</v>
      </c>
      <c r="BN37" cm="1">
        <f t="array" ref="BN37">_xlfn.LET(
    _xlpm.row_name, $A37,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0.24474635999734873</v>
      </c>
      <c r="BO37" cm="1">
        <f t="array" ref="BO37">_xlfn.LET(
    _xlpm.row_name, $A37,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0.39657069654047683</v>
      </c>
      <c r="BP37" cm="1">
        <f t="array" ref="BP37">_xlfn.LET(
    _xlpm.row_name, $A37,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0.89782073169975396</v>
      </c>
      <c r="BQ37" cm="1">
        <f t="array" ref="BQ37">_xlfn.LET(
    _xlpm.row_name, $A37,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0.36165726483501959</v>
      </c>
      <c r="BR37" cm="1">
        <f t="array" ref="BR37">_xlfn.LET(
    _xlpm.row_name, $A37,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0.16166090504976904</v>
      </c>
      <c r="BS37" cm="1">
        <f t="array" ref="BS37">_xlfn.LET(
    _xlpm.row_name, $A37,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0.68586173655090121</v>
      </c>
      <c r="BT37" cm="1">
        <f t="array" ref="BT37">_xlfn.LET(
    _xlpm.row_name, $A37,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0.65288519807831524</v>
      </c>
      <c r="BU37" cm="1">
        <f t="array" ref="BU37">_xlfn.LET(
    _xlpm.row_name, $A37,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0.86247837376532388</v>
      </c>
      <c r="BV37" cm="1">
        <f t="array" ref="BV37">_xlfn.LET(
    _xlpm.row_name, $A37,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0.42829004559161288</v>
      </c>
    </row>
    <row r="38" spans="1:74" x14ac:dyDescent="0.3">
      <c r="A38" t="str">
        <v>Dodd, Dylan</v>
      </c>
      <c r="B38" cm="1">
        <f t="array" ref="B38">_xlfn.LET(
    _xlpm.row_name, $A38,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0.77728088065162937</v>
      </c>
      <c r="C38" cm="1">
        <f t="array" ref="C38">_xlfn.LET(
    _xlpm.row_name, $A38,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0.71343176233001127</v>
      </c>
      <c r="D38" cm="1">
        <f t="array" ref="D38">_xlfn.LET(
    _xlpm.row_name, $A38,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0.16167435010527076</v>
      </c>
      <c r="E38" cm="1">
        <f t="array" ref="E38">_xlfn.LET(
    _xlpm.row_name, $A38,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0.7610789256370718</v>
      </c>
      <c r="F38" cm="1">
        <f t="array" ref="F38">_xlfn.LET(
    _xlpm.row_name, $A38,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0.70639227478227395</v>
      </c>
      <c r="G38" cm="1">
        <f t="array" ref="G38">_xlfn.LET(
    _xlpm.row_name, $A38,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0.60103220821399717</v>
      </c>
      <c r="H38" cm="1">
        <f t="array" ref="H38">_xlfn.LET(
    _xlpm.row_name, $A38,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0.34949201860461132</v>
      </c>
      <c r="I38" cm="1">
        <f t="array" ref="I38">_xlfn.LET(
    _xlpm.row_name, $A38,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0.4186063016271771</v>
      </c>
      <c r="J38" cm="1">
        <f t="array" ref="J38">_xlfn.LET(
    _xlpm.row_name, $A38,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0.41376327339648006</v>
      </c>
      <c r="K38" cm="1">
        <f t="array" ref="K38">_xlfn.LET(
    _xlpm.row_name, $A38,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0.83524721918119371</v>
      </c>
      <c r="L38" cm="1">
        <f t="array" ref="L38">_xlfn.LET(
    _xlpm.row_name, $A38,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0.97889710762307625</v>
      </c>
      <c r="M38" cm="1">
        <f t="array" ref="M38">_xlfn.LET(
    _xlpm.row_name, $A38,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0.38476225130244746</v>
      </c>
      <c r="N38" cm="1">
        <f t="array" ref="N38">_xlfn.LET(
    _xlpm.row_name, $A38,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0.27387710910427565</v>
      </c>
      <c r="O38" cm="1">
        <f t="array" ref="O38">_xlfn.LET(
    _xlpm.row_name, $A38,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0.69903529807860154</v>
      </c>
      <c r="P38" cm="1">
        <f t="array" ref="P38">_xlfn.LET(
    _xlpm.row_name, $A38,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0.24740178666673041</v>
      </c>
      <c r="Q38" cm="1">
        <f t="array" ref="Q38">_xlfn.LET(
    _xlpm.row_name, $A38,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0.72437745480754456</v>
      </c>
      <c r="R38" cm="1">
        <f t="array" ref="R38">_xlfn.LET(
    _xlpm.row_name, $A38,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0.18510642876543731</v>
      </c>
      <c r="S38" cm="1">
        <f t="array" ref="S38">_xlfn.LET(
    _xlpm.row_name, $A38,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0.44790039885669231</v>
      </c>
      <c r="T38" cm="1">
        <f t="array" ref="T38">_xlfn.LET(
    _xlpm.row_name, $A38,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0.14794481173180374</v>
      </c>
      <c r="U38" cm="1">
        <f t="array" ref="U38">_xlfn.LET(
    _xlpm.row_name, $A38,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0.47445872260975241</v>
      </c>
      <c r="V38" cm="1">
        <f t="array" ref="V38">_xlfn.LET(
    _xlpm.row_name, $A38,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0.93864615193098055</v>
      </c>
      <c r="W38" cm="1">
        <f t="array" ref="W38">_xlfn.LET(
    _xlpm.row_name, $A38,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0.45131840880421054</v>
      </c>
      <c r="X38" cm="1">
        <f t="array" ref="X38">_xlfn.LET(
    _xlpm.row_name, $A38,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0.42142195181646058</v>
      </c>
      <c r="Y38" cm="1">
        <f t="array" ref="Y38">_xlfn.LET(
    _xlpm.row_name, $A38,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0.6657883045962919</v>
      </c>
      <c r="Z38" cm="1">
        <f t="array" ref="Z38">_xlfn.LET(
    _xlpm.row_name, $A38,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0.13819124703504976</v>
      </c>
      <c r="AA38" cm="1">
        <f t="array" ref="AA38">_xlfn.LET(
    _xlpm.row_name, $A38,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0.65448301279766641</v>
      </c>
      <c r="AB38" cm="1">
        <f t="array" ref="AB38">_xlfn.LET(
    _xlpm.row_name, $A38,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0.56028636358713269</v>
      </c>
      <c r="AC38" cm="1">
        <f t="array" ref="AC38">_xlfn.LET(
    _xlpm.row_name, $A38,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0.7576513880713549</v>
      </c>
      <c r="AD38" cm="1">
        <f t="array" ref="AD38">_xlfn.LET(
    _xlpm.row_name, $A38,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0.43928464278502966</v>
      </c>
      <c r="AE38" cm="1">
        <f t="array" ref="AE38">_xlfn.LET(
    _xlpm.row_name, $A38,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0.38698080232672477</v>
      </c>
      <c r="AF38" cm="1">
        <f t="array" ref="AF38">_xlfn.LET(
    _xlpm.row_name, $A38,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0.96575451924618472</v>
      </c>
      <c r="AG38" cm="1">
        <f t="array" ref="AG38">_xlfn.LET(
    _xlpm.row_name, $A38,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0.86489486174693209</v>
      </c>
      <c r="AH38" cm="1">
        <f t="array" ref="AH38">_xlfn.LET(
    _xlpm.row_name, $A38,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0.41875750845789445</v>
      </c>
      <c r="AI38" cm="1">
        <f t="array" ref="AI38">_xlfn.LET(
    _xlpm.row_name, $A38,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0.83523530721243855</v>
      </c>
      <c r="AJ38" cm="1">
        <f t="array" ref="AJ38">_xlfn.LET(
    _xlpm.row_name, $A38,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0.36752280450828179</v>
      </c>
      <c r="AK38" cm="1">
        <f t="array" ref="AK38">_xlfn.LET(
    _xlpm.row_name, $A38,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L38" cm="1">
        <f t="array" ref="AL38">_xlfn.LET(
    _xlpm.row_name, $A38,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0.12077238238302129</v>
      </c>
      <c r="AM38" cm="1">
        <f t="array" ref="AM38">_xlfn.LET(
    _xlpm.row_name, $A38,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0.78268746547408985</v>
      </c>
      <c r="AN38" cm="1">
        <f t="array" ref="AN38">_xlfn.LET(
    _xlpm.row_name, $A38,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0.29967779054042298</v>
      </c>
      <c r="AO38" cm="1">
        <f t="array" ref="AO38">_xlfn.LET(
    _xlpm.row_name, $A38,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0.20423346570516493</v>
      </c>
      <c r="AP38" cm="1">
        <f t="array" ref="AP38">_xlfn.LET(
    _xlpm.row_name, $A38,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0.35302916724294853</v>
      </c>
      <c r="AQ38" cm="1">
        <f t="array" ref="AQ38">_xlfn.LET(
    _xlpm.row_name, $A38,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0.73337381055907069</v>
      </c>
      <c r="AR38" cm="1">
        <f t="array" ref="AR38">_xlfn.LET(
    _xlpm.row_name, $A38,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0.47391218475378133</v>
      </c>
      <c r="AS38" cm="1">
        <f t="array" ref="AS38">_xlfn.LET(
    _xlpm.row_name, $A38,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0.80936500908705322</v>
      </c>
      <c r="AT38" cm="1">
        <f t="array" ref="AT38">_xlfn.LET(
    _xlpm.row_name, $A38,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0.75711365854048562</v>
      </c>
      <c r="AU38" cm="1">
        <f t="array" ref="AU38">_xlfn.LET(
    _xlpm.row_name, $A38,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0.41496531631223033</v>
      </c>
      <c r="AV38" cm="1">
        <f t="array" ref="AV38">_xlfn.LET(
    _xlpm.row_name, $A38,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0.83730050279545198</v>
      </c>
      <c r="AW38" cm="1">
        <f t="array" ref="AW38">_xlfn.LET(
    _xlpm.row_name, $A38,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0.71833602058521295</v>
      </c>
      <c r="AX38" cm="1">
        <f t="array" ref="AX38">_xlfn.LET(
    _xlpm.row_name, $A38,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0.61006355281049152</v>
      </c>
      <c r="AY38" cm="1">
        <f t="array" ref="AY38">_xlfn.LET(
    _xlpm.row_name, $A38,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0.58356585655800974</v>
      </c>
      <c r="AZ38" cm="1">
        <f t="array" ref="AZ38">_xlfn.LET(
    _xlpm.row_name, $A38,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0.21239394968166536</v>
      </c>
      <c r="BA38" cm="1">
        <f t="array" ref="BA38">_xlfn.LET(
    _xlpm.row_name, $A38,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0.70805860804890586</v>
      </c>
      <c r="BB38" cm="1">
        <f t="array" ref="BB38">_xlfn.LET(
    _xlpm.row_name, $A38,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0.77345464633443273</v>
      </c>
      <c r="BC38" cm="1">
        <f t="array" ref="BC38">_xlfn.LET(
    _xlpm.row_name, $A38,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0.73639308681065829</v>
      </c>
      <c r="BD38" cm="1">
        <f t="array" ref="BD38">_xlfn.LET(
    _xlpm.row_name, $A38,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0.57683792528672229</v>
      </c>
      <c r="BE38" cm="1">
        <f t="array" ref="BE38">_xlfn.LET(
    _xlpm.row_name, $A38,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0.79191059388605933</v>
      </c>
      <c r="BF38" cm="1">
        <f t="array" ref="BF38">_xlfn.LET(
    _xlpm.row_name, $A38,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0.10183299973803334</v>
      </c>
      <c r="BG38" cm="1">
        <f t="array" ref="BG38">_xlfn.LET(
    _xlpm.row_name, $A38,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0.61990673924648898</v>
      </c>
      <c r="BH38" cm="1">
        <f t="array" ref="BH38">_xlfn.LET(
    _xlpm.row_name, $A38,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0.7160834946013126</v>
      </c>
      <c r="BI38" cm="1">
        <f t="array" ref="BI38">_xlfn.LET(
    _xlpm.row_name, $A38,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0.64658817122342871</v>
      </c>
      <c r="BJ38" cm="1">
        <f t="array" ref="BJ38">_xlfn.LET(
    _xlpm.row_name, $A38,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0.49422053972435392</v>
      </c>
      <c r="BK38" cm="1">
        <f t="array" ref="BK38">_xlfn.LET(
    _xlpm.row_name, $A38,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0.75851554663539422</v>
      </c>
      <c r="BL38" cm="1">
        <f t="array" ref="BL38">_xlfn.LET(
    _xlpm.row_name, $A38,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0.15702749181810838</v>
      </c>
      <c r="BM38" cm="1">
        <f t="array" ref="BM38">_xlfn.LET(
    _xlpm.row_name, $A38,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0.7427107295831763</v>
      </c>
      <c r="BN38" cm="1">
        <f t="array" ref="BN38">_xlfn.LET(
    _xlpm.row_name, $A38,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0.54216181180893896</v>
      </c>
      <c r="BO38" cm="1">
        <f t="array" ref="BO38">_xlfn.LET(
    _xlpm.row_name, $A38,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0.15278334716289937</v>
      </c>
      <c r="BP38" cm="1">
        <f t="array" ref="BP38">_xlfn.LET(
    _xlpm.row_name, $A38,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0.38233046145870347</v>
      </c>
      <c r="BQ38" cm="1">
        <f t="array" ref="BQ38">_xlfn.LET(
    _xlpm.row_name, $A38,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0.50222737865313161</v>
      </c>
      <c r="BR38" cm="1">
        <f t="array" ref="BR38">_xlfn.LET(
    _xlpm.row_name, $A38,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0.85311241630261825</v>
      </c>
      <c r="BS38" cm="1">
        <f t="array" ref="BS38">_xlfn.LET(
    _xlpm.row_name, $A38,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0.31371707478647942</v>
      </c>
      <c r="BT38" cm="1">
        <f t="array" ref="BT38">_xlfn.LET(
    _xlpm.row_name, $A38,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0.11146310401419118</v>
      </c>
      <c r="BU38" cm="1">
        <f t="array" ref="BU38">_xlfn.LET(
    _xlpm.row_name, $A38,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0.22828177915399134</v>
      </c>
      <c r="BV38" cm="1">
        <f t="array" ref="BV38">_xlfn.LET(
    _xlpm.row_name, $A38,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0.88213792140636582</v>
      </c>
    </row>
    <row r="39" spans="1:74" x14ac:dyDescent="0.3">
      <c r="A39" t="str">
        <v>Hernández, Daysbel</v>
      </c>
      <c r="B39" cm="1">
        <f t="array" ref="B39">_xlfn.LET(
    _xlpm.row_name, $A39,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0.28445877079796078</v>
      </c>
      <c r="C39" cm="1">
        <f t="array" ref="C39">_xlfn.LET(
    _xlpm.row_name, $A39,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0.2734307629101782</v>
      </c>
      <c r="D39" cm="1">
        <f t="array" ref="D39">_xlfn.LET(
    _xlpm.row_name, $A39,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0.95682146730327844</v>
      </c>
      <c r="E39" cm="1">
        <f t="array" ref="E39">_xlfn.LET(
    _xlpm.row_name, $A39,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2.6085313720070558E-2</v>
      </c>
      <c r="F39" cm="1">
        <f t="array" ref="F39">_xlfn.LET(
    _xlpm.row_name, $A39,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0.300121015227785</v>
      </c>
      <c r="G39" cm="1">
        <f t="array" ref="G39">_xlfn.LET(
    _xlpm.row_name, $A39,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0.67176062675991866</v>
      </c>
      <c r="H39" cm="1">
        <f t="array" ref="H39">_xlfn.LET(
    _xlpm.row_name, $A39,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0.63037517721565872</v>
      </c>
      <c r="I39" cm="1">
        <f t="array" ref="I39">_xlfn.LET(
    _xlpm.row_name, $A39,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0.69705650889302051</v>
      </c>
      <c r="J39" cm="1">
        <f t="array" ref="J39">_xlfn.LET(
    _xlpm.row_name, $A39,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0.7292050403504019</v>
      </c>
      <c r="K39" cm="1">
        <f t="array" ref="K39">_xlfn.LET(
    _xlpm.row_name, $A39,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0.19399611299840053</v>
      </c>
      <c r="L39" cm="1">
        <f t="array" ref="L39">_xlfn.LET(
    _xlpm.row_name, $A39,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0.10904597769291846</v>
      </c>
      <c r="M39" cm="1">
        <f t="array" ref="M39">_xlfn.LET(
    _xlpm.row_name, $A39,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0.8316559789154383</v>
      </c>
      <c r="N39" cm="1">
        <f t="array" ref="N39">_xlfn.LET(
    _xlpm.row_name, $A39,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0.5390030067978272</v>
      </c>
      <c r="O39" cm="1">
        <f t="array" ref="O39">_xlfn.LET(
    _xlpm.row_name, $A39,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0.58254833126559258</v>
      </c>
      <c r="P39" cm="1">
        <f t="array" ref="P39">_xlfn.LET(
    _xlpm.row_name, $A39,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0.51772648670096688</v>
      </c>
      <c r="Q39" cm="1">
        <f t="array" ref="Q39">_xlfn.LET(
    _xlpm.row_name, $A39,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9.0639318171238936E-2</v>
      </c>
      <c r="R39" cm="1">
        <f t="array" ref="R39">_xlfn.LET(
    _xlpm.row_name, $A39,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0.73216723942022766</v>
      </c>
      <c r="S39" cm="1">
        <f t="array" ref="S39">_xlfn.LET(
    _xlpm.row_name, $A39,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0.5296743595773391</v>
      </c>
      <c r="T39" cm="1">
        <f t="array" ref="T39">_xlfn.LET(
    _xlpm.row_name, $A39,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0.67549342594626305</v>
      </c>
      <c r="U39" cm="1">
        <f t="array" ref="U39">_xlfn.LET(
    _xlpm.row_name, $A39,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0.75537809028656056</v>
      </c>
      <c r="V39" cm="1">
        <f t="array" ref="V39">_xlfn.LET(
    _xlpm.row_name, $A39,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0.18609698976900541</v>
      </c>
      <c r="W39" cm="1">
        <f t="array" ref="W39">_xlfn.LET(
    _xlpm.row_name, $A39,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0.26014810685527012</v>
      </c>
      <c r="X39" cm="1">
        <f t="array" ref="X39">_xlfn.LET(
    _xlpm.row_name, $A39,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0.77319068640173017</v>
      </c>
      <c r="Y39" cm="1">
        <f t="array" ref="Y39">_xlfn.LET(
    _xlpm.row_name, $A39,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0.56273747827267773</v>
      </c>
      <c r="Z39" cm="1">
        <f t="array" ref="Z39">_xlfn.LET(
    _xlpm.row_name, $A39,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0.9701370458121148</v>
      </c>
      <c r="AA39" cm="1">
        <f t="array" ref="AA39">_xlfn.LET(
    _xlpm.row_name, $A39,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0.606020478737332</v>
      </c>
      <c r="AB39" cm="1">
        <f t="array" ref="AB39">_xlfn.LET(
    _xlpm.row_name, $A39,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0.7554144688862563</v>
      </c>
      <c r="AC39" cm="1">
        <f t="array" ref="AC39">_xlfn.LET(
    _xlpm.row_name, $A39,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0.11853063574722417</v>
      </c>
      <c r="AD39" cm="1">
        <f t="array" ref="AD39">_xlfn.LET(
    _xlpm.row_name, $A39,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0.65080109513375906</v>
      </c>
      <c r="AE39" cm="1">
        <f t="array" ref="AE39">_xlfn.LET(
    _xlpm.row_name, $A39,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0.83738073453798134</v>
      </c>
      <c r="AF39" cm="1">
        <f t="array" ref="AF39">_xlfn.LET(
    _xlpm.row_name, $A39,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0.19039543971805822</v>
      </c>
      <c r="AG39" cm="1">
        <f t="array" ref="AG39">_xlfn.LET(
    _xlpm.row_name, $A39,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0.30873403323293797</v>
      </c>
      <c r="AH39" cm="1">
        <f t="array" ref="AH39">_xlfn.LET(
    _xlpm.row_name, $A39,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0.77044167396050189</v>
      </c>
      <c r="AI39" cm="1">
        <f t="array" ref="AI39">_xlfn.LET(
    _xlpm.row_name, $A39,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0.4663297302312423</v>
      </c>
      <c r="AJ39" cm="1">
        <f t="array" ref="AJ39">_xlfn.LET(
    _xlpm.row_name, $A39,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0.87800274547431445</v>
      </c>
      <c r="AK39" cm="1">
        <f t="array" ref="AK39">_xlfn.LET(
    _xlpm.row_name, $A39,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0.12077238238302129</v>
      </c>
      <c r="AL39" cm="1">
        <f t="array" ref="AL39">_xlfn.LET(
    _xlpm.row_name, $A39,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M39" cm="1">
        <f t="array" ref="AM39">_xlfn.LET(
    _xlpm.row_name, $A39,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4.6739481436631369E-2</v>
      </c>
      <c r="AN39" cm="1">
        <f t="array" ref="AN39">_xlfn.LET(
    _xlpm.row_name, $A39,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0.83865151794805193</v>
      </c>
      <c r="AO39" cm="1">
        <f t="array" ref="AO39">_xlfn.LET(
    _xlpm.row_name, $A39,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0.67015694048182795</v>
      </c>
      <c r="AP39" cm="1">
        <f t="array" ref="AP39">_xlfn.LET(
    _xlpm.row_name, $A39,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0.69336850535130357</v>
      </c>
      <c r="AQ39" cm="1">
        <f t="array" ref="AQ39">_xlfn.LET(
    _xlpm.row_name, $A39,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0.36581734660289905</v>
      </c>
      <c r="AR39" cm="1">
        <f t="array" ref="AR39">_xlfn.LET(
    _xlpm.row_name, $A39,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0.62263121329780546</v>
      </c>
      <c r="AS39" cm="1">
        <f t="array" ref="AS39">_xlfn.LET(
    _xlpm.row_name, $A39,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0.33401578968756312</v>
      </c>
      <c r="AT39" cm="1">
        <f t="array" ref="AT39">_xlfn.LET(
    _xlpm.row_name, $A39,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0.22147815989416797</v>
      </c>
      <c r="AU39" cm="1">
        <f t="array" ref="AU39">_xlfn.LET(
    _xlpm.row_name, $A39,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0.85267890091825871</v>
      </c>
      <c r="AV39" cm="1">
        <f t="array" ref="AV39">_xlfn.LET(
    _xlpm.row_name, $A39,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0.11931551798353612</v>
      </c>
      <c r="AW39" cm="1">
        <f t="array" ref="AW39">_xlfn.LET(
    _xlpm.row_name, $A39,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0.24720436645901794</v>
      </c>
      <c r="AX39" cm="1">
        <f t="array" ref="AX39">_xlfn.LET(
    _xlpm.row_name, $A39,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0.23980966408733473</v>
      </c>
      <c r="AY39" cm="1">
        <f t="array" ref="AY39">_xlfn.LET(
    _xlpm.row_name, $A39,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0.64003833472221472</v>
      </c>
      <c r="AZ39" cm="1">
        <f t="array" ref="AZ39">_xlfn.LET(
    _xlpm.row_name, $A39,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0.53549395810190648</v>
      </c>
      <c r="BA39" cm="1">
        <f t="array" ref="BA39">_xlfn.LET(
    _xlpm.row_name, $A39,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0.58412078830098835</v>
      </c>
      <c r="BB39" cm="1">
        <f t="array" ref="BB39">_xlfn.LET(
    _xlpm.row_name, $A39,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0.27573449143219486</v>
      </c>
      <c r="BC39" cm="1">
        <f t="array" ref="BC39">_xlfn.LET(
    _xlpm.row_name, $A39,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5.0379435219942259E-2</v>
      </c>
      <c r="BD39" cm="1">
        <f t="array" ref="BD39">_xlfn.LET(
    _xlpm.row_name, $A39,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0.67515255913276229</v>
      </c>
      <c r="BE39" cm="1">
        <f t="array" ref="BE39">_xlfn.LET(
    _xlpm.row_name, $A39,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0.1871075489614476</v>
      </c>
      <c r="BF39" cm="1">
        <f t="array" ref="BF39">_xlfn.LET(
    _xlpm.row_name, $A39,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0.68958362395702799</v>
      </c>
      <c r="BG39" cm="1">
        <f t="array" ref="BG39">_xlfn.LET(
    _xlpm.row_name, $A39,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0.54432198837678303</v>
      </c>
      <c r="BH39" cm="1">
        <f t="array" ref="BH39">_xlfn.LET(
    _xlpm.row_name, $A39,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0.19399833584827642</v>
      </c>
      <c r="BI39" cm="1">
        <f t="array" ref="BI39">_xlfn.LET(
    _xlpm.row_name, $A39,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0.44399184907714645</v>
      </c>
      <c r="BJ39" cm="1">
        <f t="array" ref="BJ39">_xlfn.LET(
    _xlpm.row_name, $A39,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0.74844189723141019</v>
      </c>
      <c r="BK39" cm="1">
        <f t="array" ref="BK39">_xlfn.LET(
    _xlpm.row_name, $A39,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0.43488098665496466</v>
      </c>
      <c r="BL39" cm="1">
        <f t="array" ref="BL39">_xlfn.LET(
    _xlpm.row_name, $A39,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0.76160205170443462</v>
      </c>
      <c r="BM39" cm="1">
        <f t="array" ref="BM39">_xlfn.LET(
    _xlpm.row_name, $A39,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0.16810383706196225</v>
      </c>
      <c r="BN39" cm="1">
        <f t="array" ref="BN39">_xlfn.LET(
    _xlpm.row_name, $A39,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0.41708260501156741</v>
      </c>
      <c r="BO39" cm="1">
        <f t="array" ref="BO39">_xlfn.LET(
    _xlpm.row_name, $A39,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0.61189500032278565</v>
      </c>
      <c r="BP39" cm="1">
        <f t="array" ref="BP39">_xlfn.LET(
    _xlpm.row_name, $A39,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0.88612781079431402</v>
      </c>
      <c r="BQ39" cm="1">
        <f t="array" ref="BQ39">_xlfn.LET(
    _xlpm.row_name, $A39,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0.35439794207379749</v>
      </c>
      <c r="BR39" cm="1">
        <f t="array" ref="BR39">_xlfn.LET(
    _xlpm.row_name, $A39,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0.13528177409211001</v>
      </c>
      <c r="BS39" cm="1">
        <f t="array" ref="BS39">_xlfn.LET(
    _xlpm.row_name, $A39,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0.77810494790110307</v>
      </c>
      <c r="BT39" cm="1">
        <f t="array" ref="BT39">_xlfn.LET(
    _xlpm.row_name, $A39,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0.78134781475139781</v>
      </c>
      <c r="BU39" cm="1">
        <f t="array" ref="BU39">_xlfn.LET(
    _xlpm.row_name, $A39,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0.8004823197616977</v>
      </c>
      <c r="BV39" cm="1">
        <f t="array" ref="BV39">_xlfn.LET(
    _xlpm.row_name, $A39,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0.13024192814699176</v>
      </c>
    </row>
    <row r="40" spans="1:74" x14ac:dyDescent="0.3">
      <c r="A40" t="str">
        <v>Greene, Shane</v>
      </c>
      <c r="B40" cm="1">
        <f t="array" ref="B40">_xlfn.LET(
    _xlpm.row_name, $A40,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0.66196222654551018</v>
      </c>
      <c r="C40" cm="1">
        <f t="array" ref="C40">_xlfn.LET(
    _xlpm.row_name, $A40,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0.81231691615539248</v>
      </c>
      <c r="D40" cm="1">
        <f t="array" ref="D40">_xlfn.LET(
    _xlpm.row_name, $A40,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5.7931045826906946E-2</v>
      </c>
      <c r="E40" cm="1">
        <f t="array" ref="E40">_xlfn.LET(
    _xlpm.row_name, $A40,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0.9522138985198092</v>
      </c>
      <c r="F40" cm="1">
        <f t="array" ref="F40">_xlfn.LET(
    _xlpm.row_name, $A40,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0.6680755938933044</v>
      </c>
      <c r="G40" cm="1">
        <f t="array" ref="G40">_xlfn.LET(
    _xlpm.row_name, $A40,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0.17213855451726184</v>
      </c>
      <c r="H40" cm="1">
        <f t="array" ref="H40">_xlfn.LET(
    _xlpm.row_name, $A40,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0.53283516460831803</v>
      </c>
      <c r="I40" cm="1">
        <f t="array" ref="I40">_xlfn.LET(
    _xlpm.row_name, $A40,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0.38206882252019003</v>
      </c>
      <c r="J40" cm="1">
        <f t="array" ref="J40">_xlfn.LET(
    _xlpm.row_name, $A40,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0.2539418780484507</v>
      </c>
      <c r="K40" cm="1">
        <f t="array" ref="K40">_xlfn.LET(
    _xlpm.row_name, $A40,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0.85683707607527837</v>
      </c>
      <c r="L40" cm="1">
        <f t="array" ref="L40">_xlfn.LET(
    _xlpm.row_name, $A40,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0.80557139733125172</v>
      </c>
      <c r="M40" cm="1">
        <f t="array" ref="M40">_xlfn.LET(
    _xlpm.row_name, $A40,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0.25540694421220278</v>
      </c>
      <c r="N40" cm="1">
        <f t="array" ref="N40">_xlfn.LET(
    _xlpm.row_name, $A40,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0.5084603291642561</v>
      </c>
      <c r="O40" cm="1">
        <f t="array" ref="O40">_xlfn.LET(
    _xlpm.row_name, $A40,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0.35042877508529835</v>
      </c>
      <c r="P40" cm="1">
        <f t="array" ref="P40">_xlfn.LET(
    _xlpm.row_name, $A40,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0.63874826825497499</v>
      </c>
      <c r="Q40" cm="1">
        <f t="array" ref="Q40">_xlfn.LET(
    _xlpm.row_name, $A40,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0.95571124681474162</v>
      </c>
      <c r="R40" cm="1">
        <f t="array" ref="R40">_xlfn.LET(
    _xlpm.row_name, $A40,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0.4542022662137753</v>
      </c>
      <c r="S40" cm="1">
        <f t="array" ref="S40">_xlfn.LET(
    _xlpm.row_name, $A40,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0.66632405768037395</v>
      </c>
      <c r="T40" cm="1">
        <f t="array" ref="T40">_xlfn.LET(
    _xlpm.row_name, $A40,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0.51139723031278317</v>
      </c>
      <c r="U40" cm="1">
        <f t="array" ref="U40">_xlfn.LET(
    _xlpm.row_name, $A40,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0.10073801357921675</v>
      </c>
      <c r="V40" cm="1">
        <f t="array" ref="V40">_xlfn.LET(
    _xlpm.row_name, $A40,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0.67991857205969031</v>
      </c>
      <c r="W40" cm="1">
        <f t="array" ref="W40">_xlfn.LET(
    _xlpm.row_name, $A40,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0.87355485741789574</v>
      </c>
      <c r="X40" cm="1">
        <f t="array" ref="X40">_xlfn.LET(
    _xlpm.row_name, $A40,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8.1428588654668677E-2</v>
      </c>
      <c r="Y40" cm="1">
        <f t="array" ref="Y40">_xlfn.LET(
    _xlpm.row_name, $A40,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0.42401575720723983</v>
      </c>
      <c r="Z40" cm="1">
        <f t="array" ref="Z40">_xlfn.LET(
    _xlpm.row_name, $A40,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0.1155048109138701</v>
      </c>
      <c r="AA40" cm="1">
        <f t="array" ref="AA40">_xlfn.LET(
    _xlpm.row_name, $A40,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0.36414149357027481</v>
      </c>
      <c r="AB40" cm="1">
        <f t="array" ref="AB40">_xlfn.LET(
    _xlpm.row_name, $A40,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0.20444002057361499</v>
      </c>
      <c r="AC40" cm="1">
        <f t="array" ref="AC40">_xlfn.LET(
    _xlpm.row_name, $A40,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0.91329568399615857</v>
      </c>
      <c r="AD40" cm="1">
        <f t="array" ref="AD40">_xlfn.LET(
    _xlpm.row_name, $A40,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0.42486630790863977</v>
      </c>
      <c r="AE40" cm="1">
        <f t="array" ref="AE40">_xlfn.LET(
    _xlpm.row_name, $A40,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5.2028978660041247E-2</v>
      </c>
      <c r="AF40" cm="1">
        <f t="array" ref="AF40">_xlfn.LET(
    _xlpm.row_name, $A40,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0.6911959869531823</v>
      </c>
      <c r="AG40" cm="1">
        <f t="array" ref="AG40">_xlfn.LET(
    _xlpm.row_name, $A40,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0.57017399244782097</v>
      </c>
      <c r="AH40" cm="1">
        <f t="array" ref="AH40">_xlfn.LET(
    _xlpm.row_name, $A40,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0.30971549364243167</v>
      </c>
      <c r="AI40" cm="1">
        <f t="array" ref="AI40">_xlfn.LET(
    _xlpm.row_name, $A40,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0.42637614359049547</v>
      </c>
      <c r="AJ40" cm="1">
        <f t="array" ref="AJ40">_xlfn.LET(
    _xlpm.row_name, $A40,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0.16292366875889636</v>
      </c>
      <c r="AK40" cm="1">
        <f t="array" ref="AK40">_xlfn.LET(
    _xlpm.row_name, $A40,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0.78268746547408985</v>
      </c>
      <c r="AL40" cm="1">
        <f t="array" ref="AL40">_xlfn.LET(
    _xlpm.row_name, $A40,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4.6739481436631369E-2</v>
      </c>
      <c r="AM40" cm="1">
        <f t="array" ref="AM40">_xlfn.LET(
    _xlpm.row_name, $A40,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N40" cm="1">
        <f t="array" ref="AN40">_xlfn.LET(
    _xlpm.row_name, $A40,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0.30471455812717951</v>
      </c>
      <c r="AO40" cm="1">
        <f t="array" ref="AO40">_xlfn.LET(
    _xlpm.row_name, $A40,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0.36742625625767666</v>
      </c>
      <c r="AP40" cm="1">
        <f t="array" ref="AP40">_xlfn.LET(
    _xlpm.row_name, $A40,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0.20674076790094881</v>
      </c>
      <c r="AQ40" cm="1">
        <f t="array" ref="AQ40">_xlfn.LET(
    _xlpm.row_name, $A40,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0.66656144608767631</v>
      </c>
      <c r="AR40" cm="1">
        <f t="array" ref="AR40">_xlfn.LET(
    _xlpm.row_name, $A40,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0.516944849413839</v>
      </c>
      <c r="AS40" cm="1">
        <f t="array" ref="AS40">_xlfn.LET(
    _xlpm.row_name, $A40,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0.70733985070689309</v>
      </c>
      <c r="AT40" cm="1">
        <f t="array" ref="AT40">_xlfn.LET(
    _xlpm.row_name, $A40,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0.62016206594512702</v>
      </c>
      <c r="AU40" cm="1">
        <f t="array" ref="AU40">_xlfn.LET(
    _xlpm.row_name, $A40,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0.17122599983810705</v>
      </c>
      <c r="AV40" cm="1">
        <f t="array" ref="AV40">_xlfn.LET(
    _xlpm.row_name, $A40,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0.92259326460701341</v>
      </c>
      <c r="AW40" cm="1">
        <f t="array" ref="AW40">_xlfn.LET(
    _xlpm.row_name, $A40,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0.67741894367402877</v>
      </c>
      <c r="AX40" cm="1">
        <f t="array" ref="AX40">_xlfn.LET(
    _xlpm.row_name, $A40,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0.83652665233222256</v>
      </c>
      <c r="AY40" cm="1">
        <f t="array" ref="AY40">_xlfn.LET(
    _xlpm.row_name, $A40,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0.4521511513757116</v>
      </c>
      <c r="AZ40" cm="1">
        <f t="array" ref="AZ40">_xlfn.LET(
    _xlpm.row_name, $A40,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0.62299583575091266</v>
      </c>
      <c r="BA40" cm="1">
        <f t="array" ref="BA40">_xlfn.LET(
    _xlpm.row_name, $A40,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0.26505704031250155</v>
      </c>
      <c r="BB40" cm="1">
        <f t="array" ref="BB40">_xlfn.LET(
    _xlpm.row_name, $A40,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0.65519450413028413</v>
      </c>
      <c r="BC40" cm="1">
        <f t="array" ref="BC40">_xlfn.LET(
    _xlpm.row_name, $A40,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0.95221379409472195</v>
      </c>
      <c r="BD40" cm="1">
        <f t="array" ref="BD40">_xlfn.LET(
    _xlpm.row_name, $A40,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0.18182171013392823</v>
      </c>
      <c r="BE40" cm="1">
        <f t="array" ref="BE40">_xlfn.LET(
    _xlpm.row_name, $A40,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0.66078240293654322</v>
      </c>
      <c r="BF40" cm="1">
        <f t="array" ref="BF40">_xlfn.LET(
    _xlpm.row_name, $A40,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0.49373866235013569</v>
      </c>
      <c r="BG40" cm="1">
        <f t="array" ref="BG40">_xlfn.LET(
    _xlpm.row_name, $A40,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0.32394618554161964</v>
      </c>
      <c r="BH40" cm="1">
        <f t="array" ref="BH40">_xlfn.LET(
    _xlpm.row_name, $A40,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0.83822024772130577</v>
      </c>
      <c r="BI40" cm="1">
        <f t="array" ref="BI40">_xlfn.LET(
    _xlpm.row_name, $A40,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0.41905241221600531</v>
      </c>
      <c r="BJ40" cm="1">
        <f t="array" ref="BJ40">_xlfn.LET(
    _xlpm.row_name, $A40,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0.33857780038993501</v>
      </c>
      <c r="BK40" cm="1">
        <f t="array" ref="BK40">_xlfn.LET(
    _xlpm.row_name, $A40,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0.46183754219429146</v>
      </c>
      <c r="BL40" cm="1">
        <f t="array" ref="BL40">_xlfn.LET(
    _xlpm.row_name, $A40,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0.32644244041822185</v>
      </c>
      <c r="BM40" cm="1">
        <f t="array" ref="BM40">_xlfn.LET(
    _xlpm.row_name, $A40,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0.83763446412199138</v>
      </c>
      <c r="BN40" cm="1">
        <f t="array" ref="BN40">_xlfn.LET(
    _xlpm.row_name, $A40,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0.55580978363651501</v>
      </c>
      <c r="BO40" cm="1">
        <f t="array" ref="BO40">_xlfn.LET(
    _xlpm.row_name, $A40,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0.39217898686502706</v>
      </c>
      <c r="BP40" cm="1">
        <f t="array" ref="BP40">_xlfn.LET(
    _xlpm.row_name, $A40,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6.1751325936717394E-2</v>
      </c>
      <c r="BQ40" cm="1">
        <f t="array" ref="BQ40">_xlfn.LET(
    _xlpm.row_name, $A40,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0.78064533941742398</v>
      </c>
      <c r="BR40" cm="1">
        <f t="array" ref="BR40">_xlfn.LET(
    _xlpm.row_name, $A40,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0.76287316535818595</v>
      </c>
      <c r="BS40" cm="1">
        <f t="array" ref="BS40">_xlfn.LET(
    _xlpm.row_name, $A40,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0.1713737443363022</v>
      </c>
      <c r="BT40" cm="1">
        <f t="array" ref="BT40">_xlfn.LET(
    _xlpm.row_name, $A40,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0.37117190544948808</v>
      </c>
      <c r="BU40" cm="1">
        <f t="array" ref="BU40">_xlfn.LET(
    _xlpm.row_name, $A40,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0.29381981867161489</v>
      </c>
      <c r="BV40" cm="1">
        <f t="array" ref="BV40">_xlfn.LET(
    _xlpm.row_name, $A40,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0.87671336796045596</v>
      </c>
    </row>
    <row r="41" spans="1:74" x14ac:dyDescent="0.3">
      <c r="A41" t="str">
        <v>Webb, Jacob</v>
      </c>
      <c r="B41" cm="1">
        <f t="array" ref="B41">_xlfn.LET(
    _xlpm.row_name, $A41,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0.34960617524998827</v>
      </c>
      <c r="C41" cm="1">
        <f t="array" ref="C41">_xlfn.LET(
    _xlpm.row_name, $A41,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0.50855420648314609</v>
      </c>
      <c r="D41" cm="1">
        <f t="array" ref="D41">_xlfn.LET(
    _xlpm.row_name, $A41,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0.75528660473327847</v>
      </c>
      <c r="E41" cm="1">
        <f t="array" ref="E41">_xlfn.LET(
    _xlpm.row_name, $A41,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0.13842607048319971</v>
      </c>
      <c r="F41" cm="1">
        <f t="array" ref="F41">_xlfn.LET(
    _xlpm.row_name, $A41,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0.29660652868087956</v>
      </c>
      <c r="G41" cm="1">
        <f t="array" ref="G41">_xlfn.LET(
    _xlpm.row_name, $A41,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0.49552885167722871</v>
      </c>
      <c r="H41" cm="1">
        <f t="array" ref="H41">_xlfn.LET(
    _xlpm.row_name, $A41,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0.81860377523180339</v>
      </c>
      <c r="I41" cm="1">
        <f t="array" ref="I41">_xlfn.LET(
    _xlpm.row_name, $A41,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0.74085554129808484</v>
      </c>
      <c r="J41" cm="1">
        <f t="array" ref="J41">_xlfn.LET(
    _xlpm.row_name, $A41,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0.56296120966351149</v>
      </c>
      <c r="K41" cm="1">
        <f t="array" ref="K41">_xlfn.LET(
    _xlpm.row_name, $A41,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0.51271480766810529</v>
      </c>
      <c r="L41" cm="1">
        <f t="array" ref="L41">_xlfn.LET(
    _xlpm.row_name, $A41,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0.28024232954509598</v>
      </c>
      <c r="M41" cm="1">
        <f t="array" ref="M41">_xlfn.LET(
    _xlpm.row_name, $A41,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0.90907535559852781</v>
      </c>
      <c r="N41" cm="1">
        <f t="array" ref="N41">_xlfn.LET(
    _xlpm.row_name, $A41,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0.41295661785622462</v>
      </c>
      <c r="O41" cm="1">
        <f t="array" ref="O41">_xlfn.LET(
    _xlpm.row_name, $A41,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0.67922364268356872</v>
      </c>
      <c r="P41" cm="1">
        <f t="array" ref="P41">_xlfn.LET(
    _xlpm.row_name, $A41,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0.5616979075761348</v>
      </c>
      <c r="Q41" cm="1">
        <f t="array" ref="Q41">_xlfn.LET(
    _xlpm.row_name, $A41,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0.3521376622908427</v>
      </c>
      <c r="R41" cm="1">
        <f t="array" ref="R41">_xlfn.LET(
    _xlpm.row_name, $A41,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0.87163705471978292</v>
      </c>
      <c r="S41" cm="1">
        <f t="array" ref="S41">_xlfn.LET(
    _xlpm.row_name, $A41,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0.84972395010198931</v>
      </c>
      <c r="T41" cm="1">
        <f t="array" ref="T41">_xlfn.LET(
    _xlpm.row_name, $A41,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0.75285120820996576</v>
      </c>
      <c r="U41" cm="1">
        <f t="array" ref="U41">_xlfn.LET(
    _xlpm.row_name, $A41,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0.50292254410739201</v>
      </c>
      <c r="V41" cm="1">
        <f t="array" ref="V41">_xlfn.LET(
    _xlpm.row_name, $A41,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0.29974529526119775</v>
      </c>
      <c r="W41" cm="1">
        <f t="array" ref="W41">_xlfn.LET(
    _xlpm.row_name, $A41,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0.44233887843914599</v>
      </c>
      <c r="X41" cm="1">
        <f t="array" ref="X41">_xlfn.LET(
    _xlpm.row_name, $A41,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0.50042664092072531</v>
      </c>
      <c r="Y41" cm="1">
        <f t="array" ref="Y41">_xlfn.LET(
    _xlpm.row_name, $A41,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0.60465043903016413</v>
      </c>
      <c r="Z41" cm="1">
        <f t="array" ref="Z41">_xlfn.LET(
    _xlpm.row_name, $A41,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0.89383743802379301</v>
      </c>
      <c r="AA41" cm="1">
        <f t="array" ref="AA41">_xlfn.LET(
    _xlpm.row_name, $A41,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0.73181633846833138</v>
      </c>
      <c r="AB41" cm="1">
        <f t="array" ref="AB41">_xlfn.LET(
    _xlpm.row_name, $A41,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0.73648636497079023</v>
      </c>
      <c r="AC41" cm="1">
        <f t="array" ref="AC41">_xlfn.LET(
    _xlpm.row_name, $A41,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0.28934616151912251</v>
      </c>
      <c r="AD41" cm="1">
        <f t="array" ref="AD41">_xlfn.LET(
    _xlpm.row_name, $A41,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0.73662541292698314</v>
      </c>
      <c r="AE41" cm="1">
        <f t="array" ref="AE41">_xlfn.LET(
    _xlpm.row_name, $A41,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0.58840834571392253</v>
      </c>
      <c r="AF41" cm="1">
        <f t="array" ref="AF41">_xlfn.LET(
    _xlpm.row_name, $A41,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0.28811693933004351</v>
      </c>
      <c r="AG41" cm="1">
        <f t="array" ref="AG41">_xlfn.LET(
    _xlpm.row_name, $A41,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0.29460725476261307</v>
      </c>
      <c r="AH41" cm="1">
        <f t="array" ref="AH41">_xlfn.LET(
    _xlpm.row_name, $A41,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0.91083758642304447</v>
      </c>
      <c r="AI41" cm="1">
        <f t="array" ref="AI41">_xlfn.LET(
    _xlpm.row_name, $A41,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0.50111674138378348</v>
      </c>
      <c r="AJ41" cm="1">
        <f t="array" ref="AJ41">_xlfn.LET(
    _xlpm.row_name, $A41,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0.92100298056595398</v>
      </c>
      <c r="AK41" cm="1">
        <f t="array" ref="AK41">_xlfn.LET(
    _xlpm.row_name, $A41,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0.29967779054042298</v>
      </c>
      <c r="AL41" cm="1">
        <f t="array" ref="AL41">_xlfn.LET(
    _xlpm.row_name, $A41,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0.83865151794805193</v>
      </c>
      <c r="AM41" cm="1">
        <f t="array" ref="AM41">_xlfn.LET(
    _xlpm.row_name, $A41,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0.30471455812717951</v>
      </c>
      <c r="AN41" cm="1">
        <f t="array" ref="AN41">_xlfn.LET(
    _xlpm.row_name, $A41,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O41" cm="1">
        <f t="array" ref="AO41">_xlfn.LET(
    _xlpm.row_name, $A41,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0.53234015840066473</v>
      </c>
      <c r="AP41" cm="1">
        <f t="array" ref="AP41">_xlfn.LET(
    _xlpm.row_name, $A41,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0.35104020235864203</v>
      </c>
      <c r="AQ41" cm="1">
        <f t="array" ref="AQ41">_xlfn.LET(
    _xlpm.row_name, $A41,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0.63492367397379623</v>
      </c>
      <c r="AR41" cm="1">
        <f t="array" ref="AR41">_xlfn.LET(
    _xlpm.row_name, $A41,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0.85270802905939025</v>
      </c>
      <c r="AS41" cm="1">
        <f t="array" ref="AS41">_xlfn.LET(
    _xlpm.row_name, $A41,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0.63213755370461833</v>
      </c>
      <c r="AT41" cm="1">
        <f t="array" ref="AT41">_xlfn.LET(
    _xlpm.row_name, $A41,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0.17040426152034832</v>
      </c>
      <c r="AU41" cm="1">
        <f t="array" ref="AU41">_xlfn.LET(
    _xlpm.row_name, $A41,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0.82387822236596642</v>
      </c>
      <c r="AV41" cm="1">
        <f t="array" ref="AV41">_xlfn.LET(
    _xlpm.row_name, $A41,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0.40017269629444485</v>
      </c>
      <c r="AW41" cm="1">
        <f t="array" ref="AW41">_xlfn.LET(
    _xlpm.row_name, $A41,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0.27056996952243312</v>
      </c>
      <c r="AX41" cm="1">
        <f t="array" ref="AX41">_xlfn.LET(
    _xlpm.row_name, $A41,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0.39525716969738561</v>
      </c>
      <c r="AY41" cm="1">
        <f t="array" ref="AY41">_xlfn.LET(
    _xlpm.row_name, $A41,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0.85266782803656405</v>
      </c>
      <c r="AZ41" cm="1">
        <f t="array" ref="AZ41">_xlfn.LET(
    _xlpm.row_name, $A41,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0.59844862319580039</v>
      </c>
      <c r="BA41" cm="1">
        <f t="array" ref="BA41">_xlfn.LET(
    _xlpm.row_name, $A41,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0.51790847790134287</v>
      </c>
      <c r="BB41" cm="1">
        <f t="array" ref="BB41">_xlfn.LET(
    _xlpm.row_name, $A41,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0.29803627720617198</v>
      </c>
      <c r="BC41" cm="1">
        <f t="array" ref="BC41">_xlfn.LET(
    _xlpm.row_name, $A41,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0.22267756534748678</v>
      </c>
      <c r="BD41" cm="1">
        <f t="array" ref="BD41">_xlfn.LET(
    _xlpm.row_name, $A41,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0.51609421529925059</v>
      </c>
      <c r="BE41" cm="1">
        <f t="array" ref="BE41">_xlfn.LET(
    _xlpm.row_name, $A41,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5.2160970811553131E-2</v>
      </c>
      <c r="BF41" cm="1">
        <f t="array" ref="BF41">_xlfn.LET(
    _xlpm.row_name, $A41,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0.7230199150010358</v>
      </c>
      <c r="BG41" cm="1">
        <f t="array" ref="BG41">_xlfn.LET(
    _xlpm.row_name, $A41,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0.48786753167033658</v>
      </c>
      <c r="BH41" cm="1">
        <f t="array" ref="BH41">_xlfn.LET(
    _xlpm.row_name, $A41,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0.4586524550622878</v>
      </c>
      <c r="BI41" cm="1">
        <f t="array" ref="BI41">_xlfn.LET(
    _xlpm.row_name, $A41,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0.30499721270410785</v>
      </c>
      <c r="BJ41" cm="1">
        <f t="array" ref="BJ41">_xlfn.LET(
    _xlpm.row_name, $A41,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0.93672698244123043</v>
      </c>
      <c r="BK41" cm="1">
        <f t="array" ref="BK41">_xlfn.LET(
    _xlpm.row_name, $A41,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0.45701114210309041</v>
      </c>
      <c r="BL41" cm="1">
        <f t="array" ref="BL41">_xlfn.LET(
    _xlpm.row_name, $A41,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0.69635044174762684</v>
      </c>
      <c r="BM41" cm="1">
        <f t="array" ref="BM41">_xlfn.LET(
    _xlpm.row_name, $A41,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0.28496749609080818</v>
      </c>
      <c r="BN41" cm="1">
        <f t="array" ref="BN41">_xlfn.LET(
    _xlpm.row_name, $A41,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0.34024801089852125</v>
      </c>
      <c r="BO41" cm="1">
        <f t="array" ref="BO41">_xlfn.LET(
    _xlpm.row_name, $A41,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0.39640445823880011</v>
      </c>
      <c r="BP41" cm="1">
        <f t="array" ref="BP41">_xlfn.LET(
    _xlpm.row_name, $A41,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0.72497415399264231</v>
      </c>
      <c r="BQ41" cm="1">
        <f t="array" ref="BQ41">_xlfn.LET(
    _xlpm.row_name, $A41,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0.60816077779487288</v>
      </c>
      <c r="BR41" cm="1">
        <f t="array" ref="BR41">_xlfn.LET(
    _xlpm.row_name, $A41,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0.17165874253516394</v>
      </c>
      <c r="BS41" cm="1">
        <f t="array" ref="BS41">_xlfn.LET(
    _xlpm.row_name, $A41,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0.52442691716371037</v>
      </c>
      <c r="BT41" cm="1">
        <f t="array" ref="BT41">_xlfn.LET(
    _xlpm.row_name, $A41,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0.75514915167216867</v>
      </c>
      <c r="BU41" cm="1">
        <f t="array" ref="BU41">_xlfn.LET(
    _xlpm.row_name, $A41,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0.8408112531748495</v>
      </c>
      <c r="BV41" cm="1">
        <f t="array" ref="BV41">_xlfn.LET(
    _xlpm.row_name, $A41,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0.45050509646251796</v>
      </c>
    </row>
    <row r="42" spans="1:74" x14ac:dyDescent="0.3">
      <c r="A42" t="str">
        <v>Jansen, Kenley</v>
      </c>
      <c r="B42" cm="1">
        <f t="array" ref="B42">_xlfn.LET(
    _xlpm.row_name, $A42,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2.5450419873667585E-2</v>
      </c>
      <c r="C42" cm="1">
        <f t="array" ref="C42">_xlfn.LET(
    _xlpm.row_name, $A42,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0.20640400213691923</v>
      </c>
      <c r="D42" cm="1">
        <f t="array" ref="D42">_xlfn.LET(
    _xlpm.row_name, $A42,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0.79876874789557439</v>
      </c>
      <c r="E42" cm="1">
        <f t="array" ref="E42">_xlfn.LET(
    _xlpm.row_name, $A42,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0.38155430414271702</v>
      </c>
      <c r="F42" cm="1">
        <f t="array" ref="F42">_xlfn.LET(
    _xlpm.row_name, $A42,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0.54946787442925304</v>
      </c>
      <c r="G42" cm="1">
        <f t="array" ref="G42">_xlfn.LET(
    _xlpm.row_name, $A42,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0.51481266230966038</v>
      </c>
      <c r="H42" cm="1">
        <f t="array" ref="H42">_xlfn.LET(
    _xlpm.row_name, $A42,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0.2940694374812447</v>
      </c>
      <c r="I42" cm="1">
        <f t="array" ref="I42">_xlfn.LET(
    _xlpm.row_name, $A42,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0.22259408111310675</v>
      </c>
      <c r="J42" cm="1">
        <f t="array" ref="J42">_xlfn.LET(
    _xlpm.row_name, $A42,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0.59062126318033314</v>
      </c>
      <c r="K42" cm="1">
        <f t="array" ref="K42">_xlfn.LET(
    _xlpm.row_name, $A42,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0.10463261903382032</v>
      </c>
      <c r="L42" cm="1">
        <f t="array" ref="L42">_xlfn.LET(
    _xlpm.row_name, $A42,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0.11882485581778068</v>
      </c>
      <c r="M42" cm="1">
        <f t="array" ref="M42">_xlfn.LET(
    _xlpm.row_name, $A42,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0.34520877070225414</v>
      </c>
      <c r="N42" cm="1">
        <f t="array" ref="N42">_xlfn.LET(
    _xlpm.row_name, $A42,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0.93745185590271962</v>
      </c>
      <c r="O42" cm="1">
        <f t="array" ref="O42">_xlfn.LET(
    _xlpm.row_name, $A42,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0.47288175642243357</v>
      </c>
      <c r="P42" cm="1">
        <f t="array" ref="P42">_xlfn.LET(
    _xlpm.row_name, $A42,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0.7886407520403258</v>
      </c>
      <c r="Q42" cm="1">
        <f t="array" ref="Q42">_xlfn.LET(
    _xlpm.row_name, $A42,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0.39052710052513823</v>
      </c>
      <c r="R42" cm="1">
        <f t="array" ref="R42">_xlfn.LET(
    _xlpm.row_name, $A42,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0.52389532261722105</v>
      </c>
      <c r="S42" cm="1">
        <f t="array" ref="S42">_xlfn.LET(
    _xlpm.row_name, $A42,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0.40010160264220235</v>
      </c>
      <c r="T42" cm="1">
        <f t="array" ref="T42">_xlfn.LET(
    _xlpm.row_name, $A42,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0.81570021922956326</v>
      </c>
      <c r="U42" cm="1">
        <f t="array" ref="U42">_xlfn.LET(
    _xlpm.row_name, $A42,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0.60371244844456462</v>
      </c>
      <c r="V42" cm="1">
        <f t="array" ref="V42">_xlfn.LET(
    _xlpm.row_name, $A42,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0.20307704975984747</v>
      </c>
      <c r="W42" cm="1">
        <f t="array" ref="W42">_xlfn.LET(
    _xlpm.row_name, $A42,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0.64682162311708313</v>
      </c>
      <c r="X42" cm="1">
        <f t="array" ref="X42">_xlfn.LET(
    _xlpm.row_name, $A42,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0.50533190787170712</v>
      </c>
      <c r="Y42" cm="1">
        <f t="array" ref="Y42">_xlfn.LET(
    _xlpm.row_name, $A42,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0.17376580239753481</v>
      </c>
      <c r="Z42" cm="1">
        <f t="array" ref="Z42">_xlfn.LET(
    _xlpm.row_name, $A42,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0.75219392365405713</v>
      </c>
      <c r="AA42" cm="1">
        <f t="array" ref="AA42">_xlfn.LET(
    _xlpm.row_name, $A42,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0.54719602546539503</v>
      </c>
      <c r="AB42" cm="1">
        <f t="array" ref="AB42">_xlfn.LET(
    _xlpm.row_name, $A42,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0.25658243545417592</v>
      </c>
      <c r="AC42" cm="1">
        <f t="array" ref="AC42">_xlfn.LET(
    _xlpm.row_name, $A42,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0.21445366451914433</v>
      </c>
      <c r="AD42" cm="1">
        <f t="array" ref="AD42">_xlfn.LET(
    _xlpm.row_name, $A42,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0.15351411870715137</v>
      </c>
      <c r="AE42" cm="1">
        <f t="array" ref="AE42">_xlfn.LET(
    _xlpm.row_name, $A42,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0.64036301221407521</v>
      </c>
      <c r="AF42" cm="1">
        <f t="array" ref="AF42">_xlfn.LET(
    _xlpm.row_name, $A42,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0.31071873934540428</v>
      </c>
      <c r="AG42" cm="1">
        <f t="array" ref="AG42">_xlfn.LET(
    _xlpm.row_name, $A42,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0.34982291467916671</v>
      </c>
      <c r="AH42" cm="1">
        <f t="array" ref="AH42">_xlfn.LET(
    _xlpm.row_name, $A42,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0.27741625553190841</v>
      </c>
      <c r="AI42" cm="1">
        <f t="array" ref="AI42">_xlfn.LET(
    _xlpm.row_name, $A42,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0.20021778075706359</v>
      </c>
      <c r="AJ42" cm="1">
        <f t="array" ref="AJ42">_xlfn.LET(
    _xlpm.row_name, $A42,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0.58227683385822337</v>
      </c>
      <c r="AK42" cm="1">
        <f t="array" ref="AK42">_xlfn.LET(
    _xlpm.row_name, $A42,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0.20423346570516493</v>
      </c>
      <c r="AL42" cm="1">
        <f t="array" ref="AL42">_xlfn.LET(
    _xlpm.row_name, $A42,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0.67015694048182795</v>
      </c>
      <c r="AM42" cm="1">
        <f t="array" ref="AM42">_xlfn.LET(
    _xlpm.row_name, $A42,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0.36742625625767666</v>
      </c>
      <c r="AN42" cm="1">
        <f t="array" ref="AN42">_xlfn.LET(
    _xlpm.row_name, $A42,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0.53234015840066473</v>
      </c>
      <c r="AO42" cm="1">
        <f t="array" ref="AO42">_xlfn.LET(
    _xlpm.row_name, $A42,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P42" cm="1">
        <f t="array" ref="AP42">_xlfn.LET(
    _xlpm.row_name, $A42,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0.71411738095921251</v>
      </c>
      <c r="AQ42" cm="1">
        <f t="array" ref="AQ42">_xlfn.LET(
    _xlpm.row_name, $A42,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0.58961393742781254</v>
      </c>
      <c r="AR42" cm="1">
        <f t="array" ref="AR42">_xlfn.LET(
    _xlpm.row_name, $A42,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0.63592870443210747</v>
      </c>
      <c r="AS42" cm="1">
        <f t="array" ref="AS42">_xlfn.LET(
    _xlpm.row_name, $A42,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0.44712651197479975</v>
      </c>
      <c r="AT42" cm="1">
        <f t="array" ref="AT42">_xlfn.LET(
    _xlpm.row_name, $A42,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0.45497262307013348</v>
      </c>
      <c r="AU42" cm="1">
        <f t="array" ref="AU42">_xlfn.LET(
    _xlpm.row_name, $A42,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0.48378179809162219</v>
      </c>
      <c r="AV42" cm="1">
        <f t="array" ref="AV42">_xlfn.LET(
    _xlpm.row_name, $A42,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0.14900016254666693</v>
      </c>
      <c r="AW42" cm="1">
        <f t="array" ref="AW42">_xlfn.LET(
    _xlpm.row_name, $A42,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9.7294951593517864E-2</v>
      </c>
      <c r="AX42" cm="1">
        <f t="array" ref="AX42">_xlfn.LET(
    _xlpm.row_name, $A42,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0.67615332003548756</v>
      </c>
      <c r="AY42" cm="1">
        <f t="array" ref="AY42">_xlfn.LET(
    _xlpm.row_name, $A42,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0.3708288693933649</v>
      </c>
      <c r="AZ42" cm="1">
        <f t="array" ref="AZ42">_xlfn.LET(
    _xlpm.row_name, $A42,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0.84919119552893596</v>
      </c>
      <c r="BA42" cm="1">
        <f t="array" ref="BA42">_xlfn.LET(
    _xlpm.row_name, $A42,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0.30759160296877941</v>
      </c>
      <c r="BB42" cm="1">
        <f t="array" ref="BB42">_xlfn.LET(
    _xlpm.row_name, $A42,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5.1318375750635969E-2</v>
      </c>
      <c r="BC42" cm="1">
        <f t="array" ref="BC42">_xlfn.LET(
    _xlpm.row_name, $A42,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0.48629765752676796</v>
      </c>
      <c r="BD42" cm="1">
        <f t="array" ref="BD42">_xlfn.LET(
    _xlpm.row_name, $A42,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0.59299569921838746</v>
      </c>
      <c r="BE42" cm="1">
        <f t="array" ref="BE42">_xlfn.LET(
    _xlpm.row_name, $A42,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0.37790218920529572</v>
      </c>
      <c r="BF42" cm="1">
        <f t="array" ref="BF42">_xlfn.LET(
    _xlpm.row_name, $A42,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0.7624050896839345</v>
      </c>
      <c r="BG42" cm="1">
        <f t="array" ref="BG42">_xlfn.LET(
    _xlpm.row_name, $A42,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0.3745618671539484</v>
      </c>
      <c r="BH42" cm="1">
        <f t="array" ref="BH42">_xlfn.LET(
    _xlpm.row_name, $A42,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0.56989109223527701</v>
      </c>
      <c r="BI42" cm="1">
        <f t="array" ref="BI42">_xlfn.LET(
    _xlpm.row_name, $A42,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0.13748365080218594</v>
      </c>
      <c r="BJ42" cm="1">
        <f t="array" ref="BJ42">_xlfn.LET(
    _xlpm.row_name, $A42,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0.31552754609639688</v>
      </c>
      <c r="BK42" cm="1">
        <f t="array" ref="BK42">_xlfn.LET(
    _xlpm.row_name, $A42,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5.1560331555144834E-2</v>
      </c>
      <c r="BL42" cm="1">
        <f t="array" ref="BL42">_xlfn.LET(
    _xlpm.row_name, $A42,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0.97106973183534828</v>
      </c>
      <c r="BM42" cm="1">
        <f t="array" ref="BM42">_xlfn.LET(
    _xlpm.row_name, $A42,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0.59344186359278095</v>
      </c>
      <c r="BN42" cm="1">
        <f t="array" ref="BN42">_xlfn.LET(
    _xlpm.row_name, $A42,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0.1476845716728894</v>
      </c>
      <c r="BO42" cm="1">
        <f t="array" ref="BO42">_xlfn.LET(
    _xlpm.row_name, $A42,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0.82891601828138939</v>
      </c>
      <c r="BP42" cm="1">
        <f t="array" ref="BP42">_xlfn.LET(
    _xlpm.row_name, $A42,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0.59473030362065593</v>
      </c>
      <c r="BQ42" cm="1">
        <f t="array" ref="BQ42">_xlfn.LET(
    _xlpm.row_name, $A42,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0.26493572755643602</v>
      </c>
      <c r="BR42" cm="1">
        <f t="array" ref="BR42">_xlfn.LET(
    _xlpm.row_name, $A42,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0.10602659421319011</v>
      </c>
      <c r="BS42" cm="1">
        <f t="array" ref="BS42">_xlfn.LET(
    _xlpm.row_name, $A42,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0.82729570699543931</v>
      </c>
      <c r="BT42" cm="1">
        <f t="array" ref="BT42">_xlfn.LET(
    _xlpm.row_name, $A42,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0.86559038035107316</v>
      </c>
      <c r="BU42" cm="1">
        <f t="array" ref="BU42">_xlfn.LET(
    _xlpm.row_name, $A42,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0.85564210853013245</v>
      </c>
      <c r="BV42" cm="1">
        <f t="array" ref="BV42">_xlfn.LET(
    _xlpm.row_name, $A42,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0.36811480631645133</v>
      </c>
    </row>
    <row r="43" spans="1:74" x14ac:dyDescent="0.3">
      <c r="A43" t="str">
        <v>Waldrep, Hurston</v>
      </c>
      <c r="B43" cm="1">
        <f t="array" ref="B43">_xlfn.LET(
    _xlpm.row_name, $A43,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0.37615474611649341</v>
      </c>
      <c r="C43" cm="1">
        <f t="array" ref="C43">_xlfn.LET(
    _xlpm.row_name, $A43,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0.32408808264813593</v>
      </c>
      <c r="D43" cm="1">
        <f t="array" ref="D43">_xlfn.LET(
    _xlpm.row_name, $A43,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0.80672474296600272</v>
      </c>
      <c r="E43" cm="1">
        <f t="array" ref="E43">_xlfn.LET(
    _xlpm.row_name, $A43,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0.32225662087319984</v>
      </c>
      <c r="F43" cm="1">
        <f t="array" ref="F43">_xlfn.LET(
    _xlpm.row_name, $A43,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0.72327249007157635</v>
      </c>
      <c r="G43" cm="1">
        <f t="array" ref="G43">_xlfn.LET(
    _xlpm.row_name, $A43,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0.76456224367399206</v>
      </c>
      <c r="H43" cm="1">
        <f t="array" ref="H43">_xlfn.LET(
    _xlpm.row_name, $A43,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0.22262290951520169</v>
      </c>
      <c r="I43" cm="1">
        <f t="array" ref="I43">_xlfn.LET(
    _xlpm.row_name, $A43,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0.4801734618199871</v>
      </c>
      <c r="J43" cm="1">
        <f t="array" ref="J43">_xlfn.LET(
    _xlpm.row_name, $A43,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0.89238738634847725</v>
      </c>
      <c r="K43" cm="1">
        <f t="array" ref="K43">_xlfn.LET(
    _xlpm.row_name, $A43,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0.13664557648223141</v>
      </c>
      <c r="L43" cm="1">
        <f t="array" ref="L43">_xlfn.LET(
    _xlpm.row_name, $A43,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0.32576350949868604</v>
      </c>
      <c r="M43" cm="1">
        <f t="array" ref="M43">_xlfn.LET(
    _xlpm.row_name, $A43,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0.47798281920442276</v>
      </c>
      <c r="N43" cm="1">
        <f t="array" ref="N43">_xlfn.LET(
    _xlpm.row_name, $A43,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0.75268477816169033</v>
      </c>
      <c r="O43" cm="1">
        <f t="array" ref="O43">_xlfn.LET(
    _xlpm.row_name, $A43,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0.45143802443751269</v>
      </c>
      <c r="P43" cm="1">
        <f t="array" ref="P43">_xlfn.LET(
    _xlpm.row_name, $A43,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0.52863526509685321</v>
      </c>
      <c r="Q43" cm="1">
        <f t="array" ref="Q43">_xlfn.LET(
    _xlpm.row_name, $A43,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0.1137241845755923</v>
      </c>
      <c r="R43" cm="1">
        <f t="array" ref="R43">_xlfn.LET(
    _xlpm.row_name, $A43,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0.25766582332077081</v>
      </c>
      <c r="S43" cm="1">
        <f t="array" ref="S43">_xlfn.LET(
    _xlpm.row_name, $A43,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0.15984094183323178</v>
      </c>
      <c r="T43" cm="1">
        <f t="array" ref="T43">_xlfn.LET(
    _xlpm.row_name, $A43,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0.44320958466611382</v>
      </c>
      <c r="U43" cm="1">
        <f t="array" ref="U43">_xlfn.LET(
    _xlpm.row_name, $A43,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0.84332118972366921</v>
      </c>
      <c r="V43" cm="1">
        <f t="array" ref="V43">_xlfn.LET(
    _xlpm.row_name, $A43,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0.31826871124974176</v>
      </c>
      <c r="W43" cm="1">
        <f t="array" ref="W43">_xlfn.LET(
    _xlpm.row_name, $A43,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0.2784053856390597</v>
      </c>
      <c r="X43" cm="1">
        <f t="array" ref="X43">_xlfn.LET(
    _xlpm.row_name, $A43,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0.75513551855206318</v>
      </c>
      <c r="Y43" cm="1">
        <f t="array" ref="Y43">_xlfn.LET(
    _xlpm.row_name, $A43,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0.57490017350841816</v>
      </c>
      <c r="Z43" cm="1">
        <f t="array" ref="Z43">_xlfn.LET(
    _xlpm.row_name, $A43,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0.64573917053003937</v>
      </c>
      <c r="AA43" cm="1">
        <f t="array" ref="AA43">_xlfn.LET(
    _xlpm.row_name, $A43,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0.45253068014933651</v>
      </c>
      <c r="AB43" cm="1">
        <f t="array" ref="AB43">_xlfn.LET(
    _xlpm.row_name, $A43,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0.58446263595986436</v>
      </c>
      <c r="AC43" cm="1">
        <f t="array" ref="AC43">_xlfn.LET(
    _xlpm.row_name, $A43,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0.31963461602329801</v>
      </c>
      <c r="AD43" cm="1">
        <f t="array" ref="AD43">_xlfn.LET(
    _xlpm.row_name, $A43,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0.340120488432332</v>
      </c>
      <c r="AE43" cm="1">
        <f t="array" ref="AE43">_xlfn.LET(
    _xlpm.row_name, $A43,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0.83252944764107495</v>
      </c>
      <c r="AF43" cm="1">
        <f t="array" ref="AF43">_xlfn.LET(
    _xlpm.row_name, $A43,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0.51640919694778598</v>
      </c>
      <c r="AG43" cm="1">
        <f t="array" ref="AG43">_xlfn.LET(
    _xlpm.row_name, $A43,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0.6928141919070534</v>
      </c>
      <c r="AH43" cm="1">
        <f t="array" ref="AH43">_xlfn.LET(
    _xlpm.row_name, $A43,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0.28825244404201705</v>
      </c>
      <c r="AI43" cm="1">
        <f t="array" ref="AI43">_xlfn.LET(
    _xlpm.row_name, $A43,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0.57546069763385432</v>
      </c>
      <c r="AJ43" cm="1">
        <f t="array" ref="AJ43">_xlfn.LET(
    _xlpm.row_name, $A43,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0.50923674303981126</v>
      </c>
      <c r="AK43" cm="1">
        <f t="array" ref="AK43">_xlfn.LET(
    _xlpm.row_name, $A43,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0.35302916724294853</v>
      </c>
      <c r="AL43" cm="1">
        <f t="array" ref="AL43">_xlfn.LET(
    _xlpm.row_name, $A43,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0.69336850535130357</v>
      </c>
      <c r="AM43" cm="1">
        <f t="array" ref="AM43">_xlfn.LET(
    _xlpm.row_name, $A43,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0.20674076790094881</v>
      </c>
      <c r="AN43" cm="1">
        <f t="array" ref="AN43">_xlfn.LET(
    _xlpm.row_name, $A43,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0.35104020235864203</v>
      </c>
      <c r="AO43" cm="1">
        <f t="array" ref="AO43">_xlfn.LET(
    _xlpm.row_name, $A43,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0.71411738095921251</v>
      </c>
      <c r="AP43" cm="1">
        <f t="array" ref="AP43">_xlfn.LET(
    _xlpm.row_name, $A43,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Q43" cm="1">
        <f t="array" ref="AQ43">_xlfn.LET(
    _xlpm.row_name, $A43,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0.30948016685371882</v>
      </c>
      <c r="AR43" cm="1">
        <f t="array" ref="AR43">_xlfn.LET(
    _xlpm.row_name, $A43,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0.42109221082787007</v>
      </c>
      <c r="AS43" cm="1">
        <f t="array" ref="AS43">_xlfn.LET(
    _xlpm.row_name, $A43,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0.33529879363397164</v>
      </c>
      <c r="AT43" cm="1">
        <f t="array" ref="AT43">_xlfn.LET(
    _xlpm.row_name, $A43,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0.44414105898311845</v>
      </c>
      <c r="AU43" cm="1">
        <f t="array" ref="AU43">_xlfn.LET(
    _xlpm.row_name, $A43,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0.68592593703227667</v>
      </c>
      <c r="AV43" cm="1">
        <f t="array" ref="AV43">_xlfn.LET(
    _xlpm.row_name, $A43,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0.18861135535500273</v>
      </c>
      <c r="AW43" cm="1">
        <f t="array" ref="AW43">_xlfn.LET(
    _xlpm.row_name, $A43,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0.3060636831519834</v>
      </c>
      <c r="AX43" cm="1">
        <f t="array" ref="AX43">_xlfn.LET(
    _xlpm.row_name, $A43,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0.47920687095079434</v>
      </c>
      <c r="AY43" cm="1">
        <f t="array" ref="AY43">_xlfn.LET(
    _xlpm.row_name, $A43,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0.42856920620546934</v>
      </c>
      <c r="AZ43" cm="1">
        <f t="array" ref="AZ43">_xlfn.LET(
    _xlpm.row_name, $A43,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0.44936180901260081</v>
      </c>
      <c r="BA43" cm="1">
        <f t="array" ref="BA43">_xlfn.LET(
    _xlpm.row_name, $A43,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0.5610180888875318</v>
      </c>
      <c r="BB43" cm="1">
        <f t="array" ref="BB43">_xlfn.LET(
    _xlpm.row_name, $A43,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0.43845688587271331</v>
      </c>
      <c r="BC43" cm="1">
        <f t="array" ref="BC43">_xlfn.LET(
    _xlpm.row_name, $A43,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0.24998620951534339</v>
      </c>
      <c r="BD43" cm="1">
        <f t="array" ref="BD43">_xlfn.LET(
    _xlpm.row_name, $A43,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0.74815114892107903</v>
      </c>
      <c r="BE43" cm="1">
        <f t="array" ref="BE43">_xlfn.LET(
    _xlpm.row_name, $A43,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0.70985522333370477</v>
      </c>
      <c r="BF43" cm="1">
        <f t="array" ref="BF43">_xlfn.LET(
    _xlpm.row_name, $A43,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0.44294635846460867</v>
      </c>
      <c r="BG43" cm="1">
        <f t="array" ref="BG43">_xlfn.LET(
    _xlpm.row_name, $A43,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0.42590199312565341</v>
      </c>
      <c r="BH43" cm="1">
        <f t="array" ref="BH43">_xlfn.LET(
    _xlpm.row_name, $A43,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0.17738947201915894</v>
      </c>
      <c r="BI43" cm="1">
        <f t="array" ref="BI43">_xlfn.LET(
    _xlpm.row_name, $A43,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0.52688508596691774</v>
      </c>
      <c r="BJ43" cm="1">
        <f t="array" ref="BJ43">_xlfn.LET(
    _xlpm.row_name, $A43,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0.33695279989488858</v>
      </c>
      <c r="BK43" cm="1">
        <f t="array" ref="BK43">_xlfn.LET(
    _xlpm.row_name, $A43,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0.38718069763859619</v>
      </c>
      <c r="BL43" cm="1">
        <f t="array" ref="BL43">_xlfn.LET(
    _xlpm.row_name, $A43,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0.63265083073837769</v>
      </c>
      <c r="BM43" cm="1">
        <f t="array" ref="BM43">_xlfn.LET(
    _xlpm.row_name, $A43,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0.53764878246095871</v>
      </c>
      <c r="BN43" cm="1">
        <f t="array" ref="BN43">_xlfn.LET(
    _xlpm.row_name, $A43,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0.50475292273506911</v>
      </c>
      <c r="BO43" cm="1">
        <f t="array" ref="BO43">_xlfn.LET(
    _xlpm.row_name, $A43,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0.60201950384335545</v>
      </c>
      <c r="BP43" cm="1">
        <f t="array" ref="BP43">_xlfn.LET(
    _xlpm.row_name, $A43,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0.79038072532999626</v>
      </c>
      <c r="BQ43" cm="1">
        <f t="array" ref="BQ43">_xlfn.LET(
    _xlpm.row_name, $A43,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8.501266954756076E-2</v>
      </c>
      <c r="BR43" cm="1">
        <f t="array" ref="BR43">_xlfn.LET(
    _xlpm.row_name, $A43,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0.39215918972550118</v>
      </c>
      <c r="BS43" cm="1">
        <f t="array" ref="BS43">_xlfn.LET(
    _xlpm.row_name, $A43,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0.94344340942912719</v>
      </c>
      <c r="BT43" cm="1">
        <f t="array" ref="BT43">_xlfn.LET(
    _xlpm.row_name, $A43,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0.61799885945261956</v>
      </c>
      <c r="BU43" cm="1">
        <f t="array" ref="BU43">_xlfn.LET(
    _xlpm.row_name, $A43,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0.48506586335745938</v>
      </c>
      <c r="BV43" cm="1">
        <f t="array" ref="BV43">_xlfn.LET(
    _xlpm.row_name, $A43,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0.1541930073568607</v>
      </c>
    </row>
    <row r="44" spans="1:74" x14ac:dyDescent="0.3">
      <c r="A44" t="str">
        <v>Dayton, Grant</v>
      </c>
      <c r="B44" cm="1">
        <f t="array" ref="B44">_xlfn.LET(
    _xlpm.row_name, $A44,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0.31633762597716886</v>
      </c>
      <c r="C44" cm="1">
        <f t="array" ref="C44">_xlfn.LET(
    _xlpm.row_name, $A44,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0.52225723974022653</v>
      </c>
      <c r="D44" cm="1">
        <f t="array" ref="D44">_xlfn.LET(
    _xlpm.row_name, $A44,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0.45878285692856835</v>
      </c>
      <c r="E44" cm="1">
        <f t="array" ref="E44">_xlfn.LET(
    _xlpm.row_name, $A44,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0.52285806236346932</v>
      </c>
      <c r="F44" cm="1">
        <f t="array" ref="F44">_xlfn.LET(
    _xlpm.row_name, $A44,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0.61251519602275339</v>
      </c>
      <c r="G44" cm="1">
        <f t="array" ref="G44">_xlfn.LET(
    _xlpm.row_name, $A44,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0.56847293574250723</v>
      </c>
      <c r="H44" cm="1">
        <f t="array" ref="H44">_xlfn.LET(
    _xlpm.row_name, $A44,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0.38539975469099352</v>
      </c>
      <c r="I44" cm="1">
        <f t="array" ref="I44">_xlfn.LET(
    _xlpm.row_name, $A44,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0.28641131554411409</v>
      </c>
      <c r="J44" cm="1">
        <f t="array" ref="J44">_xlfn.LET(
    _xlpm.row_name, $A44,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0.42047761461079586</v>
      </c>
      <c r="K44" cm="1">
        <f t="array" ref="K44">_xlfn.LET(
    _xlpm.row_name, $A44,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0.62332062532405452</v>
      </c>
      <c r="L44" cm="1">
        <f t="array" ref="L44">_xlfn.LET(
    _xlpm.row_name, $A44,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0.62027472984844201</v>
      </c>
      <c r="M44" cm="1">
        <f t="array" ref="M44">_xlfn.LET(
    _xlpm.row_name, $A44,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0.46870611352926594</v>
      </c>
      <c r="N44" cm="1">
        <f t="array" ref="N44">_xlfn.LET(
    _xlpm.row_name, $A44,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0.52862557394651877</v>
      </c>
      <c r="O44" cm="1">
        <f t="array" ref="O44">_xlfn.LET(
    _xlpm.row_name, $A44,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0.83921327386525557</v>
      </c>
      <c r="P44" cm="1">
        <f t="array" ref="P44">_xlfn.LET(
    _xlpm.row_name, $A44,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0.50076568297552504</v>
      </c>
      <c r="Q44" cm="1">
        <f t="array" ref="Q44">_xlfn.LET(
    _xlpm.row_name, $A44,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0.67246225439013618</v>
      </c>
      <c r="R44" cm="1">
        <f t="array" ref="R44">_xlfn.LET(
    _xlpm.row_name, $A44,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0.43245700695514389</v>
      </c>
      <c r="S44" cm="1">
        <f t="array" ref="S44">_xlfn.LET(
    _xlpm.row_name, $A44,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0.64097707208596599</v>
      </c>
      <c r="T44" cm="1">
        <f t="array" ref="T44">_xlfn.LET(
    _xlpm.row_name, $A44,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0.54718883938302332</v>
      </c>
      <c r="U44" cm="1">
        <f t="array" ref="U44">_xlfn.LET(
    _xlpm.row_name, $A44,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0.48555729947707088</v>
      </c>
      <c r="V44" cm="1">
        <f t="array" ref="V44">_xlfn.LET(
    _xlpm.row_name, $A44,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0.66866976384277366</v>
      </c>
      <c r="W44" cm="1">
        <f t="array" ref="W44">_xlfn.LET(
    _xlpm.row_name, $A44,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0.60146930850069036</v>
      </c>
      <c r="X44" cm="1">
        <f t="array" ref="X44">_xlfn.LET(
    _xlpm.row_name, $A44,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0.34833356125601989</v>
      </c>
      <c r="Y44" cm="1">
        <f t="array" ref="Y44">_xlfn.LET(
    _xlpm.row_name, $A44,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0.43024430217632165</v>
      </c>
      <c r="Z44" cm="1">
        <f t="array" ref="Z44">_xlfn.LET(
    _xlpm.row_name, $A44,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0.51152489282132396</v>
      </c>
      <c r="AA44" cm="1">
        <f t="array" ref="AA44">_xlfn.LET(
    _xlpm.row_name, $A44,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0.88856122683745142</v>
      </c>
      <c r="AB44" cm="1">
        <f t="array" ref="AB44">_xlfn.LET(
    _xlpm.row_name, $A44,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0.46326466989609461</v>
      </c>
      <c r="AC44" cm="1">
        <f t="array" ref="AC44">_xlfn.LET(
    _xlpm.row_name, $A44,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0.45008756910702197</v>
      </c>
      <c r="AD44" cm="1">
        <f t="array" ref="AD44">_xlfn.LET(
    _xlpm.row_name, $A44,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0.2787637646238455</v>
      </c>
      <c r="AE44" cm="1">
        <f t="array" ref="AE44">_xlfn.LET(
    _xlpm.row_name, $A44,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0.47050314565994666</v>
      </c>
      <c r="AF44" cm="1">
        <f t="array" ref="AF44">_xlfn.LET(
    _xlpm.row_name, $A44,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0.74565584963575038</v>
      </c>
      <c r="AG44" cm="1">
        <f t="array" ref="AG44">_xlfn.LET(
    _xlpm.row_name, $A44,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0.61992262286251798</v>
      </c>
      <c r="AH44" cm="1">
        <f t="array" ref="AH44">_xlfn.LET(
    _xlpm.row_name, $A44,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0.49515754594226458</v>
      </c>
      <c r="AI44" cm="1">
        <f t="array" ref="AI44">_xlfn.LET(
    _xlpm.row_name, $A44,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0.59816737189333946</v>
      </c>
      <c r="AJ44" cm="1">
        <f t="array" ref="AJ44">_xlfn.LET(
    _xlpm.row_name, $A44,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0.67741535752450843</v>
      </c>
      <c r="AK44" cm="1">
        <f t="array" ref="AK44">_xlfn.LET(
    _xlpm.row_name, $A44,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0.73337381055907069</v>
      </c>
      <c r="AL44" cm="1">
        <f t="array" ref="AL44">_xlfn.LET(
    _xlpm.row_name, $A44,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0.36581734660289905</v>
      </c>
      <c r="AM44" cm="1">
        <f t="array" ref="AM44">_xlfn.LET(
    _xlpm.row_name, $A44,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0.66656144608767631</v>
      </c>
      <c r="AN44" cm="1">
        <f t="array" ref="AN44">_xlfn.LET(
    _xlpm.row_name, $A44,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0.63492367397379623</v>
      </c>
      <c r="AO44" cm="1">
        <f t="array" ref="AO44">_xlfn.LET(
    _xlpm.row_name, $A44,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0.58961393742781254</v>
      </c>
      <c r="AP44" cm="1">
        <f t="array" ref="AP44">_xlfn.LET(
    _xlpm.row_name, $A44,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0.30948016685371882</v>
      </c>
      <c r="AQ44" cm="1">
        <f t="array" ref="AQ44">_xlfn.LET(
    _xlpm.row_name, $A44,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0.99999999999999989</v>
      </c>
      <c r="AR44" cm="1">
        <f t="array" ref="AR44">_xlfn.LET(
    _xlpm.row_name, $A44,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0.8350694368482412</v>
      </c>
      <c r="AS44" cm="1">
        <f t="array" ref="AS44">_xlfn.LET(
    _xlpm.row_name, $A44,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0.94514024891359116</v>
      </c>
      <c r="AT44" cm="1">
        <f t="array" ref="AT44">_xlfn.LET(
    _xlpm.row_name, $A44,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0.58093104601906953</v>
      </c>
      <c r="AU44" cm="1">
        <f t="array" ref="AU44">_xlfn.LET(
    _xlpm.row_name, $A44,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0.53342906628227948</v>
      </c>
      <c r="AV44" cm="1">
        <f t="array" ref="AV44">_xlfn.LET(
    _xlpm.row_name, $A44,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0.58549583026680818</v>
      </c>
      <c r="AW44" cm="1">
        <f t="array" ref="AW44">_xlfn.LET(
    _xlpm.row_name, $A44,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0.28474908001463817</v>
      </c>
      <c r="AX44" cm="1">
        <f t="array" ref="AX44">_xlfn.LET(
    _xlpm.row_name, $A44,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0.74076801955902793</v>
      </c>
      <c r="AY44" cm="1">
        <f t="array" ref="AY44">_xlfn.LET(
    _xlpm.row_name, $A44,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0.71052673657710619</v>
      </c>
      <c r="AZ44" cm="1">
        <f t="array" ref="AZ44">_xlfn.LET(
    _xlpm.row_name, $A44,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0.56057983467487738</v>
      </c>
      <c r="BA44" cm="1">
        <f t="array" ref="BA44">_xlfn.LET(
    _xlpm.row_name, $A44,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0.56425167483686645</v>
      </c>
      <c r="BB44" cm="1">
        <f t="array" ref="BB44">_xlfn.LET(
    _xlpm.row_name, $A44,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0.28887206434024915</v>
      </c>
      <c r="BC44" cm="1">
        <f t="array" ref="BC44">_xlfn.LET(
    _xlpm.row_name, $A44,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0.66472146902078777</v>
      </c>
      <c r="BD44" cm="1">
        <f t="array" ref="BD44">_xlfn.LET(
    _xlpm.row_name, $A44,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0.63149785534833203</v>
      </c>
      <c r="BE44" cm="1">
        <f t="array" ref="BE44">_xlfn.LET(
    _xlpm.row_name, $A44,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0.40530872238483973</v>
      </c>
      <c r="BF44" cm="1">
        <f t="array" ref="BF44">_xlfn.LET(
    _xlpm.row_name, $A44,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0.42191265232502129</v>
      </c>
      <c r="BG44" cm="1">
        <f t="array" ref="BG44">_xlfn.LET(
    _xlpm.row_name, $A44,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0.53900235423877607</v>
      </c>
      <c r="BH44" cm="1">
        <f t="array" ref="BH44">_xlfn.LET(
    _xlpm.row_name, $A44,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0.88544228294078031</v>
      </c>
      <c r="BI44" cm="1">
        <f t="array" ref="BI44">_xlfn.LET(
    _xlpm.row_name, $A44,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0.2025396199310972</v>
      </c>
      <c r="BJ44" cm="1">
        <f t="array" ref="BJ44">_xlfn.LET(
    _xlpm.row_name, $A44,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0.62587346031818925</v>
      </c>
      <c r="BK44" cm="1">
        <f t="array" ref="BK44">_xlfn.LET(
    _xlpm.row_name, $A44,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0.3841479281134853</v>
      </c>
      <c r="BL44" cm="1">
        <f t="array" ref="BL44">_xlfn.LET(
    _xlpm.row_name, $A44,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0.62640674293530763</v>
      </c>
      <c r="BM44" cm="1">
        <f t="array" ref="BM44">_xlfn.LET(
    _xlpm.row_name, $A44,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0.73896396957640476</v>
      </c>
      <c r="BN44" cm="1">
        <f t="array" ref="BN44">_xlfn.LET(
    _xlpm.row_name, $A44,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0.11109931285627755</v>
      </c>
      <c r="BO44" cm="1">
        <f t="array" ref="BO44">_xlfn.LET(
    _xlpm.row_name, $A44,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0.30857541123314214</v>
      </c>
      <c r="BP44" cm="1">
        <f t="array" ref="BP44">_xlfn.LET(
    _xlpm.row_name, $A44,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0.51483667957204238</v>
      </c>
      <c r="BQ44" cm="1">
        <f t="array" ref="BQ44">_xlfn.LET(
    _xlpm.row_name, $A44,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0.44748132516798017</v>
      </c>
      <c r="BR44" cm="1">
        <f t="array" ref="BR44">_xlfn.LET(
    _xlpm.row_name, $A44,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0.37229597252700469</v>
      </c>
      <c r="BS44" cm="1">
        <f t="array" ref="BS44">_xlfn.LET(
    _xlpm.row_name, $A44,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0.49229605814144306</v>
      </c>
      <c r="BT44" cm="1">
        <f t="array" ref="BT44">_xlfn.LET(
    _xlpm.row_name, $A44,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0.50811611975483018</v>
      </c>
      <c r="BU44" cm="1">
        <f t="array" ref="BU44">_xlfn.LET(
    _xlpm.row_name, $A44,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0.72877064964757987</v>
      </c>
      <c r="BV44" cm="1">
        <f t="array" ref="BV44">_xlfn.LET(
    _xlpm.row_name, $A44,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0.89226748141564771</v>
      </c>
    </row>
    <row r="45" spans="1:74" x14ac:dyDescent="0.3">
      <c r="A45" t="str">
        <v>Muller, Kyle</v>
      </c>
      <c r="B45" cm="1">
        <f t="array" ref="B45">_xlfn.LET(
    _xlpm.row_name, $A45,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0.28996105829013608</v>
      </c>
      <c r="C45" cm="1">
        <f t="array" ref="C45">_xlfn.LET(
    _xlpm.row_name, $A45,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0.64720392271311988</v>
      </c>
      <c r="D45" cm="1">
        <f t="array" ref="D45">_xlfn.LET(
    _xlpm.row_name, $A45,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0.6648243595807527</v>
      </c>
      <c r="E45" cm="1">
        <f t="array" ref="E45">_xlfn.LET(
    _xlpm.row_name, $A45,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0.31885396480137917</v>
      </c>
      <c r="F45" cm="1">
        <f t="array" ref="F45">_xlfn.LET(
    _xlpm.row_name, $A45,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0.64181474810230077</v>
      </c>
      <c r="G45" cm="1">
        <f t="array" ref="G45">_xlfn.LET(
    _xlpm.row_name, $A45,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0.46097323822506542</v>
      </c>
      <c r="H45" cm="1">
        <f t="array" ref="H45">_xlfn.LET(
    _xlpm.row_name, $A45,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0.63107958067239378</v>
      </c>
      <c r="I45" cm="1">
        <f t="array" ref="I45">_xlfn.LET(
    _xlpm.row_name, $A45,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0.59195318054407431</v>
      </c>
      <c r="J45" cm="1">
        <f t="array" ref="J45">_xlfn.LET(
    _xlpm.row_name, $A45,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0.67011012217941457</v>
      </c>
      <c r="K45" cm="1">
        <f t="array" ref="K45">_xlfn.LET(
    _xlpm.row_name, $A45,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0.56748979140307831</v>
      </c>
      <c r="L45" cm="1">
        <f t="array" ref="L45">_xlfn.LET(
    _xlpm.row_name, $A45,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0.40469594641309603</v>
      </c>
      <c r="M45" cm="1">
        <f t="array" ref="M45">_xlfn.LET(
    _xlpm.row_name, $A45,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0.74920715482106326</v>
      </c>
      <c r="N45" cm="1">
        <f t="array" ref="N45">_xlfn.LET(
    _xlpm.row_name, $A45,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0.62831557234962587</v>
      </c>
      <c r="O45" cm="1">
        <f t="array" ref="O45">_xlfn.LET(
    _xlpm.row_name, $A45,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0.67194063194689235</v>
      </c>
      <c r="P45" cm="1">
        <f t="array" ref="P45">_xlfn.LET(
    _xlpm.row_name, $A45,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0.71950502490384127</v>
      </c>
      <c r="Q45" cm="1">
        <f t="array" ref="Q45">_xlfn.LET(
    _xlpm.row_name, $A45,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0.45511380112680627</v>
      </c>
      <c r="R45" cm="1">
        <f t="array" ref="R45">_xlfn.LET(
    _xlpm.row_name, $A45,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0.67061246455441159</v>
      </c>
      <c r="S45" cm="1">
        <f t="array" ref="S45">_xlfn.LET(
    _xlpm.row_name, $A45,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0.82903214597309338</v>
      </c>
      <c r="T45" cm="1">
        <f t="array" ref="T45">_xlfn.LET(
    _xlpm.row_name, $A45,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0.7801337142184066</v>
      </c>
      <c r="U45" cm="1">
        <f t="array" ref="U45">_xlfn.LET(
    _xlpm.row_name, $A45,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0.4423489091988369</v>
      </c>
      <c r="V45" cm="1">
        <f t="array" ref="V45">_xlfn.LET(
    _xlpm.row_name, $A45,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0.32701839102918889</v>
      </c>
      <c r="W45" cm="1">
        <f t="array" ref="W45">_xlfn.LET(
    _xlpm.row_name, $A45,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0.60486424163929975</v>
      </c>
      <c r="X45" cm="1">
        <f t="array" ref="X45">_xlfn.LET(
    _xlpm.row_name, $A45,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0.29345327414858036</v>
      </c>
      <c r="Y45" cm="1">
        <f t="array" ref="Y45">_xlfn.LET(
    _xlpm.row_name, $A45,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0.60335959178628173</v>
      </c>
      <c r="Z45" cm="1">
        <f t="array" ref="Z45">_xlfn.LET(
    _xlpm.row_name, $A45,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0.76362142329725002</v>
      </c>
      <c r="AA45" cm="1">
        <f t="array" ref="AA45">_xlfn.LET(
    _xlpm.row_name, $A45,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0.76669795597229551</v>
      </c>
      <c r="AB45" cm="1">
        <f t="array" ref="AB45">_xlfn.LET(
    _xlpm.row_name, $A45,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0.58733715917480078</v>
      </c>
      <c r="AC45" cm="1">
        <f t="array" ref="AC45">_xlfn.LET(
    _xlpm.row_name, $A45,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0.43959216921549094</v>
      </c>
      <c r="AD45" cm="1">
        <f t="array" ref="AD45">_xlfn.LET(
    _xlpm.row_name, $A45,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0.4999736042012497</v>
      </c>
      <c r="AE45" cm="1">
        <f t="array" ref="AE45">_xlfn.LET(
    _xlpm.row_name, $A45,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0.4867889171121022</v>
      </c>
      <c r="AF45" cm="1">
        <f t="array" ref="AF45">_xlfn.LET(
    _xlpm.row_name, $A45,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0.52503966263640023</v>
      </c>
      <c r="AG45" cm="1">
        <f t="array" ref="AG45">_xlfn.LET(
    _xlpm.row_name, $A45,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0.53128379039052354</v>
      </c>
      <c r="AH45" cm="1">
        <f t="array" ref="AH45">_xlfn.LET(
    _xlpm.row_name, $A45,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0.64414317263837162</v>
      </c>
      <c r="AI45" cm="1">
        <f t="array" ref="AI45">_xlfn.LET(
    _xlpm.row_name, $A45,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0.54439121000641943</v>
      </c>
      <c r="AJ45" cm="1">
        <f t="array" ref="AJ45">_xlfn.LET(
    _xlpm.row_name, $A45,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0.78511280592978883</v>
      </c>
      <c r="AK45" cm="1">
        <f t="array" ref="AK45">_xlfn.LET(
    _xlpm.row_name, $A45,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0.47391218475378133</v>
      </c>
      <c r="AL45" cm="1">
        <f t="array" ref="AL45">_xlfn.LET(
    _xlpm.row_name, $A45,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0.62263121329780546</v>
      </c>
      <c r="AM45" cm="1">
        <f t="array" ref="AM45">_xlfn.LET(
    _xlpm.row_name, $A45,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0.516944849413839</v>
      </c>
      <c r="AN45" cm="1">
        <f t="array" ref="AN45">_xlfn.LET(
    _xlpm.row_name, $A45,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0.85270802905939025</v>
      </c>
      <c r="AO45" cm="1">
        <f t="array" ref="AO45">_xlfn.LET(
    _xlpm.row_name, $A45,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0.63592870443210747</v>
      </c>
      <c r="AP45" cm="1">
        <f t="array" ref="AP45">_xlfn.LET(
    _xlpm.row_name, $A45,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0.42109221082787007</v>
      </c>
      <c r="AQ45" cm="1">
        <f t="array" ref="AQ45">_xlfn.LET(
    _xlpm.row_name, $A45,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0.8350694368482412</v>
      </c>
      <c r="AR45" cm="1">
        <f t="array" ref="AR45">_xlfn.LET(
    _xlpm.row_name, $A45,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S45" cm="1">
        <f t="array" ref="AS45">_xlfn.LET(
    _xlpm.row_name, $A45,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0.87190239883122311</v>
      </c>
      <c r="AT45" cm="1">
        <f t="array" ref="AT45">_xlfn.LET(
    _xlpm.row_name, $A45,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0.18996044967907344</v>
      </c>
      <c r="AU45" cm="1">
        <f t="array" ref="AU45">_xlfn.LET(
    _xlpm.row_name, $A45,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0.77633526819404342</v>
      </c>
      <c r="AV45" cm="1">
        <f t="array" ref="AV45">_xlfn.LET(
    _xlpm.row_name, $A45,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0.52008133755739472</v>
      </c>
      <c r="AW45" cm="1">
        <f t="array" ref="AW45">_xlfn.LET(
    _xlpm.row_name, $A45,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0.13301095521431744</v>
      </c>
      <c r="AX45" cm="1">
        <f t="array" ref="AX45">_xlfn.LET(
    _xlpm.row_name, $A45,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0.74428607954353654</v>
      </c>
      <c r="AY45" cm="1">
        <f t="array" ref="AY45">_xlfn.LET(
    _xlpm.row_name, $A45,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0.90509985139090865</v>
      </c>
      <c r="AZ45" cm="1">
        <f t="array" ref="AZ45">_xlfn.LET(
    _xlpm.row_name, $A45,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0.70235261460654852</v>
      </c>
      <c r="BA45" cm="1">
        <f t="array" ref="BA45">_xlfn.LET(
    _xlpm.row_name, $A45,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0.39358441992095994</v>
      </c>
      <c r="BB45" cm="1">
        <f t="array" ref="BB45">_xlfn.LET(
    _xlpm.row_name, $A45,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0.26521288151753997</v>
      </c>
      <c r="BC45" cm="1">
        <f t="array" ref="BC45">_xlfn.LET(
    _xlpm.row_name, $A45,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0.41031141530507292</v>
      </c>
      <c r="BD45" cm="1">
        <f t="array" ref="BD45">_xlfn.LET(
    _xlpm.row_name, $A45,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0.50308864347098448</v>
      </c>
      <c r="BE45" cm="1">
        <f t="array" ref="BE45">_xlfn.LET(
    _xlpm.row_name, $A45,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0.25017536917789024</v>
      </c>
      <c r="BF45" cm="1">
        <f t="array" ref="BF45">_xlfn.LET(
    _xlpm.row_name, $A45,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0.68073894175343796</v>
      </c>
      <c r="BG45" cm="1">
        <f t="array" ref="BG45">_xlfn.LET(
    _xlpm.row_name, $A45,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0.28011626652487426</v>
      </c>
      <c r="BH45" cm="1">
        <f t="array" ref="BH45">_xlfn.LET(
    _xlpm.row_name, $A45,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0.61448975729498589</v>
      </c>
      <c r="BI45" cm="1">
        <f t="array" ref="BI45">_xlfn.LET(
    _xlpm.row_name, $A45,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0.10644856930104502</v>
      </c>
      <c r="BJ45" cm="1">
        <f t="array" ref="BJ45">_xlfn.LET(
    _xlpm.row_name, $A45,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0.79365246730022709</v>
      </c>
      <c r="BK45" cm="1">
        <f t="array" ref="BK45">_xlfn.LET(
    _xlpm.row_name, $A45,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0.27715809751439574</v>
      </c>
      <c r="BL45" cm="1">
        <f t="array" ref="BL45">_xlfn.LET(
    _xlpm.row_name, $A45,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0.7412751491871572</v>
      </c>
      <c r="BM45" cm="1">
        <f t="array" ref="BM45">_xlfn.LET(
    _xlpm.row_name, $A45,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0.66347012606502109</v>
      </c>
      <c r="BN45" cm="1">
        <f t="array" ref="BN45">_xlfn.LET(
    _xlpm.row_name, $A45,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0.216409105271129</v>
      </c>
      <c r="BO45" cm="1">
        <f t="array" ref="BO45">_xlfn.LET(
    _xlpm.row_name, $A45,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0.28937745965762218</v>
      </c>
      <c r="BP45" cm="1">
        <f t="array" ref="BP45">_xlfn.LET(
    _xlpm.row_name, $A45,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0.64176574616755788</v>
      </c>
      <c r="BQ45" cm="1">
        <f t="array" ref="BQ45">_xlfn.LET(
    _xlpm.row_name, $A45,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0.49999654997251358</v>
      </c>
      <c r="BR45" cm="1">
        <f t="array" ref="BR45">_xlfn.LET(
    _xlpm.row_name, $A45,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0.19835743440650083</v>
      </c>
      <c r="BS45" cm="1">
        <f t="array" ref="BS45">_xlfn.LET(
    _xlpm.row_name, $A45,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0.61853961340634478</v>
      </c>
      <c r="BT45" cm="1">
        <f t="array" ref="BT45">_xlfn.LET(
    _xlpm.row_name, $A45,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0.79583684603925231</v>
      </c>
      <c r="BU45" cm="1">
        <f t="array" ref="BU45">_xlfn.LET(
    _xlpm.row_name, $A45,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0.79873079516934875</v>
      </c>
      <c r="BV45" cm="1">
        <f t="array" ref="BV45">_xlfn.LET(
    _xlpm.row_name, $A45,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0.62427568335071226</v>
      </c>
    </row>
    <row r="46" spans="1:74" x14ac:dyDescent="0.3">
      <c r="A46" t="str">
        <v>Shuster, Jared</v>
      </c>
      <c r="B46" cm="1">
        <f t="array" ref="B46">_xlfn.LET(
    _xlpm.row_name, $A46,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0.47965134181045488</v>
      </c>
      <c r="C46" cm="1">
        <f t="array" ref="C46">_xlfn.LET(
    _xlpm.row_name, $A46,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0.71851821539680472</v>
      </c>
      <c r="D46" cm="1">
        <f t="array" ref="D46">_xlfn.LET(
    _xlpm.row_name, $A46,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0.40668626302011229</v>
      </c>
      <c r="E46" cm="1">
        <f t="array" ref="E46">_xlfn.LET(
    _xlpm.row_name, $A46,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0.54158071212506154</v>
      </c>
      <c r="F46" cm="1">
        <f t="array" ref="F46">_xlfn.LET(
    _xlpm.row_name, $A46,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0.73820202204095053</v>
      </c>
      <c r="G46" cm="1">
        <f t="array" ref="G46">_xlfn.LET(
    _xlpm.row_name, $A46,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0.54187355009382021</v>
      </c>
      <c r="H46" cm="1">
        <f t="array" ref="H46">_xlfn.LET(
    _xlpm.row_name, $A46,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0.46923559335753096</v>
      </c>
      <c r="I46" cm="1">
        <f t="array" ref="I46">_xlfn.LET(
    _xlpm.row_name, $A46,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0.46362201626073818</v>
      </c>
      <c r="J46" cm="1">
        <f t="array" ref="J46">_xlfn.LET(
    _xlpm.row_name, $A46,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0.54765241518471286</v>
      </c>
      <c r="K46" cm="1">
        <f t="array" ref="K46">_xlfn.LET(
    _xlpm.row_name, $A46,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0.75145332496280015</v>
      </c>
      <c r="L46" cm="1">
        <f t="array" ref="L46">_xlfn.LET(
    _xlpm.row_name, $A46,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0.72985302944332875</v>
      </c>
      <c r="M46" cm="1">
        <f t="array" ref="M46">_xlfn.LET(
    _xlpm.row_name, $A46,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0.5794321929254489</v>
      </c>
      <c r="N46" cm="1">
        <f t="array" ref="N46">_xlfn.LET(
    _xlpm.row_name, $A46,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0.47293075678214319</v>
      </c>
      <c r="O46" cm="1">
        <f t="array" ref="O46">_xlfn.LET(
    _xlpm.row_name, $A46,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0.78265960736218143</v>
      </c>
      <c r="P46" cm="1">
        <f t="array" ref="P46">_xlfn.LET(
    _xlpm.row_name, $A46,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0.50769292629226015</v>
      </c>
      <c r="Q46" cm="1">
        <f t="array" ref="Q46">_xlfn.LET(
    _xlpm.row_name, $A46,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0.63354375724305523</v>
      </c>
      <c r="R46" cm="1">
        <f t="array" ref="R46">_xlfn.LET(
    _xlpm.row_name, $A46,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0.41371128945517233</v>
      </c>
      <c r="S46" cm="1">
        <f t="array" ref="S46">_xlfn.LET(
    _xlpm.row_name, $A46,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0.70504056924186498</v>
      </c>
      <c r="T46" cm="1">
        <f t="array" ref="T46">_xlfn.LET(
    _xlpm.row_name, $A46,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0.49513330198421279</v>
      </c>
      <c r="U46" cm="1">
        <f t="array" ref="U46">_xlfn.LET(
    _xlpm.row_name, $A46,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0.44379860530816545</v>
      </c>
      <c r="V46" cm="1">
        <f t="array" ref="V46">_xlfn.LET(
    _xlpm.row_name, $A46,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0.66484293456224242</v>
      </c>
      <c r="W46" cm="1">
        <f t="array" ref="W46">_xlfn.LET(
    _xlpm.row_name, $A46,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0.56742889580292011</v>
      </c>
      <c r="X46" cm="1">
        <f t="array" ref="X46">_xlfn.LET(
    _xlpm.row_name, $A46,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0.28812515131128408</v>
      </c>
      <c r="Y46" cm="1">
        <f t="array" ref="Y46">_xlfn.LET(
    _xlpm.row_name, $A46,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0.63992763689620769</v>
      </c>
      <c r="Z46" cm="1">
        <f t="array" ref="Z46">_xlfn.LET(
    _xlpm.row_name, $A46,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0.46466591512509636</v>
      </c>
      <c r="AA46" cm="1">
        <f t="array" ref="AA46">_xlfn.LET(
    _xlpm.row_name, $A46,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0.82950797287366529</v>
      </c>
      <c r="AB46" cm="1">
        <f t="array" ref="AB46">_xlfn.LET(
    _xlpm.row_name, $A46,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0.57260272104710164</v>
      </c>
      <c r="AC46" cm="1">
        <f t="array" ref="AC46">_xlfn.LET(
    _xlpm.row_name, $A46,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0.59903770455663408</v>
      </c>
      <c r="AD46" cm="1">
        <f t="array" ref="AD46">_xlfn.LET(
    _xlpm.row_name, $A46,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0.41212875013089223</v>
      </c>
      <c r="AE46" cm="1">
        <f t="array" ref="AE46">_xlfn.LET(
    _xlpm.row_name, $A46,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0.41929595295456851</v>
      </c>
      <c r="AF46" cm="1">
        <f t="array" ref="AF46">_xlfn.LET(
    _xlpm.row_name, $A46,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0.82775865003457416</v>
      </c>
      <c r="AG46" cm="1">
        <f t="array" ref="AG46">_xlfn.LET(
    _xlpm.row_name, $A46,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0.75150773435787699</v>
      </c>
      <c r="AH46" cm="1">
        <f t="array" ref="AH46">_xlfn.LET(
    _xlpm.row_name, $A46,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0.53303685213704655</v>
      </c>
      <c r="AI46" cm="1">
        <f t="array" ref="AI46">_xlfn.LET(
    _xlpm.row_name, $A46,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0.73054006633106272</v>
      </c>
      <c r="AJ46" cm="1">
        <f t="array" ref="AJ46">_xlfn.LET(
    _xlpm.row_name, $A46,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0.63539410823509967</v>
      </c>
      <c r="AK46" cm="1">
        <f t="array" ref="AK46">_xlfn.LET(
    _xlpm.row_name, $A46,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0.80936500908705322</v>
      </c>
      <c r="AL46" cm="1">
        <f t="array" ref="AL46">_xlfn.LET(
    _xlpm.row_name, $A46,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0.33401578968756312</v>
      </c>
      <c r="AM46" cm="1">
        <f t="array" ref="AM46">_xlfn.LET(
    _xlpm.row_name, $A46,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0.70733985070689309</v>
      </c>
      <c r="AN46" cm="1">
        <f t="array" ref="AN46">_xlfn.LET(
    _xlpm.row_name, $A46,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0.63213755370461833</v>
      </c>
      <c r="AO46" cm="1">
        <f t="array" ref="AO46">_xlfn.LET(
    _xlpm.row_name, $A46,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0.44712651197479975</v>
      </c>
      <c r="AP46" cm="1">
        <f t="array" ref="AP46">_xlfn.LET(
    _xlpm.row_name, $A46,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0.33529879363397164</v>
      </c>
      <c r="AQ46" cm="1">
        <f t="array" ref="AQ46">_xlfn.LET(
    _xlpm.row_name, $A46,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0.94514024891359116</v>
      </c>
      <c r="AR46" cm="1">
        <f t="array" ref="AR46">_xlfn.LET(
    _xlpm.row_name, $A46,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0.87190239883122311</v>
      </c>
      <c r="AS46" cm="1">
        <f t="array" ref="AS46">_xlfn.LET(
    _xlpm.row_name, $A46,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T46" cm="1">
        <f t="array" ref="AT46">_xlfn.LET(
    _xlpm.row_name, $A46,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0.46296518325089248</v>
      </c>
      <c r="AU46" cm="1">
        <f t="array" ref="AU46">_xlfn.LET(
    _xlpm.row_name, $A46,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0.63044408965972165</v>
      </c>
      <c r="AV46" cm="1">
        <f t="array" ref="AV46">_xlfn.LET(
    _xlpm.row_name, $A46,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0.7183305640941402</v>
      </c>
      <c r="AW46" cm="1">
        <f t="array" ref="AW46">_xlfn.LET(
    _xlpm.row_name, $A46,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0.34008244791332931</v>
      </c>
      <c r="AX46" cm="1">
        <f t="array" ref="AX46">_xlfn.LET(
    _xlpm.row_name, $A46,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0.77641153223237436</v>
      </c>
      <c r="AY46" cm="1">
        <f t="array" ref="AY46">_xlfn.LET(
    _xlpm.row_name, $A46,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0.84263437815825093</v>
      </c>
      <c r="AZ46" cm="1">
        <f t="array" ref="AZ46">_xlfn.LET(
    _xlpm.row_name, $A46,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0.48771621372046292</v>
      </c>
      <c r="BA46" cm="1">
        <f t="array" ref="BA46">_xlfn.LET(
    _xlpm.row_name, $A46,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0.55314692566186752</v>
      </c>
      <c r="BB46" cm="1">
        <f t="array" ref="BB46">_xlfn.LET(
    _xlpm.row_name, $A46,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0.45775581144080268</v>
      </c>
      <c r="BC46" cm="1">
        <f t="array" ref="BC46">_xlfn.LET(
    _xlpm.row_name, $A46,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0.61419601547895242</v>
      </c>
      <c r="BD46" cm="1">
        <f t="array" ref="BD46">_xlfn.LET(
    _xlpm.row_name, $A46,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0.56872456972442165</v>
      </c>
      <c r="BE46" cm="1">
        <f t="array" ref="BE46">_xlfn.LET(
    _xlpm.row_name, $A46,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0.49185824142487139</v>
      </c>
      <c r="BF46" cm="1">
        <f t="array" ref="BF46">_xlfn.LET(
    _xlpm.row_name, $A46,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0.3798563948582494</v>
      </c>
      <c r="BG46" cm="1">
        <f t="array" ref="BG46">_xlfn.LET(
    _xlpm.row_name, $A46,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0.42604970038843237</v>
      </c>
      <c r="BH46" cm="1">
        <f t="array" ref="BH46">_xlfn.LET(
    _xlpm.row_name, $A46,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0.77347573212619647</v>
      </c>
      <c r="BI46" cm="1">
        <f t="array" ref="BI46">_xlfn.LET(
    _xlpm.row_name, $A46,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0.26492874510823539</v>
      </c>
      <c r="BJ46" cm="1">
        <f t="array" ref="BJ46">_xlfn.LET(
    _xlpm.row_name, $A46,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0.69894294243825839</v>
      </c>
      <c r="BK46" cm="1">
        <f t="array" ref="BK46">_xlfn.LET(
    _xlpm.row_name, $A46,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0.46950506465116115</v>
      </c>
      <c r="BL46" cm="1">
        <f t="array" ref="BL46">_xlfn.LET(
    _xlpm.row_name, $A46,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0.49211569983828229</v>
      </c>
      <c r="BM46" cm="1">
        <f t="array" ref="BM46">_xlfn.LET(
    _xlpm.row_name, $A46,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0.79864159243470845</v>
      </c>
      <c r="BN46" cm="1">
        <f t="array" ref="BN46">_xlfn.LET(
    _xlpm.row_name, $A46,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0.26220700362185179</v>
      </c>
      <c r="BO46" cm="1">
        <f t="array" ref="BO46">_xlfn.LET(
    _xlpm.row_name, $A46,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0.13727656903523988</v>
      </c>
      <c r="BP46" cm="1">
        <f t="array" ref="BP46">_xlfn.LET(
    _xlpm.row_name, $A46,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0.52326422131402617</v>
      </c>
      <c r="BQ46" cm="1">
        <f t="array" ref="BQ46">_xlfn.LET(
    _xlpm.row_name, $A46,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0.48652145487771159</v>
      </c>
      <c r="BR46" cm="1">
        <f t="array" ref="BR46">_xlfn.LET(
    _xlpm.row_name, $A46,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0.47873599854138787</v>
      </c>
      <c r="BS46" cm="1">
        <f t="array" ref="BS46">_xlfn.LET(
    _xlpm.row_name, $A46,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0.47506410172200997</v>
      </c>
      <c r="BT46" cm="1">
        <f t="array" ref="BT46">_xlfn.LET(
    _xlpm.row_name, $A46,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0.4776150217999634</v>
      </c>
      <c r="BU46" cm="1">
        <f t="array" ref="BU46">_xlfn.LET(
    _xlpm.row_name, $A46,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0.58328009020464533</v>
      </c>
      <c r="BV46" cm="1">
        <f t="array" ref="BV46">_xlfn.LET(
    _xlpm.row_name, $A46,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0.87164447359760966</v>
      </c>
    </row>
    <row r="47" spans="1:74" x14ac:dyDescent="0.3">
      <c r="A47" t="str">
        <v>Odorizzi, Jake</v>
      </c>
      <c r="B47" cm="1">
        <f t="array" ref="B47">_xlfn.LET(
    _xlpm.row_name, $A47,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0.54742642948256925</v>
      </c>
      <c r="C47" cm="1">
        <f t="array" ref="C47">_xlfn.LET(
    _xlpm.row_name, $A47,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0.28912082297284541</v>
      </c>
      <c r="D47" cm="1">
        <f t="array" ref="D47">_xlfn.LET(
    _xlpm.row_name, $A47,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0.2773808550210195</v>
      </c>
      <c r="E47" cm="1">
        <f t="array" ref="E47">_xlfn.LET(
    _xlpm.row_name, $A47,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0.74004444101172306</v>
      </c>
      <c r="F47" cm="1">
        <f t="array" ref="F47">_xlfn.LET(
    _xlpm.row_name, $A47,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0.4369375908135481</v>
      </c>
      <c r="G47" cm="1">
        <f t="array" ref="G47">_xlfn.LET(
    _xlpm.row_name, $A47,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0.65238499254289128</v>
      </c>
      <c r="H47" cm="1">
        <f t="array" ref="H47">_xlfn.LET(
    _xlpm.row_name, $A47,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0.17196279438795381</v>
      </c>
      <c r="I47" cm="1">
        <f t="array" ref="I47">_xlfn.LET(
    _xlpm.row_name, $A47,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0.13027902613165171</v>
      </c>
      <c r="J47" cm="1">
        <f t="array" ref="J47">_xlfn.LET(
    _xlpm.row_name, $A47,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0.2138260575142743</v>
      </c>
      <c r="K47" cm="1">
        <f t="array" ref="K47">_xlfn.LET(
    _xlpm.row_name, $A47,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0.49202311022721068</v>
      </c>
      <c r="L47" cm="1">
        <f t="array" ref="L47">_xlfn.LET(
    _xlpm.row_name, $A47,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0.72094880299054198</v>
      </c>
      <c r="M47" cm="1">
        <f t="array" ref="M47">_xlfn.LET(
    _xlpm.row_name, $A47,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0.12687099542870689</v>
      </c>
      <c r="N47" cm="1">
        <f t="array" ref="N47">_xlfn.LET(
    _xlpm.row_name, $A47,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0.39197424049107171</v>
      </c>
      <c r="O47" cm="1">
        <f t="array" ref="O47">_xlfn.LET(
    _xlpm.row_name, $A47,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0.63847879612933722</v>
      </c>
      <c r="P47" cm="1">
        <f t="array" ref="P47">_xlfn.LET(
    _xlpm.row_name, $A47,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0.21476895117484557</v>
      </c>
      <c r="Q47" cm="1">
        <f t="array" ref="Q47">_xlfn.LET(
    _xlpm.row_name, $A47,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0.7092179339749437</v>
      </c>
      <c r="R47" cm="1">
        <f t="array" ref="R47">_xlfn.LET(
    _xlpm.row_name, $A47,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0.18660115152914952</v>
      </c>
      <c r="S47" cm="1">
        <f t="array" ref="S47">_xlfn.LET(
    _xlpm.row_name, $A47,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0.18019861487569799</v>
      </c>
      <c r="T47" cm="1">
        <f t="array" ref="T47">_xlfn.LET(
    _xlpm.row_name, $A47,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0.1853293980500289</v>
      </c>
      <c r="U47" cm="1">
        <f t="array" ref="U47">_xlfn.LET(
    _xlpm.row_name, $A47,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0.59817831071150751</v>
      </c>
      <c r="V47" cm="1">
        <f t="array" ref="V47">_xlfn.LET(
    _xlpm.row_name, $A47,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0.88805249626857719</v>
      </c>
      <c r="W47" cm="1">
        <f t="array" ref="W47">_xlfn.LET(
    _xlpm.row_name, $A47,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0.45278753549607365</v>
      </c>
      <c r="X47" cm="1">
        <f t="array" ref="X47">_xlfn.LET(
    _xlpm.row_name, $A47,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0.64194644952567581</v>
      </c>
      <c r="Y47" cm="1">
        <f t="array" ref="Y47">_xlfn.LET(
    _xlpm.row_name, $A47,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0.27187462608522239</v>
      </c>
      <c r="Z47" cm="1">
        <f t="array" ref="Z47">_xlfn.LET(
    _xlpm.row_name, $A47,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0.18887514364649349</v>
      </c>
      <c r="AA47" cm="1">
        <f t="array" ref="AA47">_xlfn.LET(
    _xlpm.row_name, $A47,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0.56726801640037516</v>
      </c>
      <c r="AB47" cm="1">
        <f t="array" ref="AB47">_xlfn.LET(
    _xlpm.row_name, $A47,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0.342572439343382</v>
      </c>
      <c r="AC47" cm="1">
        <f t="array" ref="AC47">_xlfn.LET(
    _xlpm.row_name, $A47,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0.48885318372447784</v>
      </c>
      <c r="AD47" cm="1">
        <f t="array" ref="AD47">_xlfn.LET(
    _xlpm.row_name, $A47,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0.23517888624147409</v>
      </c>
      <c r="AE47" cm="1">
        <f t="array" ref="AE47">_xlfn.LET(
    _xlpm.row_name, $A47,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0.52467658220259605</v>
      </c>
      <c r="AF47" cm="1">
        <f t="array" ref="AF47">_xlfn.LET(
    _xlpm.row_name, $A47,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0.71760442253793633</v>
      </c>
      <c r="AG47" cm="1">
        <f t="array" ref="AG47">_xlfn.LET(
    _xlpm.row_name, $A47,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0.58639983518921379</v>
      </c>
      <c r="AH47" cm="1">
        <f t="array" ref="AH47">_xlfn.LET(
    _xlpm.row_name, $A47,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0.2841589289615668</v>
      </c>
      <c r="AI47" cm="1">
        <f t="array" ref="AI47">_xlfn.LET(
    _xlpm.row_name, $A47,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0.53660143044632036</v>
      </c>
      <c r="AJ47" cm="1">
        <f t="array" ref="AJ47">_xlfn.LET(
    _xlpm.row_name, $A47,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0.32358661063602773</v>
      </c>
      <c r="AK47" cm="1">
        <f t="array" ref="AK47">_xlfn.LET(
    _xlpm.row_name, $A47,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0.75711365854048562</v>
      </c>
      <c r="AL47" cm="1">
        <f t="array" ref="AL47">_xlfn.LET(
    _xlpm.row_name, $A47,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0.22147815989416797</v>
      </c>
      <c r="AM47" cm="1">
        <f t="array" ref="AM47">_xlfn.LET(
    _xlpm.row_name, $A47,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0.62016206594512702</v>
      </c>
      <c r="AN47" cm="1">
        <f t="array" ref="AN47">_xlfn.LET(
    _xlpm.row_name, $A47,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0.17040426152034832</v>
      </c>
      <c r="AO47" cm="1">
        <f t="array" ref="AO47">_xlfn.LET(
    _xlpm.row_name, $A47,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0.45497262307013348</v>
      </c>
      <c r="AP47" cm="1">
        <f t="array" ref="AP47">_xlfn.LET(
    _xlpm.row_name, $A47,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0.44414105898311845</v>
      </c>
      <c r="AQ47" cm="1">
        <f t="array" ref="AQ47">_xlfn.LET(
    _xlpm.row_name, $A47,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0.58093104601906953</v>
      </c>
      <c r="AR47" cm="1">
        <f t="array" ref="AR47">_xlfn.LET(
    _xlpm.row_name, $A47,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0.18996044967907344</v>
      </c>
      <c r="AS47" cm="1">
        <f t="array" ref="AS47">_xlfn.LET(
    _xlpm.row_name, $A47,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0.46296518325089248</v>
      </c>
      <c r="AT47" cm="1">
        <f t="array" ref="AT47">_xlfn.LET(
    _xlpm.row_name, $A47,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U47" cm="1">
        <f t="array" ref="AU47">_xlfn.LET(
    _xlpm.row_name, $A47,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0.18068575055507768</v>
      </c>
      <c r="AV47" cm="1">
        <f t="array" ref="AV47">_xlfn.LET(
    _xlpm.row_name, $A47,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0.51750575296672252</v>
      </c>
      <c r="AW47" cm="1">
        <f t="array" ref="AW47">_xlfn.LET(
    _xlpm.row_name, $A47,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0.72626014520717752</v>
      </c>
      <c r="AX47" cm="1">
        <f t="array" ref="AX47">_xlfn.LET(
    _xlpm.row_name, $A47,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0.42752235965818003</v>
      </c>
      <c r="AY47" cm="1">
        <f t="array" ref="AY47">_xlfn.LET(
    _xlpm.row_name, $A47,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0.17113656847747882</v>
      </c>
      <c r="AZ47" cm="1">
        <f t="array" ref="AZ47">_xlfn.LET(
    _xlpm.row_name, $A47,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0.30362532405725662</v>
      </c>
      <c r="BA47" cm="1">
        <f t="array" ref="BA47">_xlfn.LET(
    _xlpm.row_name, $A47,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0.71541286757126465</v>
      </c>
      <c r="BB47" cm="1">
        <f t="array" ref="BB47">_xlfn.LET(
    _xlpm.row_name, $A47,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0.55553126723273394</v>
      </c>
      <c r="BC47" cm="1">
        <f t="array" ref="BC47">_xlfn.LET(
    _xlpm.row_name, $A47,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0.77312125491070227</v>
      </c>
      <c r="BD47" cm="1">
        <f t="array" ref="BD47">_xlfn.LET(
    _xlpm.row_name, $A47,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0.6671493031939788</v>
      </c>
      <c r="BE47" cm="1">
        <f t="array" ref="BE47">_xlfn.LET(
    _xlpm.row_name, $A47,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0.73291143610289056</v>
      </c>
      <c r="BF47" cm="1">
        <f t="array" ref="BF47">_xlfn.LET(
    _xlpm.row_name, $A47,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0.18129575793281527</v>
      </c>
      <c r="BG47" cm="1">
        <f t="array" ref="BG47">_xlfn.LET(
    _xlpm.row_name, $A47,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0.83733837396412381</v>
      </c>
      <c r="BH47" cm="1">
        <f t="array" ref="BH47">_xlfn.LET(
    _xlpm.row_name, $A47,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0.74215968068713623</v>
      </c>
      <c r="BI47" cm="1">
        <f t="array" ref="BI47">_xlfn.LET(
    _xlpm.row_name, $A47,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0.69415101308356664</v>
      </c>
      <c r="BJ47" cm="1">
        <f t="array" ref="BJ47">_xlfn.LET(
    _xlpm.row_name, $A47,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0.22703658526361747</v>
      </c>
      <c r="BK47" cm="1">
        <f t="array" ref="BK47">_xlfn.LET(
    _xlpm.row_name, $A47,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0.64799258098053403</v>
      </c>
      <c r="BL47" cm="1">
        <f t="array" ref="BL47">_xlfn.LET(
    _xlpm.row_name, $A47,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0.3482976315793106</v>
      </c>
      <c r="BM47" cm="1">
        <f t="array" ref="BM47">_xlfn.LET(
    _xlpm.row_name, $A47,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0.53339081192857019</v>
      </c>
      <c r="BN47" cm="1">
        <f t="array" ref="BN47">_xlfn.LET(
    _xlpm.row_name, $A47,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0.43963573049446136</v>
      </c>
      <c r="BO47" cm="1">
        <f t="array" ref="BO47">_xlfn.LET(
    _xlpm.row_name, $A47,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0.60353981388153177</v>
      </c>
      <c r="BP47" cm="1">
        <f t="array" ref="BP47">_xlfn.LET(
    _xlpm.row_name, $A47,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0.35786940429020653</v>
      </c>
      <c r="BQ47" cm="1">
        <f t="array" ref="BQ47">_xlfn.LET(
    _xlpm.row_name, $A47,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0.40092449334320485</v>
      </c>
      <c r="BR47" cm="1">
        <f t="array" ref="BR47">_xlfn.LET(
    _xlpm.row_name, $A47,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0.7343498008296776</v>
      </c>
      <c r="BS47" cm="1">
        <f t="array" ref="BS47">_xlfn.LET(
    _xlpm.row_name, $A47,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0.38044009660420042</v>
      </c>
      <c r="BT47" cm="1">
        <f t="array" ref="BT47">_xlfn.LET(
    _xlpm.row_name, $A47,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0.13707194831335989</v>
      </c>
      <c r="BU47" cm="1">
        <f t="array" ref="BU47">_xlfn.LET(
    _xlpm.row_name, $A47,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0.3702084458102633</v>
      </c>
      <c r="BV47" cm="1">
        <f t="array" ref="BV47">_xlfn.LET(
    _xlpm.row_name, $A47,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0.72287706090772552</v>
      </c>
    </row>
    <row r="48" spans="1:74" x14ac:dyDescent="0.3">
      <c r="A48" t="str">
        <v>De Los Santos, Enyel</v>
      </c>
      <c r="B48" cm="1">
        <f t="array" ref="B48">_xlfn.LET(
    _xlpm.row_name, $A48,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0.46070392682437056</v>
      </c>
      <c r="C48" cm="1">
        <f t="array" ref="C48">_xlfn.LET(
    _xlpm.row_name, $A48,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0.52903811992057059</v>
      </c>
      <c r="D48" cm="1">
        <f t="array" ref="D48">_xlfn.LET(
    _xlpm.row_name, $A48,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0.84722526351412242</v>
      </c>
      <c r="E48" cm="1">
        <f t="array" ref="E48">_xlfn.LET(
    _xlpm.row_name, $A48,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8.0046268294275913E-2</v>
      </c>
      <c r="F48" cm="1">
        <f t="array" ref="F48">_xlfn.LET(
    _xlpm.row_name, $A48,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0.56558308352608377</v>
      </c>
      <c r="G48" cm="1">
        <f t="array" ref="G48">_xlfn.LET(
    _xlpm.row_name, $A48,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0.75731049629329994</v>
      </c>
      <c r="H48" cm="1">
        <f t="array" ref="H48">_xlfn.LET(
    _xlpm.row_name, $A48,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0.60051628896203701</v>
      </c>
      <c r="I48" cm="1">
        <f t="array" ref="I48">_xlfn.LET(
    _xlpm.row_name, $A48,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0.80080165424997363</v>
      </c>
      <c r="J48" cm="1">
        <f t="array" ref="J48">_xlfn.LET(
    _xlpm.row_name, $A48,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0.88437810898833358</v>
      </c>
      <c r="K48" cm="1">
        <f t="array" ref="K48">_xlfn.LET(
    _xlpm.row_name, $A48,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0.42272701811247093</v>
      </c>
      <c r="L48" cm="1">
        <f t="array" ref="L48">_xlfn.LET(
    _xlpm.row_name, $A48,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0.38646370444446454</v>
      </c>
      <c r="M48" cm="1">
        <f t="array" ref="M48">_xlfn.LET(
    _xlpm.row_name, $A48,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0.92900649638277977</v>
      </c>
      <c r="N48" cm="1">
        <f t="array" ref="N48">_xlfn.LET(
    _xlpm.row_name, $A48,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0.44377651560246995</v>
      </c>
      <c r="O48" cm="1">
        <f t="array" ref="O48">_xlfn.LET(
    _xlpm.row_name, $A48,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0.7178870190820138</v>
      </c>
      <c r="P48" cm="1">
        <f t="array" ref="P48">_xlfn.LET(
    _xlpm.row_name, $A48,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0.43875785898429587</v>
      </c>
      <c r="Q48" cm="1">
        <f t="array" ref="Q48">_xlfn.LET(
    _xlpm.row_name, $A48,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9.9971750960473171E-2</v>
      </c>
      <c r="R48" cm="1">
        <f t="array" ref="R48">_xlfn.LET(
    _xlpm.row_name, $A48,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0.56127106880685285</v>
      </c>
      <c r="S48" cm="1">
        <f t="array" ref="S48">_xlfn.LET(
    _xlpm.row_name, $A48,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0.58852354751919578</v>
      </c>
      <c r="T48" cm="1">
        <f t="array" ref="T48">_xlfn.LET(
    _xlpm.row_name, $A48,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0.51589864234309979</v>
      </c>
      <c r="U48" cm="1">
        <f t="array" ref="U48">_xlfn.LET(
    _xlpm.row_name, $A48,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0.76674956299476005</v>
      </c>
      <c r="V48" cm="1">
        <f t="array" ref="V48">_xlfn.LET(
    _xlpm.row_name, $A48,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0.34830726061021666</v>
      </c>
      <c r="W48" cm="1">
        <f t="array" ref="W48">_xlfn.LET(
    _xlpm.row_name, $A48,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0.18811049688296994</v>
      </c>
      <c r="X48" cm="1">
        <f t="array" ref="X48">_xlfn.LET(
    _xlpm.row_name, $A48,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0.68474990556666504</v>
      </c>
      <c r="Y48" cm="1">
        <f t="array" ref="Y48">_xlfn.LET(
    _xlpm.row_name, $A48,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0.84471863921096246</v>
      </c>
      <c r="Z48" cm="1">
        <f t="array" ref="Z48">_xlfn.LET(
    _xlpm.row_name, $A48,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0.85613585380791246</v>
      </c>
      <c r="AA48" cm="1">
        <f t="array" ref="AA48">_xlfn.LET(
    _xlpm.row_name, $A48,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0.74265318637141275</v>
      </c>
      <c r="AB48" cm="1">
        <f t="array" ref="AB48">_xlfn.LET(
    _xlpm.row_name, $A48,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0.92065786273037042</v>
      </c>
      <c r="AC48" cm="1">
        <f t="array" ref="AC48">_xlfn.LET(
    _xlpm.row_name, $A48,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0.29646989006479152</v>
      </c>
      <c r="AD48" cm="1">
        <f t="array" ref="AD48">_xlfn.LET(
    _xlpm.row_name, $A48,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0.68754562756500537</v>
      </c>
      <c r="AE48" cm="1">
        <f t="array" ref="AE48">_xlfn.LET(
    _xlpm.row_name, $A48,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0.80739963959228822</v>
      </c>
      <c r="AF48" cm="1">
        <f t="array" ref="AF48">_xlfn.LET(
    _xlpm.row_name, $A48,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0.51233574002698568</v>
      </c>
      <c r="AG48" cm="1">
        <f t="array" ref="AG48">_xlfn.LET(
    _xlpm.row_name, $A48,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0.63807832371761586</v>
      </c>
      <c r="AH48" cm="1">
        <f t="array" ref="AH48">_xlfn.LET(
    _xlpm.row_name, $A48,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0.77795416730362366</v>
      </c>
      <c r="AI48" cm="1">
        <f t="array" ref="AI48">_xlfn.LET(
    _xlpm.row_name, $A48,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0.77710571172568133</v>
      </c>
      <c r="AJ48" cm="1">
        <f t="array" ref="AJ48">_xlfn.LET(
    _xlpm.row_name, $A48,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0.88587385101173899</v>
      </c>
      <c r="AK48" cm="1">
        <f t="array" ref="AK48">_xlfn.LET(
    _xlpm.row_name, $A48,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0.41496531631223033</v>
      </c>
      <c r="AL48" cm="1">
        <f t="array" ref="AL48">_xlfn.LET(
    _xlpm.row_name, $A48,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0.85267890091825871</v>
      </c>
      <c r="AM48" cm="1">
        <f t="array" ref="AM48">_xlfn.LET(
    _xlpm.row_name, $A48,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0.17122599983810705</v>
      </c>
      <c r="AN48" cm="1">
        <f t="array" ref="AN48">_xlfn.LET(
    _xlpm.row_name, $A48,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0.82387822236596642</v>
      </c>
      <c r="AO48" cm="1">
        <f t="array" ref="AO48">_xlfn.LET(
    _xlpm.row_name, $A48,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0.48378179809162219</v>
      </c>
      <c r="AP48" cm="1">
        <f t="array" ref="AP48">_xlfn.LET(
    _xlpm.row_name, $A48,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0.68592593703227667</v>
      </c>
      <c r="AQ48" cm="1">
        <f t="array" ref="AQ48">_xlfn.LET(
    _xlpm.row_name, $A48,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0.53342906628227948</v>
      </c>
      <c r="AR48" cm="1">
        <f t="array" ref="AR48">_xlfn.LET(
    _xlpm.row_name, $A48,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0.77633526819404342</v>
      </c>
      <c r="AS48" cm="1">
        <f t="array" ref="AS48">_xlfn.LET(
    _xlpm.row_name, $A48,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0.63044408965972165</v>
      </c>
      <c r="AT48" cm="1">
        <f t="array" ref="AT48">_xlfn.LET(
    _xlpm.row_name, $A48,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0.18068575055507768</v>
      </c>
      <c r="AU48" cm="1">
        <f t="array" ref="AU48">_xlfn.LET(
    _xlpm.row_name, $A48,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V48" cm="1">
        <f t="array" ref="AV48">_xlfn.LET(
    _xlpm.row_name, $A48,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0.34005128580989341</v>
      </c>
      <c r="AW48" cm="1">
        <f t="array" ref="AW48">_xlfn.LET(
    _xlpm.row_name, $A48,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0.25861768101456695</v>
      </c>
      <c r="AX48" cm="1">
        <f t="array" ref="AX48">_xlfn.LET(
    _xlpm.row_name, $A48,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0.37844867930791792</v>
      </c>
      <c r="AY48" cm="1">
        <f t="array" ref="AY48">_xlfn.LET(
    _xlpm.row_name, $A48,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0.89601759432666939</v>
      </c>
      <c r="AZ48" cm="1">
        <f t="array" ref="AZ48">_xlfn.LET(
    _xlpm.row_name, $A48,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0.36870362342160229</v>
      </c>
      <c r="BA48" cm="1">
        <f t="array" ref="BA48">_xlfn.LET(
    _xlpm.row_name, $A48,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0.68797908044406986</v>
      </c>
      <c r="BB48" cm="1">
        <f t="array" ref="BB48">_xlfn.LET(
    _xlpm.row_name, $A48,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0.45438841018946924</v>
      </c>
      <c r="BC48" cm="1">
        <f t="array" ref="BC48">_xlfn.LET(
    _xlpm.row_name, $A48,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6.3254844318108128E-2</v>
      </c>
      <c r="BD48" cm="1">
        <f t="array" ref="BD48">_xlfn.LET(
    _xlpm.row_name, $A48,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0.73308995888689765</v>
      </c>
      <c r="BE48" cm="1">
        <f t="array" ref="BE48">_xlfn.LET(
    _xlpm.row_name, $A48,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0.3528348324161143</v>
      </c>
      <c r="BF48" cm="1">
        <f t="array" ref="BF48">_xlfn.LET(
    _xlpm.row_name, $A48,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0.4799420456539833</v>
      </c>
      <c r="BG48" cm="1">
        <f t="array" ref="BG48">_xlfn.LET(
    _xlpm.row_name, $A48,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0.47255340855181455</v>
      </c>
      <c r="BH48" cm="1">
        <f t="array" ref="BH48">_xlfn.LET(
    _xlpm.row_name, $A48,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0.21617970749923104</v>
      </c>
      <c r="BI48" cm="1">
        <f t="array" ref="BI48">_xlfn.LET(
    _xlpm.row_name, $A48,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0.45640174411925183</v>
      </c>
      <c r="BJ48" cm="1">
        <f t="array" ref="BJ48">_xlfn.LET(
    _xlpm.row_name, $A48,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0.87419314162630535</v>
      </c>
      <c r="BK48" cm="1">
        <f t="array" ref="BK48">_xlfn.LET(
    _xlpm.row_name, $A48,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0.55944349343854027</v>
      </c>
      <c r="BL48" cm="1">
        <f t="array" ref="BL48">_xlfn.LET(
    _xlpm.row_name, $A48,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0.57807925966034912</v>
      </c>
      <c r="BM48" cm="1">
        <f t="array" ref="BM48">_xlfn.LET(
    _xlpm.row_name, $A48,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0.38204737972216996</v>
      </c>
      <c r="BN48" cm="1">
        <f t="array" ref="BN48">_xlfn.LET(
    _xlpm.row_name, $A48,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0.44982801991966181</v>
      </c>
      <c r="BO48" cm="1">
        <f t="array" ref="BO48">_xlfn.LET(
    _xlpm.row_name, $A48,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0.25201654513628896</v>
      </c>
      <c r="BP48" cm="1">
        <f t="array" ref="BP48">_xlfn.LET(
    _xlpm.row_name, $A48,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0.93501251008049979</v>
      </c>
      <c r="BQ48" cm="1">
        <f t="array" ref="BQ48">_xlfn.LET(
    _xlpm.row_name, $A48,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0.30810273193235038</v>
      </c>
      <c r="BR48" cm="1">
        <f t="array" ref="BR48">_xlfn.LET(
    _xlpm.row_name, $A48,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0.28480240461260903</v>
      </c>
      <c r="BS48" cm="1">
        <f t="array" ref="BS48">_xlfn.LET(
    _xlpm.row_name, $A48,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0.77589485224593324</v>
      </c>
      <c r="BT48" cm="1">
        <f t="array" ref="BT48">_xlfn.LET(
    _xlpm.row_name, $A48,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0.65208684433067465</v>
      </c>
      <c r="BU48" cm="1">
        <f t="array" ref="BU48">_xlfn.LET(
    _xlpm.row_name, $A48,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0.65153429259745166</v>
      </c>
      <c r="BV48" cm="1">
        <f t="array" ref="BV48">_xlfn.LET(
    _xlpm.row_name, $A48,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0.30662008517578643</v>
      </c>
    </row>
    <row r="49" spans="1:74" x14ac:dyDescent="0.3">
      <c r="A49" t="str">
        <v>O'Day, Darren</v>
      </c>
      <c r="B49" cm="1">
        <f t="array" ref="B49">_xlfn.LET(
    _xlpm.row_name, $A49,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0.85759031337080938</v>
      </c>
      <c r="C49" cm="1">
        <f t="array" ref="C49">_xlfn.LET(
    _xlpm.row_name, $A49,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0.93496412160380293</v>
      </c>
      <c r="D49" cm="1">
        <f t="array" ref="D49">_xlfn.LET(
    _xlpm.row_name, $A49,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5.9486150122587123E-2</v>
      </c>
      <c r="E49" cm="1">
        <f t="array" ref="E49">_xlfn.LET(
    _xlpm.row_name, $A49,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0.85088772379368771</v>
      </c>
      <c r="F49" cm="1">
        <f t="array" ref="F49">_xlfn.LET(
    _xlpm.row_name, $A49,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0.63774701401506584</v>
      </c>
      <c r="G49" cm="1">
        <f t="array" ref="G49">_xlfn.LET(
    _xlpm.row_name, $A49,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0.23581236259092675</v>
      </c>
      <c r="H49" cm="1">
        <f t="array" ref="H49">_xlfn.LET(
    _xlpm.row_name, $A49,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0.67867828084749537</v>
      </c>
      <c r="I49" cm="1">
        <f t="array" ref="I49">_xlfn.LET(
    _xlpm.row_name, $A49,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0.62352086056116307</v>
      </c>
      <c r="J49" cm="1">
        <f t="array" ref="J49">_xlfn.LET(
    _xlpm.row_name, $A49,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0.34195315924992564</v>
      </c>
      <c r="K49" cm="1">
        <f t="array" ref="K49">_xlfn.LET(
    _xlpm.row_name, $A49,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0.9794238115362246</v>
      </c>
      <c r="L49" cm="1">
        <f t="array" ref="L49">_xlfn.LET(
    _xlpm.row_name, $A49,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0.89929436407428842</v>
      </c>
      <c r="M49" cm="1">
        <f t="array" ref="M49">_xlfn.LET(
    _xlpm.row_name, $A49,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0.47301840557226604</v>
      </c>
      <c r="N49" cm="1">
        <f t="array" ref="N49">_xlfn.LET(
    _xlpm.row_name, $A49,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0.30228250123810108</v>
      </c>
      <c r="O49" cm="1">
        <f t="array" ref="O49">_xlfn.LET(
    _xlpm.row_name, $A49,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0.39669696326359166</v>
      </c>
      <c r="P49" cm="1">
        <f t="array" ref="P49">_xlfn.LET(
    _xlpm.row_name, $A49,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0.50291968947964139</v>
      </c>
      <c r="Q49" cm="1">
        <f t="array" ref="Q49">_xlfn.LET(
    _xlpm.row_name, $A49,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0.85154842469224168</v>
      </c>
      <c r="R49" cm="1">
        <f t="array" ref="R49">_xlfn.LET(
    _xlpm.row_name, $A49,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0.49259581293078902</v>
      </c>
      <c r="S49" cm="1">
        <f t="array" ref="S49">_xlfn.LET(
    _xlpm.row_name, $A49,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0.73443186986446385</v>
      </c>
      <c r="T49" cm="1">
        <f t="array" ref="T49">_xlfn.LET(
    _xlpm.row_name, $A49,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0.39430852084323886</v>
      </c>
      <c r="U49" cm="1">
        <f t="array" ref="U49">_xlfn.LET(
    _xlpm.row_name, $A49,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0.14154061888304564</v>
      </c>
      <c r="V49" cm="1">
        <f t="array" ref="V49">_xlfn.LET(
    _xlpm.row_name, $A49,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0.72555909660345952</v>
      </c>
      <c r="W49" cm="1">
        <f t="array" ref="W49">_xlfn.LET(
    _xlpm.row_name, $A49,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0.70297889937939861</v>
      </c>
      <c r="X49" cm="1">
        <f t="array" ref="X49">_xlfn.LET(
    _xlpm.row_name, $A49,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0.15621185269743149</v>
      </c>
      <c r="Y49" cm="1">
        <f t="array" ref="Y49">_xlfn.LET(
    _xlpm.row_name, $A49,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0.67236207463878739</v>
      </c>
      <c r="Z49" cm="1">
        <f t="array" ref="Z49">_xlfn.LET(
    _xlpm.row_name, $A49,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0.14008031212161282</v>
      </c>
      <c r="AA49" cm="1">
        <f t="array" ref="AA49">_xlfn.LET(
    _xlpm.row_name, $A49,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0.38368952076707469</v>
      </c>
      <c r="AB49" cm="1">
        <f t="array" ref="AB49">_xlfn.LET(
    _xlpm.row_name, $A49,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0.44761560478760537</v>
      </c>
      <c r="AC49" cm="1">
        <f t="array" ref="AC49">_xlfn.LET(
    _xlpm.row_name, $A49,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0.96059961970347452</v>
      </c>
      <c r="AD49" cm="1">
        <f t="array" ref="AD49">_xlfn.LET(
    _xlpm.row_name, $A49,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0.66298650152567429</v>
      </c>
      <c r="AE49" cm="1">
        <f t="array" ref="AE49">_xlfn.LET(
    _xlpm.row_name, $A49,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9.6809185552535482E-2</v>
      </c>
      <c r="AF49" cm="1">
        <f t="array" ref="AF49">_xlfn.LET(
    _xlpm.row_name, $A49,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0.72847322595545361</v>
      </c>
      <c r="AG49" cm="1">
        <f t="array" ref="AG49">_xlfn.LET(
    _xlpm.row_name, $A49,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0.64383776564405459</v>
      </c>
      <c r="AH49" cm="1">
        <f t="array" ref="AH49">_xlfn.LET(
    _xlpm.row_name, $A49,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0.50897837992647676</v>
      </c>
      <c r="AI49" cm="1">
        <f t="array" ref="AI49">_xlfn.LET(
    _xlpm.row_name, $A49,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0.61875015880060869</v>
      </c>
      <c r="AJ49" cm="1">
        <f t="array" ref="AJ49">_xlfn.LET(
    _xlpm.row_name, $A49,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0.24781418573779929</v>
      </c>
      <c r="AK49" cm="1">
        <f t="array" ref="AK49">_xlfn.LET(
    _xlpm.row_name, $A49,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0.83730050279545198</v>
      </c>
      <c r="AL49" cm="1">
        <f t="array" ref="AL49">_xlfn.LET(
    _xlpm.row_name, $A49,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0.11931551798353612</v>
      </c>
      <c r="AM49" cm="1">
        <f t="array" ref="AM49">_xlfn.LET(
    _xlpm.row_name, $A49,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0.92259326460701341</v>
      </c>
      <c r="AN49" cm="1">
        <f t="array" ref="AN49">_xlfn.LET(
    _xlpm.row_name, $A49,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0.40017269629444485</v>
      </c>
      <c r="AO49" cm="1">
        <f t="array" ref="AO49">_xlfn.LET(
    _xlpm.row_name, $A49,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0.14900016254666693</v>
      </c>
      <c r="AP49" cm="1">
        <f t="array" ref="AP49">_xlfn.LET(
    _xlpm.row_name, $A49,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0.18861135535500273</v>
      </c>
      <c r="AQ49" cm="1">
        <f t="array" ref="AQ49">_xlfn.LET(
    _xlpm.row_name, $A49,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0.58549583026680818</v>
      </c>
      <c r="AR49" cm="1">
        <f t="array" ref="AR49">_xlfn.LET(
    _xlpm.row_name, $A49,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0.52008133755739472</v>
      </c>
      <c r="AS49" cm="1">
        <f t="array" ref="AS49">_xlfn.LET(
    _xlpm.row_name, $A49,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0.7183305640941402</v>
      </c>
      <c r="AT49" cm="1">
        <f t="array" ref="AT49">_xlfn.LET(
    _xlpm.row_name, $A49,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0.51750575296672252</v>
      </c>
      <c r="AU49" cm="1">
        <f t="array" ref="AU49">_xlfn.LET(
    _xlpm.row_name, $A49,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0.34005128580989341</v>
      </c>
      <c r="AV49" cm="1">
        <f t="array" ref="AV49">_xlfn.LET(
    _xlpm.row_name, $A49,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W49" cm="1">
        <f t="array" ref="AW49">_xlfn.LET(
    _xlpm.row_name, $A49,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0.78494784226611403</v>
      </c>
      <c r="AX49" cm="1">
        <f t="array" ref="AX49">_xlfn.LET(
    _xlpm.row_name, $A49,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0.68890447982993008</v>
      </c>
      <c r="AY49" cm="1">
        <f t="array" ref="AY49">_xlfn.LET(
    _xlpm.row_name, $A49,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0.61475931370554515</v>
      </c>
      <c r="AZ49" cm="1">
        <f t="array" ref="AZ49">_xlfn.LET(
    _xlpm.row_name, $A49,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0.43776001986145485</v>
      </c>
      <c r="BA49" cm="1">
        <f t="array" ref="BA49">_xlfn.LET(
    _xlpm.row_name, $A49,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0.39546997776067883</v>
      </c>
      <c r="BB49" cm="1">
        <f t="array" ref="BB49">_xlfn.LET(
    _xlpm.row_name, $A49,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0.8385345234693109</v>
      </c>
      <c r="BC49" cm="1">
        <f t="array" ref="BC49">_xlfn.LET(
    _xlpm.row_name, $A49,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0.79112501167289095</v>
      </c>
      <c r="BD49" cm="1">
        <f t="array" ref="BD49">_xlfn.LET(
    _xlpm.row_name, $A49,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0.1999031962822963</v>
      </c>
      <c r="BE49" cm="1">
        <f t="array" ref="BE49">_xlfn.LET(
    _xlpm.row_name, $A49,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0.65140434520511348</v>
      </c>
      <c r="BF49" cm="1">
        <f t="array" ref="BF49">_xlfn.LET(
    _xlpm.row_name, $A49,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0.40181968432922255</v>
      </c>
      <c r="BG49" cm="1">
        <f t="array" ref="BG49">_xlfn.LET(
    _xlpm.row_name, $A49,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0.36598763288818592</v>
      </c>
      <c r="BH49" cm="1">
        <f t="array" ref="BH49">_xlfn.LET(
    _xlpm.row_name, $A49,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0.6758156409789795</v>
      </c>
      <c r="BI49" cm="1">
        <f t="array" ref="BI49">_xlfn.LET(
    _xlpm.row_name, $A49,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0.5817465712757437</v>
      </c>
      <c r="BJ49" cm="1">
        <f t="array" ref="BJ49">_xlfn.LET(
    _xlpm.row_name, $A49,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0.53489922040981741</v>
      </c>
      <c r="BK49" cm="1">
        <f t="array" ref="BK49">_xlfn.LET(
    _xlpm.row_name, $A49,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0.67638591902485778</v>
      </c>
      <c r="BL49" cm="1">
        <f t="array" ref="BL49">_xlfn.LET(
    _xlpm.row_name, $A49,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0.15285750844949597</v>
      </c>
      <c r="BM49" cm="1">
        <f t="array" ref="BM49">_xlfn.LET(
    _xlpm.row_name, $A49,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0.71892142473701348</v>
      </c>
      <c r="BN49" cm="1">
        <f t="array" ref="BN49">_xlfn.LET(
    _xlpm.row_name, $A49,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0.72291462766445269</v>
      </c>
      <c r="BO49" cm="1">
        <f t="array" ref="BO49">_xlfn.LET(
    _xlpm.row_name, $A49,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0.2037710916680166</v>
      </c>
      <c r="BP49" cm="1">
        <f t="array" ref="BP49">_xlfn.LET(
    _xlpm.row_name, $A49,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0.16429769130266525</v>
      </c>
      <c r="BQ49" cm="1">
        <f t="array" ref="BQ49">_xlfn.LET(
    _xlpm.row_name, $A49,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0.83201386988792803</v>
      </c>
      <c r="BR49" cm="1">
        <f t="array" ref="BR49">_xlfn.LET(
    _xlpm.row_name, $A49,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0.85649741764529408</v>
      </c>
      <c r="BS49" cm="1">
        <f t="array" ref="BS49">_xlfn.LET(
    _xlpm.row_name, $A49,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0.12123762300785523</v>
      </c>
      <c r="BT49" cm="1">
        <f t="array" ref="BT49">_xlfn.LET(
    _xlpm.row_name, $A49,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0.27886155941301016</v>
      </c>
      <c r="BU49" cm="1">
        <f t="array" ref="BU49">_xlfn.LET(
    _xlpm.row_name, $A49,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0.18611111362598293</v>
      </c>
      <c r="BV49" cm="1">
        <f t="array" ref="BV49">_xlfn.LET(
    _xlpm.row_name, $A49,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0.82161644579351811</v>
      </c>
    </row>
    <row r="50" spans="1:74" x14ac:dyDescent="0.3">
      <c r="A50" t="str">
        <v>Winans, Allan</v>
      </c>
      <c r="B50" cm="1">
        <f t="array" ref="B50">_xlfn.LET(
    _xlpm.row_name, $A50,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0.925672578962905</v>
      </c>
      <c r="C50" cm="1">
        <f t="array" ref="C50">_xlfn.LET(
    _xlpm.row_name, $A50,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0.64258908111202129</v>
      </c>
      <c r="D50" cm="1">
        <f t="array" ref="D50">_xlfn.LET(
    _xlpm.row_name, $A50,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0.12848578535465222</v>
      </c>
      <c r="E50" cm="1">
        <f t="array" ref="E50">_xlfn.LET(
    _xlpm.row_name, $A50,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0.76582512272608771</v>
      </c>
      <c r="F50" cm="1">
        <f t="array" ref="F50">_xlfn.LET(
    _xlpm.row_name, $A50,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0.36151884107872057</v>
      </c>
      <c r="G50" cm="1">
        <f t="array" ref="G50">_xlfn.LET(
    _xlpm.row_name, $A50,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0.40787664349103003</v>
      </c>
      <c r="H50" cm="1">
        <f t="array" ref="H50">_xlfn.LET(
    _xlpm.row_name, $A50,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0.59890466703890655</v>
      </c>
      <c r="I50" cm="1">
        <f t="array" ref="I50">_xlfn.LET(
    _xlpm.row_name, $A50,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0.59022731149010088</v>
      </c>
      <c r="J50" cm="1">
        <f t="array" ref="J50">_xlfn.LET(
    _xlpm.row_name, $A50,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0.24409116626309901</v>
      </c>
      <c r="K50" cm="1">
        <f t="array" ref="K50">_xlfn.LET(
    _xlpm.row_name, $A50,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0.77821419324896368</v>
      </c>
      <c r="L50" cm="1">
        <f t="array" ref="L50">_xlfn.LET(
    _xlpm.row_name, $A50,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0.81949524141618912</v>
      </c>
      <c r="M50" cm="1">
        <f t="array" ref="M50">_xlfn.LET(
    _xlpm.row_name, $A50,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0.40482137672990809</v>
      </c>
      <c r="N50" cm="1">
        <f t="array" ref="N50">_xlfn.LET(
    _xlpm.row_name, $A50,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0.15032799400265756</v>
      </c>
      <c r="O50" cm="1">
        <f t="array" ref="O50">_xlfn.LET(
    _xlpm.row_name, $A50,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0.37618973972620501</v>
      </c>
      <c r="P50" cm="1">
        <f t="array" ref="P50">_xlfn.LET(
    _xlpm.row_name, $A50,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0.23991185929462333</v>
      </c>
      <c r="Q50" cm="1">
        <f t="array" ref="Q50">_xlfn.LET(
    _xlpm.row_name, $A50,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0.7142718372918041</v>
      </c>
      <c r="R50" cm="1">
        <f t="array" ref="R50">_xlfn.LET(
    _xlpm.row_name, $A50,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0.43735036457573717</v>
      </c>
      <c r="S50" cm="1">
        <f t="array" ref="S50">_xlfn.LET(
    _xlpm.row_name, $A50,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0.44261312179179535</v>
      </c>
      <c r="T50" cm="1">
        <f t="array" ref="T50">_xlfn.LET(
    _xlpm.row_name, $A50,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0.18675009840606688</v>
      </c>
      <c r="U50" cm="1">
        <f t="array" ref="U50">_xlfn.LET(
    _xlpm.row_name, $A50,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0.35342037013132216</v>
      </c>
      <c r="V50" cm="1">
        <f t="array" ref="V50">_xlfn.LET(
    _xlpm.row_name, $A50,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0.80191638104965035</v>
      </c>
      <c r="W50" cm="1">
        <f t="array" ref="W50">_xlfn.LET(
    _xlpm.row_name, $A50,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0.4566286325465263</v>
      </c>
      <c r="X50" cm="1">
        <f t="array" ref="X50">_xlfn.LET(
    _xlpm.row_name, $A50,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0.51601729831976562</v>
      </c>
      <c r="Y50" cm="1">
        <f t="array" ref="Y50">_xlfn.LET(
    _xlpm.row_name, $A50,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0.58368309087799763</v>
      </c>
      <c r="Z50" cm="1">
        <f t="array" ref="Z50">_xlfn.LET(
    _xlpm.row_name, $A50,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0.13217631206864133</v>
      </c>
      <c r="AA50" cm="1">
        <f t="array" ref="AA50">_xlfn.LET(
    _xlpm.row_name, $A50,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0.28132208790710844</v>
      </c>
      <c r="AB50" cm="1">
        <f t="array" ref="AB50">_xlfn.LET(
    _xlpm.row_name, $A50,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0.5149978203644594</v>
      </c>
      <c r="AC50" cm="1">
        <f t="array" ref="AC50">_xlfn.LET(
    _xlpm.row_name, $A50,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0.78050574185334354</v>
      </c>
      <c r="AD50" cm="1">
        <f t="array" ref="AD50">_xlfn.LET(
    _xlpm.row_name, $A50,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0.71465119362930052</v>
      </c>
      <c r="AE50" cm="1">
        <f t="array" ref="AE50">_xlfn.LET(
    _xlpm.row_name, $A50,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0.30534248896571092</v>
      </c>
      <c r="AF50" cm="1">
        <f t="array" ref="AF50">_xlfn.LET(
    _xlpm.row_name, $A50,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0.5865864993393195</v>
      </c>
      <c r="AG50" cm="1">
        <f t="array" ref="AG50">_xlfn.LET(
    _xlpm.row_name, $A50,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0.51867138664481716</v>
      </c>
      <c r="AH50" cm="1">
        <f t="array" ref="AH50">_xlfn.LET(
    _xlpm.row_name, $A50,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0.54559929367963411</v>
      </c>
      <c r="AI50" cm="1">
        <f t="array" ref="AI50">_xlfn.LET(
    _xlpm.row_name, $A50,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0.59209169913139215</v>
      </c>
      <c r="AJ50" cm="1">
        <f t="array" ref="AJ50">_xlfn.LET(
    _xlpm.row_name, $A50,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0.22818527263828747</v>
      </c>
      <c r="AK50" cm="1">
        <f t="array" ref="AK50">_xlfn.LET(
    _xlpm.row_name, $A50,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0.71833602058521295</v>
      </c>
      <c r="AL50" cm="1">
        <f t="array" ref="AL50">_xlfn.LET(
    _xlpm.row_name, $A50,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0.24720436645901794</v>
      </c>
      <c r="AM50" cm="1">
        <f t="array" ref="AM50">_xlfn.LET(
    _xlpm.row_name, $A50,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0.67741894367402877</v>
      </c>
      <c r="AN50" cm="1">
        <f t="array" ref="AN50">_xlfn.LET(
    _xlpm.row_name, $A50,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0.27056996952243312</v>
      </c>
      <c r="AO50" cm="1">
        <f t="array" ref="AO50">_xlfn.LET(
    _xlpm.row_name, $A50,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9.7294951593517864E-2</v>
      </c>
      <c r="AP50" cm="1">
        <f t="array" ref="AP50">_xlfn.LET(
    _xlpm.row_name, $A50,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0.3060636831519834</v>
      </c>
      <c r="AQ50" cm="1">
        <f t="array" ref="AQ50">_xlfn.LET(
    _xlpm.row_name, $A50,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0.28474908001463817</v>
      </c>
      <c r="AR50" cm="1">
        <f t="array" ref="AR50">_xlfn.LET(
    _xlpm.row_name, $A50,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0.13301095521431744</v>
      </c>
      <c r="AS50" cm="1">
        <f t="array" ref="AS50">_xlfn.LET(
    _xlpm.row_name, $A50,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0.34008244791332931</v>
      </c>
      <c r="AT50" cm="1">
        <f t="array" ref="AT50">_xlfn.LET(
    _xlpm.row_name, $A50,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0.72626014520717752</v>
      </c>
      <c r="AU50" cm="1">
        <f t="array" ref="AU50">_xlfn.LET(
    _xlpm.row_name, $A50,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0.25861768101456695</v>
      </c>
      <c r="AV50" cm="1">
        <f t="array" ref="AV50">_xlfn.LET(
    _xlpm.row_name, $A50,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0.78494784226611403</v>
      </c>
      <c r="AW50" cm="1">
        <f t="array" ref="AW50">_xlfn.LET(
    _xlpm.row_name, $A50,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0.99999999999999989</v>
      </c>
      <c r="AX50" cm="1">
        <f t="array" ref="AX50">_xlfn.LET(
    _xlpm.row_name, $A50,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0.30283813044612029</v>
      </c>
      <c r="AY50" cm="1">
        <f t="array" ref="AY50">_xlfn.LET(
    _xlpm.row_name, $A50,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0.32112425115694593</v>
      </c>
      <c r="AZ50" cm="1">
        <f t="array" ref="AZ50">_xlfn.LET(
    _xlpm.row_name, $A50,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0.22890652930739663</v>
      </c>
      <c r="BA50" cm="1">
        <f t="array" ref="BA50">_xlfn.LET(
    _xlpm.row_name, $A50,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0.60802653406821616</v>
      </c>
      <c r="BB50" cm="1">
        <f t="array" ref="BB50">_xlfn.LET(
    _xlpm.row_name, $A50,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0.91518323925156375</v>
      </c>
      <c r="BC50" cm="1">
        <f t="array" ref="BC50">_xlfn.LET(
    _xlpm.row_name, $A50,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0.6636945526890321</v>
      </c>
      <c r="BD50" cm="1">
        <f t="array" ref="BD50">_xlfn.LET(
    _xlpm.row_name, $A50,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0.34375261877323404</v>
      </c>
      <c r="BE50" cm="1">
        <f t="array" ref="BE50">_xlfn.LET(
    _xlpm.row_name, $A50,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0.69419747071665205</v>
      </c>
      <c r="BF50" cm="1">
        <f t="array" ref="BF50">_xlfn.LET(
    _xlpm.row_name, $A50,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0.27873126789242214</v>
      </c>
      <c r="BG50" cm="1">
        <f t="array" ref="BG50">_xlfn.LET(
    _xlpm.row_name, $A50,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0.67875062259906704</v>
      </c>
      <c r="BH50" cm="1">
        <f t="array" ref="BH50">_xlfn.LET(
    _xlpm.row_name, $A50,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0.48420484690207188</v>
      </c>
      <c r="BI50" cm="1">
        <f t="array" ref="BI50">_xlfn.LET(
    _xlpm.row_name, $A50,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0.91834544281396746</v>
      </c>
      <c r="BJ50" cm="1">
        <f t="array" ref="BJ50">_xlfn.LET(
    _xlpm.row_name, $A50,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0.42322330367575312</v>
      </c>
      <c r="BK50" cm="1">
        <f t="array" ref="BK50">_xlfn.LET(
    _xlpm.row_name, $A50,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0.88365482149868524</v>
      </c>
      <c r="BL50" cm="1">
        <f t="array" ref="BL50">_xlfn.LET(
    _xlpm.row_name, $A50,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5.8746084786407027E-2</v>
      </c>
      <c r="BM50" cm="1">
        <f t="array" ref="BM50">_xlfn.LET(
    _xlpm.row_name, $A50,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0.37996838089032858</v>
      </c>
      <c r="BN50" cm="1">
        <f t="array" ref="BN50">_xlfn.LET(
    _xlpm.row_name, $A50,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0.88033449009719766</v>
      </c>
      <c r="BO50" cm="1">
        <f t="array" ref="BO50">_xlfn.LET(
    _xlpm.row_name, $A50,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0.43418861926609831</v>
      </c>
      <c r="BP50" cm="1">
        <f t="array" ref="BP50">_xlfn.LET(
    _xlpm.row_name, $A50,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0.24486999247421382</v>
      </c>
      <c r="BQ50" cm="1">
        <f t="array" ref="BQ50">_xlfn.LET(
    _xlpm.row_name, $A50,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0.74959171841999783</v>
      </c>
      <c r="BR50" cm="1">
        <f t="array" ref="BR50">_xlfn.LET(
    _xlpm.row_name, $A50,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0.94522507925173005</v>
      </c>
      <c r="BS50" cm="1">
        <f t="array" ref="BS50">_xlfn.LET(
    _xlpm.row_name, $A50,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0.1263988265485359</v>
      </c>
      <c r="BT50" cm="1">
        <f t="array" ref="BT50">_xlfn.LET(
    _xlpm.row_name, $A50,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9.8826220989057911E-2</v>
      </c>
      <c r="BU50" cm="1">
        <f t="array" ref="BU50">_xlfn.LET(
    _xlpm.row_name, $A50,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0.10183535721398196</v>
      </c>
      <c r="BV50" cm="1">
        <f t="array" ref="BV50">_xlfn.LET(
    _xlpm.row_name, $A50,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0.59046479246596595</v>
      </c>
    </row>
    <row r="51" spans="1:74" x14ac:dyDescent="0.3">
      <c r="A51" t="str">
        <v>Melancon, Mark</v>
      </c>
      <c r="B51" cm="1">
        <f t="array" ref="B51">_xlfn.LET(
    _xlpm.row_name, $A51,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0.37654936042218778</v>
      </c>
      <c r="C51" cm="1">
        <f t="array" ref="C51">_xlfn.LET(
    _xlpm.row_name, $A51,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0.72451634194507397</v>
      </c>
      <c r="D51" cm="1">
        <f t="array" ref="D51">_xlfn.LET(
    _xlpm.row_name, $A51,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0.3615865695842238</v>
      </c>
      <c r="E51" cm="1">
        <f t="array" ref="E51">_xlfn.LET(
    _xlpm.row_name, $A51,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0.75959392766768152</v>
      </c>
      <c r="F51" cm="1">
        <f t="array" ref="F51">_xlfn.LET(
    _xlpm.row_name, $A51,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0.86666622219321987</v>
      </c>
      <c r="G51" cm="1">
        <f t="array" ref="G51">_xlfn.LET(
    _xlpm.row_name, $A51,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0.27093533467186148</v>
      </c>
      <c r="H51" cm="1">
        <f t="array" ref="H51">_xlfn.LET(
    _xlpm.row_name, $A51,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0.40561897411196135</v>
      </c>
      <c r="I51" cm="1">
        <f t="array" ref="I51">_xlfn.LET(
    _xlpm.row_name, $A51,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0.34317756519534548</v>
      </c>
      <c r="J51" cm="1">
        <f t="array" ref="J51">_xlfn.LET(
    _xlpm.row_name, $A51,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0.55465890509853055</v>
      </c>
      <c r="K51" cm="1">
        <f t="array" ref="K51">_xlfn.LET(
    _xlpm.row_name, $A51,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0.60198627207119637</v>
      </c>
      <c r="L51" cm="1">
        <f t="array" ref="L51">_xlfn.LET(
    _xlpm.row_name, $A51,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0.56788979394683303</v>
      </c>
      <c r="M51" cm="1">
        <f t="array" ref="M51">_xlfn.LET(
    _xlpm.row_name, $A51,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0.31183214464310233</v>
      </c>
      <c r="N51" cm="1">
        <f t="array" ref="N51">_xlfn.LET(
    _xlpm.row_name, $A51,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0.8250762411739534</v>
      </c>
      <c r="O51" cm="1">
        <f t="array" ref="O51">_xlfn.LET(
    _xlpm.row_name, $A51,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0.3759415019053336</v>
      </c>
      <c r="P51" cm="1">
        <f t="array" ref="P51">_xlfn.LET(
    _xlpm.row_name, $A51,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0.85180944240291989</v>
      </c>
      <c r="Q51" cm="1">
        <f t="array" ref="Q51">_xlfn.LET(
    _xlpm.row_name, $A51,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0.71908322202213804</v>
      </c>
      <c r="R51" cm="1">
        <f t="array" ref="R51">_xlfn.LET(
    _xlpm.row_name, $A51,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0.42441365596479402</v>
      </c>
      <c r="S51" cm="1">
        <f t="array" ref="S51">_xlfn.LET(
    _xlpm.row_name, $A51,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0.62748973969256339</v>
      </c>
      <c r="T51" cm="1">
        <f t="array" ref="T51">_xlfn.LET(
    _xlpm.row_name, $A51,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0.71018663216746414</v>
      </c>
      <c r="U51" cm="1">
        <f t="array" ref="U51">_xlfn.LET(
    _xlpm.row_name, $A51,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0.25724650882435174</v>
      </c>
      <c r="V51" cm="1">
        <f t="array" ref="V51">_xlfn.LET(
    _xlpm.row_name, $A51,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0.41584235463339447</v>
      </c>
      <c r="W51" cm="1">
        <f t="array" ref="W51">_xlfn.LET(
    _xlpm.row_name, $A51,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0.86831245730672701</v>
      </c>
      <c r="X51" cm="1">
        <f t="array" ref="X51">_xlfn.LET(
    _xlpm.row_name, $A51,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9.8480863554164355E-2</v>
      </c>
      <c r="Y51" cm="1">
        <f t="array" ref="Y51">_xlfn.LET(
    _xlpm.row_name, $A51,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0.41816269959419955</v>
      </c>
      <c r="Z51" cm="1">
        <f t="array" ref="Z51">_xlfn.LET(
    _xlpm.row_name, $A51,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0.37274960807470103</v>
      </c>
      <c r="AA51" cm="1">
        <f t="array" ref="AA51">_xlfn.LET(
    _xlpm.row_name, $A51,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0.45627277154873835</v>
      </c>
      <c r="AB51" cm="1">
        <f t="array" ref="AB51">_xlfn.LET(
    _xlpm.row_name, $A51,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0.20703990833718644</v>
      </c>
      <c r="AC51" cm="1">
        <f t="array" ref="AC51">_xlfn.LET(
    _xlpm.row_name, $A51,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0.73246945974007871</v>
      </c>
      <c r="AD51" cm="1">
        <f t="array" ref="AD51">_xlfn.LET(
    _xlpm.row_name, $A51,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0.25245620502026023</v>
      </c>
      <c r="AE51" cm="1">
        <f t="array" ref="AE51">_xlfn.LET(
    _xlpm.row_name, $A51,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0.23410521152329944</v>
      </c>
      <c r="AF51" cm="1">
        <f t="array" ref="AF51">_xlfn.LET(
    _xlpm.row_name, $A51,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0.6520050481472548</v>
      </c>
      <c r="AG51" cm="1">
        <f t="array" ref="AG51">_xlfn.LET(
    _xlpm.row_name, $A51,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0.63578994052413718</v>
      </c>
      <c r="AH51" cm="1">
        <f t="array" ref="AH51">_xlfn.LET(
    _xlpm.row_name, $A51,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0.2000872548029457</v>
      </c>
      <c r="AI51" cm="1">
        <f t="array" ref="AI51">_xlfn.LET(
    _xlpm.row_name, $A51,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0.38997560727579311</v>
      </c>
      <c r="AJ51" cm="1">
        <f t="array" ref="AJ51">_xlfn.LET(
    _xlpm.row_name, $A51,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0.30525246868737621</v>
      </c>
      <c r="AK51" cm="1">
        <f t="array" ref="AK51">_xlfn.LET(
    _xlpm.row_name, $A51,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0.61006355281049152</v>
      </c>
      <c r="AL51" cm="1">
        <f t="array" ref="AL51">_xlfn.LET(
    _xlpm.row_name, $A51,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0.23980966408733473</v>
      </c>
      <c r="AM51" cm="1">
        <f t="array" ref="AM51">_xlfn.LET(
    _xlpm.row_name, $A51,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0.83652665233222256</v>
      </c>
      <c r="AN51" cm="1">
        <f t="array" ref="AN51">_xlfn.LET(
    _xlpm.row_name, $A51,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0.39525716969738561</v>
      </c>
      <c r="AO51" cm="1">
        <f t="array" ref="AO51">_xlfn.LET(
    _xlpm.row_name, $A51,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0.67615332003548756</v>
      </c>
      <c r="AP51" cm="1">
        <f t="array" ref="AP51">_xlfn.LET(
    _xlpm.row_name, $A51,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0.47920687095079434</v>
      </c>
      <c r="AQ51" cm="1">
        <f t="array" ref="AQ51">_xlfn.LET(
    _xlpm.row_name, $A51,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0.74076801955902793</v>
      </c>
      <c r="AR51" cm="1">
        <f t="array" ref="AR51">_xlfn.LET(
    _xlpm.row_name, $A51,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0.74428607954353654</v>
      </c>
      <c r="AS51" cm="1">
        <f t="array" ref="AS51">_xlfn.LET(
    _xlpm.row_name, $A51,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0.77641153223237436</v>
      </c>
      <c r="AT51" cm="1">
        <f t="array" ref="AT51">_xlfn.LET(
    _xlpm.row_name, $A51,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0.42752235965818003</v>
      </c>
      <c r="AU51" cm="1">
        <f t="array" ref="AU51">_xlfn.LET(
    _xlpm.row_name, $A51,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0.37844867930791792</v>
      </c>
      <c r="AV51" cm="1">
        <f t="array" ref="AV51">_xlfn.LET(
    _xlpm.row_name, $A51,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0.68890447982993008</v>
      </c>
      <c r="AW51" cm="1">
        <f t="array" ref="AW51">_xlfn.LET(
    _xlpm.row_name, $A51,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0.30283813044612029</v>
      </c>
      <c r="AX51" cm="1">
        <f t="array" ref="AX51">_xlfn.LET(
    _xlpm.row_name, $A51,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Y51" cm="1">
        <f t="array" ref="AY51">_xlfn.LET(
    _xlpm.row_name, $A51,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0.56349947985997306</v>
      </c>
      <c r="AZ51" cm="1">
        <f t="array" ref="AZ51">_xlfn.LET(
    _xlpm.row_name, $A51,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0.80100862489266</v>
      </c>
      <c r="BA51" cm="1">
        <f t="array" ref="BA51">_xlfn.LET(
    _xlpm.row_name, $A51,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0.17247212268015438</v>
      </c>
      <c r="BB51" cm="1">
        <f t="array" ref="BB51">_xlfn.LET(
    _xlpm.row_name, $A51,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0.39781679382856561</v>
      </c>
      <c r="BC51" cm="1">
        <f t="array" ref="BC51">_xlfn.LET(
    _xlpm.row_name, $A51,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0.79043485313790762</v>
      </c>
      <c r="BD51" cm="1">
        <f t="array" ref="BD51">_xlfn.LET(
    _xlpm.row_name, $A51,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0.31264348048629781</v>
      </c>
      <c r="BE51" cm="1">
        <f t="array" ref="BE51">_xlfn.LET(
    _xlpm.row_name, $A51,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0.62153429528249915</v>
      </c>
      <c r="BF51" cm="1">
        <f t="array" ref="BF51">_xlfn.LET(
    _xlpm.row_name, $A51,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0.6343127328979512</v>
      </c>
      <c r="BG51" cm="1">
        <f t="array" ref="BG51">_xlfn.LET(
    _xlpm.row_name, $A51,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0.13109570951429156</v>
      </c>
      <c r="BH51" cm="1">
        <f t="array" ref="BH51">_xlfn.LET(
    _xlpm.row_name, $A51,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0.74637967239639813</v>
      </c>
      <c r="BI51" cm="1">
        <f t="array" ref="BI51">_xlfn.LET(
    _xlpm.row_name, $A51,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0.14670476558179846</v>
      </c>
      <c r="BJ51" cm="1">
        <f t="array" ref="BJ51">_xlfn.LET(
    _xlpm.row_name, $A51,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0.33209469238886774</v>
      </c>
      <c r="BK51" cm="1">
        <f t="array" ref="BK51">_xlfn.LET(
    _xlpm.row_name, $A51,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0.16967071012254381</v>
      </c>
      <c r="BL51" cm="1">
        <f t="array" ref="BL51">_xlfn.LET(
    _xlpm.row_name, $A51,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0.63337477956382793</v>
      </c>
      <c r="BM51" cm="1">
        <f t="array" ref="BM51">_xlfn.LET(
    _xlpm.row_name, $A51,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0.96695845237238442</v>
      </c>
      <c r="BN51" cm="1">
        <f t="array" ref="BN51">_xlfn.LET(
    _xlpm.row_name, $A51,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0.34124552189630886</v>
      </c>
      <c r="BO51" cm="1">
        <f t="array" ref="BO51">_xlfn.LET(
    _xlpm.row_name, $A51,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0.44136606194313954</v>
      </c>
      <c r="BP51" cm="1">
        <f t="array" ref="BP51">_xlfn.LET(
    _xlpm.row_name, $A51,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0.28347898281697664</v>
      </c>
      <c r="BQ51" cm="1">
        <f t="array" ref="BQ51">_xlfn.LET(
    _xlpm.row_name, $A51,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0.5194821879046595</v>
      </c>
      <c r="BR51" cm="1">
        <f t="array" ref="BR51">_xlfn.LET(
    _xlpm.row_name, $A51,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0.46558403105731816</v>
      </c>
      <c r="BS51" cm="1">
        <f t="array" ref="BS51">_xlfn.LET(
    _xlpm.row_name, $A51,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0.53315432616625458</v>
      </c>
      <c r="BT51" cm="1">
        <f t="array" ref="BT51">_xlfn.LET(
    _xlpm.row_name, $A51,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0.67584549221360835</v>
      </c>
      <c r="BU51" cm="1">
        <f t="array" ref="BU51">_xlfn.LET(
    _xlpm.row_name, $A51,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0.51352517619458948</v>
      </c>
      <c r="BV51" cm="1">
        <f t="array" ref="BV51">_xlfn.LET(
    _xlpm.row_name, $A51,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0.7208094406633736</v>
      </c>
    </row>
    <row r="52" spans="1:74" x14ac:dyDescent="0.3">
      <c r="A52" t="str">
        <v>Montero, Rafael</v>
      </c>
      <c r="B52" cm="1">
        <f t="array" ref="B52">_xlfn.LET(
    _xlpm.row_name, $A52,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0.54834622045224124</v>
      </c>
      <c r="C52" cm="1">
        <f t="array" ref="C52">_xlfn.LET(
    _xlpm.row_name, $A52,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0.75699860995444235</v>
      </c>
      <c r="D52" cm="1">
        <f t="array" ref="D52">_xlfn.LET(
    _xlpm.row_name, $A52,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0.61498617919920373</v>
      </c>
      <c r="E52" cm="1">
        <f t="array" ref="E52">_xlfn.LET(
    _xlpm.row_name, $A52,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0.27007884975587082</v>
      </c>
      <c r="F52" cm="1">
        <f t="array" ref="F52">_xlfn.LET(
    _xlpm.row_name, $A52,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0.62211988550738384</v>
      </c>
      <c r="G52" cm="1">
        <f t="array" ref="G52">_xlfn.LET(
    _xlpm.row_name, $A52,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0.55975922443234516</v>
      </c>
      <c r="H52" cm="1">
        <f t="array" ref="H52">_xlfn.LET(
    _xlpm.row_name, $A52,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0.71903682876235897</v>
      </c>
      <c r="I52" cm="1">
        <f t="array" ref="I52">_xlfn.LET(
    _xlpm.row_name, $A52,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0.80533300069567759</v>
      </c>
      <c r="J52" cm="1">
        <f t="array" ref="J52">_xlfn.LET(
    _xlpm.row_name, $A52,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0.73931152717979953</v>
      </c>
      <c r="K52" cm="1">
        <f t="array" ref="K52">_xlfn.LET(
    _xlpm.row_name, $A52,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0.69580518482080023</v>
      </c>
      <c r="L52" cm="1">
        <f t="array" ref="L52">_xlfn.LET(
    _xlpm.row_name, $A52,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0.56164167389484021</v>
      </c>
      <c r="M52" cm="1">
        <f t="array" ref="M52">_xlfn.LET(
    _xlpm.row_name, $A52,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0.90688882940620041</v>
      </c>
      <c r="N52" cm="1">
        <f t="array" ref="N52">_xlfn.LET(
    _xlpm.row_name, $A52,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0.38651992390920636</v>
      </c>
      <c r="O52" cm="1">
        <f t="array" ref="O52">_xlfn.LET(
    _xlpm.row_name, $A52,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0.70893834773479436</v>
      </c>
      <c r="P52" cm="1">
        <f t="array" ref="P52">_xlfn.LET(
    _xlpm.row_name, $A52,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0.51507882278930428</v>
      </c>
      <c r="Q52" cm="1">
        <f t="array" ref="Q52">_xlfn.LET(
    _xlpm.row_name, $A52,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0.3630165517472882</v>
      </c>
      <c r="R52" cm="1">
        <f t="array" ref="R52">_xlfn.LET(
    _xlpm.row_name, $A52,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0.62705964598760999</v>
      </c>
      <c r="S52" cm="1">
        <f t="array" ref="S52">_xlfn.LET(
    _xlpm.row_name, $A52,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0.81150707144543044</v>
      </c>
      <c r="T52" cm="1">
        <f t="array" ref="T52">_xlfn.LET(
    _xlpm.row_name, $A52,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0.56742438112878668</v>
      </c>
      <c r="U52" cm="1">
        <f t="array" ref="U52">_xlfn.LET(
    _xlpm.row_name, $A52,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0.51121279745908477</v>
      </c>
      <c r="V52" cm="1">
        <f t="array" ref="V52">_xlfn.LET(
    _xlpm.row_name, $A52,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0.44558860662602634</v>
      </c>
      <c r="W52" cm="1">
        <f t="array" ref="W52">_xlfn.LET(
    _xlpm.row_name, $A52,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0.39619169578758462</v>
      </c>
      <c r="X52" cm="1">
        <f t="array" ref="X52">_xlfn.LET(
    _xlpm.row_name, $A52,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0.41197312766641669</v>
      </c>
      <c r="Y52" cm="1">
        <f t="array" ref="Y52">_xlfn.LET(
    _xlpm.row_name, $A52,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0.85622177671395394</v>
      </c>
      <c r="Z52" cm="1">
        <f t="array" ref="Z52">_xlfn.LET(
    _xlpm.row_name, $A52,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0.70687518352350875</v>
      </c>
      <c r="AA52" cm="1">
        <f t="array" ref="AA52">_xlfn.LET(
    _xlpm.row_name, $A52,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0.75458954209934792</v>
      </c>
      <c r="AB52" cm="1">
        <f t="array" ref="AB52">_xlfn.LET(
    _xlpm.row_name, $A52,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0.82695236619908052</v>
      </c>
      <c r="AC52" cm="1">
        <f t="array" ref="AC52">_xlfn.LET(
    _xlpm.row_name, $A52,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0.51652038890074481</v>
      </c>
      <c r="AD52" cm="1">
        <f t="array" ref="AD52">_xlfn.LET(
    _xlpm.row_name, $A52,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0.7212783348655698</v>
      </c>
      <c r="AE52" cm="1">
        <f t="array" ref="AE52">_xlfn.LET(
    _xlpm.row_name, $A52,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0.54071717952380427</v>
      </c>
      <c r="AF52" cm="1">
        <f t="array" ref="AF52">_xlfn.LET(
    _xlpm.row_name, $A52,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0.61349732442688376</v>
      </c>
      <c r="AG52" cm="1">
        <f t="array" ref="AG52">_xlfn.LET(
    _xlpm.row_name, $A52,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0.6529844207697072</v>
      </c>
      <c r="AH52" cm="1">
        <f t="array" ref="AH52">_xlfn.LET(
    _xlpm.row_name, $A52,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0.79599652046605507</v>
      </c>
      <c r="AI52" cm="1">
        <f t="array" ref="AI52">_xlfn.LET(
    _xlpm.row_name, $A52,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0.77262116522584656</v>
      </c>
      <c r="AJ52" cm="1">
        <f t="array" ref="AJ52">_xlfn.LET(
    _xlpm.row_name, $A52,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0.80435439269505871</v>
      </c>
      <c r="AK52" cm="1">
        <f t="array" ref="AK52">_xlfn.LET(
    _xlpm.row_name, $A52,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0.58356585655800974</v>
      </c>
      <c r="AL52" cm="1">
        <f t="array" ref="AL52">_xlfn.LET(
    _xlpm.row_name, $A52,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0.64003833472221472</v>
      </c>
      <c r="AM52" cm="1">
        <f t="array" ref="AM52">_xlfn.LET(
    _xlpm.row_name, $A52,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0.4521511513757116</v>
      </c>
      <c r="AN52" cm="1">
        <f t="array" ref="AN52">_xlfn.LET(
    _xlpm.row_name, $A52,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0.85266782803656405</v>
      </c>
      <c r="AO52" cm="1">
        <f t="array" ref="AO52">_xlfn.LET(
    _xlpm.row_name, $A52,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0.3708288693933649</v>
      </c>
      <c r="AP52" cm="1">
        <f t="array" ref="AP52">_xlfn.LET(
    _xlpm.row_name, $A52,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0.42856920620546934</v>
      </c>
      <c r="AQ52" cm="1">
        <f t="array" ref="AQ52">_xlfn.LET(
    _xlpm.row_name, $A52,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0.71052673657710619</v>
      </c>
      <c r="AR52" cm="1">
        <f t="array" ref="AR52">_xlfn.LET(
    _xlpm.row_name, $A52,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0.90509985139090865</v>
      </c>
      <c r="AS52" cm="1">
        <f t="array" ref="AS52">_xlfn.LET(
    _xlpm.row_name, $A52,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0.84263437815825093</v>
      </c>
      <c r="AT52" cm="1">
        <f t="array" ref="AT52">_xlfn.LET(
    _xlpm.row_name, $A52,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0.17113656847747882</v>
      </c>
      <c r="AU52" cm="1">
        <f t="array" ref="AU52">_xlfn.LET(
    _xlpm.row_name, $A52,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0.89601759432666939</v>
      </c>
      <c r="AV52" cm="1">
        <f t="array" ref="AV52">_xlfn.LET(
    _xlpm.row_name, $A52,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0.61475931370554515</v>
      </c>
      <c r="AW52" cm="1">
        <f t="array" ref="AW52">_xlfn.LET(
    _xlpm.row_name, $A52,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0.32112425115694593</v>
      </c>
      <c r="AX52" cm="1">
        <f t="array" ref="AX52">_xlfn.LET(
    _xlpm.row_name, $A52,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0.56349947985997306</v>
      </c>
      <c r="AY52" cm="1">
        <f t="array" ref="AY52">_xlfn.LET(
    _xlpm.row_name, $A52,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AZ52" cm="1">
        <f t="array" ref="AZ52">_xlfn.LET(
    _xlpm.row_name, $A52,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0.44340118502533593</v>
      </c>
      <c r="BA52" cm="1">
        <f t="array" ref="BA52">_xlfn.LET(
    _xlpm.row_name, $A52,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0.57221679951261262</v>
      </c>
      <c r="BB52" cm="1">
        <f t="array" ref="BB52">_xlfn.LET(
    _xlpm.row_name, $A52,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0.51883337408446861</v>
      </c>
      <c r="BC52" cm="1">
        <f t="array" ref="BC52">_xlfn.LET(
    _xlpm.row_name, $A52,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0.27859426064989562</v>
      </c>
      <c r="BD52" cm="1">
        <f t="array" ref="BD52">_xlfn.LET(
    _xlpm.row_name, $A52,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0.54502634823081864</v>
      </c>
      <c r="BE52" cm="1">
        <f t="array" ref="BE52">_xlfn.LET(
    _xlpm.row_name, $A52,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0.33178499602874711</v>
      </c>
      <c r="BF52" cm="1">
        <f t="array" ref="BF52">_xlfn.LET(
    _xlpm.row_name, $A52,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0.5055956030331783</v>
      </c>
      <c r="BG52" cm="1">
        <f t="array" ref="BG52">_xlfn.LET(
    _xlpm.row_name, $A52,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0.3730372075797394</v>
      </c>
      <c r="BH52" cm="1">
        <f t="array" ref="BH52">_xlfn.LET(
    _xlpm.row_name, $A52,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0.43870549662099212</v>
      </c>
      <c r="BI52" cm="1">
        <f t="array" ref="BI52">_xlfn.LET(
    _xlpm.row_name, $A52,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0.35908650489639282</v>
      </c>
      <c r="BJ52" cm="1">
        <f t="array" ref="BJ52">_xlfn.LET(
    _xlpm.row_name, $A52,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0.92711135705845948</v>
      </c>
      <c r="BK52" cm="1">
        <f t="array" ref="BK52">_xlfn.LET(
    _xlpm.row_name, $A52,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0.55609404905453963</v>
      </c>
      <c r="BL52" cm="1">
        <f t="array" ref="BL52">_xlfn.LET(
    _xlpm.row_name, $A52,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0.49181622965172328</v>
      </c>
      <c r="BM52" cm="1">
        <f t="array" ref="BM52">_xlfn.LET(
    _xlpm.row_name, $A52,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0.54521814453239659</v>
      </c>
      <c r="BN52" cm="1">
        <f t="array" ref="BN52">_xlfn.LET(
    _xlpm.row_name, $A52,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0.43904531498969923</v>
      </c>
      <c r="BO52" cm="1">
        <f t="array" ref="BO52">_xlfn.LET(
    _xlpm.row_name, $A52,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0.1044059584448167</v>
      </c>
      <c r="BP52" cm="1">
        <f t="array" ref="BP52">_xlfn.LET(
    _xlpm.row_name, $A52,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0.72221612546540004</v>
      </c>
      <c r="BQ52" cm="1">
        <f t="array" ref="BQ52">_xlfn.LET(
    _xlpm.row_name, $A52,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0.5271874034373224</v>
      </c>
      <c r="BR52" cm="1">
        <f t="array" ref="BR52">_xlfn.LET(
    _xlpm.row_name, $A52,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0.3812756183281576</v>
      </c>
      <c r="BS52" cm="1">
        <f t="array" ref="BS52">_xlfn.LET(
    _xlpm.row_name, $A52,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0.55080334873061054</v>
      </c>
      <c r="BT52" cm="1">
        <f t="array" ref="BT52">_xlfn.LET(
    _xlpm.row_name, $A52,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0.6108626569050879</v>
      </c>
      <c r="BU52" cm="1">
        <f t="array" ref="BU52">_xlfn.LET(
    _xlpm.row_name, $A52,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0.60509377287443744</v>
      </c>
      <c r="BV52" cm="1">
        <f t="array" ref="BV52">_xlfn.LET(
    _xlpm.row_name, $A52,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0.57199740610303551</v>
      </c>
    </row>
    <row r="53" spans="1:74" x14ac:dyDescent="0.3">
      <c r="A53" t="str">
        <v>Sobotka, Chad</v>
      </c>
      <c r="B53" cm="1">
        <f t="array" ref="B53">_xlfn.LET(
    _xlpm.row_name, $A53,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0.1805524307104811</v>
      </c>
      <c r="C53" cm="1">
        <f t="array" ref="C53">_xlfn.LET(
    _xlpm.row_name, $A53,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0.50003341829829018</v>
      </c>
      <c r="D53" cm="1">
        <f t="array" ref="D53">_xlfn.LET(
    _xlpm.row_name, $A53,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0.57134452791419044</v>
      </c>
      <c r="E53" cm="1">
        <f t="array" ref="E53">_xlfn.LET(
    _xlpm.row_name, $A53,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0.56163849210585115</v>
      </c>
      <c r="F53" cm="1">
        <f t="array" ref="F53">_xlfn.LET(
    _xlpm.row_name, $A53,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0.52279417770118675</v>
      </c>
      <c r="G53" cm="1">
        <f t="array" ref="G53">_xlfn.LET(
    _xlpm.row_name, $A53,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0.16251069174580157</v>
      </c>
      <c r="H53" cm="1">
        <f t="array" ref="H53">_xlfn.LET(
    _xlpm.row_name, $A53,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0.59481269847187501</v>
      </c>
      <c r="I53" cm="1">
        <f t="array" ref="I53">_xlfn.LET(
    _xlpm.row_name, $A53,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0.38744722493499162</v>
      </c>
      <c r="J53" cm="1">
        <f t="array" ref="J53">_xlfn.LET(
    _xlpm.row_name, $A53,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0.45016989405745145</v>
      </c>
      <c r="K53" cm="1">
        <f t="array" ref="K53">_xlfn.LET(
    _xlpm.row_name, $A53,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0.38224527961003085</v>
      </c>
      <c r="L53" cm="1">
        <f t="array" ref="L53">_xlfn.LET(
    _xlpm.row_name, $A53,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0.19792246546971676</v>
      </c>
      <c r="M53" cm="1">
        <f t="array" ref="M53">_xlfn.LET(
    _xlpm.row_name, $A53,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0.39851040770374418</v>
      </c>
      <c r="N53" cm="1">
        <f t="array" ref="N53">_xlfn.LET(
    _xlpm.row_name, $A53,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0.87945181081174595</v>
      </c>
      <c r="O53" cm="1">
        <f t="array" ref="O53">_xlfn.LET(
    _xlpm.row_name, $A53,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0.25832710122593544</v>
      </c>
      <c r="P53" cm="1">
        <f t="array" ref="P53">_xlfn.LET(
    _xlpm.row_name, $A53,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0.96614600160478381</v>
      </c>
      <c r="Q53" cm="1">
        <f t="array" ref="Q53">_xlfn.LET(
    _xlpm.row_name, $A53,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0.62799801830273017</v>
      </c>
      <c r="R53" cm="1">
        <f t="array" ref="R53">_xlfn.LET(
    _xlpm.row_name, $A53,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0.75818211589494156</v>
      </c>
      <c r="S53" cm="1">
        <f t="array" ref="S53">_xlfn.LET(
    _xlpm.row_name, $A53,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0.70895329077580194</v>
      </c>
      <c r="T53" cm="1">
        <f t="array" ref="T53">_xlfn.LET(
    _xlpm.row_name, $A53,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0.96863742037450895</v>
      </c>
      <c r="U53" cm="1">
        <f t="array" ref="U53">_xlfn.LET(
    _xlpm.row_name, $A53,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0.23492176803688247</v>
      </c>
      <c r="V53" cm="1">
        <f t="array" ref="V53">_xlfn.LET(
    _xlpm.row_name, $A53,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0.14507092618232131</v>
      </c>
      <c r="W53" cm="1">
        <f t="array" ref="W53">_xlfn.LET(
    _xlpm.row_name, $A53,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0.90933199210935023</v>
      </c>
      <c r="X53" cm="1">
        <f t="array" ref="X53">_xlfn.LET(
    _xlpm.row_name, $A53,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0.1886968433233307</v>
      </c>
      <c r="Y53" cm="1">
        <f t="array" ref="Y53">_xlfn.LET(
    _xlpm.row_name, $A53,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0.21196584756503756</v>
      </c>
      <c r="Z53" cm="1">
        <f t="array" ref="Z53">_xlfn.LET(
    _xlpm.row_name, $A53,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0.639750814910233</v>
      </c>
      <c r="AA53" cm="1">
        <f t="array" ref="AA53">_xlfn.LET(
    _xlpm.row_name, $A53,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0.3541892873803868</v>
      </c>
      <c r="AB53" cm="1">
        <f t="array" ref="AB53">_xlfn.LET(
    _xlpm.row_name, $A53,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0.15060290953145111</v>
      </c>
      <c r="AC53" cm="1">
        <f t="array" ref="AC53">_xlfn.LET(
    _xlpm.row_name, $A53,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0.49872649392108737</v>
      </c>
      <c r="AD53" cm="1">
        <f t="array" ref="AD53">_xlfn.LET(
    _xlpm.row_name, $A53,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0.35668089016077509</v>
      </c>
      <c r="AE53" cm="1">
        <f t="array" ref="AE53">_xlfn.LET(
    _xlpm.row_name, $A53,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0.28938151519940397</v>
      </c>
      <c r="AF53" cm="1">
        <f t="array" ref="AF53">_xlfn.LET(
    _xlpm.row_name, $A53,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0.22042340976252667</v>
      </c>
      <c r="AG53" cm="1">
        <f t="array" ref="AG53">_xlfn.LET(
    _xlpm.row_name, $A53,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0.22115688383604382</v>
      </c>
      <c r="AH53" cm="1">
        <f t="array" ref="AH53">_xlfn.LET(
    _xlpm.row_name, $A53,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0.36370114837655998</v>
      </c>
      <c r="AI53" cm="1">
        <f t="array" ref="AI53">_xlfn.LET(
    _xlpm.row_name, $A53,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7.8112896874244997E-2</v>
      </c>
      <c r="AJ53" cm="1">
        <f t="array" ref="AJ53">_xlfn.LET(
    _xlpm.row_name, $A53,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0.43841388102874435</v>
      </c>
      <c r="AK53" cm="1">
        <f t="array" ref="AK53">_xlfn.LET(
    _xlpm.row_name, $A53,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0.21239394968166536</v>
      </c>
      <c r="AL53" cm="1">
        <f t="array" ref="AL53">_xlfn.LET(
    _xlpm.row_name, $A53,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0.53549395810190648</v>
      </c>
      <c r="AM53" cm="1">
        <f t="array" ref="AM53">_xlfn.LET(
    _xlpm.row_name, $A53,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0.62299583575091266</v>
      </c>
      <c r="AN53" cm="1">
        <f t="array" ref="AN53">_xlfn.LET(
    _xlpm.row_name, $A53,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0.59844862319580039</v>
      </c>
      <c r="AO53" cm="1">
        <f t="array" ref="AO53">_xlfn.LET(
    _xlpm.row_name, $A53,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0.84919119552893596</v>
      </c>
      <c r="AP53" cm="1">
        <f t="array" ref="AP53">_xlfn.LET(
    _xlpm.row_name, $A53,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0.44936180901260081</v>
      </c>
      <c r="AQ53" cm="1">
        <f t="array" ref="AQ53">_xlfn.LET(
    _xlpm.row_name, $A53,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0.56057983467487738</v>
      </c>
      <c r="AR53" cm="1">
        <f t="array" ref="AR53">_xlfn.LET(
    _xlpm.row_name, $A53,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0.70235261460654852</v>
      </c>
      <c r="AS53" cm="1">
        <f t="array" ref="AS53">_xlfn.LET(
    _xlpm.row_name, $A53,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0.48771621372046292</v>
      </c>
      <c r="AT53" cm="1">
        <f t="array" ref="AT53">_xlfn.LET(
    _xlpm.row_name, $A53,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0.30362532405725662</v>
      </c>
      <c r="AU53" cm="1">
        <f t="array" ref="AU53">_xlfn.LET(
    _xlpm.row_name, $A53,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0.36870362342160229</v>
      </c>
      <c r="AV53" cm="1">
        <f t="array" ref="AV53">_xlfn.LET(
    _xlpm.row_name, $A53,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0.43776001986145485</v>
      </c>
      <c r="AW53" cm="1">
        <f t="array" ref="AW53">_xlfn.LET(
    _xlpm.row_name, $A53,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0.22890652930739663</v>
      </c>
      <c r="AX53" cm="1">
        <f t="array" ref="AX53">_xlfn.LET(
    _xlpm.row_name, $A53,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0.80100862489266</v>
      </c>
      <c r="AY53" cm="1">
        <f t="array" ref="AY53">_xlfn.LET(
    _xlpm.row_name, $A53,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0.44340118502533593</v>
      </c>
      <c r="AZ53" cm="1">
        <f t="array" ref="AZ53">_xlfn.LET(
    _xlpm.row_name, $A53,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A53" cm="1">
        <f t="array" ref="BA53">_xlfn.LET(
    _xlpm.row_name, $A53,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5.6753071432281532E-2</v>
      </c>
      <c r="BB53" cm="1">
        <f t="array" ref="BB53">_xlfn.LET(
    _xlpm.row_name, $A53,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0.18237777114961429</v>
      </c>
      <c r="BC53" cm="1">
        <f t="array" ref="BC53">_xlfn.LET(
    _xlpm.row_name, $A53,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0.64202665805116055</v>
      </c>
      <c r="BD53" cm="1">
        <f t="array" ref="BD53">_xlfn.LET(
    _xlpm.row_name, $A53,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0.22848018158198063</v>
      </c>
      <c r="BE53" cm="1">
        <f t="array" ref="BE53">_xlfn.LET(
    _xlpm.row_name, $A53,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0.29342367775579248</v>
      </c>
      <c r="BF53" cm="1">
        <f t="array" ref="BF53">_xlfn.LET(
    _xlpm.row_name, $A53,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0.94719092026508722</v>
      </c>
      <c r="BG53" cm="1">
        <f t="array" ref="BG53">_xlfn.LET(
    _xlpm.row_name, $A53,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0.16996720227576328</v>
      </c>
      <c r="BH53" cm="1">
        <f t="array" ref="BH53">_xlfn.LET(
    _xlpm.row_name, $A53,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0.64849523472011517</v>
      </c>
      <c r="BI53" cm="1">
        <f t="array" ref="BI53">_xlfn.LET(
    _xlpm.row_name, $A53,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9.264314396257517E-2</v>
      </c>
      <c r="BJ53" cm="1">
        <f t="array" ref="BJ53">_xlfn.LET(
    _xlpm.row_name, $A53,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0.37708481191202442</v>
      </c>
      <c r="BK53" cm="1">
        <f t="array" ref="BK53">_xlfn.LET(
    _xlpm.row_name, $A53,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4.6025137475513567E-2</v>
      </c>
      <c r="BL53" cm="1">
        <f t="array" ref="BL53">_xlfn.LET(
    _xlpm.row_name, $A53,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0.86756404793866571</v>
      </c>
      <c r="BM53" cm="1">
        <f t="array" ref="BM53">_xlfn.LET(
    _xlpm.row_name, $A53,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0.64828304755784605</v>
      </c>
      <c r="BN53" cm="1">
        <f t="array" ref="BN53">_xlfn.LET(
    _xlpm.row_name, $A53,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0.31023660823215948</v>
      </c>
      <c r="BO53" cm="1">
        <f t="array" ref="BO53">_xlfn.LET(
    _xlpm.row_name, $A53,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0.76206191259617795</v>
      </c>
      <c r="BP53" cm="1">
        <f t="array" ref="BP53">_xlfn.LET(
    _xlpm.row_name, $A53,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0.31951498466420525</v>
      </c>
      <c r="BQ53" cm="1">
        <f t="array" ref="BQ53">_xlfn.LET(
    _xlpm.row_name, $A53,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0.62714652634322021</v>
      </c>
      <c r="BR53" cm="1">
        <f t="array" ref="BR53">_xlfn.LET(
    _xlpm.row_name, $A53,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0.209394600241186</v>
      </c>
      <c r="BS53" cm="1">
        <f t="array" ref="BS53">_xlfn.LET(
    _xlpm.row_name, $A53,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0.54164115798104939</v>
      </c>
      <c r="BT53" cm="1">
        <f t="array" ref="BT53">_xlfn.LET(
    _xlpm.row_name, $A53,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0.91058940715399883</v>
      </c>
      <c r="BU53" cm="1">
        <f t="array" ref="BU53">_xlfn.LET(
    _xlpm.row_name, $A53,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0.75601090661905734</v>
      </c>
      <c r="BV53" cm="1">
        <f t="array" ref="BV53">_xlfn.LET(
    _xlpm.row_name, $A53,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0.4747703486705766</v>
      </c>
    </row>
    <row r="54" spans="1:74" x14ac:dyDescent="0.3">
      <c r="A54" t="str">
        <v>Davidson, Tucker</v>
      </c>
      <c r="B54" cm="1">
        <f t="array" ref="B54">_xlfn.LET(
    _xlpm.row_name, $A54,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0.61731061952176636</v>
      </c>
      <c r="C54" cm="1">
        <f t="array" ref="C54">_xlfn.LET(
    _xlpm.row_name, $A54,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0.32516821005319735</v>
      </c>
      <c r="D54" cm="1">
        <f t="array" ref="D54">_xlfn.LET(
    _xlpm.row_name, $A54,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0.58045532447783676</v>
      </c>
      <c r="E54" cm="1">
        <f t="array" ref="E54">_xlfn.LET(
    _xlpm.row_name, $A54,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0.30119443727144218</v>
      </c>
      <c r="F54" cm="1">
        <f t="array" ref="F54">_xlfn.LET(
    _xlpm.row_name, $A54,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0.39684062833529116</v>
      </c>
      <c r="G54" cm="1">
        <f t="array" ref="G54">_xlfn.LET(
    _xlpm.row_name, $A54,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0.93640383686273299</v>
      </c>
      <c r="H54" cm="1">
        <f t="array" ref="H54">_xlfn.LET(
    _xlpm.row_name, $A54,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0.34151437104833537</v>
      </c>
      <c r="I54" cm="1">
        <f t="array" ref="I54">_xlfn.LET(
    _xlpm.row_name, $A54,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0.50247069365516284</v>
      </c>
      <c r="J54" cm="1">
        <f t="array" ref="J54">_xlfn.LET(
    _xlpm.row_name, $A54,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0.5360251068323687</v>
      </c>
      <c r="K54" cm="1">
        <f t="array" ref="K54">_xlfn.LET(
    _xlpm.row_name, $A54,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0.48148014595040656</v>
      </c>
      <c r="L54" cm="1">
        <f t="array" ref="L54">_xlfn.LET(
    _xlpm.row_name, $A54,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0.66738825233300947</v>
      </c>
      <c r="M54" cm="1">
        <f t="array" ref="M54">_xlfn.LET(
    _xlpm.row_name, $A54,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0.61478579337160866</v>
      </c>
      <c r="N54" cm="1">
        <f t="array" ref="N54">_xlfn.LET(
    _xlpm.row_name, $A54,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0.17828463553391877</v>
      </c>
      <c r="O54" cm="1">
        <f t="array" ref="O54">_xlfn.LET(
    _xlpm.row_name, $A54,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0.89134876291055454</v>
      </c>
      <c r="P54" cm="1">
        <f t="array" ref="P54">_xlfn.LET(
    _xlpm.row_name, $A54,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2.8408996422884747E-2</v>
      </c>
      <c r="Q54" cm="1">
        <f t="array" ref="Q54">_xlfn.LET(
    _xlpm.row_name, $A54,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0.31361278857146513</v>
      </c>
      <c r="R54" cm="1">
        <f t="array" ref="R54">_xlfn.LET(
    _xlpm.row_name, $A54,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0.27568831220004297</v>
      </c>
      <c r="S54" cm="1">
        <f t="array" ref="S54">_xlfn.LET(
    _xlpm.row_name, $A54,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0.27869171360817035</v>
      </c>
      <c r="T54" cm="1">
        <f t="array" ref="T54">_xlfn.LET(
    _xlpm.row_name, $A54,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0.10858700151732176</v>
      </c>
      <c r="U54" cm="1">
        <f t="array" ref="U54">_xlfn.LET(
    _xlpm.row_name, $A54,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0.87426983481100962</v>
      </c>
      <c r="V54" cm="1">
        <f t="array" ref="V54">_xlfn.LET(
    _xlpm.row_name, $A54,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0.81928916100959048</v>
      </c>
      <c r="W54" cm="1">
        <f t="array" ref="W54">_xlfn.LET(
    _xlpm.row_name, $A54,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5.7697090931032313E-2</v>
      </c>
      <c r="X54" cm="1">
        <f t="array" ref="X54">_xlfn.LET(
    _xlpm.row_name, $A54,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0.89332740270323074</v>
      </c>
      <c r="Y54" cm="1">
        <f t="array" ref="Y54">_xlfn.LET(
    _xlpm.row_name, $A54,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0.67301531061256847</v>
      </c>
      <c r="Z54" cm="1">
        <f t="array" ref="Z54">_xlfn.LET(
    _xlpm.row_name, $A54,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0.51706802478069991</v>
      </c>
      <c r="AA54" cm="1">
        <f t="array" ref="AA54">_xlfn.LET(
    _xlpm.row_name, $A54,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0.81516678595513481</v>
      </c>
      <c r="AB54" cm="1">
        <f t="array" ref="AB54">_xlfn.LET(
    _xlpm.row_name, $A54,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0.85244512743366418</v>
      </c>
      <c r="AC54" cm="1">
        <f t="array" ref="AC54">_xlfn.LET(
    _xlpm.row_name, $A54,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0.29354115691393423</v>
      </c>
      <c r="AD54" cm="1">
        <f t="array" ref="AD54">_xlfn.LET(
    _xlpm.row_name, $A54,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0.53718837097475314</v>
      </c>
      <c r="AE54" cm="1">
        <f t="array" ref="AE54">_xlfn.LET(
    _xlpm.row_name, $A54,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0.84062503733452898</v>
      </c>
      <c r="AF54" cm="1">
        <f t="array" ref="AF54">_xlfn.LET(
    _xlpm.row_name, $A54,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0.72677585178535931</v>
      </c>
      <c r="AG54" cm="1">
        <f t="array" ref="AG54">_xlfn.LET(
    _xlpm.row_name, $A54,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0.70272970987660499</v>
      </c>
      <c r="AH54" cm="1">
        <f t="array" ref="AH54">_xlfn.LET(
    _xlpm.row_name, $A54,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0.67320616984489079</v>
      </c>
      <c r="AI54" cm="1">
        <f t="array" ref="AI54">_xlfn.LET(
    _xlpm.row_name, $A54,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0.87565954438323856</v>
      </c>
      <c r="AJ54" cm="1">
        <f t="array" ref="AJ54">_xlfn.LET(
    _xlpm.row_name, $A54,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0.73396023002281086</v>
      </c>
      <c r="AK54" cm="1">
        <f t="array" ref="AK54">_xlfn.LET(
    _xlpm.row_name, $A54,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0.70805860804890586</v>
      </c>
      <c r="AL54" cm="1">
        <f t="array" ref="AL54">_xlfn.LET(
    _xlpm.row_name, $A54,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0.58412078830098835</v>
      </c>
      <c r="AM54" cm="1">
        <f t="array" ref="AM54">_xlfn.LET(
    _xlpm.row_name, $A54,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0.26505704031250155</v>
      </c>
      <c r="AN54" cm="1">
        <f t="array" ref="AN54">_xlfn.LET(
    _xlpm.row_name, $A54,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0.51790847790134287</v>
      </c>
      <c r="AO54" cm="1">
        <f t="array" ref="AO54">_xlfn.LET(
    _xlpm.row_name, $A54,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0.30759160296877941</v>
      </c>
      <c r="AP54" cm="1">
        <f t="array" ref="AP54">_xlfn.LET(
    _xlpm.row_name, $A54,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0.5610180888875318</v>
      </c>
      <c r="AQ54" cm="1">
        <f t="array" ref="AQ54">_xlfn.LET(
    _xlpm.row_name, $A54,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0.56425167483686645</v>
      </c>
      <c r="AR54" cm="1">
        <f t="array" ref="AR54">_xlfn.LET(
    _xlpm.row_name, $A54,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0.39358441992095994</v>
      </c>
      <c r="AS54" cm="1">
        <f t="array" ref="AS54">_xlfn.LET(
    _xlpm.row_name, $A54,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0.55314692566186752</v>
      </c>
      <c r="AT54" cm="1">
        <f t="array" ref="AT54">_xlfn.LET(
    _xlpm.row_name, $A54,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0.71541286757126465</v>
      </c>
      <c r="AU54" cm="1">
        <f t="array" ref="AU54">_xlfn.LET(
    _xlpm.row_name, $A54,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0.68797908044406986</v>
      </c>
      <c r="AV54" cm="1">
        <f t="array" ref="AV54">_xlfn.LET(
    _xlpm.row_name, $A54,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0.39546997776067883</v>
      </c>
      <c r="AW54" cm="1">
        <f t="array" ref="AW54">_xlfn.LET(
    _xlpm.row_name, $A54,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0.60802653406821616</v>
      </c>
      <c r="AX54" cm="1">
        <f t="array" ref="AX54">_xlfn.LET(
    _xlpm.row_name, $A54,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0.17247212268015438</v>
      </c>
      <c r="AY54" cm="1">
        <f t="array" ref="AY54">_xlfn.LET(
    _xlpm.row_name, $A54,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0.57221679951261262</v>
      </c>
      <c r="AZ54" cm="1">
        <f t="array" ref="AZ54">_xlfn.LET(
    _xlpm.row_name, $A54,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5.6753071432281532E-2</v>
      </c>
      <c r="BA54" cm="1">
        <f t="array" ref="BA54">_xlfn.LET(
    _xlpm.row_name, $A54,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B54" cm="1">
        <f t="array" ref="BB54">_xlfn.LET(
    _xlpm.row_name, $A54,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0.60581089830597645</v>
      </c>
      <c r="BC54" cm="1">
        <f t="array" ref="BC54">_xlfn.LET(
    _xlpm.row_name, $A54,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0.30108960867511586</v>
      </c>
      <c r="BD54" cm="1">
        <f t="array" ref="BD54">_xlfn.LET(
    _xlpm.row_name, $A54,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0.90767656117079876</v>
      </c>
      <c r="BE54" cm="1">
        <f t="array" ref="BE54">_xlfn.LET(
    _xlpm.row_name, $A54,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0.56503454715988988</v>
      </c>
      <c r="BF54" cm="1">
        <f t="array" ref="BF54">_xlfn.LET(
    _xlpm.row_name, $A54,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9.3330608144672811E-2</v>
      </c>
      <c r="BG54" cm="1">
        <f t="array" ref="BG54">_xlfn.LET(
    _xlpm.row_name, $A54,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0.91873867704527501</v>
      </c>
      <c r="BH54" cm="1">
        <f t="array" ref="BH54">_xlfn.LET(
    _xlpm.row_name, $A54,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0.42429112688840703</v>
      </c>
      <c r="BI54" cm="1">
        <f t="array" ref="BI54">_xlfn.LET(
    _xlpm.row_name, $A54,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0.7824656285648881</v>
      </c>
      <c r="BJ54" cm="1">
        <f t="array" ref="BJ54">_xlfn.LET(
    _xlpm.row_name, $A54,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0.67282084990169855</v>
      </c>
      <c r="BK54" cm="1">
        <f t="array" ref="BK54">_xlfn.LET(
    _xlpm.row_name, $A54,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0.85715715638187007</v>
      </c>
      <c r="BL54" cm="1">
        <f t="array" ref="BL54">_xlfn.LET(
    _xlpm.row_name, $A54,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0.31343433731099757</v>
      </c>
      <c r="BM54" cm="1">
        <f t="array" ref="BM54">_xlfn.LET(
    _xlpm.row_name, $A54,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0.2982308856834861</v>
      </c>
      <c r="BN54" cm="1">
        <f t="array" ref="BN54">_xlfn.LET(
    _xlpm.row_name, $A54,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0.47651982315052099</v>
      </c>
      <c r="BO54" cm="1">
        <f t="array" ref="BO54">_xlfn.LET(
    _xlpm.row_name, $A54,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0.31323380374367293</v>
      </c>
      <c r="BP54" cm="1">
        <f t="array" ref="BP54">_xlfn.LET(
    _xlpm.row_name, $A54,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0.79820717477517023</v>
      </c>
      <c r="BQ54" cm="1">
        <f t="array" ref="BQ54">_xlfn.LET(
    _xlpm.row_name, $A54,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0.27312324820092848</v>
      </c>
      <c r="BR54" cm="1">
        <f t="array" ref="BR54">_xlfn.LET(
    _xlpm.row_name, $A54,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0.59885111210212782</v>
      </c>
      <c r="BS54" cm="1">
        <f t="array" ref="BS54">_xlfn.LET(
    _xlpm.row_name, $A54,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0.56156994261856841</v>
      </c>
      <c r="BT54" cm="1">
        <f t="array" ref="BT54">_xlfn.LET(
    _xlpm.row_name, $A54,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0.18123750543111766</v>
      </c>
      <c r="BU54" cm="1">
        <f t="array" ref="BU54">_xlfn.LET(
    _xlpm.row_name, $A54,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0.46363428668229789</v>
      </c>
      <c r="BV54" cm="1">
        <f t="array" ref="BV54">_xlfn.LET(
    _xlpm.row_name, $A54,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0.53257039386706351</v>
      </c>
    </row>
    <row r="55" spans="1:74" x14ac:dyDescent="0.3">
      <c r="A55" t="str">
        <v>Santana, Edgar</v>
      </c>
      <c r="B55" cm="1">
        <f t="array" ref="B55">_xlfn.LET(
    _xlpm.row_name, $A55,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0.99458195273118322</v>
      </c>
      <c r="C55" cm="1">
        <f t="array" ref="C55">_xlfn.LET(
    _xlpm.row_name, $A55,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0.80931237135741285</v>
      </c>
      <c r="D55" cm="1">
        <f t="array" ref="D55">_xlfn.LET(
    _xlpm.row_name, $A55,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0.18686289314247378</v>
      </c>
      <c r="E55" cm="1">
        <f t="array" ref="E55">_xlfn.LET(
    _xlpm.row_name, $A55,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0.70658646794614566</v>
      </c>
      <c r="F55" cm="1">
        <f t="array" ref="F55">_xlfn.LET(
    _xlpm.row_name, $A55,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0.58242937812511797</v>
      </c>
      <c r="G55" cm="1">
        <f t="array" ref="G55">_xlfn.LET(
    _xlpm.row_name, $A55,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0.45951264834918343</v>
      </c>
      <c r="H55" cm="1">
        <f t="array" ref="H55">_xlfn.LET(
    _xlpm.row_name, $A55,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0.60942870695232509</v>
      </c>
      <c r="I55" cm="1">
        <f t="array" ref="I55">_xlfn.LET(
    _xlpm.row_name, $A55,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0.74717180874256739</v>
      </c>
      <c r="J55" cm="1">
        <f t="array" ref="J55">_xlfn.LET(
    _xlpm.row_name, $A55,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0.49727774372013139</v>
      </c>
      <c r="K55" cm="1">
        <f t="array" ref="K55">_xlfn.LET(
    _xlpm.row_name, $A55,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0.82467181051136307</v>
      </c>
      <c r="L55" cm="1">
        <f t="array" ref="L55">_xlfn.LET(
    _xlpm.row_name, $A55,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0.875317593068345</v>
      </c>
      <c r="M55" cm="1">
        <f t="array" ref="M55">_xlfn.LET(
    _xlpm.row_name, $A55,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0.54303482475849341</v>
      </c>
      <c r="N55" cm="1">
        <f t="array" ref="N55">_xlfn.LET(
    _xlpm.row_name, $A55,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0.19110880470873837</v>
      </c>
      <c r="O55" cm="1">
        <f t="array" ref="O55">_xlfn.LET(
    _xlpm.row_name, $A55,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0.37490070697271416</v>
      </c>
      <c r="P55" cm="1">
        <f t="array" ref="P55">_xlfn.LET(
    _xlpm.row_name, $A55,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0.28922773020704484</v>
      </c>
      <c r="Q55" cm="1">
        <f t="array" ref="Q55">_xlfn.LET(
    _xlpm.row_name, $A55,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0.57906580272947161</v>
      </c>
      <c r="R55" cm="1">
        <f t="array" ref="R55">_xlfn.LET(
    _xlpm.row_name, $A55,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0.36976819622648421</v>
      </c>
      <c r="S55" cm="1">
        <f t="array" ref="S55">_xlfn.LET(
    _xlpm.row_name, $A55,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0.4771801096635096</v>
      </c>
      <c r="T55" cm="1">
        <f t="array" ref="T55">_xlfn.LET(
    _xlpm.row_name, $A55,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0.16982536463165149</v>
      </c>
      <c r="U55" cm="1">
        <f t="array" ref="U55">_xlfn.LET(
    _xlpm.row_name, $A55,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0.40002247116681205</v>
      </c>
      <c r="V55" cm="1">
        <f t="array" ref="V55">_xlfn.LET(
    _xlpm.row_name, $A55,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0.73878025756622667</v>
      </c>
      <c r="W55" cm="1">
        <f t="array" ref="W55">_xlfn.LET(
    _xlpm.row_name, $A55,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0.38831363952995079</v>
      </c>
      <c r="X55" cm="1">
        <f t="array" ref="X55">_xlfn.LET(
    _xlpm.row_name, $A55,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0.48001868363470834</v>
      </c>
      <c r="Y55" cm="1">
        <f t="array" ref="Y55">_xlfn.LET(
    _xlpm.row_name, $A55,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0.81769251404204835</v>
      </c>
      <c r="Z55" cm="1">
        <f t="array" ref="Z55">_xlfn.LET(
    _xlpm.row_name, $A55,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0.17185319556682399</v>
      </c>
      <c r="AA55" cm="1">
        <f t="array" ref="AA55">_xlfn.LET(
    _xlpm.row_name, $A55,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0.29868314586549727</v>
      </c>
      <c r="AB55" cm="1">
        <f t="array" ref="AB55">_xlfn.LET(
    _xlpm.row_name, $A55,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0.65582085784575794</v>
      </c>
      <c r="AC55" cm="1">
        <f t="array" ref="AC55">_xlfn.LET(
    _xlpm.row_name, $A55,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0.85817781304782348</v>
      </c>
      <c r="AD55" cm="1">
        <f t="array" ref="AD55">_xlfn.LET(
    _xlpm.row_name, $A55,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0.77366671746297389</v>
      </c>
      <c r="AE55" cm="1">
        <f t="array" ref="AE55">_xlfn.LET(
    _xlpm.row_name, $A55,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0.34508169396256227</v>
      </c>
      <c r="AF55" cm="1">
        <f t="array" ref="AF55">_xlfn.LET(
    _xlpm.row_name, $A55,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0.70364303094425695</v>
      </c>
      <c r="AG55" cm="1">
        <f t="array" ref="AG55">_xlfn.LET(
    _xlpm.row_name, $A55,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0.72036424631491613</v>
      </c>
      <c r="AH55" cm="1">
        <f t="array" ref="AH55">_xlfn.LET(
    _xlpm.row_name, $A55,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0.5454725638642538</v>
      </c>
      <c r="AI55" cm="1">
        <f t="array" ref="AI55">_xlfn.LET(
    _xlpm.row_name, $A55,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0.76129648014490137</v>
      </c>
      <c r="AJ55" cm="1">
        <f t="array" ref="AJ55">_xlfn.LET(
    _xlpm.row_name, $A55,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0.25679966229958212</v>
      </c>
      <c r="AK55" cm="1">
        <f t="array" ref="AK55">_xlfn.LET(
    _xlpm.row_name, $A55,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0.77345464633443273</v>
      </c>
      <c r="AL55" cm="1">
        <f t="array" ref="AL55">_xlfn.LET(
    _xlpm.row_name, $A55,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0.27573449143219486</v>
      </c>
      <c r="AM55" cm="1">
        <f t="array" ref="AM55">_xlfn.LET(
    _xlpm.row_name, $A55,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0.65519450413028413</v>
      </c>
      <c r="AN55" cm="1">
        <f t="array" ref="AN55">_xlfn.LET(
    _xlpm.row_name, $A55,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0.29803627720617198</v>
      </c>
      <c r="AO55" cm="1">
        <f t="array" ref="AO55">_xlfn.LET(
    _xlpm.row_name, $A55,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5.1318375750635969E-2</v>
      </c>
      <c r="AP55" cm="1">
        <f t="array" ref="AP55">_xlfn.LET(
    _xlpm.row_name, $A55,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0.43845688587271331</v>
      </c>
      <c r="AQ55" cm="1">
        <f t="array" ref="AQ55">_xlfn.LET(
    _xlpm.row_name, $A55,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0.28887206434024915</v>
      </c>
      <c r="AR55" cm="1">
        <f t="array" ref="AR55">_xlfn.LET(
    _xlpm.row_name, $A55,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0.26521288151753997</v>
      </c>
      <c r="AS55" cm="1">
        <f t="array" ref="AS55">_xlfn.LET(
    _xlpm.row_name, $A55,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0.45775581144080268</v>
      </c>
      <c r="AT55" cm="1">
        <f t="array" ref="AT55">_xlfn.LET(
    _xlpm.row_name, $A55,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0.55553126723273394</v>
      </c>
      <c r="AU55" cm="1">
        <f t="array" ref="AU55">_xlfn.LET(
    _xlpm.row_name, $A55,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0.45438841018946924</v>
      </c>
      <c r="AV55" cm="1">
        <f t="array" ref="AV55">_xlfn.LET(
    _xlpm.row_name, $A55,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0.8385345234693109</v>
      </c>
      <c r="AW55" cm="1">
        <f t="array" ref="AW55">_xlfn.LET(
    _xlpm.row_name, $A55,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0.91518323925156375</v>
      </c>
      <c r="AX55" cm="1">
        <f t="array" ref="AX55">_xlfn.LET(
    _xlpm.row_name, $A55,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0.39781679382856561</v>
      </c>
      <c r="AY55" cm="1">
        <f t="array" ref="AY55">_xlfn.LET(
    _xlpm.row_name, $A55,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0.51883337408446861</v>
      </c>
      <c r="AZ55" cm="1">
        <f t="array" ref="AZ55">_xlfn.LET(
    _xlpm.row_name, $A55,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0.18237777114961429</v>
      </c>
      <c r="BA55" cm="1">
        <f t="array" ref="BA55">_xlfn.LET(
    _xlpm.row_name, $A55,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0.60581089830597645</v>
      </c>
      <c r="BB55" cm="1">
        <f t="array" ref="BB55">_xlfn.LET(
    _xlpm.row_name, $A55,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C55" cm="1">
        <f t="array" ref="BC55">_xlfn.LET(
    _xlpm.row_name, $A55,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0.54768845815624401</v>
      </c>
      <c r="BD55" cm="1">
        <f t="array" ref="BD55">_xlfn.LET(
    _xlpm.row_name, $A55,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0.3695386023050824</v>
      </c>
      <c r="BE55" cm="1">
        <f t="array" ref="BE55">_xlfn.LET(
    _xlpm.row_name, $A55,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0.7867513549459958</v>
      </c>
      <c r="BF55" cm="1">
        <f t="array" ref="BF55">_xlfn.LET(
    _xlpm.row_name, $A55,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0.24104099172614291</v>
      </c>
      <c r="BG55" cm="1">
        <f t="array" ref="BG55">_xlfn.LET(
    _xlpm.row_name, $A55,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0.51792079653566636</v>
      </c>
      <c r="BH55" cm="1">
        <f t="array" ref="BH55">_xlfn.LET(
    _xlpm.row_name, $A55,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0.34640547707387925</v>
      </c>
      <c r="BI55" cm="1">
        <f t="array" ref="BI55">_xlfn.LET(
    _xlpm.row_name, $A55,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0.88965891887940107</v>
      </c>
      <c r="BJ55" cm="1">
        <f t="array" ref="BJ55">_xlfn.LET(
    _xlpm.row_name, $A55,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0.51016518451120374</v>
      </c>
      <c r="BK55" cm="1">
        <f t="array" ref="BK55">_xlfn.LET(
    _xlpm.row_name, $A55,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0.88617546866003982</v>
      </c>
      <c r="BL55" cm="1">
        <f t="array" ref="BL55">_xlfn.LET(
    _xlpm.row_name, $A55,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1.8864795837100212E-2</v>
      </c>
      <c r="BM55" cm="1">
        <f t="array" ref="BM55">_xlfn.LET(
    _xlpm.row_name, $A55,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0.50188838880086351</v>
      </c>
      <c r="BN55" cm="1">
        <f t="array" ref="BN55">_xlfn.LET(
    _xlpm.row_name, $A55,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0.93817294076168833</v>
      </c>
      <c r="BO55" cm="1">
        <f t="array" ref="BO55">_xlfn.LET(
    _xlpm.row_name, $A55,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0.24039035671913983</v>
      </c>
      <c r="BP55" cm="1">
        <f t="array" ref="BP55">_xlfn.LET(
    _xlpm.row_name, $A55,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0.36058421523049877</v>
      </c>
      <c r="BQ55" cm="1">
        <f t="array" ref="BQ55">_xlfn.LET(
    _xlpm.row_name, $A55,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0.66339721599095114</v>
      </c>
      <c r="BR55" cm="1">
        <f t="array" ref="BR55">_xlfn.LET(
    _xlpm.row_name, $A55,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0.95499868486420381</v>
      </c>
      <c r="BS55" cm="1">
        <f t="array" ref="BS55">_xlfn.LET(
    _xlpm.row_name, $A55,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0.25371822719421211</v>
      </c>
      <c r="BT55" cm="1">
        <f t="array" ref="BT55">_xlfn.LET(
    _xlpm.row_name, $A55,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0.15060229390195273</v>
      </c>
      <c r="BU55" cm="1">
        <f t="array" ref="BU55">_xlfn.LET(
    _xlpm.row_name, $A55,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3.0559354639945302E-2</v>
      </c>
      <c r="BV55" cm="1">
        <f t="array" ref="BV55">_xlfn.LET(
    _xlpm.row_name, $A55,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0.53742785909292701</v>
      </c>
    </row>
    <row r="56" spans="1:74" x14ac:dyDescent="0.3">
      <c r="A56" t="str">
        <v>Vines, Darius</v>
      </c>
      <c r="B56" cm="1">
        <f t="array" ref="B56">_xlfn.LET(
    _xlpm.row_name, $A56,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0.54739926900960367</v>
      </c>
      <c r="C56" cm="1">
        <f t="array" ref="C56">_xlfn.LET(
    _xlpm.row_name, $A56,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0.61859161617967895</v>
      </c>
      <c r="D56" cm="1">
        <f t="array" ref="D56">_xlfn.LET(
    _xlpm.row_name, $A56,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9.4161811048282362E-2</v>
      </c>
      <c r="E56" cm="1">
        <f t="array" ref="E56">_xlfn.LET(
    _xlpm.row_name, $A56,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0.96260208201753872</v>
      </c>
      <c r="F56" cm="1">
        <f t="array" ref="F56">_xlfn.LET(
    _xlpm.row_name, $A56,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0.5917995531074387</v>
      </c>
      <c r="G56" cm="1">
        <f t="array" ref="G56">_xlfn.LET(
    _xlpm.row_name, $A56,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0.23460533994861754</v>
      </c>
      <c r="H56" cm="1">
        <f t="array" ref="H56">_xlfn.LET(
    _xlpm.row_name, $A56,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0.39338378911213256</v>
      </c>
      <c r="I56" cm="1">
        <f t="array" ref="I56">_xlfn.LET(
    _xlpm.row_name, $A56,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0.20277348697209951</v>
      </c>
      <c r="J56" cm="1">
        <f t="array" ref="J56">_xlfn.LET(
    _xlpm.row_name, $A56,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0.16642114457272672</v>
      </c>
      <c r="K56" cm="1">
        <f t="array" ref="K56">_xlfn.LET(
    _xlpm.row_name, $A56,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0.71341234010109333</v>
      </c>
      <c r="L56" cm="1">
        <f t="array" ref="L56">_xlfn.LET(
    _xlpm.row_name, $A56,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0.73364946467660319</v>
      </c>
      <c r="M56" cm="1">
        <f t="array" ref="M56">_xlfn.LET(
    _xlpm.row_name, $A56,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0.10854289712306142</v>
      </c>
      <c r="N56" cm="1">
        <f t="array" ref="N56">_xlfn.LET(
    _xlpm.row_name, $A56,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0.56676120796636797</v>
      </c>
      <c r="O56" cm="1">
        <f t="array" ref="O56">_xlfn.LET(
    _xlpm.row_name, $A56,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0.37828736733199264</v>
      </c>
      <c r="P56" cm="1">
        <f t="array" ref="P56">_xlfn.LET(
    _xlpm.row_name, $A56,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0.59999110157920676</v>
      </c>
      <c r="Q56" cm="1">
        <f t="array" ref="Q56">_xlfn.LET(
    _xlpm.row_name, $A56,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0.96665532822758404</v>
      </c>
      <c r="R56" cm="1">
        <f t="array" ref="R56">_xlfn.LET(
    _xlpm.row_name, $A56,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0.39300353646883612</v>
      </c>
      <c r="S56" cm="1">
        <f t="array" ref="S56">_xlfn.LET(
    _xlpm.row_name, $A56,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0.52106590391392715</v>
      </c>
      <c r="T56" cm="1">
        <f t="array" ref="T56">_xlfn.LET(
    _xlpm.row_name, $A56,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0.49387522647043525</v>
      </c>
      <c r="U56" cm="1">
        <f t="array" ref="U56">_xlfn.LET(
    _xlpm.row_name, $A56,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0.18069825208435375</v>
      </c>
      <c r="V56" cm="1">
        <f t="array" ref="V56">_xlfn.LET(
    _xlpm.row_name, $A56,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0.70943306070145495</v>
      </c>
      <c r="W56" cm="1">
        <f t="array" ref="W56">_xlfn.LET(
    _xlpm.row_name, $A56,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0.8675901157806164</v>
      </c>
      <c r="X56" cm="1">
        <f t="array" ref="X56">_xlfn.LET(
    _xlpm.row_name, $A56,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0.17879809870038033</v>
      </c>
      <c r="Y56" cm="1">
        <f t="array" ref="Y56">_xlfn.LET(
    _xlpm.row_name, $A56,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0.24510608000357276</v>
      </c>
      <c r="Z56" cm="1">
        <f t="array" ref="Z56">_xlfn.LET(
    _xlpm.row_name, $A56,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0.11138269774908327</v>
      </c>
      <c r="AA56" cm="1">
        <f t="array" ref="AA56">_xlfn.LET(
    _xlpm.row_name, $A56,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0.38058607298715674</v>
      </c>
      <c r="AB56" cm="1">
        <f t="array" ref="AB56">_xlfn.LET(
    _xlpm.row_name, $A56,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0.10329108961374861</v>
      </c>
      <c r="AC56" cm="1">
        <f t="array" ref="AC56">_xlfn.LET(
    _xlpm.row_name, $A56,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0.79222332004387885</v>
      </c>
      <c r="AD56" cm="1">
        <f t="array" ref="AD56">_xlfn.LET(
    _xlpm.row_name, $A56,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0.27709530541493466</v>
      </c>
      <c r="AE56" cm="1">
        <f t="array" ref="AE56">_xlfn.LET(
    _xlpm.row_name, $A56,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0.12633240748489533</v>
      </c>
      <c r="AF56" cm="1">
        <f t="array" ref="AF56">_xlfn.LET(
    _xlpm.row_name, $A56,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0.65260842141481512</v>
      </c>
      <c r="AG56" cm="1">
        <f t="array" ref="AG56">_xlfn.LET(
    _xlpm.row_name, $A56,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0.50359201497492156</v>
      </c>
      <c r="AH56" cm="1">
        <f t="array" ref="AH56">_xlfn.LET(
    _xlpm.row_name, $A56,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0.21522535504387447</v>
      </c>
      <c r="AI56" cm="1">
        <f t="array" ref="AI56">_xlfn.LET(
    _xlpm.row_name, $A56,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0.33296691901136932</v>
      </c>
      <c r="AJ56" cm="1">
        <f t="array" ref="AJ56">_xlfn.LET(
    _xlpm.row_name, $A56,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0.14657137628181338</v>
      </c>
      <c r="AK56" cm="1">
        <f t="array" ref="AK56">_xlfn.LET(
    _xlpm.row_name, $A56,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0.73639308681065829</v>
      </c>
      <c r="AL56" cm="1">
        <f t="array" ref="AL56">_xlfn.LET(
    _xlpm.row_name, $A56,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5.0379435219942259E-2</v>
      </c>
      <c r="AM56" cm="1">
        <f t="array" ref="AM56">_xlfn.LET(
    _xlpm.row_name, $A56,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0.95221379409472195</v>
      </c>
      <c r="AN56" cm="1">
        <f t="array" ref="AN56">_xlfn.LET(
    _xlpm.row_name, $A56,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0.22267756534748678</v>
      </c>
      <c r="AO56" cm="1">
        <f t="array" ref="AO56">_xlfn.LET(
    _xlpm.row_name, $A56,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0.48629765752676796</v>
      </c>
      <c r="AP56" cm="1">
        <f t="array" ref="AP56">_xlfn.LET(
    _xlpm.row_name, $A56,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0.24998620951534339</v>
      </c>
      <c r="AQ56" cm="1">
        <f t="array" ref="AQ56">_xlfn.LET(
    _xlpm.row_name, $A56,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0.66472146902078777</v>
      </c>
      <c r="AR56" cm="1">
        <f t="array" ref="AR56">_xlfn.LET(
    _xlpm.row_name, $A56,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0.41031141530507292</v>
      </c>
      <c r="AS56" cm="1">
        <f t="array" ref="AS56">_xlfn.LET(
    _xlpm.row_name, $A56,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0.61419601547895242</v>
      </c>
      <c r="AT56" cm="1">
        <f t="array" ref="AT56">_xlfn.LET(
    _xlpm.row_name, $A56,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0.77312125491070227</v>
      </c>
      <c r="AU56" cm="1">
        <f t="array" ref="AU56">_xlfn.LET(
    _xlpm.row_name, $A56,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6.3254844318108128E-2</v>
      </c>
      <c r="AV56" cm="1">
        <f t="array" ref="AV56">_xlfn.LET(
    _xlpm.row_name, $A56,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0.79112501167289095</v>
      </c>
      <c r="AW56" cm="1">
        <f t="array" ref="AW56">_xlfn.LET(
    _xlpm.row_name, $A56,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0.6636945526890321</v>
      </c>
      <c r="AX56" cm="1">
        <f t="array" ref="AX56">_xlfn.LET(
    _xlpm.row_name, $A56,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0.79043485313790762</v>
      </c>
      <c r="AY56" cm="1">
        <f t="array" ref="AY56">_xlfn.LET(
    _xlpm.row_name, $A56,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0.27859426064989562</v>
      </c>
      <c r="AZ56" cm="1">
        <f t="array" ref="AZ56">_xlfn.LET(
    _xlpm.row_name, $A56,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0.64202665805116055</v>
      </c>
      <c r="BA56" cm="1">
        <f t="array" ref="BA56">_xlfn.LET(
    _xlpm.row_name, $A56,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0.30108960867511586</v>
      </c>
      <c r="BB56" cm="1">
        <f t="array" ref="BB56">_xlfn.LET(
    _xlpm.row_name, $A56,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0.54768845815624401</v>
      </c>
      <c r="BC56" cm="1">
        <f t="array" ref="BC56">_xlfn.LET(
    _xlpm.row_name, $A56,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D56" cm="1">
        <f t="array" ref="BD56">_xlfn.LET(
    _xlpm.row_name, $A56,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0.26740977300339519</v>
      </c>
      <c r="BE56" cm="1">
        <f t="array" ref="BE56">_xlfn.LET(
    _xlpm.row_name, $A56,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0.66981131908948432</v>
      </c>
      <c r="BF56" cm="1">
        <f t="array" ref="BF56">_xlfn.LET(
    _xlpm.row_name, $A56,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0.47621958571782191</v>
      </c>
      <c r="BG56" cm="1">
        <f t="array" ref="BG56">_xlfn.LET(
    _xlpm.row_name, $A56,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0.44008925026127876</v>
      </c>
      <c r="BH56" cm="1">
        <f t="array" ref="BH56">_xlfn.LET(
    _xlpm.row_name, $A56,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0.8988750890770234</v>
      </c>
      <c r="BI56" cm="1">
        <f t="array" ref="BI56">_xlfn.LET(
    _xlpm.row_name, $A56,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0.42227720409178526</v>
      </c>
      <c r="BJ56" cm="1">
        <f t="array" ref="BJ56">_xlfn.LET(
    _xlpm.row_name, $A56,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0.20757588460918397</v>
      </c>
      <c r="BK56" cm="1">
        <f t="array" ref="BK56">_xlfn.LET(
    _xlpm.row_name, $A56,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0.41096451504773179</v>
      </c>
      <c r="BL56" cm="1">
        <f t="array" ref="BL56">_xlfn.LET(
    _xlpm.row_name, $A56,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0.40864860170354761</v>
      </c>
      <c r="BM56" cm="1">
        <f t="array" ref="BM56">_xlfn.LET(
    _xlpm.row_name, $A56,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0.79699072106591551</v>
      </c>
      <c r="BN56" cm="1">
        <f t="array" ref="BN56">_xlfn.LET(
    _xlpm.row_name, $A56,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0.46274412780745078</v>
      </c>
      <c r="BO56" cm="1">
        <f t="array" ref="BO56">_xlfn.LET(
    _xlpm.row_name, $A56,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0.55988956630573194</v>
      </c>
      <c r="BP56" cm="1">
        <f t="array" ref="BP56">_xlfn.LET(
    _xlpm.row_name, $A56,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5.8241039108542669E-2</v>
      </c>
      <c r="BQ56" cm="1">
        <f t="array" ref="BQ56">_xlfn.LET(
    _xlpm.row_name, $A56,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0.6937810026272716</v>
      </c>
      <c r="BR56" cm="1">
        <f t="array" ref="BR56">_xlfn.LET(
    _xlpm.row_name, $A56,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0.72009623963686031</v>
      </c>
      <c r="BS56" cm="1">
        <f t="array" ref="BS56">_xlfn.LET(
    _xlpm.row_name, $A56,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0.21619426641254585</v>
      </c>
      <c r="BT56" cm="1">
        <f t="array" ref="BT56">_xlfn.LET(
    _xlpm.row_name, $A56,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0.35197070262180896</v>
      </c>
      <c r="BU56" cm="1">
        <f t="array" ref="BU56">_xlfn.LET(
    _xlpm.row_name, $A56,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0.35965370219719406</v>
      </c>
      <c r="BV56" cm="1">
        <f t="array" ref="BV56">_xlfn.LET(
    _xlpm.row_name, $A56,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0.86342286198111551</v>
      </c>
    </row>
    <row r="57" spans="1:74" x14ac:dyDescent="0.3">
      <c r="A57" t="str">
        <v>Anderson, Nick</v>
      </c>
      <c r="B57" cm="1">
        <f t="array" ref="B57">_xlfn.LET(
    _xlpm.row_name, $A57,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0.35716718365008865</v>
      </c>
      <c r="C57" cm="1">
        <f t="array" ref="C57">_xlfn.LET(
    _xlpm.row_name, $A57,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0.19051820835029659</v>
      </c>
      <c r="D57" cm="1">
        <f t="array" ref="D57">_xlfn.LET(
    _xlpm.row_name, $A57,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0.77087986840704403</v>
      </c>
      <c r="E57" cm="1">
        <f t="array" ref="E57">_xlfn.LET(
    _xlpm.row_name, $A57,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0.22347589904551773</v>
      </c>
      <c r="F57" cm="1">
        <f t="array" ref="F57">_xlfn.LET(
    _xlpm.row_name, $A57,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0.51703710852151397</v>
      </c>
      <c r="G57" cm="1">
        <f t="array" ref="G57">_xlfn.LET(
    _xlpm.row_name, $A57,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0.9900065058824985</v>
      </c>
      <c r="H57" cm="1">
        <f t="array" ref="H57">_xlfn.LET(
    _xlpm.row_name, $A57,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0.18098467415201658</v>
      </c>
      <c r="I57" cm="1">
        <f t="array" ref="I57">_xlfn.LET(
    _xlpm.row_name, $A57,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0.35936301950488586</v>
      </c>
      <c r="J57" cm="1">
        <f t="array" ref="J57">_xlfn.LET(
    _xlpm.row_name, $A57,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0.67468143456845597</v>
      </c>
      <c r="K57" cm="1">
        <f t="array" ref="K57">_xlfn.LET(
    _xlpm.row_name, $A57,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0.25349344372619392</v>
      </c>
      <c r="L57" cm="1">
        <f t="array" ref="L57">_xlfn.LET(
    _xlpm.row_name, $A57,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0.47871675938343</v>
      </c>
      <c r="M57" cm="1">
        <f t="array" ref="M57">_xlfn.LET(
    _xlpm.row_name, $A57,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0.54129988981812471</v>
      </c>
      <c r="N57" cm="1">
        <f t="array" ref="N57">_xlfn.LET(
    _xlpm.row_name, $A57,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0.45443592203245486</v>
      </c>
      <c r="O57" cm="1">
        <f t="array" ref="O57">_xlfn.LET(
    _xlpm.row_name, $A57,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0.89344284536879082</v>
      </c>
      <c r="P57" cm="1">
        <f t="array" ref="P57">_xlfn.LET(
    _xlpm.row_name, $A57,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0.19475500787875821</v>
      </c>
      <c r="Q57" cm="1">
        <f t="array" ref="Q57">_xlfn.LET(
    _xlpm.row_name, $A57,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0.20506783278043977</v>
      </c>
      <c r="R57" cm="1">
        <f t="array" ref="R57">_xlfn.LET(
    _xlpm.row_name, $A57,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0.2252713032238452</v>
      </c>
      <c r="S57" cm="1">
        <f t="array" ref="S57">_xlfn.LET(
    _xlpm.row_name, $A57,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0.19515354950554026</v>
      </c>
      <c r="T57" cm="1">
        <f t="array" ref="T57">_xlfn.LET(
    _xlpm.row_name, $A57,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0.26071625046073266</v>
      </c>
      <c r="U57" cm="1">
        <f t="array" ref="U57">_xlfn.LET(
    _xlpm.row_name, $A57,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0.97479700489162846</v>
      </c>
      <c r="V57" cm="1">
        <f t="array" ref="V57">_xlfn.LET(
    _xlpm.row_name, $A57,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0.65044192836439751</v>
      </c>
      <c r="W57" cm="1">
        <f t="array" ref="W57">_xlfn.LET(
    _xlpm.row_name, $A57,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0.10880848880442046</v>
      </c>
      <c r="X57" cm="1">
        <f t="array" ref="X57">_xlfn.LET(
    _xlpm.row_name, $A57,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0.90076704247867534</v>
      </c>
      <c r="Y57" cm="1">
        <f t="array" ref="Y57">_xlfn.LET(
    _xlpm.row_name, $A57,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0.5502807297433383</v>
      </c>
      <c r="Z57" cm="1">
        <f t="array" ref="Z57">_xlfn.LET(
    _xlpm.row_name, $A57,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0.66007314602481504</v>
      </c>
      <c r="AA57" cm="1">
        <f t="array" ref="AA57">_xlfn.LET(
    _xlpm.row_name, $A57,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0.86353968267239645</v>
      </c>
      <c r="AB57" cm="1">
        <f t="array" ref="AB57">_xlfn.LET(
    _xlpm.row_name, $A57,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0.75027224454410357</v>
      </c>
      <c r="AC57" cm="1">
        <f t="array" ref="AC57">_xlfn.LET(
    _xlpm.row_name, $A57,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0.14517261839550649</v>
      </c>
      <c r="AD57" cm="1">
        <f t="array" ref="AD57">_xlfn.LET(
    _xlpm.row_name, $A57,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0.31918723854283554</v>
      </c>
      <c r="AE57" cm="1">
        <f t="array" ref="AE57">_xlfn.LET(
    _xlpm.row_name, $A57,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0.95295343690702872</v>
      </c>
      <c r="AF57" cm="1">
        <f t="array" ref="AF57">_xlfn.LET(
    _xlpm.row_name, $A57,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0.68554476100973583</v>
      </c>
      <c r="AG57" cm="1">
        <f t="array" ref="AG57">_xlfn.LET(
    _xlpm.row_name, $A57,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0.7091653780796493</v>
      </c>
      <c r="AH57" cm="1">
        <f t="array" ref="AH57">_xlfn.LET(
    _xlpm.row_name, $A57,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0.5136403387999855</v>
      </c>
      <c r="AI57" cm="1">
        <f t="array" ref="AI57">_xlfn.LET(
    _xlpm.row_name, $A57,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0.77127183297635882</v>
      </c>
      <c r="AJ57" cm="1">
        <f t="array" ref="AJ57">_xlfn.LET(
    _xlpm.row_name, $A57,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0.78271160855410593</v>
      </c>
      <c r="AK57" cm="1">
        <f t="array" ref="AK57">_xlfn.LET(
    _xlpm.row_name, $A57,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0.57683792528672229</v>
      </c>
      <c r="AL57" cm="1">
        <f t="array" ref="AL57">_xlfn.LET(
    _xlpm.row_name, $A57,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0.67515255913276229</v>
      </c>
      <c r="AM57" cm="1">
        <f t="array" ref="AM57">_xlfn.LET(
    _xlpm.row_name, $A57,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0.18182171013392823</v>
      </c>
      <c r="AN57" cm="1">
        <f t="array" ref="AN57">_xlfn.LET(
    _xlpm.row_name, $A57,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0.51609421529925059</v>
      </c>
      <c r="AO57" cm="1">
        <f t="array" ref="AO57">_xlfn.LET(
    _xlpm.row_name, $A57,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0.59299569921838746</v>
      </c>
      <c r="AP57" cm="1">
        <f t="array" ref="AP57">_xlfn.LET(
    _xlpm.row_name, $A57,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0.74815114892107903</v>
      </c>
      <c r="AQ57" cm="1">
        <f t="array" ref="AQ57">_xlfn.LET(
    _xlpm.row_name, $A57,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0.63149785534833203</v>
      </c>
      <c r="AR57" cm="1">
        <f t="array" ref="AR57">_xlfn.LET(
    _xlpm.row_name, $A57,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0.50308864347098448</v>
      </c>
      <c r="AS57" cm="1">
        <f t="array" ref="AS57">_xlfn.LET(
    _xlpm.row_name, $A57,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0.56872456972442165</v>
      </c>
      <c r="AT57" cm="1">
        <f t="array" ref="AT57">_xlfn.LET(
    _xlpm.row_name, $A57,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0.6671493031939788</v>
      </c>
      <c r="AU57" cm="1">
        <f t="array" ref="AU57">_xlfn.LET(
    _xlpm.row_name, $A57,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0.73308995888689765</v>
      </c>
      <c r="AV57" cm="1">
        <f t="array" ref="AV57">_xlfn.LET(
    _xlpm.row_name, $A57,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0.1999031962822963</v>
      </c>
      <c r="AW57" cm="1">
        <f t="array" ref="AW57">_xlfn.LET(
    _xlpm.row_name, $A57,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0.34375261877323404</v>
      </c>
      <c r="AX57" cm="1">
        <f t="array" ref="AX57">_xlfn.LET(
    _xlpm.row_name, $A57,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0.31264348048629781</v>
      </c>
      <c r="AY57" cm="1">
        <f t="array" ref="AY57">_xlfn.LET(
    _xlpm.row_name, $A57,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0.54502634823081864</v>
      </c>
      <c r="AZ57" cm="1">
        <f t="array" ref="AZ57">_xlfn.LET(
    _xlpm.row_name, $A57,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0.22848018158198063</v>
      </c>
      <c r="BA57" cm="1">
        <f t="array" ref="BA57">_xlfn.LET(
    _xlpm.row_name, $A57,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0.90767656117079876</v>
      </c>
      <c r="BB57" cm="1">
        <f t="array" ref="BB57">_xlfn.LET(
    _xlpm.row_name, $A57,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0.3695386023050824</v>
      </c>
      <c r="BC57" cm="1">
        <f t="array" ref="BC57">_xlfn.LET(
    _xlpm.row_name, $A57,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0.26740977300339519</v>
      </c>
      <c r="BD57" cm="1">
        <f t="array" ref="BD57">_xlfn.LET(
    _xlpm.row_name, $A57,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E57" cm="1">
        <f t="array" ref="BE57">_xlfn.LET(
    _xlpm.row_name, $A57,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0.55448398398241383</v>
      </c>
      <c r="BF57" cm="1">
        <f t="array" ref="BF57">_xlfn.LET(
    _xlpm.row_name, $A57,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0.20234164527613924</v>
      </c>
      <c r="BG57" cm="1">
        <f t="array" ref="BG57">_xlfn.LET(
    _xlpm.row_name, $A57,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0.81020664200069947</v>
      </c>
      <c r="BH57" cm="1">
        <f t="array" ref="BH57">_xlfn.LET(
    _xlpm.row_name, $A57,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0.43174668397057892</v>
      </c>
      <c r="BI57" cm="1">
        <f t="array" ref="BI57">_xlfn.LET(
    _xlpm.row_name, $A57,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0.56694477803318377</v>
      </c>
      <c r="BJ57" cm="1">
        <f t="array" ref="BJ57">_xlfn.LET(
    _xlpm.row_name, $A57,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0.56945009939998315</v>
      </c>
      <c r="BK57" cm="1">
        <f t="array" ref="BK57">_xlfn.LET(
    _xlpm.row_name, $A57,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0.59779533800415618</v>
      </c>
      <c r="BL57" cm="1">
        <f t="array" ref="BL57">_xlfn.LET(
    _xlpm.row_name, $A57,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0.57237259635470139</v>
      </c>
      <c r="BM57" cm="1">
        <f t="array" ref="BM57">_xlfn.LET(
    _xlpm.row_name, $A57,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0.41119392508405794</v>
      </c>
      <c r="BN57" cm="1">
        <f t="array" ref="BN57">_xlfn.LET(
    _xlpm.row_name, $A57,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0.27486148204601102</v>
      </c>
      <c r="BO57" cm="1">
        <f t="array" ref="BO57">_xlfn.LET(
    _xlpm.row_name, $A57,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0.44211215825485184</v>
      </c>
      <c r="BP57" cm="1">
        <f t="array" ref="BP57">_xlfn.LET(
    _xlpm.row_name, $A57,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0.89744938464777069</v>
      </c>
      <c r="BQ57" cm="1">
        <f t="array" ref="BQ57">_xlfn.LET(
    _xlpm.row_name, $A57,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7.4828165952164738E-2</v>
      </c>
      <c r="BR57" cm="1">
        <f t="array" ref="BR57">_xlfn.LET(
    _xlpm.row_name, $A57,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0.38237984141208026</v>
      </c>
      <c r="BS57" cm="1">
        <f t="array" ref="BS57">_xlfn.LET(
    _xlpm.row_name, $A57,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0.8106735332835433</v>
      </c>
      <c r="BT57" cm="1">
        <f t="array" ref="BT57">_xlfn.LET(
    _xlpm.row_name, $A57,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0.39070719459378916</v>
      </c>
      <c r="BU57" cm="1">
        <f t="array" ref="BU57">_xlfn.LET(
    _xlpm.row_name, $A57,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0.64081661874100748</v>
      </c>
      <c r="BV57" cm="1">
        <f t="array" ref="BV57">_xlfn.LET(
    _xlpm.row_name, $A57,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0.45047046806496538</v>
      </c>
    </row>
    <row r="58" spans="1:74" x14ac:dyDescent="0.3">
      <c r="A58" t="str">
        <v>Fedde, Erick</v>
      </c>
      <c r="B58" cm="1">
        <f t="array" ref="B58">_xlfn.LET(
    _xlpm.row_name, $A58,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0.73230204208888283</v>
      </c>
      <c r="C58" cm="1">
        <f t="array" ref="C58">_xlfn.LET(
    _xlpm.row_name, $A58,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0.60781823027604587</v>
      </c>
      <c r="D58" cm="1">
        <f t="array" ref="D58">_xlfn.LET(
    _xlpm.row_name, $A58,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0.28084057430815623</v>
      </c>
      <c r="E58" cm="1">
        <f t="array" ref="E58">_xlfn.LET(
    _xlpm.row_name, $A58,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0.78834216382862499</v>
      </c>
      <c r="F58" cm="1">
        <f t="array" ref="F58">_xlfn.LET(
    _xlpm.row_name, $A58,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0.83183215541160882</v>
      </c>
      <c r="G58" cm="1">
        <f t="array" ref="G58">_xlfn.LET(
    _xlpm.row_name, $A58,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0.59784302308070458</v>
      </c>
      <c r="H58" cm="1">
        <f t="array" ref="H58">_xlfn.LET(
    _xlpm.row_name, $A58,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0.19489679166442009</v>
      </c>
      <c r="I58" cm="1">
        <f t="array" ref="I58">_xlfn.LET(
    _xlpm.row_name, $A58,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0.38834522718829856</v>
      </c>
      <c r="J58" cm="1">
        <f t="array" ref="J58">_xlfn.LET(
    _xlpm.row_name, $A58,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0.60421924047460973</v>
      </c>
      <c r="K58" cm="1">
        <f t="array" ref="K58">_xlfn.LET(
    _xlpm.row_name, $A58,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0.55674823952730634</v>
      </c>
      <c r="L58" cm="1">
        <f t="array" ref="L58">_xlfn.LET(
    _xlpm.row_name, $A58,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0.80592781855606221</v>
      </c>
      <c r="M58" cm="1">
        <f t="array" ref="M58">_xlfn.LET(
    _xlpm.row_name, $A58,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0.23126011206874564</v>
      </c>
      <c r="N58" cm="1">
        <f t="array" ref="N58">_xlfn.LET(
    _xlpm.row_name, $A58,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0.5348242202895771</v>
      </c>
      <c r="O58" cm="1">
        <f t="array" ref="O58">_xlfn.LET(
    _xlpm.row_name, $A58,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0.40153223928495319</v>
      </c>
      <c r="P58" cm="1">
        <f t="array" ref="P58">_xlfn.LET(
    _xlpm.row_name, $A58,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0.39096999693034307</v>
      </c>
      <c r="Q58" cm="1">
        <f t="array" ref="Q58">_xlfn.LET(
    _xlpm.row_name, $A58,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0.54398023459377043</v>
      </c>
      <c r="R58" cm="1">
        <f t="array" ref="R58">_xlfn.LET(
    _xlpm.row_name, $A58,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6.7247250564802852E-2</v>
      </c>
      <c r="S58" cm="1">
        <f t="array" ref="S58">_xlfn.LET(
    _xlpm.row_name, $A58,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0.18005949657513376</v>
      </c>
      <c r="T58" cm="1">
        <f t="array" ref="T58">_xlfn.LET(
    _xlpm.row_name, $A58,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0.17566120871778862</v>
      </c>
      <c r="U58" cm="1">
        <f t="array" ref="U58">_xlfn.LET(
    _xlpm.row_name, $A58,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0.56728544156401406</v>
      </c>
      <c r="V58" cm="1">
        <f t="array" ref="V58">_xlfn.LET(
    _xlpm.row_name, $A58,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0.72226384706120361</v>
      </c>
      <c r="W58" cm="1">
        <f t="array" ref="W58">_xlfn.LET(
    _xlpm.row_name, $A58,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0.4458140750373108</v>
      </c>
      <c r="X58" cm="1">
        <f t="array" ref="X58">_xlfn.LET(
    _xlpm.row_name, $A58,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0.51610840524074009</v>
      </c>
      <c r="Y58" cm="1">
        <f t="array" ref="Y58">_xlfn.LET(
    _xlpm.row_name, $A58,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0.60398467976686432</v>
      </c>
      <c r="Z58" cm="1">
        <f t="array" ref="Z58">_xlfn.LET(
    _xlpm.row_name, $A58,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0.13564942953632358</v>
      </c>
      <c r="AA58" cm="1">
        <f t="array" ref="AA58">_xlfn.LET(
    _xlpm.row_name, $A58,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0.35138037387046989</v>
      </c>
      <c r="AB58" cm="1">
        <f t="array" ref="AB58">_xlfn.LET(
    _xlpm.row_name, $A58,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0.43399636456267016</v>
      </c>
      <c r="AC58" cm="1">
        <f t="array" ref="AC58">_xlfn.LET(
    _xlpm.row_name, $A58,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0.74637954974179332</v>
      </c>
      <c r="AD58" cm="1">
        <f t="array" ref="AD58">_xlfn.LET(
    _xlpm.row_name, $A58,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0.3356966227142465</v>
      </c>
      <c r="AE58" cm="1">
        <f t="array" ref="AE58">_xlfn.LET(
    _xlpm.row_name, $A58,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0.47339039845605962</v>
      </c>
      <c r="AF58" cm="1">
        <f t="array" ref="AF58">_xlfn.LET(
    _xlpm.row_name, $A58,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0.83919984632462941</v>
      </c>
      <c r="AG58" cm="1">
        <f t="array" ref="AG58">_xlfn.LET(
    _xlpm.row_name, $A58,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0.87663866146524505</v>
      </c>
      <c r="AH58" cm="1">
        <f t="array" ref="AH58">_xlfn.LET(
    _xlpm.row_name, $A58,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0.15050844095199217</v>
      </c>
      <c r="AI58" cm="1">
        <f t="array" ref="AI58">_xlfn.LET(
    _xlpm.row_name, $A58,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0.69194001293488294</v>
      </c>
      <c r="AJ58" cm="1">
        <f t="array" ref="AJ58">_xlfn.LET(
    _xlpm.row_name, $A58,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0.15388184989612919</v>
      </c>
      <c r="AK58" cm="1">
        <f t="array" ref="AK58">_xlfn.LET(
    _xlpm.row_name, $A58,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0.79191059388605933</v>
      </c>
      <c r="AL58" cm="1">
        <f t="array" ref="AL58">_xlfn.LET(
    _xlpm.row_name, $A58,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0.1871075489614476</v>
      </c>
      <c r="AM58" cm="1">
        <f t="array" ref="AM58">_xlfn.LET(
    _xlpm.row_name, $A58,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0.66078240293654322</v>
      </c>
      <c r="AN58" cm="1">
        <f t="array" ref="AN58">_xlfn.LET(
    _xlpm.row_name, $A58,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5.2160970811553131E-2</v>
      </c>
      <c r="AO58" cm="1">
        <f t="array" ref="AO58">_xlfn.LET(
    _xlpm.row_name, $A58,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0.37790218920529572</v>
      </c>
      <c r="AP58" cm="1">
        <f t="array" ref="AP58">_xlfn.LET(
    _xlpm.row_name, $A58,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0.70985522333370477</v>
      </c>
      <c r="AQ58" cm="1">
        <f t="array" ref="AQ58">_xlfn.LET(
    _xlpm.row_name, $A58,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0.40530872238483973</v>
      </c>
      <c r="AR58" cm="1">
        <f t="array" ref="AR58">_xlfn.LET(
    _xlpm.row_name, $A58,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0.25017536917789024</v>
      </c>
      <c r="AS58" cm="1">
        <f t="array" ref="AS58">_xlfn.LET(
    _xlpm.row_name, $A58,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0.49185824142487139</v>
      </c>
      <c r="AT58" cm="1">
        <f t="array" ref="AT58">_xlfn.LET(
    _xlpm.row_name, $A58,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0.73291143610289056</v>
      </c>
      <c r="AU58" cm="1">
        <f t="array" ref="AU58">_xlfn.LET(
    _xlpm.row_name, $A58,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0.3528348324161143</v>
      </c>
      <c r="AV58" cm="1">
        <f t="array" ref="AV58">_xlfn.LET(
    _xlpm.row_name, $A58,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0.65140434520511348</v>
      </c>
      <c r="AW58" cm="1">
        <f t="array" ref="AW58">_xlfn.LET(
    _xlpm.row_name, $A58,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0.69419747071665205</v>
      </c>
      <c r="AX58" cm="1">
        <f t="array" ref="AX58">_xlfn.LET(
    _xlpm.row_name, $A58,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0.62153429528249915</v>
      </c>
      <c r="AY58" cm="1">
        <f t="array" ref="AY58">_xlfn.LET(
    _xlpm.row_name, $A58,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0.33178499602874711</v>
      </c>
      <c r="AZ58" cm="1">
        <f t="array" ref="AZ58">_xlfn.LET(
    _xlpm.row_name, $A58,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0.29342367775579248</v>
      </c>
      <c r="BA58" cm="1">
        <f t="array" ref="BA58">_xlfn.LET(
    _xlpm.row_name, $A58,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0.56503454715988988</v>
      </c>
      <c r="BB58" cm="1">
        <f t="array" ref="BB58">_xlfn.LET(
    _xlpm.row_name, $A58,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0.7867513549459958</v>
      </c>
      <c r="BC58" cm="1">
        <f t="array" ref="BC58">_xlfn.LET(
    _xlpm.row_name, $A58,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0.66981131908948432</v>
      </c>
      <c r="BD58" cm="1">
        <f t="array" ref="BD58">_xlfn.LET(
    _xlpm.row_name, $A58,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0.55448398398241383</v>
      </c>
      <c r="BE58" cm="1">
        <f t="array" ref="BE58">_xlfn.LET(
    _xlpm.row_name, $A58,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F58" cm="1">
        <f t="array" ref="BF58">_xlfn.LET(
    _xlpm.row_name, $A58,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0.18489357135312839</v>
      </c>
      <c r="BG58" cm="1">
        <f t="array" ref="BG58">_xlfn.LET(
    _xlpm.row_name, $A58,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0.46873783392677437</v>
      </c>
      <c r="BH58" cm="1">
        <f t="array" ref="BH58">_xlfn.LET(
    _xlpm.row_name, $A58,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0.45327780663529549</v>
      </c>
      <c r="BI58" cm="1">
        <f t="array" ref="BI58">_xlfn.LET(
    _xlpm.row_name, $A58,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0.71371273703081717</v>
      </c>
      <c r="BJ58" cm="1">
        <f t="array" ref="BJ58">_xlfn.LET(
    _xlpm.row_name, $A58,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0.18947604327624235</v>
      </c>
      <c r="BK58" cm="1">
        <f t="array" ref="BK58">_xlfn.LET(
    _xlpm.row_name, $A58,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0.6180557469041279</v>
      </c>
      <c r="BL58" cm="1">
        <f t="array" ref="BL58">_xlfn.LET(
    _xlpm.row_name, $A58,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0.23182504907624035</v>
      </c>
      <c r="BM58" cm="1">
        <f t="array" ref="BM58">_xlfn.LET(
    _xlpm.row_name, $A58,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0.76710075188923388</v>
      </c>
      <c r="BN58" cm="1">
        <f t="array" ref="BN58">_xlfn.LET(
    _xlpm.row_name, $A58,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0.69351313311949769</v>
      </c>
      <c r="BO58" cm="1">
        <f t="array" ref="BO58">_xlfn.LET(
    _xlpm.row_name, $A58,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0.40481807481082799</v>
      </c>
      <c r="BP58" cm="1">
        <f t="array" ref="BP58">_xlfn.LET(
    _xlpm.row_name, $A58,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0.39629584797237905</v>
      </c>
      <c r="BQ58" cm="1">
        <f t="array" ref="BQ58">_xlfn.LET(
    _xlpm.row_name, $A58,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0.32624403638115662</v>
      </c>
      <c r="BR58" cm="1">
        <f t="array" ref="BR58">_xlfn.LET(
    _xlpm.row_name, $A58,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0.85531503839018308</v>
      </c>
      <c r="BS58" cm="1">
        <f t="array" ref="BS58">_xlfn.LET(
    _xlpm.row_name, $A58,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0.54363215445425017</v>
      </c>
      <c r="BT58" cm="1">
        <f t="array" ref="BT58">_xlfn.LET(
    _xlpm.row_name, $A58,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0.22289025963193337</v>
      </c>
      <c r="BU58" cm="1">
        <f t="array" ref="BU58">_xlfn.LET(
    _xlpm.row_name, $A58,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0.10832752126869433</v>
      </c>
      <c r="BV58" cm="1">
        <f t="array" ref="BV58">_xlfn.LET(
    _xlpm.row_name, $A58,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0.54919304526594259</v>
      </c>
    </row>
    <row r="59" spans="1:74" x14ac:dyDescent="0.3">
      <c r="A59" t="str">
        <v>Biddle, Jesse</v>
      </c>
      <c r="B59" cm="1">
        <f t="array" ref="B59">_xlfn.LET(
    _xlpm.row_name, $A59,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0.25144723078896464</v>
      </c>
      <c r="C59" cm="1">
        <f t="array" ref="C59">_xlfn.LET(
    _xlpm.row_name, $A59,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0.51151621664388847</v>
      </c>
      <c r="D59" cm="1">
        <f t="array" ref="D59">_xlfn.LET(
    _xlpm.row_name, $A59,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0.64746416052022404</v>
      </c>
      <c r="E59" cm="1">
        <f t="array" ref="E59">_xlfn.LET(
    _xlpm.row_name, $A59,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0.42735303101114475</v>
      </c>
      <c r="F59" cm="1">
        <f t="array" ref="F59">_xlfn.LET(
    _xlpm.row_name, $A59,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0.39284377457705455</v>
      </c>
      <c r="G59" cm="1">
        <f t="array" ref="G59">_xlfn.LET(
    _xlpm.row_name, $A59,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0.16161830604086536</v>
      </c>
      <c r="H59" cm="1">
        <f t="array" ref="H59">_xlfn.LET(
    _xlpm.row_name, $A59,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0.76046070355682194</v>
      </c>
      <c r="I59" cm="1">
        <f t="array" ref="I59">_xlfn.LET(
    _xlpm.row_name, $A59,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0.57600346189272389</v>
      </c>
      <c r="J59" cm="1">
        <f t="array" ref="J59">_xlfn.LET(
    _xlpm.row_name, $A59,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0.48724208839930883</v>
      </c>
      <c r="K59" cm="1">
        <f t="array" ref="K59">_xlfn.LET(
    _xlpm.row_name, $A59,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0.38293077836913092</v>
      </c>
      <c r="L59" cm="1">
        <f t="array" ref="L59">_xlfn.LET(
    _xlpm.row_name, $A59,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0.12799998552081321</v>
      </c>
      <c r="M59" cm="1">
        <f t="array" ref="M59">_xlfn.LET(
    _xlpm.row_name, $A59,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0.57495666314866345</v>
      </c>
      <c r="N59" cm="1">
        <f t="array" ref="N59">_xlfn.LET(
    _xlpm.row_name, $A59,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0.76885131707577381</v>
      </c>
      <c r="O59" cm="1">
        <f t="array" ref="O59">_xlfn.LET(
    _xlpm.row_name, $A59,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0.22742147864216883</v>
      </c>
      <c r="P59" cm="1">
        <f t="array" ref="P59">_xlfn.LET(
    _xlpm.row_name, $A59,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0.92434711510169199</v>
      </c>
      <c r="Q59" cm="1">
        <f t="array" ref="Q59">_xlfn.LET(
    _xlpm.row_name, $A59,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0.51678261835528505</v>
      </c>
      <c r="R59" cm="1">
        <f t="array" ref="R59">_xlfn.LET(
    _xlpm.row_name, $A59,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0.89816831220795446</v>
      </c>
      <c r="S59" cm="1">
        <f t="array" ref="S59">_xlfn.LET(
    _xlpm.row_name, $A59,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0.77705638767529894</v>
      </c>
      <c r="T59" cm="1">
        <f t="array" ref="T59">_xlfn.LET(
    _xlpm.row_name, $A59,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0.98139368580619146</v>
      </c>
      <c r="U59" cm="1">
        <f t="array" ref="U59">_xlfn.LET(
    _xlpm.row_name, $A59,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0.25298317236382378</v>
      </c>
      <c r="V59" cm="1">
        <f t="array" ref="V59">_xlfn.LET(
    _xlpm.row_name, $A59,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6.8187044517491802E-2</v>
      </c>
      <c r="W59" cm="1">
        <f t="array" ref="W59">_xlfn.LET(
    _xlpm.row_name, $A59,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0.80936154603836052</v>
      </c>
      <c r="X59" cm="1">
        <f t="array" ref="X59">_xlfn.LET(
    _xlpm.row_name, $A59,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0.26944670657627778</v>
      </c>
      <c r="Y59" cm="1">
        <f t="array" ref="Y59">_xlfn.LET(
    _xlpm.row_name, $A59,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0.31501262335859181</v>
      </c>
      <c r="Z59" cm="1">
        <f t="array" ref="Z59">_xlfn.LET(
    _xlpm.row_name, $A59,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0.74711930019787187</v>
      </c>
      <c r="AA59" cm="1">
        <f t="array" ref="AA59">_xlfn.LET(
    _xlpm.row_name, $A59,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0.31050592949773287</v>
      </c>
      <c r="AB59" cm="1">
        <f t="array" ref="AB59">_xlfn.LET(
    _xlpm.row_name, $A59,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0.29315781244881733</v>
      </c>
      <c r="AC59" cm="1">
        <f t="array" ref="AC59">_xlfn.LET(
    _xlpm.row_name, $A59,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0.45824945132644868</v>
      </c>
      <c r="AD59" cm="1">
        <f t="array" ref="AD59">_xlfn.LET(
    _xlpm.row_name, $A59,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0.55872826758133998</v>
      </c>
      <c r="AE59" cm="1">
        <f t="array" ref="AE59">_xlfn.LET(
    _xlpm.row_name, $A59,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0.33702182651952484</v>
      </c>
      <c r="AF59" cm="1">
        <f t="array" ref="AF59">_xlfn.LET(
    _xlpm.row_name, $A59,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8.9415135369097287E-2</v>
      </c>
      <c r="AG59" cm="1">
        <f t="array" ref="AG59">_xlfn.LET(
    _xlpm.row_name, $A59,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0.12990910545992124</v>
      </c>
      <c r="AH59" cm="1">
        <f t="array" ref="AH59">_xlfn.LET(
    _xlpm.row_name, $A59,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0.54584305785534881</v>
      </c>
      <c r="AI59" cm="1">
        <f t="array" ref="AI59">_xlfn.LET(
    _xlpm.row_name, $A59,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9.588635373515203E-2</v>
      </c>
      <c r="AJ59" cm="1">
        <f t="array" ref="AJ59">_xlfn.LET(
    _xlpm.row_name, $A59,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0.52832562574830499</v>
      </c>
      <c r="AK59" cm="1">
        <f t="array" ref="AK59">_xlfn.LET(
    _xlpm.row_name, $A59,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0.10183299973803334</v>
      </c>
      <c r="AL59" cm="1">
        <f t="array" ref="AL59">_xlfn.LET(
    _xlpm.row_name, $A59,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0.68958362395702799</v>
      </c>
      <c r="AM59" cm="1">
        <f t="array" ref="AM59">_xlfn.LET(
    _xlpm.row_name, $A59,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0.49373866235013569</v>
      </c>
      <c r="AN59" cm="1">
        <f t="array" ref="AN59">_xlfn.LET(
    _xlpm.row_name, $A59,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0.7230199150010358</v>
      </c>
      <c r="AO59" cm="1">
        <f t="array" ref="AO59">_xlfn.LET(
    _xlpm.row_name, $A59,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0.7624050896839345</v>
      </c>
      <c r="AP59" cm="1">
        <f t="array" ref="AP59">_xlfn.LET(
    _xlpm.row_name, $A59,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0.44294635846460867</v>
      </c>
      <c r="AQ59" cm="1">
        <f t="array" ref="AQ59">_xlfn.LET(
    _xlpm.row_name, $A59,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0.42191265232502129</v>
      </c>
      <c r="AR59" cm="1">
        <f t="array" ref="AR59">_xlfn.LET(
    _xlpm.row_name, $A59,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0.68073894175343796</v>
      </c>
      <c r="AS59" cm="1">
        <f t="array" ref="AS59">_xlfn.LET(
    _xlpm.row_name, $A59,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0.3798563948582494</v>
      </c>
      <c r="AT59" cm="1">
        <f t="array" ref="AT59">_xlfn.LET(
    _xlpm.row_name, $A59,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0.18129575793281527</v>
      </c>
      <c r="AU59" cm="1">
        <f t="array" ref="AU59">_xlfn.LET(
    _xlpm.row_name, $A59,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0.4799420456539833</v>
      </c>
      <c r="AV59" cm="1">
        <f t="array" ref="AV59">_xlfn.LET(
    _xlpm.row_name, $A59,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0.40181968432922255</v>
      </c>
      <c r="AW59" cm="1">
        <f t="array" ref="AW59">_xlfn.LET(
    _xlpm.row_name, $A59,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0.27873126789242214</v>
      </c>
      <c r="AX59" cm="1">
        <f t="array" ref="AX59">_xlfn.LET(
    _xlpm.row_name, $A59,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0.6343127328979512</v>
      </c>
      <c r="AY59" cm="1">
        <f t="array" ref="AY59">_xlfn.LET(
    _xlpm.row_name, $A59,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0.5055956030331783</v>
      </c>
      <c r="AZ59" cm="1">
        <f t="array" ref="AZ59">_xlfn.LET(
    _xlpm.row_name, $A59,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0.94719092026508722</v>
      </c>
      <c r="BA59" cm="1">
        <f t="array" ref="BA59">_xlfn.LET(
    _xlpm.row_name, $A59,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9.3330608144672811E-2</v>
      </c>
      <c r="BB59" cm="1">
        <f t="array" ref="BB59">_xlfn.LET(
    _xlpm.row_name, $A59,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0.24104099172614291</v>
      </c>
      <c r="BC59" cm="1">
        <f t="array" ref="BC59">_xlfn.LET(
    _xlpm.row_name, $A59,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0.47621958571782191</v>
      </c>
      <c r="BD59" cm="1">
        <f t="array" ref="BD59">_xlfn.LET(
    _xlpm.row_name, $A59,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0.20234164527613924</v>
      </c>
      <c r="BE59" cm="1">
        <f t="array" ref="BE59">_xlfn.LET(
    _xlpm.row_name, $A59,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0.18489357135312839</v>
      </c>
      <c r="BF59" cm="1">
        <f t="array" ref="BF59">_xlfn.LET(
    _xlpm.row_name, $A59,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G59" cm="1">
        <f t="array" ref="BG59">_xlfn.LET(
    _xlpm.row_name, $A59,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0.19644880523329683</v>
      </c>
      <c r="BH59" cm="1">
        <f t="array" ref="BH59">_xlfn.LET(
    _xlpm.row_name, $A59,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0.48563384812290611</v>
      </c>
      <c r="BI59" cm="1">
        <f t="array" ref="BI59">_xlfn.LET(
    _xlpm.row_name, $A59,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0.18983328543352113</v>
      </c>
      <c r="BJ59" cm="1">
        <f t="array" ref="BJ59">_xlfn.LET(
    _xlpm.row_name, $A59,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0.51480746374095454</v>
      </c>
      <c r="BK59" cm="1">
        <f t="array" ref="BK59">_xlfn.LET(
    _xlpm.row_name, $A59,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0.14468135726401227</v>
      </c>
      <c r="BL59" cm="1">
        <f t="array" ref="BL59">_xlfn.LET(
    _xlpm.row_name, $A59,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0.82871538520305177</v>
      </c>
      <c r="BM59" cm="1">
        <f t="array" ref="BM59">_xlfn.LET(
    _xlpm.row_name, $A59,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0.45984365403146843</v>
      </c>
      <c r="BN59" cm="1">
        <f t="array" ref="BN59">_xlfn.LET(
    _xlpm.row_name, $A59,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0.42976249012624851</v>
      </c>
      <c r="BO59" cm="1">
        <f t="array" ref="BO59">_xlfn.LET(
    _xlpm.row_name, $A59,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0.75151326768628779</v>
      </c>
      <c r="BP59" cm="1">
        <f t="array" ref="BP59">_xlfn.LET(
    _xlpm.row_name, $A59,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0.39963902708377719</v>
      </c>
      <c r="BQ59" cm="1">
        <f t="array" ref="BQ59">_xlfn.LET(
    _xlpm.row_name, $A59,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0.69730638578399939</v>
      </c>
      <c r="BR59" cm="1">
        <f t="array" ref="BR59">_xlfn.LET(
    _xlpm.row_name, $A59,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0.18881828346567686</v>
      </c>
      <c r="BS59" cm="1">
        <f t="array" ref="BS59">_xlfn.LET(
    _xlpm.row_name, $A59,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0.51818748228200628</v>
      </c>
      <c r="BT59" cm="1">
        <f t="array" ref="BT59">_xlfn.LET(
    _xlpm.row_name, $A59,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0.93582900629585919</v>
      </c>
      <c r="BU59" cm="1">
        <f t="array" ref="BU59">_xlfn.LET(
    _xlpm.row_name, $A59,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0.75425380191411051</v>
      </c>
      <c r="BV59" cm="1">
        <f t="array" ref="BV59">_xlfn.LET(
    _xlpm.row_name, $A59,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0.33347521165598226</v>
      </c>
    </row>
    <row r="60" spans="1:74" x14ac:dyDescent="0.3">
      <c r="A60" t="str">
        <v>Cox, Austin</v>
      </c>
      <c r="B60" cm="1">
        <f t="array" ref="B60">_xlfn.LET(
    _xlpm.row_name, $A60,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0.5424970368641181</v>
      </c>
      <c r="C60" cm="1">
        <f t="array" ref="C60">_xlfn.LET(
    _xlpm.row_name, $A60,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0.20191506250259272</v>
      </c>
      <c r="D60" cm="1">
        <f t="array" ref="D60">_xlfn.LET(
    _xlpm.row_name, $A60,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0.50915198560816011</v>
      </c>
      <c r="E60" cm="1">
        <f t="array" ref="E60">_xlfn.LET(
    _xlpm.row_name, $A60,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0.39069574340322211</v>
      </c>
      <c r="F60" cm="1">
        <f t="array" ref="F60">_xlfn.LET(
    _xlpm.row_name, $A60,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0.20271516154150437</v>
      </c>
      <c r="G60" cm="1">
        <f t="array" ref="G60">_xlfn.LET(
    _xlpm.row_name, $A60,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0.81200854076693907</v>
      </c>
      <c r="H60" cm="1">
        <f t="array" ref="H60">_xlfn.LET(
    _xlpm.row_name, $A60,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0.36507228306315276</v>
      </c>
      <c r="I60" cm="1">
        <f t="array" ref="I60">_xlfn.LET(
    _xlpm.row_name, $A60,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0.36347194601514388</v>
      </c>
      <c r="J60" cm="1">
        <f t="array" ref="J60">_xlfn.LET(
    _xlpm.row_name, $A60,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0.29196166229598092</v>
      </c>
      <c r="K60" cm="1">
        <f t="array" ref="K60">_xlfn.LET(
    _xlpm.row_name, $A60,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0.4444495483242536</v>
      </c>
      <c r="L60" cm="1">
        <f t="array" ref="L60">_xlfn.LET(
    _xlpm.row_name, $A60,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0.58886499520700375</v>
      </c>
      <c r="M60" cm="1">
        <f t="array" ref="M60">_xlfn.LET(
    _xlpm.row_name, $A60,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0.46963655912480118</v>
      </c>
      <c r="N60" cm="1">
        <f t="array" ref="N60">_xlfn.LET(
    _xlpm.row_name, $A60,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0.18721118346436405</v>
      </c>
      <c r="O60" cm="1">
        <f t="array" ref="O60">_xlfn.LET(
    _xlpm.row_name, $A60,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0.820566446794326</v>
      </c>
      <c r="P60" cm="1">
        <f t="array" ref="P60">_xlfn.LET(
    _xlpm.row_name, $A60,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5.8120743697123667E-2</v>
      </c>
      <c r="Q60" cm="1">
        <f t="array" ref="Q60">_xlfn.LET(
    _xlpm.row_name, $A60,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0.47033746976436969</v>
      </c>
      <c r="R60" cm="1">
        <f t="array" ref="R60">_xlfn.LET(
    _xlpm.row_name, $A60,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0.37985572297416448</v>
      </c>
      <c r="S60" cm="1">
        <f t="array" ref="S60">_xlfn.LET(
    _xlpm.row_name, $A60,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0.28391997304658401</v>
      </c>
      <c r="T60" cm="1">
        <f t="array" ref="T60">_xlfn.LET(
    _xlpm.row_name, $A60,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0.1864704555907199</v>
      </c>
      <c r="U60" cm="1">
        <f t="array" ref="U60">_xlfn.LET(
    _xlpm.row_name, $A60,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0.76548470586383988</v>
      </c>
      <c r="V60" cm="1">
        <f t="array" ref="V60">_xlfn.LET(
    _xlpm.row_name, $A60,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0.82481405000646824</v>
      </c>
      <c r="W60" cm="1">
        <f t="array" ref="W60">_xlfn.LET(
    _xlpm.row_name, $A60,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0.19287841868300415</v>
      </c>
      <c r="X60" cm="1">
        <f t="array" ref="X60">_xlfn.LET(
    _xlpm.row_name, $A60,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0.86316307266374137</v>
      </c>
      <c r="Y60" cm="1">
        <f t="array" ref="Y60">_xlfn.LET(
    _xlpm.row_name, $A60,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0.42988313677497125</v>
      </c>
      <c r="Z60" cm="1">
        <f t="array" ref="Z60">_xlfn.LET(
    _xlpm.row_name, $A60,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0.47436701201902109</v>
      </c>
      <c r="AA60" cm="1">
        <f t="array" ref="AA60">_xlfn.LET(
    _xlpm.row_name, $A60,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0.73793174050710098</v>
      </c>
      <c r="AB60" cm="1">
        <f t="array" ref="AB60">_xlfn.LET(
    _xlpm.row_name, $A60,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0.66516964608918738</v>
      </c>
      <c r="AC60" cm="1">
        <f t="array" ref="AC60">_xlfn.LET(
    _xlpm.row_name, $A60,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0.25992339328036362</v>
      </c>
      <c r="AD60" cm="1">
        <f t="array" ref="AD60">_xlfn.LET(
    _xlpm.row_name, $A60,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0.48563927792482398</v>
      </c>
      <c r="AE60" cm="1">
        <f t="array" ref="AE60">_xlfn.LET(
    _xlpm.row_name, $A60,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0.74410033076274584</v>
      </c>
      <c r="AF60" cm="1">
        <f t="array" ref="AF60">_xlfn.LET(
    _xlpm.row_name, $A60,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0.57526264182379461</v>
      </c>
      <c r="AG60" cm="1">
        <f t="array" ref="AG60">_xlfn.LET(
    _xlpm.row_name, $A60,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0.4774900731345203</v>
      </c>
      <c r="AH60" cm="1">
        <f t="array" ref="AH60">_xlfn.LET(
    _xlpm.row_name, $A60,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0.64886785511925371</v>
      </c>
      <c r="AI60" cm="1">
        <f t="array" ref="AI60">_xlfn.LET(
    _xlpm.row_name, $A60,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0.65504106577409682</v>
      </c>
      <c r="AJ60" cm="1">
        <f t="array" ref="AJ60">_xlfn.LET(
    _xlpm.row_name, $A60,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0.66422279378070082</v>
      </c>
      <c r="AK60" cm="1">
        <f t="array" ref="AK60">_xlfn.LET(
    _xlpm.row_name, $A60,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0.61990673924648898</v>
      </c>
      <c r="AL60" cm="1">
        <f t="array" ref="AL60">_xlfn.LET(
    _xlpm.row_name, $A60,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0.54432198837678303</v>
      </c>
      <c r="AM60" cm="1">
        <f t="array" ref="AM60">_xlfn.LET(
    _xlpm.row_name, $A60,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0.32394618554161964</v>
      </c>
      <c r="AN60" cm="1">
        <f t="array" ref="AN60">_xlfn.LET(
    _xlpm.row_name, $A60,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0.48786753167033658</v>
      </c>
      <c r="AO60" cm="1">
        <f t="array" ref="AO60">_xlfn.LET(
    _xlpm.row_name, $A60,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0.3745618671539484</v>
      </c>
      <c r="AP60" cm="1">
        <f t="array" ref="AP60">_xlfn.LET(
    _xlpm.row_name, $A60,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0.42590199312565341</v>
      </c>
      <c r="AQ60" cm="1">
        <f t="array" ref="AQ60">_xlfn.LET(
    _xlpm.row_name, $A60,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0.53900235423877607</v>
      </c>
      <c r="AR60" cm="1">
        <f t="array" ref="AR60">_xlfn.LET(
    _xlpm.row_name, $A60,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0.28011626652487426</v>
      </c>
      <c r="AS60" cm="1">
        <f t="array" ref="AS60">_xlfn.LET(
    _xlpm.row_name, $A60,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0.42604970038843237</v>
      </c>
      <c r="AT60" cm="1">
        <f t="array" ref="AT60">_xlfn.LET(
    _xlpm.row_name, $A60,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0.83733837396412381</v>
      </c>
      <c r="AU60" cm="1">
        <f t="array" ref="AU60">_xlfn.LET(
    _xlpm.row_name, $A60,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0.47255340855181455</v>
      </c>
      <c r="AV60" cm="1">
        <f t="array" ref="AV60">_xlfn.LET(
    _xlpm.row_name, $A60,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0.36598763288818592</v>
      </c>
      <c r="AW60" cm="1">
        <f t="array" ref="AW60">_xlfn.LET(
    _xlpm.row_name, $A60,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0.67875062259906704</v>
      </c>
      <c r="AX60" cm="1">
        <f t="array" ref="AX60">_xlfn.LET(
    _xlpm.row_name, $A60,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0.13109570951429156</v>
      </c>
      <c r="AY60" cm="1">
        <f t="array" ref="AY60">_xlfn.LET(
    _xlpm.row_name, $A60,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0.3730372075797394</v>
      </c>
      <c r="AZ60" cm="1">
        <f t="array" ref="AZ60">_xlfn.LET(
    _xlpm.row_name, $A60,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0.16996720227576328</v>
      </c>
      <c r="BA60" cm="1">
        <f t="array" ref="BA60">_xlfn.LET(
    _xlpm.row_name, $A60,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0.91873867704527501</v>
      </c>
      <c r="BB60" cm="1">
        <f t="array" ref="BB60">_xlfn.LET(
    _xlpm.row_name, $A60,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0.51792079653566636</v>
      </c>
      <c r="BC60" cm="1">
        <f t="array" ref="BC60">_xlfn.LET(
    _xlpm.row_name, $A60,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0.44008925026127876</v>
      </c>
      <c r="BD60" cm="1">
        <f t="array" ref="BD60">_xlfn.LET(
    _xlpm.row_name, $A60,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0.81020664200069947</v>
      </c>
      <c r="BE60" cm="1">
        <f t="array" ref="BE60">_xlfn.LET(
    _xlpm.row_name, $A60,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0.46873783392677437</v>
      </c>
      <c r="BF60" cm="1">
        <f t="array" ref="BF60">_xlfn.LET(
    _xlpm.row_name, $A60,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0.19644880523329683</v>
      </c>
      <c r="BG60" cm="1">
        <f t="array" ref="BG60">_xlfn.LET(
    _xlpm.row_name, $A60,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H60" cm="1">
        <f t="array" ref="BH60">_xlfn.LET(
    _xlpm.row_name, $A60,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0.55827547981396675</v>
      </c>
      <c r="BI60" cm="1">
        <f t="array" ref="BI60">_xlfn.LET(
    _xlpm.row_name, $A60,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0.77179535370632402</v>
      </c>
      <c r="BJ60" cm="1">
        <f t="array" ref="BJ60">_xlfn.LET(
    _xlpm.row_name, $A60,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0.56359262462735482</v>
      </c>
      <c r="BK60" cm="1">
        <f t="array" ref="BK60">_xlfn.LET(
    _xlpm.row_name, $A60,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0.8027742506880533</v>
      </c>
      <c r="BL60" cm="1">
        <f t="array" ref="BL60">_xlfn.LET(
    _xlpm.row_name, $A60,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0.37403166466609572</v>
      </c>
      <c r="BM60" cm="1">
        <f t="array" ref="BM60">_xlfn.LET(
    _xlpm.row_name, $A60,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0.21093758445572508</v>
      </c>
      <c r="BN60" cm="1">
        <f t="array" ref="BN60">_xlfn.LET(
    _xlpm.row_name, $A60,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0.43817322541584419</v>
      </c>
      <c r="BO60" cm="1">
        <f t="array" ref="BO60">_xlfn.LET(
    _xlpm.row_name, $A60,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0.52584249429536845</v>
      </c>
      <c r="BP60" cm="1">
        <f t="array" ref="BP60">_xlfn.LET(
    _xlpm.row_name, $A60,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0.63772585180548724</v>
      </c>
      <c r="BQ60" cm="1">
        <f t="array" ref="BQ60">_xlfn.LET(
    _xlpm.row_name, $A60,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0.39778956744506705</v>
      </c>
      <c r="BR60" cm="1">
        <f t="array" ref="BR60">_xlfn.LET(
    _xlpm.row_name, $A60,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0.57988254223412128</v>
      </c>
      <c r="BS60" cm="1">
        <f t="array" ref="BS60">_xlfn.LET(
    _xlpm.row_name, $A60,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0.42660534229070568</v>
      </c>
      <c r="BT60" cm="1">
        <f t="array" ref="BT60">_xlfn.LET(
    _xlpm.row_name, $A60,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0.18210455971978362</v>
      </c>
      <c r="BU60" cm="1">
        <f t="array" ref="BU60">_xlfn.LET(
    _xlpm.row_name, $A60,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0.52854906251411715</v>
      </c>
      <c r="BV60" cm="1">
        <f t="array" ref="BV60">_xlfn.LET(
    _xlpm.row_name, $A60,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0.57117731151070161</v>
      </c>
    </row>
    <row r="61" spans="1:74" x14ac:dyDescent="0.3">
      <c r="A61" t="str">
        <v>Erlin, Robbie</v>
      </c>
      <c r="B61" cm="1">
        <f t="array" ref="B61">_xlfn.LET(
    _xlpm.row_name, $A61,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0.37406458679201099</v>
      </c>
      <c r="C61" cm="1">
        <f t="array" ref="C61">_xlfn.LET(
    _xlpm.row_name, $A61,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0.50325354306591785</v>
      </c>
      <c r="D61" cm="1">
        <f t="array" ref="D61">_xlfn.LET(
    _xlpm.row_name, $A61,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0.24919946407658977</v>
      </c>
      <c r="E61" cm="1">
        <f t="array" ref="E61">_xlfn.LET(
    _xlpm.row_name, $A61,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0.76315269934379015</v>
      </c>
      <c r="F61" cm="1">
        <f t="array" ref="F61">_xlfn.LET(
    _xlpm.row_name, $A61,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0.49359134168221325</v>
      </c>
      <c r="G61" cm="1">
        <f t="array" ref="G61">_xlfn.LET(
    _xlpm.row_name, $A61,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0.36353839092853202</v>
      </c>
      <c r="H61" cm="1">
        <f t="array" ref="H61">_xlfn.LET(
    _xlpm.row_name, $A61,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0.40330317686467954</v>
      </c>
      <c r="I61" cm="1">
        <f t="array" ref="I61">_xlfn.LET(
    _xlpm.row_name, $A61,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0.16473012599435166</v>
      </c>
      <c r="J61" cm="1">
        <f t="array" ref="J61">_xlfn.LET(
    _xlpm.row_name, $A61,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0.15882430867524044</v>
      </c>
      <c r="K61" cm="1">
        <f t="array" ref="K61">_xlfn.LET(
    _xlpm.row_name, $A61,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0.66763268235615048</v>
      </c>
      <c r="L61" cm="1">
        <f t="array" ref="L61">_xlfn.LET(
    _xlpm.row_name, $A61,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0.64850776771009244</v>
      </c>
      <c r="M61" cm="1">
        <f t="array" ref="M61">_xlfn.LET(
    _xlpm.row_name, $A61,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0.24002050139848935</v>
      </c>
      <c r="N61" cm="1">
        <f t="array" ref="N61">_xlfn.LET(
    _xlpm.row_name, $A61,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0.52922456073211233</v>
      </c>
      <c r="O61" cm="1">
        <f t="array" ref="O61">_xlfn.LET(
    _xlpm.row_name, $A61,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0.63935188729967496</v>
      </c>
      <c r="P61" cm="1">
        <f t="array" ref="P61">_xlfn.LET(
    _xlpm.row_name, $A61,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0.54355475206084147</v>
      </c>
      <c r="Q61" cm="1">
        <f t="array" ref="Q61">_xlfn.LET(
    _xlpm.row_name, $A61,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0.9060584649782748</v>
      </c>
      <c r="R61" cm="1">
        <f t="array" ref="R61">_xlfn.LET(
    _xlpm.row_name, $A61,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0.47191154183152972</v>
      </c>
      <c r="S61" cm="1">
        <f t="array" ref="S61">_xlfn.LET(
    _xlpm.row_name, $A61,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0.61150411059059095</v>
      </c>
      <c r="T61" cm="1">
        <f t="array" ref="T61">_xlfn.LET(
    _xlpm.row_name, $A61,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0.55964421871574277</v>
      </c>
      <c r="U61" cm="1">
        <f t="array" ref="U61">_xlfn.LET(
    _xlpm.row_name, $A61,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0.29036946621417759</v>
      </c>
      <c r="V61" cm="1">
        <f t="array" ref="V61">_xlfn.LET(
    _xlpm.row_name, $A61,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0.71820257571089652</v>
      </c>
      <c r="W61" cm="1">
        <f t="array" ref="W61">_xlfn.LET(
    _xlpm.row_name, $A61,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0.79131661817482513</v>
      </c>
      <c r="X61" cm="1">
        <f t="array" ref="X61">_xlfn.LET(
    _xlpm.row_name, $A61,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0.24923747801889473</v>
      </c>
      <c r="Y61" cm="1">
        <f t="array" ref="Y61">_xlfn.LET(
    _xlpm.row_name, $A61,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0.21921664457283363</v>
      </c>
      <c r="Z61" cm="1">
        <f t="array" ref="Z61">_xlfn.LET(
    _xlpm.row_name, $A61,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0.31129600333582674</v>
      </c>
      <c r="AA61" cm="1">
        <f t="array" ref="AA61">_xlfn.LET(
    _xlpm.row_name, $A61,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0.66584904708754122</v>
      </c>
      <c r="AB61" cm="1">
        <f t="array" ref="AB61">_xlfn.LET(
    _xlpm.row_name, $A61,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0.21379552205268915</v>
      </c>
      <c r="AC61" cm="1">
        <f t="array" ref="AC61">_xlfn.LET(
    _xlpm.row_name, $A61,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0.57871725863348022</v>
      </c>
      <c r="AD61" cm="1">
        <f t="array" ref="AD61">_xlfn.LET(
    _xlpm.row_name, $A61,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0.24609844295514283</v>
      </c>
      <c r="AE61" cm="1">
        <f t="array" ref="AE61">_xlfn.LET(
    _xlpm.row_name, $A61,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0.26355010075952456</v>
      </c>
      <c r="AF61" cm="1">
        <f t="array" ref="AF61">_xlfn.LET(
    _xlpm.row_name, $A61,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0.64677952531312854</v>
      </c>
      <c r="AG61" cm="1">
        <f t="array" ref="AG61">_xlfn.LET(
    _xlpm.row_name, $A61,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0.45466036200410231</v>
      </c>
      <c r="AH61" cm="1">
        <f t="array" ref="AH61">_xlfn.LET(
    _xlpm.row_name, $A61,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0.37772238379864082</v>
      </c>
      <c r="AI61" cm="1">
        <f t="array" ref="AI61">_xlfn.LET(
    _xlpm.row_name, $A61,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0.38121312613258967</v>
      </c>
      <c r="AJ61" cm="1">
        <f t="array" ref="AJ61">_xlfn.LET(
    _xlpm.row_name, $A61,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0.43046763496398477</v>
      </c>
      <c r="AK61" cm="1">
        <f t="array" ref="AK61">_xlfn.LET(
    _xlpm.row_name, $A61,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0.7160834946013126</v>
      </c>
      <c r="AL61" cm="1">
        <f t="array" ref="AL61">_xlfn.LET(
    _xlpm.row_name, $A61,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0.19399833584827642</v>
      </c>
      <c r="AM61" cm="1">
        <f t="array" ref="AM61">_xlfn.LET(
    _xlpm.row_name, $A61,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0.83822024772130577</v>
      </c>
      <c r="AN61" cm="1">
        <f t="array" ref="AN61">_xlfn.LET(
    _xlpm.row_name, $A61,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0.4586524550622878</v>
      </c>
      <c r="AO61" cm="1">
        <f t="array" ref="AO61">_xlfn.LET(
    _xlpm.row_name, $A61,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0.56989109223527701</v>
      </c>
      <c r="AP61" cm="1">
        <f t="array" ref="AP61">_xlfn.LET(
    _xlpm.row_name, $A61,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0.17738947201915894</v>
      </c>
      <c r="AQ61" cm="1">
        <f t="array" ref="AQ61">_xlfn.LET(
    _xlpm.row_name, $A61,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0.88544228294078031</v>
      </c>
      <c r="AR61" cm="1">
        <f t="array" ref="AR61">_xlfn.LET(
    _xlpm.row_name, $A61,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0.61448975729498589</v>
      </c>
      <c r="AS61" cm="1">
        <f t="array" ref="AS61">_xlfn.LET(
    _xlpm.row_name, $A61,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0.77347573212619647</v>
      </c>
      <c r="AT61" cm="1">
        <f t="array" ref="AT61">_xlfn.LET(
    _xlpm.row_name, $A61,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0.74215968068713623</v>
      </c>
      <c r="AU61" cm="1">
        <f t="array" ref="AU61">_xlfn.LET(
    _xlpm.row_name, $A61,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0.21617970749923104</v>
      </c>
      <c r="AV61" cm="1">
        <f t="array" ref="AV61">_xlfn.LET(
    _xlpm.row_name, $A61,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0.6758156409789795</v>
      </c>
      <c r="AW61" cm="1">
        <f t="array" ref="AW61">_xlfn.LET(
    _xlpm.row_name, $A61,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0.48420484690207188</v>
      </c>
      <c r="AX61" cm="1">
        <f t="array" ref="AX61">_xlfn.LET(
    _xlpm.row_name, $A61,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0.74637967239639813</v>
      </c>
      <c r="AY61" cm="1">
        <f t="array" ref="AY61">_xlfn.LET(
    _xlpm.row_name, $A61,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0.43870549662099212</v>
      </c>
      <c r="AZ61" cm="1">
        <f t="array" ref="AZ61">_xlfn.LET(
    _xlpm.row_name, $A61,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0.64849523472011517</v>
      </c>
      <c r="BA61" cm="1">
        <f t="array" ref="BA61">_xlfn.LET(
    _xlpm.row_name, $A61,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0.42429112688840703</v>
      </c>
      <c r="BB61" cm="1">
        <f t="array" ref="BB61">_xlfn.LET(
    _xlpm.row_name, $A61,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0.34640547707387925</v>
      </c>
      <c r="BC61" cm="1">
        <f t="array" ref="BC61">_xlfn.LET(
    _xlpm.row_name, $A61,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0.8988750890770234</v>
      </c>
      <c r="BD61" cm="1">
        <f t="array" ref="BD61">_xlfn.LET(
    _xlpm.row_name, $A61,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0.43174668397057892</v>
      </c>
      <c r="BE61" cm="1">
        <f t="array" ref="BE61">_xlfn.LET(
    _xlpm.row_name, $A61,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0.45327780663529549</v>
      </c>
      <c r="BF61" cm="1">
        <f t="array" ref="BF61">_xlfn.LET(
    _xlpm.row_name, $A61,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0.48563384812290611</v>
      </c>
      <c r="BG61" cm="1">
        <f t="array" ref="BG61">_xlfn.LET(
    _xlpm.row_name, $A61,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0.55827547981396675</v>
      </c>
      <c r="BH61" cm="1">
        <f t="array" ref="BH61">_xlfn.LET(
    _xlpm.row_name, $A61,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I61" cm="1">
        <f t="array" ref="BI61">_xlfn.LET(
    _xlpm.row_name, $A61,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0.27969385031141702</v>
      </c>
      <c r="BJ61" cm="1">
        <f t="array" ref="BJ61">_xlfn.LET(
    _xlpm.row_name, $A61,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0.40985143805493029</v>
      </c>
      <c r="BK61" cm="1">
        <f t="array" ref="BK61">_xlfn.LET(
    _xlpm.row_name, $A61,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0.37596390737185426</v>
      </c>
      <c r="BL61" cm="1">
        <f t="array" ref="BL61">_xlfn.LET(
    _xlpm.row_name, $A61,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0.56078272184611799</v>
      </c>
      <c r="BM61" cm="1">
        <f t="array" ref="BM61">_xlfn.LET(
    _xlpm.row_name, $A61,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0.72457132590966111</v>
      </c>
      <c r="BN61" cm="1">
        <f t="array" ref="BN61">_xlfn.LET(
    _xlpm.row_name, $A61,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0.21642312768737232</v>
      </c>
      <c r="BO61" cm="1">
        <f t="array" ref="BO61">_xlfn.LET(
    _xlpm.row_name, $A61,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0.50630292319265657</v>
      </c>
      <c r="BP61" cm="1">
        <f t="array" ref="BP61">_xlfn.LET(
    _xlpm.row_name, $A61,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0.22941606980036788</v>
      </c>
      <c r="BQ61" cm="1">
        <f t="array" ref="BQ61">_xlfn.LET(
    _xlpm.row_name, $A61,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0.629797503807348</v>
      </c>
      <c r="BR61" cm="1">
        <f t="array" ref="BR61">_xlfn.LET(
    _xlpm.row_name, $A61,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0.51177202066785166</v>
      </c>
      <c r="BS61" cm="1">
        <f t="array" ref="BS61">_xlfn.LET(
    _xlpm.row_name, $A61,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0.28163698553063865</v>
      </c>
      <c r="BT61" cm="1">
        <f t="array" ref="BT61">_xlfn.LET(
    _xlpm.row_name, $A61,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0.42670154185455389</v>
      </c>
      <c r="BU61" cm="1">
        <f t="array" ref="BU61">_xlfn.LET(
    _xlpm.row_name, $A61,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0.61878130872622794</v>
      </c>
      <c r="BV61" cm="1">
        <f t="array" ref="BV61">_xlfn.LET(
    _xlpm.row_name, $A61,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0.94301930587990834</v>
      </c>
    </row>
    <row r="62" spans="1:74" x14ac:dyDescent="0.3">
      <c r="A62" t="str">
        <v>Chirinos, Yonny</v>
      </c>
      <c r="B62" cm="1">
        <f t="array" ref="B62">_xlfn.LET(
    _xlpm.row_name, $A62,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0.88518374242073494</v>
      </c>
      <c r="C62" cm="1">
        <f t="array" ref="C62">_xlfn.LET(
    _xlpm.row_name, $A62,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0.50321768529501021</v>
      </c>
      <c r="D62" cm="1">
        <f t="array" ref="D62">_xlfn.LET(
    _xlpm.row_name, $A62,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0.34699176397908471</v>
      </c>
      <c r="E62" cm="1">
        <f t="array" ref="E62">_xlfn.LET(
    _xlpm.row_name, $A62,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0.54845604751626553</v>
      </c>
      <c r="F62" cm="1">
        <f t="array" ref="F62">_xlfn.LET(
    _xlpm.row_name, $A62,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0.36556722926202195</v>
      </c>
      <c r="G62" cm="1">
        <f t="array" ref="G62">_xlfn.LET(
    _xlpm.row_name, $A62,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0.64689992919891648</v>
      </c>
      <c r="H62" cm="1">
        <f t="array" ref="H62">_xlfn.LET(
    _xlpm.row_name, $A62,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0.50675220995633807</v>
      </c>
      <c r="I62" cm="1">
        <f t="array" ref="I62">_xlfn.LET(
    _xlpm.row_name, $A62,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0.64637734657214685</v>
      </c>
      <c r="J62" cm="1">
        <f t="array" ref="J62">_xlfn.LET(
    _xlpm.row_name, $A62,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0.43961437083270916</v>
      </c>
      <c r="K62" cm="1">
        <f t="array" ref="K62">_xlfn.LET(
    _xlpm.row_name, $A62,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0.59885629707552368</v>
      </c>
      <c r="L62" cm="1">
        <f t="array" ref="L62">_xlfn.LET(
    _xlpm.row_name, $A62,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0.72930509687780221</v>
      </c>
      <c r="M62" cm="1">
        <f t="array" ref="M62">_xlfn.LET(
    _xlpm.row_name, $A62,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0.51473901754488183</v>
      </c>
      <c r="N62" cm="1">
        <f t="array" ref="N62">_xlfn.LET(
    _xlpm.row_name, $A62,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0.14445048340376876</v>
      </c>
      <c r="O62" cm="1">
        <f t="array" ref="O62">_xlfn.LET(
    _xlpm.row_name, $A62,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0.47956255165032163</v>
      </c>
      <c r="P62" cm="1">
        <f t="array" ref="P62">_xlfn.LET(
    _xlpm.row_name, $A62,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0.12346315032615945</v>
      </c>
      <c r="Q62" cm="1">
        <f t="array" ref="Q62">_xlfn.LET(
    _xlpm.row_name, $A62,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0.44397376834961289</v>
      </c>
      <c r="R62" cm="1">
        <f t="array" ref="R62">_xlfn.LET(
    _xlpm.row_name, $A62,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0.35256004115631007</v>
      </c>
      <c r="S62" cm="1">
        <f t="array" ref="S62">_xlfn.LET(
    _xlpm.row_name, $A62,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0.28614710878119864</v>
      </c>
      <c r="T62" cm="1">
        <f t="array" ref="T62">_xlfn.LET(
    _xlpm.row_name, $A62,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9.6726289186084558E-2</v>
      </c>
      <c r="U62" cm="1">
        <f t="array" ref="U62">_xlfn.LET(
    _xlpm.row_name, $A62,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0.61867964606716219</v>
      </c>
      <c r="V62" cm="1">
        <f t="array" ref="V62">_xlfn.LET(
    _xlpm.row_name, $A62,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0.75931130431569804</v>
      </c>
      <c r="W62" cm="1">
        <f t="array" ref="W62">_xlfn.LET(
    _xlpm.row_name, $A62,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0.20703181686575267</v>
      </c>
      <c r="X62" cm="1">
        <f t="array" ref="X62">_xlfn.LET(
    _xlpm.row_name, $A62,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0.76321897779904946</v>
      </c>
      <c r="Y62" cm="1">
        <f t="array" ref="Y62">_xlfn.LET(
    _xlpm.row_name, $A62,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0.68654265250390489</v>
      </c>
      <c r="Z62" cm="1">
        <f t="array" ref="Z62">_xlfn.LET(
    _xlpm.row_name, $A62,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0.28601344288827557</v>
      </c>
      <c r="AA62" cm="1">
        <f t="array" ref="AA62">_xlfn.LET(
    _xlpm.row_name, $A62,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0.36866970840036067</v>
      </c>
      <c r="AB62" cm="1">
        <f t="array" ref="AB62">_xlfn.LET(
    _xlpm.row_name, $A62,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0.70602661480635587</v>
      </c>
      <c r="AC62" cm="1">
        <f t="array" ref="AC62">_xlfn.LET(
    _xlpm.row_name, $A62,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0.59258339631880796</v>
      </c>
      <c r="AD62" cm="1">
        <f t="array" ref="AD62">_xlfn.LET(
    _xlpm.row_name, $A62,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0.722789235654548</v>
      </c>
      <c r="AE62" cm="1">
        <f t="array" ref="AE62">_xlfn.LET(
    _xlpm.row_name, $A62,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0.57616353290495037</v>
      </c>
      <c r="AF62" cm="1">
        <f t="array" ref="AF62">_xlfn.LET(
    _xlpm.row_name, $A62,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0.58712111322805938</v>
      </c>
      <c r="AG62" cm="1">
        <f t="array" ref="AG62">_xlfn.LET(
    _xlpm.row_name, $A62,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0.59990219184473748</v>
      </c>
      <c r="AH62" cm="1">
        <f t="array" ref="AH62">_xlfn.LET(
    _xlpm.row_name, $A62,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0.59246364094056325</v>
      </c>
      <c r="AI62" cm="1">
        <f t="array" ref="AI62">_xlfn.LET(
    _xlpm.row_name, $A62,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0.72086208443468269</v>
      </c>
      <c r="AJ62" cm="1">
        <f t="array" ref="AJ62">_xlfn.LET(
    _xlpm.row_name, $A62,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0.37677718091051082</v>
      </c>
      <c r="AK62" cm="1">
        <f t="array" ref="AK62">_xlfn.LET(
    _xlpm.row_name, $A62,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0.64658817122342871</v>
      </c>
      <c r="AL62" cm="1">
        <f t="array" ref="AL62">_xlfn.LET(
    _xlpm.row_name, $A62,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0.44399184907714645</v>
      </c>
      <c r="AM62" cm="1">
        <f t="array" ref="AM62">_xlfn.LET(
    _xlpm.row_name, $A62,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0.41905241221600531</v>
      </c>
      <c r="AN62" cm="1">
        <f t="array" ref="AN62">_xlfn.LET(
    _xlpm.row_name, $A62,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0.30499721270410785</v>
      </c>
      <c r="AO62" cm="1">
        <f t="array" ref="AO62">_xlfn.LET(
    _xlpm.row_name, $A62,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0.13748365080218594</v>
      </c>
      <c r="AP62" cm="1">
        <f t="array" ref="AP62">_xlfn.LET(
    _xlpm.row_name, $A62,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0.52688508596691774</v>
      </c>
      <c r="AQ62" cm="1">
        <f t="array" ref="AQ62">_xlfn.LET(
    _xlpm.row_name, $A62,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0.2025396199310972</v>
      </c>
      <c r="AR62" cm="1">
        <f t="array" ref="AR62">_xlfn.LET(
    _xlpm.row_name, $A62,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0.10644856930104502</v>
      </c>
      <c r="AS62" cm="1">
        <f t="array" ref="AS62">_xlfn.LET(
    _xlpm.row_name, $A62,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0.26492874510823539</v>
      </c>
      <c r="AT62" cm="1">
        <f t="array" ref="AT62">_xlfn.LET(
    _xlpm.row_name, $A62,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0.69415101308356664</v>
      </c>
      <c r="AU62" cm="1">
        <f t="array" ref="AU62">_xlfn.LET(
    _xlpm.row_name, $A62,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0.45640174411925183</v>
      </c>
      <c r="AV62" cm="1">
        <f t="array" ref="AV62">_xlfn.LET(
    _xlpm.row_name, $A62,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0.5817465712757437</v>
      </c>
      <c r="AW62" cm="1">
        <f t="array" ref="AW62">_xlfn.LET(
    _xlpm.row_name, $A62,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0.91834544281396746</v>
      </c>
      <c r="AX62" cm="1">
        <f t="array" ref="AX62">_xlfn.LET(
    _xlpm.row_name, $A62,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0.14670476558179846</v>
      </c>
      <c r="AY62" cm="1">
        <f t="array" ref="AY62">_xlfn.LET(
    _xlpm.row_name, $A62,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0.35908650489639282</v>
      </c>
      <c r="AZ62" cm="1">
        <f t="array" ref="AZ62">_xlfn.LET(
    _xlpm.row_name, $A62,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9.264314396257517E-2</v>
      </c>
      <c r="BA62" cm="1">
        <f t="array" ref="BA62">_xlfn.LET(
    _xlpm.row_name, $A62,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0.7824656285648881</v>
      </c>
      <c r="BB62" cm="1">
        <f t="array" ref="BB62">_xlfn.LET(
    _xlpm.row_name, $A62,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0.88965891887940107</v>
      </c>
      <c r="BC62" cm="1">
        <f t="array" ref="BC62">_xlfn.LET(
    _xlpm.row_name, $A62,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0.42227720409178526</v>
      </c>
      <c r="BD62" cm="1">
        <f t="array" ref="BD62">_xlfn.LET(
    _xlpm.row_name, $A62,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0.56694477803318377</v>
      </c>
      <c r="BE62" cm="1">
        <f t="array" ref="BE62">_xlfn.LET(
    _xlpm.row_name, $A62,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0.71371273703081717</v>
      </c>
      <c r="BF62" cm="1">
        <f t="array" ref="BF62">_xlfn.LET(
    _xlpm.row_name, $A62,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0.18983328543352113</v>
      </c>
      <c r="BG62" cm="1">
        <f t="array" ref="BG62">_xlfn.LET(
    _xlpm.row_name, $A62,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0.77179535370632402</v>
      </c>
      <c r="BH62" cm="1">
        <f t="array" ref="BH62">_xlfn.LET(
    _xlpm.row_name, $A62,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0.27969385031141702</v>
      </c>
      <c r="BI62" cm="1">
        <f t="array" ref="BI62">_xlfn.LET(
    _xlpm.row_name, $A62,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J62" cm="1">
        <f t="array" ref="BJ62">_xlfn.LET(
    _xlpm.row_name, $A62,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0.48145631456270566</v>
      </c>
      <c r="BK62" cm="1">
        <f t="array" ref="BK62">_xlfn.LET(
    _xlpm.row_name, $A62,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0.94016587082331093</v>
      </c>
      <c r="BL62" cm="1">
        <f t="array" ref="BL62">_xlfn.LET(
    _xlpm.row_name, $A62,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9.6387809943632552E-2</v>
      </c>
      <c r="BM62" cm="1">
        <f t="array" ref="BM62">_xlfn.LET(
    _xlpm.row_name, $A62,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0.26219138191394242</v>
      </c>
      <c r="BN62" cm="1">
        <f t="array" ref="BN62">_xlfn.LET(
    _xlpm.row_name, $A62,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0.8727234524202655</v>
      </c>
      <c r="BO62" cm="1">
        <f t="array" ref="BO62">_xlfn.LET(
    _xlpm.row_name, $A62,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0.42852773227746183</v>
      </c>
      <c r="BP62" cm="1">
        <f t="array" ref="BP62">_xlfn.LET(
    _xlpm.row_name, $A62,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0.50632137155063106</v>
      </c>
      <c r="BQ62" cm="1">
        <f t="array" ref="BQ62">_xlfn.LET(
    _xlpm.row_name, $A62,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0.52831830062865837</v>
      </c>
      <c r="BR62" cm="1">
        <f t="array" ref="BR62">_xlfn.LET(
    _xlpm.row_name, $A62,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0.86530705229671767</v>
      </c>
      <c r="BS62" cm="1">
        <f t="array" ref="BS62">_xlfn.LET(
    _xlpm.row_name, $A62,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0.34372070721241649</v>
      </c>
      <c r="BT62" cm="1">
        <f t="array" ref="BT62">_xlfn.LET(
    _xlpm.row_name, $A62,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0.10959572442756765</v>
      </c>
      <c r="BU62" cm="1">
        <f t="array" ref="BU62">_xlfn.LET(
    _xlpm.row_name, $A62,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0.141830413696934</v>
      </c>
      <c r="BV62" cm="1">
        <f t="array" ref="BV62">_xlfn.LET(
    _xlpm.row_name, $A62,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0.40119284688557344</v>
      </c>
    </row>
    <row r="63" spans="1:74" x14ac:dyDescent="0.3">
      <c r="A63" t="str">
        <v>Rodríguez, Richard</v>
      </c>
      <c r="B63" cm="1">
        <f t="array" ref="B63">_xlfn.LET(
    _xlpm.row_name, $A63,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0.56232106807158966</v>
      </c>
      <c r="C63" cm="1">
        <f t="array" ref="C63">_xlfn.LET(
    _xlpm.row_name, $A63,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0.62432178281624662</v>
      </c>
      <c r="D63" cm="1">
        <f t="array" ref="D63">_xlfn.LET(
    _xlpm.row_name, $A63,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0.64611288034634651</v>
      </c>
      <c r="E63" cm="1">
        <f t="array" ref="E63">_xlfn.LET(
    _xlpm.row_name, $A63,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0.17898659219517499</v>
      </c>
      <c r="F63" cm="1">
        <f t="array" ref="F63">_xlfn.LET(
    _xlpm.row_name, $A63,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0.35884532646038564</v>
      </c>
      <c r="G63" cm="1">
        <f t="array" ref="G63">_xlfn.LET(
    _xlpm.row_name, $A63,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0.58727386290876993</v>
      </c>
      <c r="H63" cm="1">
        <f t="array" ref="H63">_xlfn.LET(
    _xlpm.row_name, $A63,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0.8118688996005361</v>
      </c>
      <c r="I63" cm="1">
        <f t="array" ref="I63">_xlfn.LET(
    _xlpm.row_name, $A63,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0.83391593817140719</v>
      </c>
      <c r="J63" cm="1">
        <f t="array" ref="J63">_xlfn.LET(
    _xlpm.row_name, $A63,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0.5967154291574448</v>
      </c>
      <c r="K63" cm="1">
        <f t="array" ref="K63">_xlfn.LET(
    _xlpm.row_name, $A63,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0.66201947934792049</v>
      </c>
      <c r="L63" cm="1">
        <f t="array" ref="L63">_xlfn.LET(
    _xlpm.row_name, $A63,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0.49321315257921972</v>
      </c>
      <c r="M63" cm="1">
        <f t="array" ref="M63">_xlfn.LET(
    _xlpm.row_name, $A63,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0.96154008653549639</v>
      </c>
      <c r="N63" cm="1">
        <f t="array" ref="N63">_xlfn.LET(
    _xlpm.row_name, $A63,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0.23235770149051432</v>
      </c>
      <c r="O63" cm="1">
        <f t="array" ref="O63">_xlfn.LET(
    _xlpm.row_name, $A63,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0.7513637649179099</v>
      </c>
      <c r="P63" cm="1">
        <f t="array" ref="P63">_xlfn.LET(
    _xlpm.row_name, $A63,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0.38479425449533072</v>
      </c>
      <c r="Q63" cm="1">
        <f t="array" ref="Q63">_xlfn.LET(
    _xlpm.row_name, $A63,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0.34851580755611838</v>
      </c>
      <c r="R63" cm="1">
        <f t="array" ref="R63">_xlfn.LET(
    _xlpm.row_name, $A63,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0.74811247318389629</v>
      </c>
      <c r="S63" cm="1">
        <f t="array" ref="S63">_xlfn.LET(
    _xlpm.row_name, $A63,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0.81239503169261895</v>
      </c>
      <c r="T63" cm="1">
        <f t="array" ref="T63">_xlfn.LET(
    _xlpm.row_name, $A63,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0.53787033996942024</v>
      </c>
      <c r="U63" cm="1">
        <f t="array" ref="U63">_xlfn.LET(
    _xlpm.row_name, $A63,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0.54628290347287789</v>
      </c>
      <c r="V63" cm="1">
        <f t="array" ref="V63">_xlfn.LET(
    _xlpm.row_name, $A63,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0.47748813349220137</v>
      </c>
      <c r="W63" cm="1">
        <f t="array" ref="W63">_xlfn.LET(
    _xlpm.row_name, $A63,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0.30815899475731939</v>
      </c>
      <c r="X63" cm="1">
        <f t="array" ref="X63">_xlfn.LET(
    _xlpm.row_name, $A63,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0.55000128578786855</v>
      </c>
      <c r="Y63" cm="1">
        <f t="array" ref="Y63">_xlfn.LET(
    _xlpm.row_name, $A63,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0.79375159409881202</v>
      </c>
      <c r="Z63" cm="1">
        <f t="array" ref="Z63">_xlfn.LET(
    _xlpm.row_name, $A63,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0.76726087161874101</v>
      </c>
      <c r="AA63" cm="1">
        <f t="array" ref="AA63">_xlfn.LET(
    _xlpm.row_name, $A63,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0.7656980097582472</v>
      </c>
      <c r="AB63" cm="1">
        <f t="array" ref="AB63">_xlfn.LET(
    _xlpm.row_name, $A63,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0.88627552217002159</v>
      </c>
      <c r="AC63" cm="1">
        <f t="array" ref="AC63">_xlfn.LET(
    _xlpm.row_name, $A63,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0.39859103423596209</v>
      </c>
      <c r="AD63" cm="1">
        <f t="array" ref="AD63">_xlfn.LET(
    _xlpm.row_name, $A63,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0.83187582431480189</v>
      </c>
      <c r="AE63" cm="1">
        <f t="array" ref="AE63">_xlfn.LET(
    _xlpm.row_name, $A63,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0.59844099238625126</v>
      </c>
      <c r="AF63" cm="1">
        <f t="array" ref="AF63">_xlfn.LET(
    _xlpm.row_name, $A63,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0.46960420711649536</v>
      </c>
      <c r="AG63" cm="1">
        <f t="array" ref="AG63">_xlfn.LET(
    _xlpm.row_name, $A63,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0.47448147717587619</v>
      </c>
      <c r="AH63" cm="1">
        <f t="array" ref="AH63">_xlfn.LET(
    _xlpm.row_name, $A63,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0.95892154987896294</v>
      </c>
      <c r="AI63" cm="1">
        <f t="array" ref="AI63">_xlfn.LET(
    _xlpm.row_name, $A63,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0.72304888266165346</v>
      </c>
      <c r="AJ63" cm="1">
        <f t="array" ref="AJ63">_xlfn.LET(
    _xlpm.row_name, $A63,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0.89311812032338933</v>
      </c>
      <c r="AK63" cm="1">
        <f t="array" ref="AK63">_xlfn.LET(
    _xlpm.row_name, $A63,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0.49422053972435392</v>
      </c>
      <c r="AL63" cm="1">
        <f t="array" ref="AL63">_xlfn.LET(
    _xlpm.row_name, $A63,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0.74844189723141019</v>
      </c>
      <c r="AM63" cm="1">
        <f t="array" ref="AM63">_xlfn.LET(
    _xlpm.row_name, $A63,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0.33857780038993501</v>
      </c>
      <c r="AN63" cm="1">
        <f t="array" ref="AN63">_xlfn.LET(
    _xlpm.row_name, $A63,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0.93672698244123043</v>
      </c>
      <c r="AO63" cm="1">
        <f t="array" ref="AO63">_xlfn.LET(
    _xlpm.row_name, $A63,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0.31552754609639688</v>
      </c>
      <c r="AP63" cm="1">
        <f t="array" ref="AP63">_xlfn.LET(
    _xlpm.row_name, $A63,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0.33695279989488858</v>
      </c>
      <c r="AQ63" cm="1">
        <f t="array" ref="AQ63">_xlfn.LET(
    _xlpm.row_name, $A63,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0.62587346031818925</v>
      </c>
      <c r="AR63" cm="1">
        <f t="array" ref="AR63">_xlfn.LET(
    _xlpm.row_name, $A63,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0.79365246730022709</v>
      </c>
      <c r="AS63" cm="1">
        <f t="array" ref="AS63">_xlfn.LET(
    _xlpm.row_name, $A63,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0.69894294243825839</v>
      </c>
      <c r="AT63" cm="1">
        <f t="array" ref="AT63">_xlfn.LET(
    _xlpm.row_name, $A63,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0.22703658526361747</v>
      </c>
      <c r="AU63" cm="1">
        <f t="array" ref="AU63">_xlfn.LET(
    _xlpm.row_name, $A63,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0.87419314162630535</v>
      </c>
      <c r="AV63" cm="1">
        <f t="array" ref="AV63">_xlfn.LET(
    _xlpm.row_name, $A63,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0.53489922040981741</v>
      </c>
      <c r="AW63" cm="1">
        <f t="array" ref="AW63">_xlfn.LET(
    _xlpm.row_name, $A63,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0.42322330367575312</v>
      </c>
      <c r="AX63" cm="1">
        <f t="array" ref="AX63">_xlfn.LET(
    _xlpm.row_name, $A63,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0.33209469238886774</v>
      </c>
      <c r="AY63" cm="1">
        <f t="array" ref="AY63">_xlfn.LET(
    _xlpm.row_name, $A63,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0.92711135705845948</v>
      </c>
      <c r="AZ63" cm="1">
        <f t="array" ref="AZ63">_xlfn.LET(
    _xlpm.row_name, $A63,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0.37708481191202442</v>
      </c>
      <c r="BA63" cm="1">
        <f t="array" ref="BA63">_xlfn.LET(
    _xlpm.row_name, $A63,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0.67282084990169855</v>
      </c>
      <c r="BB63" cm="1">
        <f t="array" ref="BB63">_xlfn.LET(
    _xlpm.row_name, $A63,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0.51016518451120374</v>
      </c>
      <c r="BC63" cm="1">
        <f t="array" ref="BC63">_xlfn.LET(
    _xlpm.row_name, $A63,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0.20757588460918397</v>
      </c>
      <c r="BD63" cm="1">
        <f t="array" ref="BD63">_xlfn.LET(
    _xlpm.row_name, $A63,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0.56945009939998315</v>
      </c>
      <c r="BE63" cm="1">
        <f t="array" ref="BE63">_xlfn.LET(
    _xlpm.row_name, $A63,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0.18947604327624235</v>
      </c>
      <c r="BF63" cm="1">
        <f t="array" ref="BF63">_xlfn.LET(
    _xlpm.row_name, $A63,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0.51480746374095454</v>
      </c>
      <c r="BG63" cm="1">
        <f t="array" ref="BG63">_xlfn.LET(
    _xlpm.row_name, $A63,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0.56359262462735482</v>
      </c>
      <c r="BH63" cm="1">
        <f t="array" ref="BH63">_xlfn.LET(
    _xlpm.row_name, $A63,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0.40985143805493029</v>
      </c>
      <c r="BI63" cm="1">
        <f t="array" ref="BI63">_xlfn.LET(
    _xlpm.row_name, $A63,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0.48145631456270566</v>
      </c>
      <c r="BJ63" cm="1">
        <f t="array" ref="BJ63">_xlfn.LET(
    _xlpm.row_name, $A63,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K63" cm="1">
        <f t="array" ref="BK63">_xlfn.LET(
    _xlpm.row_name, $A63,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0.67341968832344956</v>
      </c>
      <c r="BL63" cm="1">
        <f t="array" ref="BL63">_xlfn.LET(
    _xlpm.row_name, $A63,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0.47097917290633395</v>
      </c>
      <c r="BM63" cm="1">
        <f t="array" ref="BM63">_xlfn.LET(
    _xlpm.row_name, $A63,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0.29544043819725152</v>
      </c>
      <c r="BN63" cm="1">
        <f t="array" ref="BN63">_xlfn.LET(
    _xlpm.row_name, $A63,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0.47307439577217408</v>
      </c>
      <c r="BO63" cm="1">
        <f t="array" ref="BO63">_xlfn.LET(
    _xlpm.row_name, $A63,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0.20057492514628222</v>
      </c>
      <c r="BP63" cm="1">
        <f t="array" ref="BP63">_xlfn.LET(
    _xlpm.row_name, $A63,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0.74756344513274531</v>
      </c>
      <c r="BQ63" cm="1">
        <f t="array" ref="BQ63">_xlfn.LET(
    _xlpm.row_name, $A63,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0.60507877107732655</v>
      </c>
      <c r="BR63" cm="1">
        <f t="array" ref="BR63">_xlfn.LET(
    _xlpm.row_name, $A63,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0.36529798772804678</v>
      </c>
      <c r="BS63" cm="1">
        <f t="array" ref="BS63">_xlfn.LET(
    _xlpm.row_name, $A63,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0.45619459525195089</v>
      </c>
      <c r="BT63" cm="1">
        <f t="array" ref="BT63">_xlfn.LET(
    _xlpm.row_name, $A63,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0.55304423751206067</v>
      </c>
      <c r="BU63" cm="1">
        <f t="array" ref="BU63">_xlfn.LET(
    _xlpm.row_name, $A63,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0.65784336848689562</v>
      </c>
      <c r="BV63" cm="1">
        <f t="array" ref="BV63">_xlfn.LET(
    _xlpm.row_name, $A63,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0.51505561245689091</v>
      </c>
    </row>
    <row r="64" spans="1:74" x14ac:dyDescent="0.3">
      <c r="A64" t="str">
        <v>Kerr, Ray</v>
      </c>
      <c r="B64" cm="1">
        <f t="array" ref="B64">_xlfn.LET(
    _xlpm.row_name, $A64,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0.90767983541054509</v>
      </c>
      <c r="C64" cm="1">
        <f t="array" ref="C64">_xlfn.LET(
    _xlpm.row_name, $A64,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0.59449816365449604</v>
      </c>
      <c r="D64" cm="1">
        <f t="array" ref="D64">_xlfn.LET(
    _xlpm.row_name, $A64,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0.32289185066709764</v>
      </c>
      <c r="E64" cm="1">
        <f t="array" ref="E64">_xlfn.LET(
    _xlpm.row_name, $A64,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0.49880325052213331</v>
      </c>
      <c r="F64" cm="1">
        <f t="array" ref="F64">_xlfn.LET(
    _xlpm.row_name, $A64,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0.36334077817585864</v>
      </c>
      <c r="G64" cm="1">
        <f t="array" ref="G64">_xlfn.LET(
    _xlpm.row_name, $A64,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0.6722324504673125</v>
      </c>
      <c r="H64" cm="1">
        <f t="array" ref="H64">_xlfn.LET(
    _xlpm.row_name, $A64,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0.58715353332360942</v>
      </c>
      <c r="I64" cm="1">
        <f t="array" ref="I64">_xlfn.LET(
    _xlpm.row_name, $A64,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0.70431111285080705</v>
      </c>
      <c r="J64" cm="1">
        <f t="array" ref="J64">_xlfn.LET(
    _xlpm.row_name, $A64,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0.4236854353886314</v>
      </c>
      <c r="K64" cm="1">
        <f t="array" ref="K64">_xlfn.LET(
    _xlpm.row_name, $A64,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0.74207825530302363</v>
      </c>
      <c r="L64" cm="1">
        <f t="array" ref="L64">_xlfn.LET(
    _xlpm.row_name, $A64,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0.81816366199742196</v>
      </c>
      <c r="M64" cm="1">
        <f t="array" ref="M64">_xlfn.LET(
    _xlpm.row_name, $A64,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0.64279889478808627</v>
      </c>
      <c r="N64" cm="1">
        <f t="array" ref="N64">_xlfn.LET(
    _xlpm.row_name, $A64,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3.1720724604756501E-2</v>
      </c>
      <c r="O64" cm="1">
        <f t="array" ref="O64">_xlfn.LET(
    _xlpm.row_name, $A64,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0.64485982053259794</v>
      </c>
      <c r="P64" cm="1">
        <f t="array" ref="P64">_xlfn.LET(
    _xlpm.row_name, $A64,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6.9555242029239128E-2</v>
      </c>
      <c r="Q64" cm="1">
        <f t="array" ref="Q64">_xlfn.LET(
    _xlpm.row_name, $A64,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0.48560862782091463</v>
      </c>
      <c r="R64" cm="1">
        <f t="array" ref="R64">_xlfn.LET(
    _xlpm.row_name, $A64,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0.39982351788624448</v>
      </c>
      <c r="S64" cm="1">
        <f t="array" ref="S64">_xlfn.LET(
    _xlpm.row_name, $A64,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0.43769587703940244</v>
      </c>
      <c r="T64" cm="1">
        <f t="array" ref="T64">_xlfn.LET(
    _xlpm.row_name, $A64,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9.0295771895140542E-2</v>
      </c>
      <c r="U64" cm="1">
        <f t="array" ref="U64">_xlfn.LET(
    _xlpm.row_name, $A64,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0.59510031362950655</v>
      </c>
      <c r="V64" cm="1">
        <f t="array" ref="V64">_xlfn.LET(
    _xlpm.row_name, $A64,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0.84097111691052184</v>
      </c>
      <c r="W64" cm="1">
        <f t="array" ref="W64">_xlfn.LET(
    _xlpm.row_name, $A64,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0.18657723896257278</v>
      </c>
      <c r="X64" cm="1">
        <f t="array" ref="X64">_xlfn.LET(
    _xlpm.row_name, $A64,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0.70920283738111856</v>
      </c>
      <c r="Y64" cm="1">
        <f t="array" ref="Y64">_xlfn.LET(
    _xlpm.row_name, $A64,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0.78219016990898904</v>
      </c>
      <c r="Z64" cm="1">
        <f t="array" ref="Z64">_xlfn.LET(
    _xlpm.row_name, $A64,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0.32025977229790203</v>
      </c>
      <c r="AA64" cm="1">
        <f t="array" ref="AA64">_xlfn.LET(
    _xlpm.row_name, $A64,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0.54588215325959155</v>
      </c>
      <c r="AB64" cm="1">
        <f t="array" ref="AB64">_xlfn.LET(
    _xlpm.row_name, $A64,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0.81655190462871519</v>
      </c>
      <c r="AC64" cm="1">
        <f t="array" ref="AC64">_xlfn.LET(
    _xlpm.row_name, $A64,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0.60151851583405302</v>
      </c>
      <c r="AD64" cm="1">
        <f t="array" ref="AD64">_xlfn.LET(
    _xlpm.row_name, $A64,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0.78651185198688967</v>
      </c>
      <c r="AE64" cm="1">
        <f t="array" ref="AE64">_xlfn.LET(
    _xlpm.row_name, $A64,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0.55692472960627193</v>
      </c>
      <c r="AF64" cm="1">
        <f t="array" ref="AF64">_xlfn.LET(
    _xlpm.row_name, $A64,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0.68000581151125272</v>
      </c>
      <c r="AG64" cm="1">
        <f t="array" ref="AG64">_xlfn.LET(
    _xlpm.row_name, $A64,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0.64773896051107882</v>
      </c>
      <c r="AH64" cm="1">
        <f t="array" ref="AH64">_xlfn.LET(
    _xlpm.row_name, $A64,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0.73619531771343616</v>
      </c>
      <c r="AI64" cm="1">
        <f t="array" ref="AI64">_xlfn.LET(
    _xlpm.row_name, $A64,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0.84134190228159911</v>
      </c>
      <c r="AJ64" cm="1">
        <f t="array" ref="AJ64">_xlfn.LET(
    _xlpm.row_name, $A64,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0.51522703487664712</v>
      </c>
      <c r="AK64" cm="1">
        <f t="array" ref="AK64">_xlfn.LET(
    _xlpm.row_name, $A64,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0.75851554663539422</v>
      </c>
      <c r="AL64" cm="1">
        <f t="array" ref="AL64">_xlfn.LET(
    _xlpm.row_name, $A64,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0.43488098665496466</v>
      </c>
      <c r="AM64" cm="1">
        <f t="array" ref="AM64">_xlfn.LET(
    _xlpm.row_name, $A64,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0.46183754219429146</v>
      </c>
      <c r="AN64" cm="1">
        <f t="array" ref="AN64">_xlfn.LET(
    _xlpm.row_name, $A64,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0.45701114210309041</v>
      </c>
      <c r="AO64" cm="1">
        <f t="array" ref="AO64">_xlfn.LET(
    _xlpm.row_name, $A64,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5.1560331555144834E-2</v>
      </c>
      <c r="AP64" cm="1">
        <f t="array" ref="AP64">_xlfn.LET(
    _xlpm.row_name, $A64,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0.38718069763859619</v>
      </c>
      <c r="AQ64" cm="1">
        <f t="array" ref="AQ64">_xlfn.LET(
    _xlpm.row_name, $A64,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0.3841479281134853</v>
      </c>
      <c r="AR64" cm="1">
        <f t="array" ref="AR64">_xlfn.LET(
    _xlpm.row_name, $A64,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0.27715809751439574</v>
      </c>
      <c r="AS64" cm="1">
        <f t="array" ref="AS64">_xlfn.LET(
    _xlpm.row_name, $A64,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0.46950506465116115</v>
      </c>
      <c r="AT64" cm="1">
        <f t="array" ref="AT64">_xlfn.LET(
    _xlpm.row_name, $A64,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0.64799258098053403</v>
      </c>
      <c r="AU64" cm="1">
        <f t="array" ref="AU64">_xlfn.LET(
    _xlpm.row_name, $A64,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0.55944349343854027</v>
      </c>
      <c r="AV64" cm="1">
        <f t="array" ref="AV64">_xlfn.LET(
    _xlpm.row_name, $A64,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0.67638591902485778</v>
      </c>
      <c r="AW64" cm="1">
        <f t="array" ref="AW64">_xlfn.LET(
    _xlpm.row_name, $A64,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0.88365482149868524</v>
      </c>
      <c r="AX64" cm="1">
        <f t="array" ref="AX64">_xlfn.LET(
    _xlpm.row_name, $A64,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0.16967071012254381</v>
      </c>
      <c r="AY64" cm="1">
        <f t="array" ref="AY64">_xlfn.LET(
    _xlpm.row_name, $A64,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0.55609404905453963</v>
      </c>
      <c r="AZ64" cm="1">
        <f t="array" ref="AZ64">_xlfn.LET(
    _xlpm.row_name, $A64,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4.6025137475513567E-2</v>
      </c>
      <c r="BA64" cm="1">
        <f t="array" ref="BA64">_xlfn.LET(
    _xlpm.row_name, $A64,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0.85715715638187007</v>
      </c>
      <c r="BB64" cm="1">
        <f t="array" ref="BB64">_xlfn.LET(
    _xlpm.row_name, $A64,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0.88617546866003982</v>
      </c>
      <c r="BC64" cm="1">
        <f t="array" ref="BC64">_xlfn.LET(
    _xlpm.row_name, $A64,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0.41096451504773179</v>
      </c>
      <c r="BD64" cm="1">
        <f t="array" ref="BD64">_xlfn.LET(
    _xlpm.row_name, $A64,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0.59779533800415618</v>
      </c>
      <c r="BE64" cm="1">
        <f t="array" ref="BE64">_xlfn.LET(
    _xlpm.row_name, $A64,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0.6180557469041279</v>
      </c>
      <c r="BF64" cm="1">
        <f t="array" ref="BF64">_xlfn.LET(
    _xlpm.row_name, $A64,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0.14468135726401227</v>
      </c>
      <c r="BG64" cm="1">
        <f t="array" ref="BG64">_xlfn.LET(
    _xlpm.row_name, $A64,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0.8027742506880533</v>
      </c>
      <c r="BH64" cm="1">
        <f t="array" ref="BH64">_xlfn.LET(
    _xlpm.row_name, $A64,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0.37596390737185426</v>
      </c>
      <c r="BI64" cm="1">
        <f t="array" ref="BI64">_xlfn.LET(
    _xlpm.row_name, $A64,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0.94016587082331093</v>
      </c>
      <c r="BJ64" cm="1">
        <f t="array" ref="BJ64">_xlfn.LET(
    _xlpm.row_name, $A64,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0.67341968832344956</v>
      </c>
      <c r="BK64" cm="1">
        <f t="array" ref="BK64">_xlfn.LET(
    _xlpm.row_name, $A64,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L64" cm="1">
        <f t="array" ref="BL64">_xlfn.LET(
    _xlpm.row_name, $A64,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6.6986179119443712E-2</v>
      </c>
      <c r="BM64" cm="1">
        <f t="array" ref="BM64">_xlfn.LET(
    _xlpm.row_name, $A64,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0.28251209011588052</v>
      </c>
      <c r="BN64" cm="1">
        <f t="array" ref="BN64">_xlfn.LET(
    _xlpm.row_name, $A64,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0.79156045815786213</v>
      </c>
      <c r="BO64" cm="1">
        <f t="array" ref="BO64">_xlfn.LET(
    _xlpm.row_name, $A64,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0.24535791170080662</v>
      </c>
      <c r="BP64" cm="1">
        <f t="array" ref="BP64">_xlfn.LET(
    _xlpm.row_name, $A64,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0.54907051185898326</v>
      </c>
      <c r="BQ64" cm="1">
        <f t="array" ref="BQ64">_xlfn.LET(
    _xlpm.row_name, $A64,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0.5827216670842964</v>
      </c>
      <c r="BR64" cm="1">
        <f t="array" ref="BR64">_xlfn.LET(
    _xlpm.row_name, $A64,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0.84377873132674575</v>
      </c>
      <c r="BS64" cm="1">
        <f t="array" ref="BS64">_xlfn.LET(
    _xlpm.row_name, $A64,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0.27813647772338396</v>
      </c>
      <c r="BT64" cm="1">
        <f t="array" ref="BT64">_xlfn.LET(
    _xlpm.row_name, $A64,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8.3823399986545588E-2</v>
      </c>
      <c r="BU64" cm="1">
        <f t="array" ref="BU64">_xlfn.LET(
    _xlpm.row_name, $A64,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0.20587229740660079</v>
      </c>
      <c r="BV64" cm="1">
        <f t="array" ref="BV64">_xlfn.LET(
    _xlpm.row_name, $A64,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0.5531764427274809</v>
      </c>
    </row>
    <row r="65" spans="1:74" x14ac:dyDescent="0.3">
      <c r="A65" t="str">
        <v>Kinley, Tyler</v>
      </c>
      <c r="B65" cm="1">
        <f t="array" ref="B65">_xlfn.LET(
    _xlpm.row_name, $A65,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1.341556346679923E-2</v>
      </c>
      <c r="C65" cm="1">
        <f t="array" ref="C65">_xlfn.LET(
    _xlpm.row_name, $A65,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0.23816089322886536</v>
      </c>
      <c r="D65" cm="1">
        <f t="array" ref="D65">_xlfn.LET(
    _xlpm.row_name, $A65,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0.84855334783094505</v>
      </c>
      <c r="E65" cm="1">
        <f t="array" ref="E65">_xlfn.LET(
    _xlpm.row_name, $A65,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0.28252094128384142</v>
      </c>
      <c r="F65" cm="1">
        <f t="array" ref="F65">_xlfn.LET(
    _xlpm.row_name, $A65,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0.47054829341711968</v>
      </c>
      <c r="G65" cm="1">
        <f t="array" ref="G65">_xlfn.LET(
    _xlpm.row_name, $A65,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0.49237111589411636</v>
      </c>
      <c r="H65" cm="1">
        <f t="array" ref="H65">_xlfn.LET(
    _xlpm.row_name, $A65,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0.42721098822079462</v>
      </c>
      <c r="I65" cm="1">
        <f t="array" ref="I65">_xlfn.LET(
    _xlpm.row_name, $A65,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0.32285771635876592</v>
      </c>
      <c r="J65" cm="1">
        <f t="array" ref="J65">_xlfn.LET(
    _xlpm.row_name, $A65,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0.58901419075236672</v>
      </c>
      <c r="K65" cm="1">
        <f t="array" ref="K65">_xlfn.LET(
    _xlpm.row_name, $A65,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0.14797695751424789</v>
      </c>
      <c r="L65" cm="1">
        <f t="array" ref="L65">_xlfn.LET(
    _xlpm.row_name, $A65,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7.4543009778178959E-2</v>
      </c>
      <c r="M65" cm="1">
        <f t="array" ref="M65">_xlfn.LET(
    _xlpm.row_name, $A65,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0.48732614818803532</v>
      </c>
      <c r="N65" cm="1">
        <f t="array" ref="N65">_xlfn.LET(
    _xlpm.row_name, $A65,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0.87535573229259667</v>
      </c>
      <c r="O65" cm="1">
        <f t="array" ref="O65">_xlfn.LET(
    _xlpm.row_name, $A65,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0.52247571167806151</v>
      </c>
      <c r="P65" cm="1">
        <f t="array" ref="P65">_xlfn.LET(
    _xlpm.row_name, $A65,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0.79702237456116476</v>
      </c>
      <c r="Q65" cm="1">
        <f t="array" ref="Q65">_xlfn.LET(
    _xlpm.row_name, $A65,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0.3665429934092293</v>
      </c>
      <c r="R65" cm="1">
        <f t="array" ref="R65">_xlfn.LET(
    _xlpm.row_name, $A65,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0.65837556212993187</v>
      </c>
      <c r="S65" cm="1">
        <f t="array" ref="S65">_xlfn.LET(
    _xlpm.row_name, $A65,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0.53606295358620915</v>
      </c>
      <c r="T65" cm="1">
        <f t="array" ref="T65">_xlfn.LET(
    _xlpm.row_name, $A65,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0.8859085553845838</v>
      </c>
      <c r="U65" cm="1">
        <f t="array" ref="U65">_xlfn.LET(
    _xlpm.row_name, $A65,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0.57703734243741045</v>
      </c>
      <c r="V65" cm="1">
        <f t="array" ref="V65">_xlfn.LET(
    _xlpm.row_name, $A65,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0.1566530530559273</v>
      </c>
      <c r="W65" cm="1">
        <f t="array" ref="W65">_xlfn.LET(
    _xlpm.row_name, $A65,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0.63416965497122368</v>
      </c>
      <c r="X65" cm="1">
        <f t="array" ref="X65">_xlfn.LET(
    _xlpm.row_name, $A65,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0.48992201327715201</v>
      </c>
      <c r="Y65" cm="1">
        <f t="array" ref="Y65">_xlfn.LET(
    _xlpm.row_name, $A65,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0.22353990114393796</v>
      </c>
      <c r="Z65" cm="1">
        <f t="array" ref="Z65">_xlfn.LET(
    _xlpm.row_name, $A65,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0.85706015965584004</v>
      </c>
      <c r="AA65" cm="1">
        <f t="array" ref="AA65">_xlfn.LET(
    _xlpm.row_name, $A65,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0.60953008699081546</v>
      </c>
      <c r="AB65" cm="1">
        <f t="array" ref="AB65">_xlfn.LET(
    _xlpm.row_name, $A65,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0.33979885838952373</v>
      </c>
      <c r="AC65" cm="1">
        <f t="array" ref="AC65">_xlfn.LET(
    _xlpm.row_name, $A65,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0.17652522527730241</v>
      </c>
      <c r="AD65" cm="1">
        <f t="array" ref="AD65">_xlfn.LET(
    _xlpm.row_name, $A65,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0.26240816454747806</v>
      </c>
      <c r="AE65" cm="1">
        <f t="array" ref="AE65">_xlfn.LET(
    _xlpm.row_name, $A65,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0.64037287661106546</v>
      </c>
      <c r="AF65" cm="1">
        <f t="array" ref="AF65">_xlfn.LET(
    _xlpm.row_name, $A65,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0.24536949262964941</v>
      </c>
      <c r="AG65" cm="1">
        <f t="array" ref="AG65">_xlfn.LET(
    _xlpm.row_name, $A65,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0.27897607397093882</v>
      </c>
      <c r="AH65" cm="1">
        <f t="array" ref="AH65">_xlfn.LET(
    _xlpm.row_name, $A65,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0.43119564905755281</v>
      </c>
      <c r="AI65" cm="1">
        <f t="array" ref="AI65">_xlfn.LET(
    _xlpm.row_name, $A65,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0.20840759526205654</v>
      </c>
      <c r="AJ65" cm="1">
        <f t="array" ref="AJ65">_xlfn.LET(
    _xlpm.row_name, $A65,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0.70622381133656187</v>
      </c>
      <c r="AK65" cm="1">
        <f t="array" ref="AK65">_xlfn.LET(
    _xlpm.row_name, $A65,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0.15702749181810838</v>
      </c>
      <c r="AL65" cm="1">
        <f t="array" ref="AL65">_xlfn.LET(
    _xlpm.row_name, $A65,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0.76160205170443462</v>
      </c>
      <c r="AM65" cm="1">
        <f t="array" ref="AM65">_xlfn.LET(
    _xlpm.row_name, $A65,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0.32644244041822185</v>
      </c>
      <c r="AN65" cm="1">
        <f t="array" ref="AN65">_xlfn.LET(
    _xlpm.row_name, $A65,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0.69635044174762684</v>
      </c>
      <c r="AO65" cm="1">
        <f t="array" ref="AO65">_xlfn.LET(
    _xlpm.row_name, $A65,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0.97106973183534828</v>
      </c>
      <c r="AP65" cm="1">
        <f t="array" ref="AP65">_xlfn.LET(
    _xlpm.row_name, $A65,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0.63265083073837769</v>
      </c>
      <c r="AQ65" cm="1">
        <f t="array" ref="AQ65">_xlfn.LET(
    _xlpm.row_name, $A65,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0.62640674293530763</v>
      </c>
      <c r="AR65" cm="1">
        <f t="array" ref="AR65">_xlfn.LET(
    _xlpm.row_name, $A65,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0.7412751491871572</v>
      </c>
      <c r="AS65" cm="1">
        <f t="array" ref="AS65">_xlfn.LET(
    _xlpm.row_name, $A65,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0.49211569983828229</v>
      </c>
      <c r="AT65" cm="1">
        <f t="array" ref="AT65">_xlfn.LET(
    _xlpm.row_name, $A65,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0.3482976315793106</v>
      </c>
      <c r="AU65" cm="1">
        <f t="array" ref="AU65">_xlfn.LET(
    _xlpm.row_name, $A65,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0.57807925966034912</v>
      </c>
      <c r="AV65" cm="1">
        <f t="array" ref="AV65">_xlfn.LET(
    _xlpm.row_name, $A65,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0.15285750844949597</v>
      </c>
      <c r="AW65" cm="1">
        <f t="array" ref="AW65">_xlfn.LET(
    _xlpm.row_name, $A65,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5.8746084786407027E-2</v>
      </c>
      <c r="AX65" cm="1">
        <f t="array" ref="AX65">_xlfn.LET(
    _xlpm.row_name, $A65,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0.63337477956382793</v>
      </c>
      <c r="AY65" cm="1">
        <f t="array" ref="AY65">_xlfn.LET(
    _xlpm.row_name, $A65,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0.49181622965172328</v>
      </c>
      <c r="AZ65" cm="1">
        <f t="array" ref="AZ65">_xlfn.LET(
    _xlpm.row_name, $A65,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0.86756404793866571</v>
      </c>
      <c r="BA65" cm="1">
        <f t="array" ref="BA65">_xlfn.LET(
    _xlpm.row_name, $A65,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0.31343433731099757</v>
      </c>
      <c r="BB65" cm="1">
        <f t="array" ref="BB65">_xlfn.LET(
    _xlpm.row_name, $A65,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1.8864795837100212E-2</v>
      </c>
      <c r="BC65" cm="1">
        <f t="array" ref="BC65">_xlfn.LET(
    _xlpm.row_name, $A65,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0.40864860170354761</v>
      </c>
      <c r="BD65" cm="1">
        <f t="array" ref="BD65">_xlfn.LET(
    _xlpm.row_name, $A65,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0.57237259635470139</v>
      </c>
      <c r="BE65" cm="1">
        <f t="array" ref="BE65">_xlfn.LET(
    _xlpm.row_name, $A65,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0.23182504907624035</v>
      </c>
      <c r="BF65" cm="1">
        <f t="array" ref="BF65">_xlfn.LET(
    _xlpm.row_name, $A65,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0.82871538520305177</v>
      </c>
      <c r="BG65" cm="1">
        <f t="array" ref="BG65">_xlfn.LET(
    _xlpm.row_name, $A65,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0.37403166466609572</v>
      </c>
      <c r="BH65" cm="1">
        <f t="array" ref="BH65">_xlfn.LET(
    _xlpm.row_name, $A65,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0.56078272184611799</v>
      </c>
      <c r="BI65" cm="1">
        <f t="array" ref="BI65">_xlfn.LET(
    _xlpm.row_name, $A65,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9.6387809943632552E-2</v>
      </c>
      <c r="BJ65" cm="1">
        <f t="array" ref="BJ65">_xlfn.LET(
    _xlpm.row_name, $A65,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0.47097917290633395</v>
      </c>
      <c r="BK65" cm="1">
        <f t="array" ref="BK65">_xlfn.LET(
    _xlpm.row_name, $A65,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6.6986179119443712E-2</v>
      </c>
      <c r="BL65" cm="1">
        <f t="array" ref="BL65">_xlfn.LET(
    _xlpm.row_name, $A65,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M65" cm="1">
        <f t="array" ref="BM65">_xlfn.LET(
    _xlpm.row_name, $A65,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0.5155236652663161</v>
      </c>
      <c r="BN65" cm="1">
        <f t="array" ref="BN65">_xlfn.LET(
    _xlpm.row_name, $A65,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0.12509392125601337</v>
      </c>
      <c r="BO65" cm="1">
        <f t="array" ref="BO65">_xlfn.LET(
    _xlpm.row_name, $A65,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0.77628257450411797</v>
      </c>
      <c r="BP65" cm="1">
        <f t="array" ref="BP65">_xlfn.LET(
    _xlpm.row_name, $A65,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0.64376388881620483</v>
      </c>
      <c r="BQ65" cm="1">
        <f t="array" ref="BQ65">_xlfn.LET(
    _xlpm.row_name, $A65,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0.33774339151465599</v>
      </c>
      <c r="BR65" cm="1">
        <f t="array" ref="BR65">_xlfn.LET(
    _xlpm.row_name, $A65,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2.9798313296161949E-2</v>
      </c>
      <c r="BS65" cm="1">
        <f t="array" ref="BS65">_xlfn.LET(
    _xlpm.row_name, $A65,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0.79421397406159677</v>
      </c>
      <c r="BT65" cm="1">
        <f t="array" ref="BT65">_xlfn.LET(
    _xlpm.row_name, $A65,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0.9252146248680424</v>
      </c>
      <c r="BU65" cm="1">
        <f t="array" ref="BU65">_xlfn.LET(
    _xlpm.row_name, $A65,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0.94090828924973591</v>
      </c>
      <c r="BV65" cm="1">
        <f t="array" ref="BV65">_xlfn.LET(
    _xlpm.row_name, $A65,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0.36829518981317033</v>
      </c>
    </row>
    <row r="66" spans="1:74" x14ac:dyDescent="0.3">
      <c r="A66" t="str">
        <v>Hand, Brad</v>
      </c>
      <c r="B66" cm="1">
        <f t="array" ref="B66">_xlfn.LET(
    _xlpm.row_name, $A66,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0.46994673114278679</v>
      </c>
      <c r="C66" cm="1">
        <f t="array" ref="C66">_xlfn.LET(
    _xlpm.row_name, $A66,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0.72708252117643113</v>
      </c>
      <c r="D66" cm="1">
        <f t="array" ref="D66">_xlfn.LET(
    _xlpm.row_name, $A66,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0.31274252502071498</v>
      </c>
      <c r="E66" cm="1">
        <f t="array" ref="E66">_xlfn.LET(
    _xlpm.row_name, $A66,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0.79705544564831632</v>
      </c>
      <c r="F66" cm="1">
        <f t="array" ref="F66">_xlfn.LET(
    _xlpm.row_name, $A66,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0.93599419316795762</v>
      </c>
      <c r="G66" cm="1">
        <f t="array" ref="G66">_xlfn.LET(
    _xlpm.row_name, $A66,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0.38749909031373969</v>
      </c>
      <c r="H66" cm="1">
        <f t="array" ref="H66">_xlfn.LET(
    _xlpm.row_name, $A66,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0.29653163372178304</v>
      </c>
      <c r="I66" cm="1">
        <f t="array" ref="I66">_xlfn.LET(
    _xlpm.row_name, $A66,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0.31859281682756996</v>
      </c>
      <c r="J66" cm="1">
        <f t="array" ref="J66">_xlfn.LET(
    _xlpm.row_name, $A66,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0.58780797106483673</v>
      </c>
      <c r="K66" cm="1">
        <f t="array" ref="K66">_xlfn.LET(
    _xlpm.row_name, $A66,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0.62692688588679468</v>
      </c>
      <c r="L66" cm="1">
        <f t="array" ref="L66">_xlfn.LET(
    _xlpm.row_name, $A66,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0.69541135958746025</v>
      </c>
      <c r="M66" cm="1">
        <f t="array" ref="M66">_xlfn.LET(
    _xlpm.row_name, $A66,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0.27022476435003079</v>
      </c>
      <c r="N66" cm="1">
        <f t="array" ref="N66">_xlfn.LET(
    _xlpm.row_name, $A66,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0.75799883430750858</v>
      </c>
      <c r="O66" cm="1">
        <f t="array" ref="O66">_xlfn.LET(
    _xlpm.row_name, $A66,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0.43916742826246474</v>
      </c>
      <c r="P66" cm="1">
        <f t="array" ref="P66">_xlfn.LET(
    _xlpm.row_name, $A66,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0.71997133887765419</v>
      </c>
      <c r="Q66" cm="1">
        <f t="array" ref="Q66">_xlfn.LET(
    _xlpm.row_name, $A66,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0.6979094558730321</v>
      </c>
      <c r="R66" cm="1">
        <f t="array" ref="R66">_xlfn.LET(
    _xlpm.row_name, $A66,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0.26277703030299387</v>
      </c>
      <c r="S66" cm="1">
        <f t="array" ref="S66">_xlfn.LET(
    _xlpm.row_name, $A66,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0.50533254232999114</v>
      </c>
      <c r="T66" cm="1">
        <f t="array" ref="T66">_xlfn.LET(
    _xlpm.row_name, $A66,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0.53828431080888561</v>
      </c>
      <c r="U66" cm="1">
        <f t="array" ref="U66">_xlfn.LET(
    _xlpm.row_name, $A66,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0.3487455327017267</v>
      </c>
      <c r="V66" cm="1">
        <f t="array" ref="V66">_xlfn.LET(
    _xlpm.row_name, $A66,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0.55018322872704584</v>
      </c>
      <c r="W66" cm="1">
        <f t="array" ref="W66">_xlfn.LET(
    _xlpm.row_name, $A66,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0.76155116805953083</v>
      </c>
      <c r="X66" cm="1">
        <f t="array" ref="X66">_xlfn.LET(
    _xlpm.row_name, $A66,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0.17887434186140577</v>
      </c>
      <c r="Y66" cm="1">
        <f t="array" ref="Y66">_xlfn.LET(
    _xlpm.row_name, $A66,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0.49026832330010894</v>
      </c>
      <c r="Z66" cm="1">
        <f t="array" ref="Z66">_xlfn.LET(
    _xlpm.row_name, $A66,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0.27540549652045071</v>
      </c>
      <c r="AA66" cm="1">
        <f t="array" ref="AA66">_xlfn.LET(
    _xlpm.row_name, $A66,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0.49030391103338872</v>
      </c>
      <c r="AB66" cm="1">
        <f t="array" ref="AB66">_xlfn.LET(
    _xlpm.row_name, $A66,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0.26907113224318852</v>
      </c>
      <c r="AC66" cm="1">
        <f t="array" ref="AC66">_xlfn.LET(
    _xlpm.row_name, $A66,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0.76168121858432358</v>
      </c>
      <c r="AD66" cm="1">
        <f t="array" ref="AD66">_xlfn.LET(
    _xlpm.row_name, $A66,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0.22175444023146523</v>
      </c>
      <c r="AE66" cm="1">
        <f t="array" ref="AE66">_xlfn.LET(
    _xlpm.row_name, $A66,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0.29285590187639665</v>
      </c>
      <c r="AF66" cm="1">
        <f t="array" ref="AF66">_xlfn.LET(
    _xlpm.row_name, $A66,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0.79900357410278411</v>
      </c>
      <c r="AG66" cm="1">
        <f t="array" ref="AG66">_xlfn.LET(
    _xlpm.row_name, $A66,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0.78454807347054534</v>
      </c>
      <c r="AH66" cm="1">
        <f t="array" ref="AH66">_xlfn.LET(
    _xlpm.row_name, $A66,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0.15020544285315324</v>
      </c>
      <c r="AI66" cm="1">
        <f t="array" ref="AI66">_xlfn.LET(
    _xlpm.row_name, $A66,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0.52901672574640313</v>
      </c>
      <c r="AJ66" cm="1">
        <f t="array" ref="AJ66">_xlfn.LET(
    _xlpm.row_name, $A66,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0.26534996968522662</v>
      </c>
      <c r="AK66" cm="1">
        <f t="array" ref="AK66">_xlfn.LET(
    _xlpm.row_name, $A66,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0.7427107295831763</v>
      </c>
      <c r="AL66" cm="1">
        <f t="array" ref="AL66">_xlfn.LET(
    _xlpm.row_name, $A66,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0.16810383706196225</v>
      </c>
      <c r="AM66" cm="1">
        <f t="array" ref="AM66">_xlfn.LET(
    _xlpm.row_name, $A66,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0.83763446412199138</v>
      </c>
      <c r="AN66" cm="1">
        <f t="array" ref="AN66">_xlfn.LET(
    _xlpm.row_name, $A66,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0.28496749609080818</v>
      </c>
      <c r="AO66" cm="1">
        <f t="array" ref="AO66">_xlfn.LET(
    _xlpm.row_name, $A66,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0.59344186359278095</v>
      </c>
      <c r="AP66" cm="1">
        <f t="array" ref="AP66">_xlfn.LET(
    _xlpm.row_name, $A66,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0.53764878246095871</v>
      </c>
      <c r="AQ66" cm="1">
        <f t="array" ref="AQ66">_xlfn.LET(
    _xlpm.row_name, $A66,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0.73896396957640476</v>
      </c>
      <c r="AR66" cm="1">
        <f t="array" ref="AR66">_xlfn.LET(
    _xlpm.row_name, $A66,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0.66347012606502109</v>
      </c>
      <c r="AS66" cm="1">
        <f t="array" ref="AS66">_xlfn.LET(
    _xlpm.row_name, $A66,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0.79864159243470845</v>
      </c>
      <c r="AT66" cm="1">
        <f t="array" ref="AT66">_xlfn.LET(
    _xlpm.row_name, $A66,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0.53339081192857019</v>
      </c>
      <c r="AU66" cm="1">
        <f t="array" ref="AU66">_xlfn.LET(
    _xlpm.row_name, $A66,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0.38204737972216996</v>
      </c>
      <c r="AV66" cm="1">
        <f t="array" ref="AV66">_xlfn.LET(
    _xlpm.row_name, $A66,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0.71892142473701348</v>
      </c>
      <c r="AW66" cm="1">
        <f t="array" ref="AW66">_xlfn.LET(
    _xlpm.row_name, $A66,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0.37996838089032858</v>
      </c>
      <c r="AX66" cm="1">
        <f t="array" ref="AX66">_xlfn.LET(
    _xlpm.row_name, $A66,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0.96695845237238442</v>
      </c>
      <c r="AY66" cm="1">
        <f t="array" ref="AY66">_xlfn.LET(
    _xlpm.row_name, $A66,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0.54521814453239659</v>
      </c>
      <c r="AZ66" cm="1">
        <f t="array" ref="AZ66">_xlfn.LET(
    _xlpm.row_name, $A66,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0.64828304755784605</v>
      </c>
      <c r="BA66" cm="1">
        <f t="array" ref="BA66">_xlfn.LET(
    _xlpm.row_name, $A66,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0.2982308856834861</v>
      </c>
      <c r="BB66" cm="1">
        <f t="array" ref="BB66">_xlfn.LET(
    _xlpm.row_name, $A66,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0.50188838880086351</v>
      </c>
      <c r="BC66" cm="1">
        <f t="array" ref="BC66">_xlfn.LET(
    _xlpm.row_name, $A66,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0.79699072106591551</v>
      </c>
      <c r="BD66" cm="1">
        <f t="array" ref="BD66">_xlfn.LET(
    _xlpm.row_name, $A66,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0.41119392508405794</v>
      </c>
      <c r="BE66" cm="1">
        <f t="array" ref="BE66">_xlfn.LET(
    _xlpm.row_name, $A66,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0.76710075188923388</v>
      </c>
      <c r="BF66" cm="1">
        <f t="array" ref="BF66">_xlfn.LET(
    _xlpm.row_name, $A66,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0.45984365403146843</v>
      </c>
      <c r="BG66" cm="1">
        <f t="array" ref="BG66">_xlfn.LET(
    _xlpm.row_name, $A66,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0.21093758445572508</v>
      </c>
      <c r="BH66" cm="1">
        <f t="array" ref="BH66">_xlfn.LET(
    _xlpm.row_name, $A66,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0.72457132590966111</v>
      </c>
      <c r="BI66" cm="1">
        <f t="array" ref="BI66">_xlfn.LET(
    _xlpm.row_name, $A66,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0.26219138191394242</v>
      </c>
      <c r="BJ66" cm="1">
        <f t="array" ref="BJ66">_xlfn.LET(
    _xlpm.row_name, $A66,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0.29544043819725152</v>
      </c>
      <c r="BK66" cm="1">
        <f t="array" ref="BK66">_xlfn.LET(
    _xlpm.row_name, $A66,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0.28251209011588052</v>
      </c>
      <c r="BL66" cm="1">
        <f t="array" ref="BL66">_xlfn.LET(
    _xlpm.row_name, $A66,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0.5155236652663161</v>
      </c>
      <c r="BM66" cm="1">
        <f t="array" ref="BM66">_xlfn.LET(
    _xlpm.row_name, $A66,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N66" cm="1">
        <f t="array" ref="BN66">_xlfn.LET(
    _xlpm.row_name, $A66,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0.38745702857768538</v>
      </c>
      <c r="BO66" cm="1">
        <f t="array" ref="BO66">_xlfn.LET(
    _xlpm.row_name, $A66,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0.362846708615989</v>
      </c>
      <c r="BP66" cm="1">
        <f t="array" ref="BP66">_xlfn.LET(
    _xlpm.row_name, $A66,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0.31662872050879576</v>
      </c>
      <c r="BQ66" cm="1">
        <f t="array" ref="BQ66">_xlfn.LET(
    _xlpm.row_name, $A66,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0.43177158959061923</v>
      </c>
      <c r="BR66" cm="1">
        <f t="array" ref="BR66">_xlfn.LET(
    _xlpm.row_name, $A66,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0.58578886015962195</v>
      </c>
      <c r="BS66" cm="1">
        <f t="array" ref="BS66">_xlfn.LET(
    _xlpm.row_name, $A66,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0.54976499055130645</v>
      </c>
      <c r="BT66" cm="1">
        <f t="array" ref="BT66">_xlfn.LET(
    _xlpm.row_name, $A66,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0.52963940811038768</v>
      </c>
      <c r="BU66" cm="1">
        <f t="array" ref="BU66">_xlfn.LET(
    _xlpm.row_name, $A66,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0.39935485216451411</v>
      </c>
      <c r="BV66" cm="1">
        <f t="array" ref="BV66">_xlfn.LET(
    _xlpm.row_name, $A66,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0.75259741364510824</v>
      </c>
    </row>
    <row r="67" spans="1:74" x14ac:dyDescent="0.3">
      <c r="A67" t="str">
        <v>Heller, Ben</v>
      </c>
      <c r="B67" cm="1">
        <f t="array" ref="B67">_xlfn.LET(
    _xlpm.row_name, $A67,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0.92690893328689561</v>
      </c>
      <c r="C67" cm="1">
        <f t="array" ref="C67">_xlfn.LET(
    _xlpm.row_name, $A67,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0.74792964843156728</v>
      </c>
      <c r="D67" cm="1">
        <f t="array" ref="D67">_xlfn.LET(
    _xlpm.row_name, $A67,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0.29329187224286324</v>
      </c>
      <c r="E67" cm="1">
        <f t="array" ref="E67">_xlfn.LET(
    _xlpm.row_name, $A67,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0.63769051913368058</v>
      </c>
      <c r="F67" cm="1">
        <f t="array" ref="F67">_xlfn.LET(
    _xlpm.row_name, $A67,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0.48898961247404343</v>
      </c>
      <c r="G67" cm="1">
        <f t="array" ref="G67">_xlfn.LET(
    _xlpm.row_name, $A67,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0.36523260939026581</v>
      </c>
      <c r="H67" cm="1">
        <f t="array" ref="H67">_xlfn.LET(
    _xlpm.row_name, $A67,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0.70270005989771778</v>
      </c>
      <c r="I67" cm="1">
        <f t="array" ref="I67">_xlfn.LET(
    _xlpm.row_name, $A67,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0.81192278476690793</v>
      </c>
      <c r="J67" cm="1">
        <f t="array" ref="J67">_xlfn.LET(
    _xlpm.row_name, $A67,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0.52266745610790333</v>
      </c>
      <c r="K67" cm="1">
        <f t="array" ref="K67">_xlfn.LET(
    _xlpm.row_name, $A67,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0.69594249504649419</v>
      </c>
      <c r="L67" cm="1">
        <f t="array" ref="L67">_xlfn.LET(
    _xlpm.row_name, $A67,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0.67742261410502125</v>
      </c>
      <c r="M67" cm="1">
        <f t="array" ref="M67">_xlfn.LET(
    _xlpm.row_name, $A67,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0.57413514108669128</v>
      </c>
      <c r="N67" cm="1">
        <f t="array" ref="N67">_xlfn.LET(
    _xlpm.row_name, $A67,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0.28422865833541122</v>
      </c>
      <c r="O67" cm="1">
        <f t="array" ref="O67">_xlfn.LET(
    _xlpm.row_name, $A67,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0.20738340133298966</v>
      </c>
      <c r="P67" cm="1">
        <f t="array" ref="P67">_xlfn.LET(
    _xlpm.row_name, $A67,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0.41498941334625056</v>
      </c>
      <c r="Q67" cm="1">
        <f t="array" ref="Q67">_xlfn.LET(
    _xlpm.row_name, $A67,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0.49909500408811852</v>
      </c>
      <c r="R67" cm="1">
        <f t="array" ref="R67">_xlfn.LET(
    _xlpm.row_name, $A67,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0.51676866655365783</v>
      </c>
      <c r="S67" cm="1">
        <f t="array" ref="S67">_xlfn.LET(
    _xlpm.row_name, $A67,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0.4939031921883078</v>
      </c>
      <c r="T67" cm="1">
        <f t="array" ref="T67">_xlfn.LET(
    _xlpm.row_name, $A67,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0.31662662697318428</v>
      </c>
      <c r="U67" cm="1">
        <f t="array" ref="U67">_xlfn.LET(
    _xlpm.row_name, $A67,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0.36861664881239453</v>
      </c>
      <c r="V67" cm="1">
        <f t="array" ref="V67">_xlfn.LET(
    _xlpm.row_name, $A67,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0.53485327052794385</v>
      </c>
      <c r="W67" cm="1">
        <f t="array" ref="W67">_xlfn.LET(
    _xlpm.row_name, $A67,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0.43192075405354324</v>
      </c>
      <c r="X67" cm="1">
        <f t="array" ref="X67">_xlfn.LET(
    _xlpm.row_name, $A67,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0.49579803122088661</v>
      </c>
      <c r="Y67" cm="1">
        <f t="array" ref="Y67">_xlfn.LET(
    _xlpm.row_name, $A67,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0.75130371661070328</v>
      </c>
      <c r="Z67" cm="1">
        <f t="array" ref="Z67">_xlfn.LET(
    _xlpm.row_name, $A67,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0.28577732249157334</v>
      </c>
      <c r="AA67" cm="1">
        <f t="array" ref="AA67">_xlfn.LET(
    _xlpm.row_name, $A67,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0.14293859580315044</v>
      </c>
      <c r="AB67" cm="1">
        <f t="array" ref="AB67">_xlfn.LET(
    _xlpm.row_name, $A67,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0.6047980992560007</v>
      </c>
      <c r="AC67" cm="1">
        <f t="array" ref="AC67">_xlfn.LET(
    _xlpm.row_name, $A67,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0.80143361125952417</v>
      </c>
      <c r="AD67" cm="1">
        <f t="array" ref="AD67">_xlfn.LET(
    _xlpm.row_name, $A67,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0.83568118764989463</v>
      </c>
      <c r="AE67" cm="1">
        <f t="array" ref="AE67">_xlfn.LET(
    _xlpm.row_name, $A67,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0.34960303262983194</v>
      </c>
      <c r="AF67" cm="1">
        <f t="array" ref="AF67">_xlfn.LET(
    _xlpm.row_name, $A67,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0.47443483348091248</v>
      </c>
      <c r="AG67" cm="1">
        <f t="array" ref="AG67">_xlfn.LET(
    _xlpm.row_name, $A67,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0.54551227392949642</v>
      </c>
      <c r="AH67" cm="1">
        <f t="array" ref="AH67">_xlfn.LET(
    _xlpm.row_name, $A67,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0.56281395136409051</v>
      </c>
      <c r="AI67" cm="1">
        <f t="array" ref="AI67">_xlfn.LET(
    _xlpm.row_name, $A67,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0.58853895497053055</v>
      </c>
      <c r="AJ67" cm="1">
        <f t="array" ref="AJ67">_xlfn.LET(
    _xlpm.row_name, $A67,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0.24474635999734873</v>
      </c>
      <c r="AK67" cm="1">
        <f t="array" ref="AK67">_xlfn.LET(
    _xlpm.row_name, $A67,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0.54216181180893896</v>
      </c>
      <c r="AL67" cm="1">
        <f t="array" ref="AL67">_xlfn.LET(
    _xlpm.row_name, $A67,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0.41708260501156741</v>
      </c>
      <c r="AM67" cm="1">
        <f t="array" ref="AM67">_xlfn.LET(
    _xlpm.row_name, $A67,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0.55580978363651501</v>
      </c>
      <c r="AN67" cm="1">
        <f t="array" ref="AN67">_xlfn.LET(
    _xlpm.row_name, $A67,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0.34024801089852125</v>
      </c>
      <c r="AO67" cm="1">
        <f t="array" ref="AO67">_xlfn.LET(
    _xlpm.row_name, $A67,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0.1476845716728894</v>
      </c>
      <c r="AP67" cm="1">
        <f t="array" ref="AP67">_xlfn.LET(
    _xlpm.row_name, $A67,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0.50475292273506911</v>
      </c>
      <c r="AQ67" cm="1">
        <f t="array" ref="AQ67">_xlfn.LET(
    _xlpm.row_name, $A67,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0.11109931285627755</v>
      </c>
      <c r="AR67" cm="1">
        <f t="array" ref="AR67">_xlfn.LET(
    _xlpm.row_name, $A67,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0.216409105271129</v>
      </c>
      <c r="AS67" cm="1">
        <f t="array" ref="AS67">_xlfn.LET(
    _xlpm.row_name, $A67,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0.26220700362185179</v>
      </c>
      <c r="AT67" cm="1">
        <f t="array" ref="AT67">_xlfn.LET(
    _xlpm.row_name, $A67,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0.43963573049446136</v>
      </c>
      <c r="AU67" cm="1">
        <f t="array" ref="AU67">_xlfn.LET(
    _xlpm.row_name, $A67,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0.44982801991966181</v>
      </c>
      <c r="AV67" cm="1">
        <f t="array" ref="AV67">_xlfn.LET(
    _xlpm.row_name, $A67,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0.72291462766445269</v>
      </c>
      <c r="AW67" cm="1">
        <f t="array" ref="AW67">_xlfn.LET(
    _xlpm.row_name, $A67,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0.88033449009719766</v>
      </c>
      <c r="AX67" cm="1">
        <f t="array" ref="AX67">_xlfn.LET(
    _xlpm.row_name, $A67,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0.34124552189630886</v>
      </c>
      <c r="AY67" cm="1">
        <f t="array" ref="AY67">_xlfn.LET(
    _xlpm.row_name, $A67,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0.43904531498969923</v>
      </c>
      <c r="AZ67" cm="1">
        <f t="array" ref="AZ67">_xlfn.LET(
    _xlpm.row_name, $A67,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0.31023660823215948</v>
      </c>
      <c r="BA67" cm="1">
        <f t="array" ref="BA67">_xlfn.LET(
    _xlpm.row_name, $A67,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0.47651982315052099</v>
      </c>
      <c r="BB67" cm="1">
        <f t="array" ref="BB67">_xlfn.LET(
    _xlpm.row_name, $A67,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0.93817294076168833</v>
      </c>
      <c r="BC67" cm="1">
        <f t="array" ref="BC67">_xlfn.LET(
    _xlpm.row_name, $A67,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0.46274412780745078</v>
      </c>
      <c r="BD67" cm="1">
        <f t="array" ref="BD67">_xlfn.LET(
    _xlpm.row_name, $A67,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0.27486148204601102</v>
      </c>
      <c r="BE67" cm="1">
        <f t="array" ref="BE67">_xlfn.LET(
    _xlpm.row_name, $A67,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0.69351313311949769</v>
      </c>
      <c r="BF67" cm="1">
        <f t="array" ref="BF67">_xlfn.LET(
    _xlpm.row_name, $A67,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0.42976249012624851</v>
      </c>
      <c r="BG67" cm="1">
        <f t="array" ref="BG67">_xlfn.LET(
    _xlpm.row_name, $A67,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0.43817322541584419</v>
      </c>
      <c r="BH67" cm="1">
        <f t="array" ref="BH67">_xlfn.LET(
    _xlpm.row_name, $A67,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0.21642312768737232</v>
      </c>
      <c r="BI67" cm="1">
        <f t="array" ref="BI67">_xlfn.LET(
    _xlpm.row_name, $A67,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0.8727234524202655</v>
      </c>
      <c r="BJ67" cm="1">
        <f t="array" ref="BJ67">_xlfn.LET(
    _xlpm.row_name, $A67,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0.47307439577217408</v>
      </c>
      <c r="BK67" cm="1">
        <f t="array" ref="BK67">_xlfn.LET(
    _xlpm.row_name, $A67,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0.79156045815786213</v>
      </c>
      <c r="BL67" cm="1">
        <f t="array" ref="BL67">_xlfn.LET(
    _xlpm.row_name, $A67,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0.12509392125601337</v>
      </c>
      <c r="BM67" cm="1">
        <f t="array" ref="BM67">_xlfn.LET(
    _xlpm.row_name, $A67,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0.38745702857768538</v>
      </c>
      <c r="BN67" cm="1">
        <f t="array" ref="BN67">_xlfn.LET(
    _xlpm.row_name, $A67,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O67" cm="1">
        <f t="array" ref="BO67">_xlfn.LET(
    _xlpm.row_name, $A67,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0.41500494153141371</v>
      </c>
      <c r="BP67" cm="1">
        <f t="array" ref="BP67">_xlfn.LET(
    _xlpm.row_name, $A67,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0.36064746408646053</v>
      </c>
      <c r="BQ67" cm="1">
        <f t="array" ref="BQ67">_xlfn.LET(
    _xlpm.row_name, $A67,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0.70506172655294774</v>
      </c>
      <c r="BR67" cm="1">
        <f t="array" ref="BR67">_xlfn.LET(
    _xlpm.row_name, $A67,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0.85386216787684743</v>
      </c>
      <c r="BS67" cm="1">
        <f t="array" ref="BS67">_xlfn.LET(
    _xlpm.row_name, $A67,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0.29904464568079059</v>
      </c>
      <c r="BT67" cm="1">
        <f t="array" ref="BT67">_xlfn.LET(
    _xlpm.row_name, $A67,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0.30490428049184537</v>
      </c>
      <c r="BU67" cm="1">
        <f t="array" ref="BU67">_xlfn.LET(
    _xlpm.row_name, $A67,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8.3377202186621147E-2</v>
      </c>
      <c r="BV67" cm="1">
        <f t="array" ref="BV67">_xlfn.LET(
    _xlpm.row_name, $A67,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0.33836818042362304</v>
      </c>
    </row>
    <row r="68" spans="1:74" x14ac:dyDescent="0.3">
      <c r="A68" t="str">
        <v>Suarez, José</v>
      </c>
      <c r="B68" cm="1">
        <f t="array" ref="B68">_xlfn.LET(
    _xlpm.row_name, $A68,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0.22222013401800156</v>
      </c>
      <c r="C68" cm="1">
        <f t="array" ref="C68">_xlfn.LET(
    _xlpm.row_name, $A68,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0.15910662276167142</v>
      </c>
      <c r="D68" cm="1">
        <f t="array" ref="D68">_xlfn.LET(
    _xlpm.row_name, $A68,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0.62767109701565249</v>
      </c>
      <c r="E68" cm="1">
        <f t="array" ref="E68">_xlfn.LET(
    _xlpm.row_name, $A68,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0.51106672891143656</v>
      </c>
      <c r="F68" cm="1">
        <f t="array" ref="F68">_xlfn.LET(
    _xlpm.row_name, $A68,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0.29106665859474001</v>
      </c>
      <c r="G68" cm="1">
        <f t="array" ref="G68">_xlfn.LET(
    _xlpm.row_name, $A68,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0.39663243792657571</v>
      </c>
      <c r="H68" cm="1">
        <f t="array" ref="H68">_xlfn.LET(
    _xlpm.row_name, $A68,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0.40300681750407269</v>
      </c>
      <c r="I68" cm="1">
        <f t="array" ref="I68">_xlfn.LET(
    _xlpm.row_name, $A68,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0.25775918752087856</v>
      </c>
      <c r="J68" cm="1">
        <f t="array" ref="J68">_xlfn.LET(
    _xlpm.row_name, $A68,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0.34578375625393787</v>
      </c>
      <c r="K68" cm="1">
        <f t="array" ref="K68">_xlfn.LET(
    _xlpm.row_name, $A68,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0.15112321077694379</v>
      </c>
      <c r="L68" cm="1">
        <f t="array" ref="L68">_xlfn.LET(
    _xlpm.row_name, $A68,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0.15475766359939502</v>
      </c>
      <c r="M68" cm="1">
        <f t="array" ref="M68">_xlfn.LET(
    _xlpm.row_name, $A68,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0.24893049317448274</v>
      </c>
      <c r="N68" cm="1">
        <f t="array" ref="N68">_xlfn.LET(
    _xlpm.row_name, $A68,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0.75298366175072884</v>
      </c>
      <c r="O68" cm="1">
        <f t="array" ref="O68">_xlfn.LET(
    _xlpm.row_name, $A68,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0.28685934374921668</v>
      </c>
      <c r="P68" cm="1">
        <f t="array" ref="P68">_xlfn.LET(
    _xlpm.row_name, $A68,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0.6650044470635541</v>
      </c>
      <c r="Q68" cm="1">
        <f t="array" ref="Q68">_xlfn.LET(
    _xlpm.row_name, $A68,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0.5045227245154803</v>
      </c>
      <c r="R68" cm="1">
        <f t="array" ref="R68">_xlfn.LET(
    _xlpm.row_name, $A68,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0.60134979096704388</v>
      </c>
      <c r="S68" cm="1">
        <f t="array" ref="S68">_xlfn.LET(
    _xlpm.row_name, $A68,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0.33188445917724579</v>
      </c>
      <c r="T68" cm="1">
        <f t="array" ref="T68">_xlfn.LET(
    _xlpm.row_name, $A68,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0.70451655381312805</v>
      </c>
      <c r="U68" cm="1">
        <f t="array" ref="U68">_xlfn.LET(
    _xlpm.row_name, $A68,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0.49951242511153249</v>
      </c>
      <c r="V68" cm="1">
        <f t="array" ref="V68">_xlfn.LET(
    _xlpm.row_name, $A68,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0.28594367090002226</v>
      </c>
      <c r="W68" cm="1">
        <f t="array" ref="W68">_xlfn.LET(
    _xlpm.row_name, $A68,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0.64746470453762739</v>
      </c>
      <c r="X68" cm="1">
        <f t="array" ref="X68">_xlfn.LET(
    _xlpm.row_name, $A68,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0.57800894825766869</v>
      </c>
      <c r="Y68" cm="1">
        <f t="array" ref="Y68">_xlfn.LET(
    _xlpm.row_name, $A68,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8.4423085709881052E-2</v>
      </c>
      <c r="Z68" cm="1">
        <f t="array" ref="Z68">_xlfn.LET(
    _xlpm.row_name, $A68,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0.58709082334415674</v>
      </c>
      <c r="AA68" cm="1">
        <f t="array" ref="AA68">_xlfn.LET(
    _xlpm.row_name, $A68,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0.29520322459852932</v>
      </c>
      <c r="AB68" cm="1">
        <f t="array" ref="AB68">_xlfn.LET(
    _xlpm.row_name, $A68,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0.18747698588876349</v>
      </c>
      <c r="AC68" cm="1">
        <f t="array" ref="AC68">_xlfn.LET(
    _xlpm.row_name, $A68,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0.29945986793285262</v>
      </c>
      <c r="AD68" cm="1">
        <f t="array" ref="AD68">_xlfn.LET(
    _xlpm.row_name, $A68,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0.30866086003010496</v>
      </c>
      <c r="AE68" cm="1">
        <f t="array" ref="AE68">_xlfn.LET(
    _xlpm.row_name, $A68,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0.53259928210459107</v>
      </c>
      <c r="AF68" cm="1">
        <f t="array" ref="AF68">_xlfn.LET(
    _xlpm.row_name, $A68,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0.15460106430532961</v>
      </c>
      <c r="AG68" cm="1">
        <f t="array" ref="AG68">_xlfn.LET(
    _xlpm.row_name, $A68,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0.15783498508899285</v>
      </c>
      <c r="AH68" cm="1">
        <f t="array" ref="AH68">_xlfn.LET(
    _xlpm.row_name, $A68,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0.3212168290889682</v>
      </c>
      <c r="AI68" cm="1">
        <f t="array" ref="AI68">_xlfn.LET(
    _xlpm.row_name, $A68,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7.7578396875774225E-2</v>
      </c>
      <c r="AJ68" cm="1">
        <f t="array" ref="AJ68">_xlfn.LET(
    _xlpm.row_name, $A68,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0.39657069654047683</v>
      </c>
      <c r="AK68" cm="1">
        <f t="array" ref="AK68">_xlfn.LET(
    _xlpm.row_name, $A68,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0.15278334716289937</v>
      </c>
      <c r="AL68" cm="1">
        <f t="array" ref="AL68">_xlfn.LET(
    _xlpm.row_name, $A68,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0.61189500032278565</v>
      </c>
      <c r="AM68" cm="1">
        <f t="array" ref="AM68">_xlfn.LET(
    _xlpm.row_name, $A68,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0.39217898686502706</v>
      </c>
      <c r="AN68" cm="1">
        <f t="array" ref="AN68">_xlfn.LET(
    _xlpm.row_name, $A68,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0.39640445823880011</v>
      </c>
      <c r="AO68" cm="1">
        <f t="array" ref="AO68">_xlfn.LET(
    _xlpm.row_name, $A68,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0.82891601828138939</v>
      </c>
      <c r="AP68" cm="1">
        <f t="array" ref="AP68">_xlfn.LET(
    _xlpm.row_name, $A68,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0.60201950384335545</v>
      </c>
      <c r="AQ68" cm="1">
        <f t="array" ref="AQ68">_xlfn.LET(
    _xlpm.row_name, $A68,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0.30857541123314214</v>
      </c>
      <c r="AR68" cm="1">
        <f t="array" ref="AR68">_xlfn.LET(
    _xlpm.row_name, $A68,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0.28937745965762218</v>
      </c>
      <c r="AS68" cm="1">
        <f t="array" ref="AS68">_xlfn.LET(
    _xlpm.row_name, $A68,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0.13727656903523988</v>
      </c>
      <c r="AT68" cm="1">
        <f t="array" ref="AT68">_xlfn.LET(
    _xlpm.row_name, $A68,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0.60353981388153177</v>
      </c>
      <c r="AU68" cm="1">
        <f t="array" ref="AU68">_xlfn.LET(
    _xlpm.row_name, $A68,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0.25201654513628896</v>
      </c>
      <c r="AV68" cm="1">
        <f t="array" ref="AV68">_xlfn.LET(
    _xlpm.row_name, $A68,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0.2037710916680166</v>
      </c>
      <c r="AW68" cm="1">
        <f t="array" ref="AW68">_xlfn.LET(
    _xlpm.row_name, $A68,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0.43418861926609831</v>
      </c>
      <c r="AX68" cm="1">
        <f t="array" ref="AX68">_xlfn.LET(
    _xlpm.row_name, $A68,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0.44136606194313954</v>
      </c>
      <c r="AY68" cm="1">
        <f t="array" ref="AY68">_xlfn.LET(
    _xlpm.row_name, $A68,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0.1044059584448167</v>
      </c>
      <c r="AZ68" cm="1">
        <f t="array" ref="AZ68">_xlfn.LET(
    _xlpm.row_name, $A68,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0.76206191259617795</v>
      </c>
      <c r="BA68" cm="1">
        <f t="array" ref="BA68">_xlfn.LET(
    _xlpm.row_name, $A68,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0.31323380374367293</v>
      </c>
      <c r="BB68" cm="1">
        <f t="array" ref="BB68">_xlfn.LET(
    _xlpm.row_name, $A68,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0.24039035671913983</v>
      </c>
      <c r="BC68" cm="1">
        <f t="array" ref="BC68">_xlfn.LET(
    _xlpm.row_name, $A68,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0.55988956630573194</v>
      </c>
      <c r="BD68" cm="1">
        <f t="array" ref="BD68">_xlfn.LET(
    _xlpm.row_name, $A68,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0.44211215825485184</v>
      </c>
      <c r="BE68" cm="1">
        <f t="array" ref="BE68">_xlfn.LET(
    _xlpm.row_name, $A68,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0.40481807481082799</v>
      </c>
      <c r="BF68" cm="1">
        <f t="array" ref="BF68">_xlfn.LET(
    _xlpm.row_name, $A68,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0.75151326768628779</v>
      </c>
      <c r="BG68" cm="1">
        <f t="array" ref="BG68">_xlfn.LET(
    _xlpm.row_name, $A68,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0.52584249429536845</v>
      </c>
      <c r="BH68" cm="1">
        <f t="array" ref="BH68">_xlfn.LET(
    _xlpm.row_name, $A68,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0.50630292319265657</v>
      </c>
      <c r="BI68" cm="1">
        <f t="array" ref="BI68">_xlfn.LET(
    _xlpm.row_name, $A68,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0.42852773227746183</v>
      </c>
      <c r="BJ68" cm="1">
        <f t="array" ref="BJ68">_xlfn.LET(
    _xlpm.row_name, $A68,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0.20057492514628222</v>
      </c>
      <c r="BK68" cm="1">
        <f t="array" ref="BK68">_xlfn.LET(
    _xlpm.row_name, $A68,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0.24535791170080662</v>
      </c>
      <c r="BL68" cm="1">
        <f t="array" ref="BL68">_xlfn.LET(
    _xlpm.row_name, $A68,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0.77628257450411797</v>
      </c>
      <c r="BM68" cm="1">
        <f t="array" ref="BM68">_xlfn.LET(
    _xlpm.row_name, $A68,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0.362846708615989</v>
      </c>
      <c r="BN68" cm="1">
        <f t="array" ref="BN68">_xlfn.LET(
    _xlpm.row_name, $A68,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0.41500494153141371</v>
      </c>
      <c r="BO68" cm="1">
        <f t="array" ref="BO68">_xlfn.LET(
    _xlpm.row_name, $A68,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P68" cm="1">
        <f t="array" ref="BP68">_xlfn.LET(
    _xlpm.row_name, $A68,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0.40504520005516098</v>
      </c>
      <c r="BQ68" cm="1">
        <f t="array" ref="BQ68">_xlfn.LET(
    _xlpm.row_name, $A68,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0.46771163586543418</v>
      </c>
      <c r="BR68" cm="1">
        <f t="array" ref="BR68">_xlfn.LET(
    _xlpm.row_name, $A68,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0.31702379639753686</v>
      </c>
      <c r="BS68" cm="1">
        <f t="array" ref="BS68">_xlfn.LET(
    _xlpm.row_name, $A68,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0.58198492748250663</v>
      </c>
      <c r="BT68" cm="1">
        <f t="array" ref="BT68">_xlfn.LET(
    _xlpm.row_name, $A68,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0.68296172430158952</v>
      </c>
      <c r="BU68" cm="1">
        <f t="array" ref="BU68">_xlfn.LET(
    _xlpm.row_name, $A68,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0.66540500154239013</v>
      </c>
      <c r="BV68" cm="1">
        <f t="array" ref="BV68">_xlfn.LET(
    _xlpm.row_name, $A68,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0.28825418656467416</v>
      </c>
    </row>
    <row r="69" spans="1:74" x14ac:dyDescent="0.3">
      <c r="A69" t="str">
        <v>Fuentes, Didier</v>
      </c>
      <c r="B69" cm="1">
        <f t="array" ref="B69">_xlfn.LET(
    _xlpm.row_name, $A69,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0.35458629729298663</v>
      </c>
      <c r="C69" cm="1">
        <f t="array" ref="C69">_xlfn.LET(
    _xlpm.row_name, $A69,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0.2953793960717066</v>
      </c>
      <c r="D69" cm="1">
        <f t="array" ref="D69">_xlfn.LET(
    _xlpm.row_name, $A69,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0.92331349585227795</v>
      </c>
      <c r="E69" cm="1">
        <f t="array" ref="E69">_xlfn.LET(
    _xlpm.row_name, $A69,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4.7541403023884987E-2</v>
      </c>
      <c r="F69" cm="1">
        <f t="array" ref="F69">_xlfn.LET(
    _xlpm.row_name, $A69,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0.49848735015121981</v>
      </c>
      <c r="G69" cm="1">
        <f t="array" ref="G69">_xlfn.LET(
    _xlpm.row_name, $A69,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0.90530434552581751</v>
      </c>
      <c r="H69" cm="1">
        <f t="array" ref="H69">_xlfn.LET(
    _xlpm.row_name, $A69,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0.41176501514453523</v>
      </c>
      <c r="I69" cm="1">
        <f t="array" ref="I69">_xlfn.LET(
    _xlpm.row_name, $A69,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0.62243244808928533</v>
      </c>
      <c r="J69" cm="1">
        <f t="array" ref="J69">_xlfn.LET(
    _xlpm.row_name, $A69,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0.8424460656108842</v>
      </c>
      <c r="K69" cm="1">
        <f t="array" ref="K69">_xlfn.LET(
    _xlpm.row_name, $A69,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0.2405952709500136</v>
      </c>
      <c r="L69" cm="1">
        <f t="array" ref="L69">_xlfn.LET(
    _xlpm.row_name, $A69,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0.32154748626843532</v>
      </c>
      <c r="M69" cm="1">
        <f t="array" ref="M69">_xlfn.LET(
    _xlpm.row_name, $A69,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0.79470755195113085</v>
      </c>
      <c r="N69" cm="1">
        <f t="array" ref="N69">_xlfn.LET(
    _xlpm.row_name, $A69,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0.48237109776666526</v>
      </c>
      <c r="O69" cm="1">
        <f t="array" ref="O69">_xlfn.LET(
    _xlpm.row_name, $A69,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0.78967399967099472</v>
      </c>
      <c r="P69" cm="1">
        <f t="array" ref="P69">_xlfn.LET(
    _xlpm.row_name, $A69,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0.33738268415498396</v>
      </c>
      <c r="Q69" cm="1">
        <f t="array" ref="Q69">_xlfn.LET(
    _xlpm.row_name, $A69,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4.5568286161741578E-2</v>
      </c>
      <c r="R69" cm="1">
        <f t="array" ref="R69">_xlfn.LET(
    _xlpm.row_name, $A69,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0.44330586712128422</v>
      </c>
      <c r="S69" cm="1">
        <f t="array" ref="S69">_xlfn.LET(
    _xlpm.row_name, $A69,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0.3759359238516482</v>
      </c>
      <c r="T69" cm="1">
        <f t="array" ref="T69">_xlfn.LET(
    _xlpm.row_name, $A69,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0.43609825297650689</v>
      </c>
      <c r="U69" cm="1">
        <f t="array" ref="U69">_xlfn.LET(
    _xlpm.row_name, $A69,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0.93215520281319508</v>
      </c>
      <c r="V69" cm="1">
        <f t="array" ref="V69">_xlfn.LET(
    _xlpm.row_name, $A69,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0.4033026101185786</v>
      </c>
      <c r="W69" cm="1">
        <f t="array" ref="W69">_xlfn.LET(
    _xlpm.row_name, $A69,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9.8025495064083368E-2</v>
      </c>
      <c r="X69" cm="1">
        <f t="array" ref="X69">_xlfn.LET(
    _xlpm.row_name, $A69,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0.8627610544253087</v>
      </c>
      <c r="Y69" cm="1">
        <f t="array" ref="Y69">_xlfn.LET(
    _xlpm.row_name, $A69,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0.69930222316077972</v>
      </c>
      <c r="Z69" cm="1">
        <f t="array" ref="Z69">_xlfn.LET(
    _xlpm.row_name, $A69,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0.86578664783314208</v>
      </c>
      <c r="AA69" cm="1">
        <f t="array" ref="AA69">_xlfn.LET(
    _xlpm.row_name, $A69,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0.79173232392662118</v>
      </c>
      <c r="AB69" cm="1">
        <f t="array" ref="AB69">_xlfn.LET(
    _xlpm.row_name, $A69,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0.87656755878240067</v>
      </c>
      <c r="AC69" cm="1">
        <f t="array" ref="AC69">_xlfn.LET(
    _xlpm.row_name, $A69,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0.13232022201099425</v>
      </c>
      <c r="AD69" cm="1">
        <f t="array" ref="AD69">_xlfn.LET(
    _xlpm.row_name, $A69,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0.53128859310808008</v>
      </c>
      <c r="AE69" cm="1">
        <f t="array" ref="AE69">_xlfn.LET(
    _xlpm.row_name, $A69,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0.96096976187089023</v>
      </c>
      <c r="AF69" cm="1">
        <f t="array" ref="AF69">_xlfn.LET(
    _xlpm.row_name, $A69,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0.50618714627558326</v>
      </c>
      <c r="AG69" cm="1">
        <f t="array" ref="AG69">_xlfn.LET(
    _xlpm.row_name, $A69,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0.61989693212280828</v>
      </c>
      <c r="AH69" cm="1">
        <f t="array" ref="AH69">_xlfn.LET(
    _xlpm.row_name, $A69,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0.68427696459168108</v>
      </c>
      <c r="AI69" cm="1">
        <f t="array" ref="AI69">_xlfn.LET(
    _xlpm.row_name, $A69,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0.74330980094657351</v>
      </c>
      <c r="AJ69" cm="1">
        <f t="array" ref="AJ69">_xlfn.LET(
    _xlpm.row_name, $A69,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0.89782073169975396</v>
      </c>
      <c r="AK69" cm="1">
        <f t="array" ref="AK69">_xlfn.LET(
    _xlpm.row_name, $A69,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0.38233046145870347</v>
      </c>
      <c r="AL69" cm="1">
        <f t="array" ref="AL69">_xlfn.LET(
    _xlpm.row_name, $A69,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0.88612781079431402</v>
      </c>
      <c r="AM69" cm="1">
        <f t="array" ref="AM69">_xlfn.LET(
    _xlpm.row_name, $A69,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6.1751325936717394E-2</v>
      </c>
      <c r="AN69" cm="1">
        <f t="array" ref="AN69">_xlfn.LET(
    _xlpm.row_name, $A69,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0.72497415399264231</v>
      </c>
      <c r="AO69" cm="1">
        <f t="array" ref="AO69">_xlfn.LET(
    _xlpm.row_name, $A69,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0.59473030362065593</v>
      </c>
      <c r="AP69" cm="1">
        <f t="array" ref="AP69">_xlfn.LET(
    _xlpm.row_name, $A69,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0.79038072532999626</v>
      </c>
      <c r="AQ69" cm="1">
        <f t="array" ref="AQ69">_xlfn.LET(
    _xlpm.row_name, $A69,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0.51483667957204238</v>
      </c>
      <c r="AR69" cm="1">
        <f t="array" ref="AR69">_xlfn.LET(
    _xlpm.row_name, $A69,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0.64176574616755788</v>
      </c>
      <c r="AS69" cm="1">
        <f t="array" ref="AS69">_xlfn.LET(
    _xlpm.row_name, $A69,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0.52326422131402617</v>
      </c>
      <c r="AT69" cm="1">
        <f t="array" ref="AT69">_xlfn.LET(
    _xlpm.row_name, $A69,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0.35786940429020653</v>
      </c>
      <c r="AU69" cm="1">
        <f t="array" ref="AU69">_xlfn.LET(
    _xlpm.row_name, $A69,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0.93501251008049979</v>
      </c>
      <c r="AV69" cm="1">
        <f t="array" ref="AV69">_xlfn.LET(
    _xlpm.row_name, $A69,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0.16429769130266525</v>
      </c>
      <c r="AW69" cm="1">
        <f t="array" ref="AW69">_xlfn.LET(
    _xlpm.row_name, $A69,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0.24486999247421382</v>
      </c>
      <c r="AX69" cm="1">
        <f t="array" ref="AX69">_xlfn.LET(
    _xlpm.row_name, $A69,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0.28347898281697664</v>
      </c>
      <c r="AY69" cm="1">
        <f t="array" ref="AY69">_xlfn.LET(
    _xlpm.row_name, $A69,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0.72221612546540004</v>
      </c>
      <c r="AZ69" cm="1">
        <f t="array" ref="AZ69">_xlfn.LET(
    _xlpm.row_name, $A69,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0.31951498466420525</v>
      </c>
      <c r="BA69" cm="1">
        <f t="array" ref="BA69">_xlfn.LET(
    _xlpm.row_name, $A69,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0.79820717477517023</v>
      </c>
      <c r="BB69" cm="1">
        <f t="array" ref="BB69">_xlfn.LET(
    _xlpm.row_name, $A69,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0.36058421523049877</v>
      </c>
      <c r="BC69" cm="1">
        <f t="array" ref="BC69">_xlfn.LET(
    _xlpm.row_name, $A69,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5.8241039108542669E-2</v>
      </c>
      <c r="BD69" cm="1">
        <f t="array" ref="BD69">_xlfn.LET(
    _xlpm.row_name, $A69,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0.89744938464777069</v>
      </c>
      <c r="BE69" cm="1">
        <f t="array" ref="BE69">_xlfn.LET(
    _xlpm.row_name, $A69,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0.39629584797237905</v>
      </c>
      <c r="BF69" cm="1">
        <f t="array" ref="BF69">_xlfn.LET(
    _xlpm.row_name, $A69,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0.39963902708377719</v>
      </c>
      <c r="BG69" cm="1">
        <f t="array" ref="BG69">_xlfn.LET(
    _xlpm.row_name, $A69,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0.63772585180548724</v>
      </c>
      <c r="BH69" cm="1">
        <f t="array" ref="BH69">_xlfn.LET(
    _xlpm.row_name, $A69,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0.22941606980036788</v>
      </c>
      <c r="BI69" cm="1">
        <f t="array" ref="BI69">_xlfn.LET(
    _xlpm.row_name, $A69,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0.50632137155063106</v>
      </c>
      <c r="BJ69" cm="1">
        <f t="array" ref="BJ69">_xlfn.LET(
    _xlpm.row_name, $A69,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0.74756344513274531</v>
      </c>
      <c r="BK69" cm="1">
        <f t="array" ref="BK69">_xlfn.LET(
    _xlpm.row_name, $A69,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0.54907051185898326</v>
      </c>
      <c r="BL69" cm="1">
        <f t="array" ref="BL69">_xlfn.LET(
    _xlpm.row_name, $A69,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0.64376388881620483</v>
      </c>
      <c r="BM69" cm="1">
        <f t="array" ref="BM69">_xlfn.LET(
    _xlpm.row_name, $A69,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0.31662872050879576</v>
      </c>
      <c r="BN69" cm="1">
        <f t="array" ref="BN69">_xlfn.LET(
    _xlpm.row_name, $A69,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0.36064746408646053</v>
      </c>
      <c r="BO69" cm="1">
        <f t="array" ref="BO69">_xlfn.LET(
    _xlpm.row_name, $A69,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0.40504520005516098</v>
      </c>
      <c r="BP69" cm="1">
        <f t="array" ref="BP69">_xlfn.LET(
    _xlpm.row_name, $A69,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Q69" cm="1">
        <f t="array" ref="BQ69">_xlfn.LET(
    _xlpm.row_name, $A69,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0.14904921310733349</v>
      </c>
      <c r="BR69" cm="1">
        <f t="array" ref="BR69">_xlfn.LET(
    _xlpm.row_name, $A69,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0.24944847687449107</v>
      </c>
      <c r="BS69" cm="1">
        <f t="array" ref="BS69">_xlfn.LET(
    _xlpm.row_name, $A69,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0.8729330064951768</v>
      </c>
      <c r="BT69" cm="1">
        <f t="array" ref="BT69">_xlfn.LET(
    _xlpm.row_name, $A69,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0.59858421447535692</v>
      </c>
      <c r="BU69" cm="1">
        <f t="array" ref="BU69">_xlfn.LET(
    _xlpm.row_name, $A69,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0.7048584832989655</v>
      </c>
      <c r="BV69" cm="1">
        <f t="array" ref="BV69">_xlfn.LET(
    _xlpm.row_name, $A69,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0.25944779232802939</v>
      </c>
    </row>
    <row r="70" spans="1:74" x14ac:dyDescent="0.3">
      <c r="A70" t="str">
        <v>Luetge, Lucas</v>
      </c>
      <c r="B70" cm="1">
        <f t="array" ref="B70">_xlfn.LET(
    _xlpm.row_name, $A70,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0.7092317098022648</v>
      </c>
      <c r="C70" cm="1">
        <f t="array" ref="C70">_xlfn.LET(
    _xlpm.row_name, $A70,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0.7763525123949766</v>
      </c>
      <c r="D70" cm="1">
        <f t="array" ref="D70">_xlfn.LET(
    _xlpm.row_name, $A70,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0.19768938585726331</v>
      </c>
      <c r="E70" cm="1">
        <f t="array" ref="E70">_xlfn.LET(
    _xlpm.row_name, $A70,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0.7024183002694151</v>
      </c>
      <c r="F70" cm="1">
        <f t="array" ref="F70">_xlfn.LET(
    _xlpm.row_name, $A70,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0.30263454636285625</v>
      </c>
      <c r="G70" cm="1">
        <f t="array" ref="G70">_xlfn.LET(
    _xlpm.row_name, $A70,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8.8435588960640632E-2</v>
      </c>
      <c r="H70" cm="1">
        <f t="array" ref="H70">_xlfn.LET(
    _xlpm.row_name, $A70,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0.90219685070503897</v>
      </c>
      <c r="I70" cm="1">
        <f t="array" ref="I70">_xlfn.LET(
    _xlpm.row_name, $A70,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0.68052086318959359</v>
      </c>
      <c r="J70" cm="1">
        <f t="array" ref="J70">_xlfn.LET(
    _xlpm.row_name, $A70,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0.19612295559306986</v>
      </c>
      <c r="K70" cm="1">
        <f t="array" ref="K70">_xlfn.LET(
    _xlpm.row_name, $A70,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0.84659283182061174</v>
      </c>
      <c r="L70" cm="1">
        <f t="array" ref="L70">_xlfn.LET(
    _xlpm.row_name, $A70,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0.59648292855141816</v>
      </c>
      <c r="M70" cm="1">
        <f t="array" ref="M70">_xlfn.LET(
    _xlpm.row_name, $A70,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0.56270128771736971</v>
      </c>
      <c r="N70" cm="1">
        <f t="array" ref="N70">_xlfn.LET(
    _xlpm.row_name, $A70,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0.31295184945010629</v>
      </c>
      <c r="O70" cm="1">
        <f t="array" ref="O70">_xlfn.LET(
    _xlpm.row_name, $A70,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0.28842649869045034</v>
      </c>
      <c r="P70" cm="1">
        <f t="array" ref="P70">_xlfn.LET(
    _xlpm.row_name, $A70,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0.6097600289097117</v>
      </c>
      <c r="Q70" cm="1">
        <f t="array" ref="Q70">_xlfn.LET(
    _xlpm.row_name, $A70,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0.82815859796981128</v>
      </c>
      <c r="R70" cm="1">
        <f t="array" ref="R70">_xlfn.LET(
    _xlpm.row_name, $A70,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0.83501342398692446</v>
      </c>
      <c r="S70" cm="1">
        <f t="array" ref="S70">_xlfn.LET(
    _xlpm.row_name, $A70,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0.86987279650532257</v>
      </c>
      <c r="T70" cm="1">
        <f t="array" ref="T70">_xlfn.LET(
    _xlpm.row_name, $A70,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0.63970573951838838</v>
      </c>
      <c r="U70" cm="1">
        <f t="array" ref="U70">_xlfn.LET(
    _xlpm.row_name, $A70,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5.9699088807631528E-2</v>
      </c>
      <c r="V70" cm="1">
        <f t="array" ref="V70">_xlfn.LET(
    _xlpm.row_name, $A70,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0.50295206010846993</v>
      </c>
      <c r="W70" cm="1">
        <f t="array" ref="W70">_xlfn.LET(
    _xlpm.row_name, $A70,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0.77819941376337076</v>
      </c>
      <c r="X70" cm="1">
        <f t="array" ref="X70">_xlfn.LET(
    _xlpm.row_name, $A70,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0.1880116174208829</v>
      </c>
      <c r="Y70" cm="1">
        <f t="array" ref="Y70">_xlfn.LET(
    _xlpm.row_name, $A70,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0.48768776967013255</v>
      </c>
      <c r="Z70" cm="1">
        <f t="array" ref="Z70">_xlfn.LET(
    _xlpm.row_name, $A70,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0.35669435380463205</v>
      </c>
      <c r="AA70" cm="1">
        <f t="array" ref="AA70">_xlfn.LET(
    _xlpm.row_name, $A70,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0.29045881554753128</v>
      </c>
      <c r="AB70" cm="1">
        <f t="array" ref="AB70">_xlfn.LET(
    _xlpm.row_name, $A70,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0.38718135107370066</v>
      </c>
      <c r="AC70" cm="1">
        <f t="array" ref="AC70">_xlfn.LET(
    _xlpm.row_name, $A70,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0.79047642564971055</v>
      </c>
      <c r="AD70" cm="1">
        <f t="array" ref="AD70">_xlfn.LET(
    _xlpm.row_name, $A70,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0.79197558235652599</v>
      </c>
      <c r="AE70" cm="1">
        <f t="array" ref="AE70">_xlfn.LET(
    _xlpm.row_name, $A70,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8.6900357191651012E-2</v>
      </c>
      <c r="AF70" cm="1">
        <f t="array" ref="AF70">_xlfn.LET(
    _xlpm.row_name, $A70,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0.33769873210504475</v>
      </c>
      <c r="AG70" cm="1">
        <f t="array" ref="AG70">_xlfn.LET(
    _xlpm.row_name, $A70,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0.24523932013540062</v>
      </c>
      <c r="AH70" cm="1">
        <f t="array" ref="AH70">_xlfn.LET(
    _xlpm.row_name, $A70,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0.69117461801298774</v>
      </c>
      <c r="AI70" cm="1">
        <f t="array" ref="AI70">_xlfn.LET(
    _xlpm.row_name, $A70,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0.32931705463563266</v>
      </c>
      <c r="AJ70" cm="1">
        <f t="array" ref="AJ70">_xlfn.LET(
    _xlpm.row_name, $A70,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0.36165726483501959</v>
      </c>
      <c r="AK70" cm="1">
        <f t="array" ref="AK70">_xlfn.LET(
    _xlpm.row_name, $A70,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0.50222737865313161</v>
      </c>
      <c r="AL70" cm="1">
        <f t="array" ref="AL70">_xlfn.LET(
    _xlpm.row_name, $A70,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0.35439794207379749</v>
      </c>
      <c r="AM70" cm="1">
        <f t="array" ref="AM70">_xlfn.LET(
    _xlpm.row_name, $A70,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0.78064533941742398</v>
      </c>
      <c r="AN70" cm="1">
        <f t="array" ref="AN70">_xlfn.LET(
    _xlpm.row_name, $A70,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0.60816077779487288</v>
      </c>
      <c r="AO70" cm="1">
        <f t="array" ref="AO70">_xlfn.LET(
    _xlpm.row_name, $A70,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0.26493572755643602</v>
      </c>
      <c r="AP70" cm="1">
        <f t="array" ref="AP70">_xlfn.LET(
    _xlpm.row_name, $A70,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8.501266954756076E-2</v>
      </c>
      <c r="AQ70" cm="1">
        <f t="array" ref="AQ70">_xlfn.LET(
    _xlpm.row_name, $A70,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0.44748132516798017</v>
      </c>
      <c r="AR70" cm="1">
        <f t="array" ref="AR70">_xlfn.LET(
    _xlpm.row_name, $A70,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0.49999654997251358</v>
      </c>
      <c r="AS70" cm="1">
        <f t="array" ref="AS70">_xlfn.LET(
    _xlpm.row_name, $A70,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0.48652145487771159</v>
      </c>
      <c r="AT70" cm="1">
        <f t="array" ref="AT70">_xlfn.LET(
    _xlpm.row_name, $A70,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0.40092449334320485</v>
      </c>
      <c r="AU70" cm="1">
        <f t="array" ref="AU70">_xlfn.LET(
    _xlpm.row_name, $A70,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0.30810273193235038</v>
      </c>
      <c r="AV70" cm="1">
        <f t="array" ref="AV70">_xlfn.LET(
    _xlpm.row_name, $A70,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0.83201386988792803</v>
      </c>
      <c r="AW70" cm="1">
        <f t="array" ref="AW70">_xlfn.LET(
    _xlpm.row_name, $A70,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0.74959171841999783</v>
      </c>
      <c r="AX70" cm="1">
        <f t="array" ref="AX70">_xlfn.LET(
    _xlpm.row_name, $A70,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0.5194821879046595</v>
      </c>
      <c r="AY70" cm="1">
        <f t="array" ref="AY70">_xlfn.LET(
    _xlpm.row_name, $A70,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0.5271874034373224</v>
      </c>
      <c r="AZ70" cm="1">
        <f t="array" ref="AZ70">_xlfn.LET(
    _xlpm.row_name, $A70,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0.62714652634322021</v>
      </c>
      <c r="BA70" cm="1">
        <f t="array" ref="BA70">_xlfn.LET(
    _xlpm.row_name, $A70,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0.27312324820092848</v>
      </c>
      <c r="BB70" cm="1">
        <f t="array" ref="BB70">_xlfn.LET(
    _xlpm.row_name, $A70,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0.66339721599095114</v>
      </c>
      <c r="BC70" cm="1">
        <f t="array" ref="BC70">_xlfn.LET(
    _xlpm.row_name, $A70,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0.6937810026272716</v>
      </c>
      <c r="BD70" cm="1">
        <f t="array" ref="BD70">_xlfn.LET(
    _xlpm.row_name, $A70,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7.4828165952164738E-2</v>
      </c>
      <c r="BE70" cm="1">
        <f t="array" ref="BE70">_xlfn.LET(
    _xlpm.row_name, $A70,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0.32624403638115662</v>
      </c>
      <c r="BF70" cm="1">
        <f t="array" ref="BF70">_xlfn.LET(
    _xlpm.row_name, $A70,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0.69730638578399939</v>
      </c>
      <c r="BG70" cm="1">
        <f t="array" ref="BG70">_xlfn.LET(
    _xlpm.row_name, $A70,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0.39778956744506705</v>
      </c>
      <c r="BH70" cm="1">
        <f t="array" ref="BH70">_xlfn.LET(
    _xlpm.row_name, $A70,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0.629797503807348</v>
      </c>
      <c r="BI70" cm="1">
        <f t="array" ref="BI70">_xlfn.LET(
    _xlpm.row_name, $A70,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0.52831830062865837</v>
      </c>
      <c r="BJ70" cm="1">
        <f t="array" ref="BJ70">_xlfn.LET(
    _xlpm.row_name, $A70,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0.60507877107732655</v>
      </c>
      <c r="BK70" cm="1">
        <f t="array" ref="BK70">_xlfn.LET(
    _xlpm.row_name, $A70,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0.5827216670842964</v>
      </c>
      <c r="BL70" cm="1">
        <f t="array" ref="BL70">_xlfn.LET(
    _xlpm.row_name, $A70,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0.33774339151465599</v>
      </c>
      <c r="BM70" cm="1">
        <f t="array" ref="BM70">_xlfn.LET(
    _xlpm.row_name, $A70,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0.43177158959061923</v>
      </c>
      <c r="BN70" cm="1">
        <f t="array" ref="BN70">_xlfn.LET(
    _xlpm.row_name, $A70,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0.70506172655294774</v>
      </c>
      <c r="BO70" cm="1">
        <f t="array" ref="BO70">_xlfn.LET(
    _xlpm.row_name, $A70,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0.46771163586543418</v>
      </c>
      <c r="BP70" cm="1">
        <f t="array" ref="BP70">_xlfn.LET(
    _xlpm.row_name, $A70,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0.14904921310733349</v>
      </c>
      <c r="BQ70" cm="1">
        <f t="array" ref="BQ70">_xlfn.LET(
    _xlpm.row_name, $A70,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R70" cm="1">
        <f t="array" ref="BR70">_xlfn.LET(
    _xlpm.row_name, $A70,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0.64669142772735977</v>
      </c>
      <c r="BS70" cm="1">
        <f t="array" ref="BS70">_xlfn.LET(
    _xlpm.row_name, $A70,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5.8462583445096694E-2</v>
      </c>
      <c r="BT70" cm="1">
        <f t="array" ref="BT70">_xlfn.LET(
    _xlpm.row_name, $A70,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0.47639307968663092</v>
      </c>
      <c r="BU70" cm="1">
        <f t="array" ref="BU70">_xlfn.LET(
    _xlpm.row_name, $A70,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0.39866560821654634</v>
      </c>
      <c r="BV70" cm="1">
        <f t="array" ref="BV70">_xlfn.LET(
    _xlpm.row_name, $A70,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0.65033156609994991</v>
      </c>
    </row>
    <row r="71" spans="1:74" x14ac:dyDescent="0.3">
      <c r="A71" t="str">
        <v>Carrasco, Carlos</v>
      </c>
      <c r="B71" cm="1">
        <f t="array" ref="B71">_xlfn.LET(
    _xlpm.row_name, $A71,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0.94577904790402045</v>
      </c>
      <c r="C71" cm="1">
        <f t="array" ref="C71">_xlfn.LET(
    _xlpm.row_name, $A71,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0.73901044393922688</v>
      </c>
      <c r="D71" cm="1">
        <f t="array" ref="D71">_xlfn.LET(
    _xlpm.row_name, $A71,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8.80167148263023E-2</v>
      </c>
      <c r="E71" cm="1">
        <f t="array" ref="E71">_xlfn.LET(
    _xlpm.row_name, $A71,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0.84294058725370968</v>
      </c>
      <c r="F71" cm="1">
        <f t="array" ref="F71">_xlfn.LET(
    _xlpm.row_name, $A71,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0.58933630207636267</v>
      </c>
      <c r="G71" cm="1">
        <f t="array" ref="G71">_xlfn.LET(
    _xlpm.row_name, $A71,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0.44914528057052733</v>
      </c>
      <c r="H71" cm="1">
        <f t="array" ref="H71">_xlfn.LET(
    _xlpm.row_name, $A71,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0.4764937513731991</v>
      </c>
      <c r="I71" cm="1">
        <f t="array" ref="I71">_xlfn.LET(
    _xlpm.row_name, $A71,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0.54992545819510241</v>
      </c>
      <c r="J71" cm="1">
        <f t="array" ref="J71">_xlfn.LET(
    _xlpm.row_name, $A71,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0.36327623857982239</v>
      </c>
      <c r="K71" cm="1">
        <f t="array" ref="K71">_xlfn.LET(
    _xlpm.row_name, $A71,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0.8173854045883242</v>
      </c>
      <c r="L71" cm="1">
        <f t="array" ref="L71">_xlfn.LET(
    _xlpm.row_name, $A71,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0.93002798260889263</v>
      </c>
      <c r="M71" cm="1">
        <f t="array" ref="M71">_xlfn.LET(
    _xlpm.row_name, $A71,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0.35022278057250905</v>
      </c>
      <c r="N71" cm="1">
        <f t="array" ref="N71">_xlfn.LET(
    _xlpm.row_name, $A71,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0.23296582816391803</v>
      </c>
      <c r="O71" cm="1">
        <f t="array" ref="O71">_xlfn.LET(
    _xlpm.row_name, $A71,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0.39596701332978124</v>
      </c>
      <c r="P71" cm="1">
        <f t="array" ref="P71">_xlfn.LET(
    _xlpm.row_name, $A71,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0.27335752139791847</v>
      </c>
      <c r="Q71" cm="1">
        <f t="array" ref="Q71">_xlfn.LET(
    _xlpm.row_name, $A71,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0.71786925349147201</v>
      </c>
      <c r="R71" cm="1">
        <f t="array" ref="R71">_xlfn.LET(
    _xlpm.row_name, $A71,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0.27367733005636369</v>
      </c>
      <c r="S71" cm="1">
        <f t="array" ref="S71">_xlfn.LET(
    _xlpm.row_name, $A71,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0.39415256062531584</v>
      </c>
      <c r="T71" cm="1">
        <f t="array" ref="T71">_xlfn.LET(
    _xlpm.row_name, $A71,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0.13329756895749245</v>
      </c>
      <c r="U71" cm="1">
        <f t="array" ref="U71">_xlfn.LET(
    _xlpm.row_name, $A71,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0.37390364902390416</v>
      </c>
      <c r="V71" cm="1">
        <f t="array" ref="V71">_xlfn.LET(
    _xlpm.row_name, $A71,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0.84612252770106133</v>
      </c>
      <c r="W71" cm="1">
        <f t="array" ref="W71">_xlfn.LET(
    _xlpm.row_name, $A71,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0.47237822751027475</v>
      </c>
      <c r="X71" cm="1">
        <f t="array" ref="X71">_xlfn.LET(
    _xlpm.row_name, $A71,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0.44856703836164374</v>
      </c>
      <c r="Y71" cm="1">
        <f t="array" ref="Y71">_xlfn.LET(
    _xlpm.row_name, $A71,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0.66116906490292582</v>
      </c>
      <c r="Z71" cm="1">
        <f t="array" ref="Z71">_xlfn.LET(
    _xlpm.row_name, $A71,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5.1158694078838329E-2</v>
      </c>
      <c r="AA71" cm="1">
        <f t="array" ref="AA71">_xlfn.LET(
    _xlpm.row_name, $A71,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0.31350788851962635</v>
      </c>
      <c r="AB71" cm="1">
        <f t="array" ref="AB71">_xlfn.LET(
    _xlpm.row_name, $A71,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0.50381339597974661</v>
      </c>
      <c r="AC71" cm="1">
        <f t="array" ref="AC71">_xlfn.LET(
    _xlpm.row_name, $A71,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0.87143869802239005</v>
      </c>
      <c r="AD71" cm="1">
        <f t="array" ref="AD71">_xlfn.LET(
    _xlpm.row_name, $A71,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0.61035549844369785</v>
      </c>
      <c r="AE71" cm="1">
        <f t="array" ref="AE71">_xlfn.LET(
    _xlpm.row_name, $A71,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0.29450004154778392</v>
      </c>
      <c r="AF71" cm="1">
        <f t="array" ref="AF71">_xlfn.LET(
    _xlpm.row_name, $A71,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0.7696579594980687</v>
      </c>
      <c r="AG71" cm="1">
        <f t="array" ref="AG71">_xlfn.LET(
    _xlpm.row_name, $A71,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0.72263978076819235</v>
      </c>
      <c r="AH71" cm="1">
        <f t="array" ref="AH71">_xlfn.LET(
    _xlpm.row_name, $A71,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0.40847791654493903</v>
      </c>
      <c r="AI71" cm="1">
        <f t="array" ref="AI71">_xlfn.LET(
    _xlpm.row_name, $A71,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0.69923615355386715</v>
      </c>
      <c r="AJ71" cm="1">
        <f t="array" ref="AJ71">_xlfn.LET(
    _xlpm.row_name, $A71,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0.16166090504976904</v>
      </c>
      <c r="AK71" cm="1">
        <f t="array" ref="AK71">_xlfn.LET(
    _xlpm.row_name, $A71,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0.85311241630261825</v>
      </c>
      <c r="AL71" cm="1">
        <f t="array" ref="AL71">_xlfn.LET(
    _xlpm.row_name, $A71,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0.13528177409211001</v>
      </c>
      <c r="AM71" cm="1">
        <f t="array" ref="AM71">_xlfn.LET(
    _xlpm.row_name, $A71,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0.76287316535818595</v>
      </c>
      <c r="AN71" cm="1">
        <f t="array" ref="AN71">_xlfn.LET(
    _xlpm.row_name, $A71,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0.17165874253516394</v>
      </c>
      <c r="AO71" cm="1">
        <f t="array" ref="AO71">_xlfn.LET(
    _xlpm.row_name, $A71,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0.10602659421319011</v>
      </c>
      <c r="AP71" cm="1">
        <f t="array" ref="AP71">_xlfn.LET(
    _xlpm.row_name, $A71,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0.39215918972550118</v>
      </c>
      <c r="AQ71" cm="1">
        <f t="array" ref="AQ71">_xlfn.LET(
    _xlpm.row_name, $A71,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0.37229597252700469</v>
      </c>
      <c r="AR71" cm="1">
        <f t="array" ref="AR71">_xlfn.LET(
    _xlpm.row_name, $A71,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0.19835743440650083</v>
      </c>
      <c r="AS71" cm="1">
        <f t="array" ref="AS71">_xlfn.LET(
    _xlpm.row_name, $A71,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0.47873599854138787</v>
      </c>
      <c r="AT71" cm="1">
        <f t="array" ref="AT71">_xlfn.LET(
    _xlpm.row_name, $A71,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0.7343498008296776</v>
      </c>
      <c r="AU71" cm="1">
        <f t="array" ref="AU71">_xlfn.LET(
    _xlpm.row_name, $A71,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0.28480240461260903</v>
      </c>
      <c r="AV71" cm="1">
        <f t="array" ref="AV71">_xlfn.LET(
    _xlpm.row_name, $A71,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0.85649741764529408</v>
      </c>
      <c r="AW71" cm="1">
        <f t="array" ref="AW71">_xlfn.LET(
    _xlpm.row_name, $A71,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0.94522507925173005</v>
      </c>
      <c r="AX71" cm="1">
        <f t="array" ref="AX71">_xlfn.LET(
    _xlpm.row_name, $A71,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0.46558403105731816</v>
      </c>
      <c r="AY71" cm="1">
        <f t="array" ref="AY71">_xlfn.LET(
    _xlpm.row_name, $A71,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0.3812756183281576</v>
      </c>
      <c r="AZ71" cm="1">
        <f t="array" ref="AZ71">_xlfn.LET(
    _xlpm.row_name, $A71,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0.209394600241186</v>
      </c>
      <c r="BA71" cm="1">
        <f t="array" ref="BA71">_xlfn.LET(
    _xlpm.row_name, $A71,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0.59885111210212782</v>
      </c>
      <c r="BB71" cm="1">
        <f t="array" ref="BB71">_xlfn.LET(
    _xlpm.row_name, $A71,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0.95499868486420381</v>
      </c>
      <c r="BC71" cm="1">
        <f t="array" ref="BC71">_xlfn.LET(
    _xlpm.row_name, $A71,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0.72009623963686031</v>
      </c>
      <c r="BD71" cm="1">
        <f t="array" ref="BD71">_xlfn.LET(
    _xlpm.row_name, $A71,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0.38237984141208026</v>
      </c>
      <c r="BE71" cm="1">
        <f t="array" ref="BE71">_xlfn.LET(
    _xlpm.row_name, $A71,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0.85531503839018308</v>
      </c>
      <c r="BF71" cm="1">
        <f t="array" ref="BF71">_xlfn.LET(
    _xlpm.row_name, $A71,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0.18881828346567686</v>
      </c>
      <c r="BG71" cm="1">
        <f t="array" ref="BG71">_xlfn.LET(
    _xlpm.row_name, $A71,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0.57988254223412128</v>
      </c>
      <c r="BH71" cm="1">
        <f t="array" ref="BH71">_xlfn.LET(
    _xlpm.row_name, $A71,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0.51177202066785166</v>
      </c>
      <c r="BI71" cm="1">
        <f t="array" ref="BI71">_xlfn.LET(
    _xlpm.row_name, $A71,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0.86530705229671767</v>
      </c>
      <c r="BJ71" cm="1">
        <f t="array" ref="BJ71">_xlfn.LET(
    _xlpm.row_name, $A71,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0.36529798772804678</v>
      </c>
      <c r="BK71" cm="1">
        <f t="array" ref="BK71">_xlfn.LET(
    _xlpm.row_name, $A71,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0.84377873132674575</v>
      </c>
      <c r="BL71" cm="1">
        <f t="array" ref="BL71">_xlfn.LET(
    _xlpm.row_name, $A71,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2.9798313296161949E-2</v>
      </c>
      <c r="BM71" cm="1">
        <f t="array" ref="BM71">_xlfn.LET(
    _xlpm.row_name, $A71,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0.58578886015962195</v>
      </c>
      <c r="BN71" cm="1">
        <f t="array" ref="BN71">_xlfn.LET(
    _xlpm.row_name, $A71,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0.85386216787684743</v>
      </c>
      <c r="BO71" cm="1">
        <f t="array" ref="BO71">_xlfn.LET(
    _xlpm.row_name, $A71,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0.31702379639753686</v>
      </c>
      <c r="BP71" cm="1">
        <f t="array" ref="BP71">_xlfn.LET(
    _xlpm.row_name, $A71,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0.24944847687449107</v>
      </c>
      <c r="BQ71" cm="1">
        <f t="array" ref="BQ71">_xlfn.LET(
    _xlpm.row_name, $A71,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0.64669142772735977</v>
      </c>
      <c r="BR71" cm="1">
        <f t="array" ref="BR71">_xlfn.LET(
    _xlpm.row_name, $A71,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S71" cm="1">
        <f t="array" ref="BS71">_xlfn.LET(
    _xlpm.row_name, $A71,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0.2070634202806016</v>
      </c>
      <c r="BT71" cm="1">
        <f t="array" ref="BT71">_xlfn.LET(
    _xlpm.row_name, $A71,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7.7561775565147817E-2</v>
      </c>
      <c r="BU71" cm="1">
        <f t="array" ref="BU71">_xlfn.LET(
    _xlpm.row_name, $A71,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2.7770209020530401E-2</v>
      </c>
      <c r="BV71" cm="1">
        <f t="array" ref="BV71">_xlfn.LET(
    _xlpm.row_name, $A71,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0.6634396569022446</v>
      </c>
    </row>
    <row r="72" spans="1:74" x14ac:dyDescent="0.3">
      <c r="A72" t="str">
        <v>Blewett, Scott</v>
      </c>
      <c r="B72" cm="1">
        <f t="array" ref="B72">_xlfn.LET(
    _xlpm.row_name, $A72,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0.20877931625808621</v>
      </c>
      <c r="C72" cm="1">
        <f t="array" ref="C72">_xlfn.LET(
    _xlpm.row_name, $A72,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0.27335001216955801</v>
      </c>
      <c r="D72" cm="1">
        <f t="array" ref="D72">_xlfn.LET(
    _xlpm.row_name, $A72,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0.91401539463359571</v>
      </c>
      <c r="E72" cm="1">
        <f t="array" ref="E72">_xlfn.LET(
    _xlpm.row_name, $A72,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0.20949058560191802</v>
      </c>
      <c r="F72" cm="1">
        <f t="array" ref="F72">_xlfn.LET(
    _xlpm.row_name, $A72,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0.69699310015141791</v>
      </c>
      <c r="G72" cm="1">
        <f t="array" ref="G72">_xlfn.LET(
    _xlpm.row_name, $A72,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0.79180369342981571</v>
      </c>
      <c r="H72" cm="1">
        <f t="array" ref="H72">_xlfn.LET(
    _xlpm.row_name, $A72,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0.23913502497846745</v>
      </c>
      <c r="I72" cm="1">
        <f t="array" ref="I72">_xlfn.LET(
    _xlpm.row_name, $A72,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0.43682358974111218</v>
      </c>
      <c r="J72" cm="1">
        <f t="array" ref="J72">_xlfn.LET(
    _xlpm.row_name, $A72,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0.89592755749820285</v>
      </c>
      <c r="K72" cm="1">
        <f t="array" ref="K72">_xlfn.LET(
    _xlpm.row_name, $A72,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0.1038631774464614</v>
      </c>
      <c r="L72" cm="1">
        <f t="array" ref="L72">_xlfn.LET(
    _xlpm.row_name, $A72,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0.23647391779839405</v>
      </c>
      <c r="M72" cm="1">
        <f t="array" ref="M72">_xlfn.LET(
    _xlpm.row_name, $A72,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0.55078859445389317</v>
      </c>
      <c r="N72" cm="1">
        <f t="array" ref="N72">_xlfn.LET(
    _xlpm.row_name, $A72,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0.80180218340600629</v>
      </c>
      <c r="O72" cm="1">
        <f t="array" ref="O72">_xlfn.LET(
    _xlpm.row_name, $A72,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0.59202959447963766</v>
      </c>
      <c r="P72" cm="1">
        <f t="array" ref="P72">_xlfn.LET(
    _xlpm.row_name, $A72,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0.58148313584037703</v>
      </c>
      <c r="Q72" cm="1">
        <f t="array" ref="Q72">_xlfn.LET(
    _xlpm.row_name, $A72,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0.10130383080357047</v>
      </c>
      <c r="R72" cm="1">
        <f t="array" ref="R72">_xlfn.LET(
    _xlpm.row_name, $A72,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0.34032742198837751</v>
      </c>
      <c r="S72" cm="1">
        <f t="array" ref="S72">_xlfn.LET(
    _xlpm.row_name, $A72,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0.26693738051674765</v>
      </c>
      <c r="T72" cm="1">
        <f t="array" ref="T72">_xlfn.LET(
    _xlpm.row_name, $A72,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0.56769266903978699</v>
      </c>
      <c r="U72" cm="1">
        <f t="array" ref="U72">_xlfn.LET(
    _xlpm.row_name, $A72,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0.8645901518740029</v>
      </c>
      <c r="V72" cm="1">
        <f t="array" ref="V72">_xlfn.LET(
    _xlpm.row_name, $A72,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0.26836681726044453</v>
      </c>
      <c r="W72" cm="1">
        <f t="array" ref="W72">_xlfn.LET(
    _xlpm.row_name, $A72,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0.30652653707581379</v>
      </c>
      <c r="X72" cm="1">
        <f t="array" ref="X72">_xlfn.LET(
    _xlpm.row_name, $A72,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0.72660939854213002</v>
      </c>
      <c r="Y72" cm="1">
        <f t="array" ref="Y72">_xlfn.LET(
    _xlpm.row_name, $A72,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0.5258354650294057</v>
      </c>
      <c r="Z72" cm="1">
        <f t="array" ref="Z72">_xlfn.LET(
    _xlpm.row_name, $A72,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0.79510670937706918</v>
      </c>
      <c r="AA72" cm="1">
        <f t="array" ref="AA72">_xlfn.LET(
    _xlpm.row_name, $A72,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0.63015755051074918</v>
      </c>
      <c r="AB72" cm="1">
        <f t="array" ref="AB72">_xlfn.LET(
    _xlpm.row_name, $A72,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0.60022358228817763</v>
      </c>
      <c r="AC72" cm="1">
        <f t="array" ref="AC72">_xlfn.LET(
    _xlpm.row_name, $A72,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0.19526929296698897</v>
      </c>
      <c r="AD72" cm="1">
        <f t="array" ref="AD72">_xlfn.LET(
    _xlpm.row_name, $A72,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0.28612042456131809</v>
      </c>
      <c r="AE72" cm="1">
        <f t="array" ref="AE72">_xlfn.LET(
    _xlpm.row_name, $A72,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0.87828096646914866</v>
      </c>
      <c r="AF72" cm="1">
        <f t="array" ref="AF72">_xlfn.LET(
    _xlpm.row_name, $A72,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0.49343927158389012</v>
      </c>
      <c r="AG72" cm="1">
        <f t="array" ref="AG72">_xlfn.LET(
    _xlpm.row_name, $A72,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0.64193715212257141</v>
      </c>
      <c r="AH72" cm="1">
        <f t="array" ref="AH72">_xlfn.LET(
    _xlpm.row_name, $A72,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0.36301235788696617</v>
      </c>
      <c r="AI72" cm="1">
        <f t="array" ref="AI72">_xlfn.LET(
    _xlpm.row_name, $A72,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0.55380548811543662</v>
      </c>
      <c r="AJ72" cm="1">
        <f t="array" ref="AJ72">_xlfn.LET(
    _xlpm.row_name, $A72,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0.68586173655090121</v>
      </c>
      <c r="AK72" cm="1">
        <f t="array" ref="AK72">_xlfn.LET(
    _xlpm.row_name, $A72,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0.31371707478647942</v>
      </c>
      <c r="AL72" cm="1">
        <f t="array" ref="AL72">_xlfn.LET(
    _xlpm.row_name, $A72,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0.77810494790110307</v>
      </c>
      <c r="AM72" cm="1">
        <f t="array" ref="AM72">_xlfn.LET(
    _xlpm.row_name, $A72,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0.1713737443363022</v>
      </c>
      <c r="AN72" cm="1">
        <f t="array" ref="AN72">_xlfn.LET(
    _xlpm.row_name, $A72,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0.52442691716371037</v>
      </c>
      <c r="AO72" cm="1">
        <f t="array" ref="AO72">_xlfn.LET(
    _xlpm.row_name, $A72,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0.82729570699543931</v>
      </c>
      <c r="AP72" cm="1">
        <f t="array" ref="AP72">_xlfn.LET(
    _xlpm.row_name, $A72,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0.94344340942912719</v>
      </c>
      <c r="AQ72" cm="1">
        <f t="array" ref="AQ72">_xlfn.LET(
    _xlpm.row_name, $A72,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0.49229605814144306</v>
      </c>
      <c r="AR72" cm="1">
        <f t="array" ref="AR72">_xlfn.LET(
    _xlpm.row_name, $A72,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0.61853961340634478</v>
      </c>
      <c r="AS72" cm="1">
        <f t="array" ref="AS72">_xlfn.LET(
    _xlpm.row_name, $A72,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0.47506410172200997</v>
      </c>
      <c r="AT72" cm="1">
        <f t="array" ref="AT72">_xlfn.LET(
    _xlpm.row_name, $A72,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0.38044009660420042</v>
      </c>
      <c r="AU72" cm="1">
        <f t="array" ref="AU72">_xlfn.LET(
    _xlpm.row_name, $A72,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0.77589485224593324</v>
      </c>
      <c r="AV72" cm="1">
        <f t="array" ref="AV72">_xlfn.LET(
    _xlpm.row_name, $A72,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0.12123762300785523</v>
      </c>
      <c r="AW72" cm="1">
        <f t="array" ref="AW72">_xlfn.LET(
    _xlpm.row_name, $A72,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0.1263988265485359</v>
      </c>
      <c r="AX72" cm="1">
        <f t="array" ref="AX72">_xlfn.LET(
    _xlpm.row_name, $A72,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0.53315432616625458</v>
      </c>
      <c r="AY72" cm="1">
        <f t="array" ref="AY72">_xlfn.LET(
    _xlpm.row_name, $A72,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0.55080334873061054</v>
      </c>
      <c r="AZ72" cm="1">
        <f t="array" ref="AZ72">_xlfn.LET(
    _xlpm.row_name, $A72,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0.54164115798104939</v>
      </c>
      <c r="BA72" cm="1">
        <f t="array" ref="BA72">_xlfn.LET(
    _xlpm.row_name, $A72,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0.56156994261856841</v>
      </c>
      <c r="BB72" cm="1">
        <f t="array" ref="BB72">_xlfn.LET(
    _xlpm.row_name, $A72,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0.25371822719421211</v>
      </c>
      <c r="BC72" cm="1">
        <f t="array" ref="BC72">_xlfn.LET(
    _xlpm.row_name, $A72,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0.21619426641254585</v>
      </c>
      <c r="BD72" cm="1">
        <f t="array" ref="BD72">_xlfn.LET(
    _xlpm.row_name, $A72,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0.8106735332835433</v>
      </c>
      <c r="BE72" cm="1">
        <f t="array" ref="BE72">_xlfn.LET(
    _xlpm.row_name, $A72,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0.54363215445425017</v>
      </c>
      <c r="BF72" cm="1">
        <f t="array" ref="BF72">_xlfn.LET(
    _xlpm.row_name, $A72,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0.51818748228200628</v>
      </c>
      <c r="BG72" cm="1">
        <f t="array" ref="BG72">_xlfn.LET(
    _xlpm.row_name, $A72,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0.42660534229070568</v>
      </c>
      <c r="BH72" cm="1">
        <f t="array" ref="BH72">_xlfn.LET(
    _xlpm.row_name, $A72,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0.28163698553063865</v>
      </c>
      <c r="BI72" cm="1">
        <f t="array" ref="BI72">_xlfn.LET(
    _xlpm.row_name, $A72,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0.34372070721241649</v>
      </c>
      <c r="BJ72" cm="1">
        <f t="array" ref="BJ72">_xlfn.LET(
    _xlpm.row_name, $A72,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0.45619459525195089</v>
      </c>
      <c r="BK72" cm="1">
        <f t="array" ref="BK72">_xlfn.LET(
    _xlpm.row_name, $A72,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0.27813647772338396</v>
      </c>
      <c r="BL72" cm="1">
        <f t="array" ref="BL72">_xlfn.LET(
    _xlpm.row_name, $A72,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0.79421397406159677</v>
      </c>
      <c r="BM72" cm="1">
        <f t="array" ref="BM72">_xlfn.LET(
    _xlpm.row_name, $A72,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0.54976499055130645</v>
      </c>
      <c r="BN72" cm="1">
        <f t="array" ref="BN72">_xlfn.LET(
    _xlpm.row_name, $A72,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0.29904464568079059</v>
      </c>
      <c r="BO72" cm="1">
        <f t="array" ref="BO72">_xlfn.LET(
    _xlpm.row_name, $A72,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0.58198492748250663</v>
      </c>
      <c r="BP72" cm="1">
        <f t="array" ref="BP72">_xlfn.LET(
    _xlpm.row_name, $A72,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0.8729330064951768</v>
      </c>
      <c r="BQ72" cm="1">
        <f t="array" ref="BQ72">_xlfn.LET(
    _xlpm.row_name, $A72,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5.8462583445096694E-2</v>
      </c>
      <c r="BR72" cm="1">
        <f t="array" ref="BR72">_xlfn.LET(
    _xlpm.row_name, $A72,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0.2070634202806016</v>
      </c>
      <c r="BS72" cm="1">
        <f t="array" ref="BS72">_xlfn.LET(
    _xlpm.row_name, $A72,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T72" cm="1">
        <f t="array" ref="BT72">_xlfn.LET(
    _xlpm.row_name, $A72,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0.74059663232131023</v>
      </c>
      <c r="BU72" cm="1">
        <f t="array" ref="BU72">_xlfn.LET(
    _xlpm.row_name, $A72,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0.69690021784746969</v>
      </c>
      <c r="BV72" cm="1">
        <f t="array" ref="BV72">_xlfn.LET(
    _xlpm.row_name, $A72,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0.22375792095717989</v>
      </c>
    </row>
    <row r="73" spans="1:74" x14ac:dyDescent="0.3">
      <c r="A73" t="str">
        <v>Stratton, Hunter</v>
      </c>
      <c r="B73" cm="1">
        <f t="array" ref="B73">_xlfn.LET(
    _xlpm.row_name, $A73,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0.14536077265773995</v>
      </c>
      <c r="C73" cm="1">
        <f t="array" ref="C73">_xlfn.LET(
    _xlpm.row_name, $A73,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0.4531233923440745</v>
      </c>
      <c r="D73" cm="1">
        <f t="array" ref="D73">_xlfn.LET(
    _xlpm.row_name, $A73,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0.81352932426831948</v>
      </c>
      <c r="E73" cm="1">
        <f t="array" ref="E73">_xlfn.LET(
    _xlpm.row_name, $A73,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0.29254057418568424</v>
      </c>
      <c r="F73" cm="1">
        <f t="array" ref="F73">_xlfn.LET(
    _xlpm.row_name, $A73,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0.53159517298259806</v>
      </c>
      <c r="G73" cm="1">
        <f t="array" ref="G73">_xlfn.LET(
    _xlpm.row_name, $A73,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0.34243910781572123</v>
      </c>
      <c r="H73" cm="1">
        <f t="array" ref="H73">_xlfn.LET(
    _xlpm.row_name, $A73,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0.62446459808979382</v>
      </c>
      <c r="I73" cm="1">
        <f t="array" ref="I73">_xlfn.LET(
    _xlpm.row_name, $A73,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0.55241254666172823</v>
      </c>
      <c r="J73" cm="1">
        <f t="array" ref="J73">_xlfn.LET(
    _xlpm.row_name, $A73,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0.6869429195800274</v>
      </c>
      <c r="K73" cm="1">
        <f t="array" ref="K73">_xlfn.LET(
    _xlpm.row_name, $A73,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0.26569340200429853</v>
      </c>
      <c r="L73" cm="1">
        <f t="array" ref="L73">_xlfn.LET(
    _xlpm.row_name, $A73,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8.6149614045539891E-2</v>
      </c>
      <c r="M73" cm="1">
        <f t="array" ref="M73">_xlfn.LET(
    _xlpm.row_name, $A73,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0.62897392856597623</v>
      </c>
      <c r="N73" cm="1">
        <f t="array" ref="N73">_xlfn.LET(
    _xlpm.row_name, $A73,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0.8616962301654576</v>
      </c>
      <c r="O73" cm="1">
        <f t="array" ref="O73">_xlfn.LET(
    _xlpm.row_name, $A73,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0.35795423308339902</v>
      </c>
      <c r="P73" cm="1">
        <f t="array" ref="P73">_xlfn.LET(
    _xlpm.row_name, $A73,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0.91391054645496306</v>
      </c>
      <c r="Q73" cm="1">
        <f t="array" ref="Q73">_xlfn.LET(
    _xlpm.row_name, $A73,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0.34565627894860251</v>
      </c>
      <c r="R73" cm="1">
        <f t="array" ref="R73">_xlfn.LET(
    _xlpm.row_name, $A73,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0.77998943412535149</v>
      </c>
      <c r="S73" cm="1">
        <f t="array" ref="S73">_xlfn.LET(
    _xlpm.row_name, $A73,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0.69242108997875085</v>
      </c>
      <c r="T73" cm="1">
        <f t="array" ref="T73">_xlfn.LET(
    _xlpm.row_name, $A73,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0.96279736403288607</v>
      </c>
      <c r="U73" cm="1">
        <f t="array" ref="U73">_xlfn.LET(
    _xlpm.row_name, $A73,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0.43879981087405306</v>
      </c>
      <c r="V73" cm="1">
        <f t="array" ref="V73">_xlfn.LET(
    _xlpm.row_name, $A73,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3.3076049324099022E-2</v>
      </c>
      <c r="W73" cm="1">
        <f t="array" ref="W73">_xlfn.LET(
    _xlpm.row_name, $A73,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0.68952087081955082</v>
      </c>
      <c r="X73" cm="1">
        <f t="array" ref="X73">_xlfn.LET(
    _xlpm.row_name, $A73,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0.36281204003206391</v>
      </c>
      <c r="Y73" cm="1">
        <f t="array" ref="Y73">_xlfn.LET(
    _xlpm.row_name, $A73,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0.38862411025626731</v>
      </c>
      <c r="Z73" cm="1">
        <f t="array" ref="Z73">_xlfn.LET(
    _xlpm.row_name, $A73,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0.86389267452844565</v>
      </c>
      <c r="AA73" cm="1">
        <f t="array" ref="AA73">_xlfn.LET(
    _xlpm.row_name, $A73,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0.45876679408994281</v>
      </c>
      <c r="AB73" cm="1">
        <f t="array" ref="AB73">_xlfn.LET(
    _xlpm.row_name, $A73,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0.39433990750923104</v>
      </c>
      <c r="AC73" cm="1">
        <f t="array" ref="AC73">_xlfn.LET(
    _xlpm.row_name, $A73,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0.33680779399279293</v>
      </c>
      <c r="AD73" cm="1">
        <f t="array" ref="AD73">_xlfn.LET(
    _xlpm.row_name, $A73,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0.45745570790466972</v>
      </c>
      <c r="AE73" cm="1">
        <f t="array" ref="AE73">_xlfn.LET(
    _xlpm.row_name, $A73,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0.51859421304769715</v>
      </c>
      <c r="AF73" cm="1">
        <f t="array" ref="AF73">_xlfn.LET(
    _xlpm.row_name, $A73,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0.18547292509407931</v>
      </c>
      <c r="AG73" cm="1">
        <f t="array" ref="AG73">_xlfn.LET(
    _xlpm.row_name, $A73,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0.27848159282612561</v>
      </c>
      <c r="AH73" cm="1">
        <f t="array" ref="AH73">_xlfn.LET(
    _xlpm.row_name, $A73,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0.50655042741309486</v>
      </c>
      <c r="AI73" cm="1">
        <f t="array" ref="AI73">_xlfn.LET(
    _xlpm.row_name, $A73,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0.21575301606911734</v>
      </c>
      <c r="AJ73" cm="1">
        <f t="array" ref="AJ73">_xlfn.LET(
    _xlpm.row_name, $A73,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0.65288519807831524</v>
      </c>
      <c r="AK73" cm="1">
        <f t="array" ref="AK73">_xlfn.LET(
    _xlpm.row_name, $A73,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0.11146310401419118</v>
      </c>
      <c r="AL73" cm="1">
        <f t="array" ref="AL73">_xlfn.LET(
    _xlpm.row_name, $A73,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0.78134781475139781</v>
      </c>
      <c r="AM73" cm="1">
        <f t="array" ref="AM73">_xlfn.LET(
    _xlpm.row_name, $A73,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0.37117190544948808</v>
      </c>
      <c r="AN73" cm="1">
        <f t="array" ref="AN73">_xlfn.LET(
    _xlpm.row_name, $A73,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0.75514915167216867</v>
      </c>
      <c r="AO73" cm="1">
        <f t="array" ref="AO73">_xlfn.LET(
    _xlpm.row_name, $A73,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0.86559038035107316</v>
      </c>
      <c r="AP73" cm="1">
        <f t="array" ref="AP73">_xlfn.LET(
    _xlpm.row_name, $A73,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0.61799885945261956</v>
      </c>
      <c r="AQ73" cm="1">
        <f t="array" ref="AQ73">_xlfn.LET(
    _xlpm.row_name, $A73,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0.50811611975483018</v>
      </c>
      <c r="AR73" cm="1">
        <f t="array" ref="AR73">_xlfn.LET(
    _xlpm.row_name, $A73,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0.79583684603925231</v>
      </c>
      <c r="AS73" cm="1">
        <f t="array" ref="AS73">_xlfn.LET(
    _xlpm.row_name, $A73,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0.4776150217999634</v>
      </c>
      <c r="AT73" cm="1">
        <f t="array" ref="AT73">_xlfn.LET(
    _xlpm.row_name, $A73,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0.13707194831335989</v>
      </c>
      <c r="AU73" cm="1">
        <f t="array" ref="AU73">_xlfn.LET(
    _xlpm.row_name, $A73,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0.65208684433067465</v>
      </c>
      <c r="AV73" cm="1">
        <f t="array" ref="AV73">_xlfn.LET(
    _xlpm.row_name, $A73,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0.27886155941301016</v>
      </c>
      <c r="AW73" cm="1">
        <f t="array" ref="AW73">_xlfn.LET(
    _xlpm.row_name, $A73,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9.8826220989057911E-2</v>
      </c>
      <c r="AX73" cm="1">
        <f t="array" ref="AX73">_xlfn.LET(
    _xlpm.row_name, $A73,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0.67584549221360835</v>
      </c>
      <c r="AY73" cm="1">
        <f t="array" ref="AY73">_xlfn.LET(
    _xlpm.row_name, $A73,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0.6108626569050879</v>
      </c>
      <c r="AZ73" cm="1">
        <f t="array" ref="AZ73">_xlfn.LET(
    _xlpm.row_name, $A73,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0.91058940715399883</v>
      </c>
      <c r="BA73" cm="1">
        <f t="array" ref="BA73">_xlfn.LET(
    _xlpm.row_name, $A73,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0.18123750543111766</v>
      </c>
      <c r="BB73" cm="1">
        <f t="array" ref="BB73">_xlfn.LET(
    _xlpm.row_name, $A73,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0.15060229390195273</v>
      </c>
      <c r="BC73" cm="1">
        <f t="array" ref="BC73">_xlfn.LET(
    _xlpm.row_name, $A73,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0.35197070262180896</v>
      </c>
      <c r="BD73" cm="1">
        <f t="array" ref="BD73">_xlfn.LET(
    _xlpm.row_name, $A73,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0.39070719459378916</v>
      </c>
      <c r="BE73" cm="1">
        <f t="array" ref="BE73">_xlfn.LET(
    _xlpm.row_name, $A73,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0.22289025963193337</v>
      </c>
      <c r="BF73" cm="1">
        <f t="array" ref="BF73">_xlfn.LET(
    _xlpm.row_name, $A73,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0.93582900629585919</v>
      </c>
      <c r="BG73" cm="1">
        <f t="array" ref="BG73">_xlfn.LET(
    _xlpm.row_name, $A73,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0.18210455971978362</v>
      </c>
      <c r="BH73" cm="1">
        <f t="array" ref="BH73">_xlfn.LET(
    _xlpm.row_name, $A73,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0.42670154185455389</v>
      </c>
      <c r="BI73" cm="1">
        <f t="array" ref="BI73">_xlfn.LET(
    _xlpm.row_name, $A73,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0.10959572442756765</v>
      </c>
      <c r="BJ73" cm="1">
        <f t="array" ref="BJ73">_xlfn.LET(
    _xlpm.row_name, $A73,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0.55304423751206067</v>
      </c>
      <c r="BK73" cm="1">
        <f t="array" ref="BK73">_xlfn.LET(
    _xlpm.row_name, $A73,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8.3823399986545588E-2</v>
      </c>
      <c r="BL73" cm="1">
        <f t="array" ref="BL73">_xlfn.LET(
    _xlpm.row_name, $A73,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0.9252146248680424</v>
      </c>
      <c r="BM73" cm="1">
        <f t="array" ref="BM73">_xlfn.LET(
    _xlpm.row_name, $A73,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0.52963940811038768</v>
      </c>
      <c r="BN73" cm="1">
        <f t="array" ref="BN73">_xlfn.LET(
    _xlpm.row_name, $A73,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0.30490428049184537</v>
      </c>
      <c r="BO73" cm="1">
        <f t="array" ref="BO73">_xlfn.LET(
    _xlpm.row_name, $A73,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0.68296172430158952</v>
      </c>
      <c r="BP73" cm="1">
        <f t="array" ref="BP73">_xlfn.LET(
    _xlpm.row_name, $A73,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0.59858421447535692</v>
      </c>
      <c r="BQ73" cm="1">
        <f t="array" ref="BQ73">_xlfn.LET(
    _xlpm.row_name, $A73,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0.47639307968663092</v>
      </c>
      <c r="BR73" cm="1">
        <f t="array" ref="BR73">_xlfn.LET(
    _xlpm.row_name, $A73,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7.7561775565147817E-2</v>
      </c>
      <c r="BS73" cm="1">
        <f t="array" ref="BS73">_xlfn.LET(
    _xlpm.row_name, $A73,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0.74059663232131023</v>
      </c>
      <c r="BT73" cm="1">
        <f t="array" ref="BT73">_xlfn.LET(
    _xlpm.row_name, $A73,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  <c r="BU73" cm="1">
        <f t="array" ref="BU73">_xlfn.LET(
    _xlpm.row_name, $A73,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0.83805876552309666</v>
      </c>
      <c r="BV73" cm="1">
        <f t="array" ref="BV73">_xlfn.LET(
    _xlpm.row_name, $A73,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0.28737422108950128</v>
      </c>
    </row>
    <row r="74" spans="1:74" x14ac:dyDescent="0.3">
      <c r="A74" t="str">
        <v>Thornburg, Tyler</v>
      </c>
      <c r="B74" cm="1">
        <f t="array" ref="B74">_xlfn.LET(
    _xlpm.row_name, $A74,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5.6139486452899734E-2</v>
      </c>
      <c r="C74" cm="1">
        <f t="array" ref="C74">_xlfn.LET(
    _xlpm.row_name, $A74,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0.2320249632604206</v>
      </c>
      <c r="D74" cm="1">
        <f t="array" ref="D74">_xlfn.LET(
    _xlpm.row_name, $A74,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0.83939390573684647</v>
      </c>
      <c r="E74" cm="1">
        <f t="array" ref="E74">_xlfn.LET(
    _xlpm.row_name, $A74,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0.19674972109270283</v>
      </c>
      <c r="F74" cm="1">
        <f t="array" ref="F74">_xlfn.LET(
    _xlpm.row_name, $A74,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0.33720647289666639</v>
      </c>
      <c r="G74" cm="1">
        <f t="array" ref="G74">_xlfn.LET(
    _xlpm.row_name, $A74,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0.56144110632301658</v>
      </c>
      <c r="H74" cm="1">
        <f t="array" ref="H74">_xlfn.LET(
    _xlpm.row_name, $A74,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0.51311907304186444</v>
      </c>
      <c r="I74" cm="1">
        <f t="array" ref="I74">_xlfn.LET(
    _xlpm.row_name, $A74,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0.37510627771162625</v>
      </c>
      <c r="J74" cm="1">
        <f t="array" ref="J74">_xlfn.LET(
    _xlpm.row_name, $A74,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0.50496765038973823</v>
      </c>
      <c r="K74" cm="1">
        <f t="array" ref="K74">_xlfn.LET(
    _xlpm.row_name, $A74,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0.24560397274918178</v>
      </c>
      <c r="L74" cm="1">
        <f t="array" ref="L74">_xlfn.LET(
    _xlpm.row_name, $A74,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0.13569894532524263</v>
      </c>
      <c r="M74" cm="1">
        <f t="array" ref="M74">_xlfn.LET(
    _xlpm.row_name, $A74,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0.61026931674007645</v>
      </c>
      <c r="N74" cm="1">
        <f t="array" ref="N74">_xlfn.LET(
    _xlpm.row_name, $A74,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0.68394752920058666</v>
      </c>
      <c r="O74" cm="1">
        <f t="array" ref="O74">_xlfn.LET(
    _xlpm.row_name, $A74,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0.7001148252879299</v>
      </c>
      <c r="P74" cm="1">
        <f t="array" ref="P74">_xlfn.LET(
    _xlpm.row_name, $A74,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0.64721752183014636</v>
      </c>
      <c r="Q74" cm="1">
        <f t="array" ref="Q74">_xlfn.LET(
    _xlpm.row_name, $A74,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0.38428840737972297</v>
      </c>
      <c r="R74" cm="1">
        <f t="array" ref="R74">_xlfn.LET(
    _xlpm.row_name, $A74,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0.7233372935021839</v>
      </c>
      <c r="S74" cm="1">
        <f t="array" ref="S74">_xlfn.LET(
    _xlpm.row_name, $A74,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0.62625500111434806</v>
      </c>
      <c r="T74" cm="1">
        <f t="array" ref="T74">_xlfn.LET(
    _xlpm.row_name, $A74,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0.82285577529901188</v>
      </c>
      <c r="U74" cm="1">
        <f t="array" ref="U74">_xlfn.LET(
    _xlpm.row_name, $A74,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0.60502840907785849</v>
      </c>
      <c r="V74" cm="1">
        <f t="array" ref="V74">_xlfn.LET(
    _xlpm.row_name, $A74,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0.27309832794877875</v>
      </c>
      <c r="W74" cm="1">
        <f t="array" ref="W74">_xlfn.LET(
    _xlpm.row_name, $A74,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0.54013242185808708</v>
      </c>
      <c r="X74" cm="1">
        <f t="array" ref="X74">_xlfn.LET(
    _xlpm.row_name, $A74,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0.54701264327874821</v>
      </c>
      <c r="Y74" cm="1">
        <f t="array" ref="Y74">_xlfn.LET(
    _xlpm.row_name, $A74,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0.27999997678627442</v>
      </c>
      <c r="Z74" cm="1">
        <f t="array" ref="Z74">_xlfn.LET(
    _xlpm.row_name, $A74,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0.89868228346773282</v>
      </c>
      <c r="AA74" cm="1">
        <f t="array" ref="AA74">_xlfn.LET(
    _xlpm.row_name, $A74,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0.77248167637385756</v>
      </c>
      <c r="AB74" cm="1">
        <f t="array" ref="AB74">_xlfn.LET(
    _xlpm.row_name, $A74,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0.47754361736239442</v>
      </c>
      <c r="AC74" cm="1">
        <f t="array" ref="AC74">_xlfn.LET(
    _xlpm.row_name, $A74,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0.11823529417845319</v>
      </c>
      <c r="AD74" cm="1">
        <f t="array" ref="AD74">_xlfn.LET(
    _xlpm.row_name, $A74,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0.36349975384225836</v>
      </c>
      <c r="AE74" cm="1">
        <f t="array" ref="AE74">_xlfn.LET(
    _xlpm.row_name, $A74,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0.67677993259230484</v>
      </c>
      <c r="AF74" cm="1">
        <f t="array" ref="AF74">_xlfn.LET(
    _xlpm.row_name, $A74,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0.27563199307676806</v>
      </c>
      <c r="AG74" cm="1">
        <f t="array" ref="AG74">_xlfn.LET(
    _xlpm.row_name, $A74,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0.25352091677617644</v>
      </c>
      <c r="AH74" cm="1">
        <f t="array" ref="AH74">_xlfn.LET(
    _xlpm.row_name, $A74,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0.62564878893878118</v>
      </c>
      <c r="AI74" cm="1">
        <f t="array" ref="AI74">_xlfn.LET(
    _xlpm.row_name, $A74,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0.311537152060537</v>
      </c>
      <c r="AJ74" cm="1">
        <f t="array" ref="AJ74">_xlfn.LET(
    _xlpm.row_name, $A74,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0.86247837376532388</v>
      </c>
      <c r="AK74" cm="1">
        <f t="array" ref="AK74">_xlfn.LET(
    _xlpm.row_name, $A74,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0.22828177915399134</v>
      </c>
      <c r="AL74" cm="1">
        <f t="array" ref="AL74">_xlfn.LET(
    _xlpm.row_name, $A74,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0.8004823197616977</v>
      </c>
      <c r="AM74" cm="1">
        <f t="array" ref="AM74">_xlfn.LET(
    _xlpm.row_name, $A74,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0.29381981867161489</v>
      </c>
      <c r="AN74" cm="1">
        <f t="array" ref="AN74">_xlfn.LET(
    _xlpm.row_name, $A74,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0.8408112531748495</v>
      </c>
      <c r="AO74" cm="1">
        <f t="array" ref="AO74">_xlfn.LET(
    _xlpm.row_name, $A74,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0.85564210853013245</v>
      </c>
      <c r="AP74" cm="1">
        <f t="array" ref="AP74">_xlfn.LET(
    _xlpm.row_name, $A74,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0.48506586335745938</v>
      </c>
      <c r="AQ74" cm="1">
        <f t="array" ref="AQ74">_xlfn.LET(
    _xlpm.row_name, $A74,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0.72877064964757987</v>
      </c>
      <c r="AR74" cm="1">
        <f t="array" ref="AR74">_xlfn.LET(
    _xlpm.row_name, $A74,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0.79873079516934875</v>
      </c>
      <c r="AS74" cm="1">
        <f t="array" ref="AS74">_xlfn.LET(
    _xlpm.row_name, $A74,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0.58328009020464533</v>
      </c>
      <c r="AT74" cm="1">
        <f t="array" ref="AT74">_xlfn.LET(
    _xlpm.row_name, $A74,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0.3702084458102633</v>
      </c>
      <c r="AU74" cm="1">
        <f t="array" ref="AU74">_xlfn.LET(
    _xlpm.row_name, $A74,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0.65153429259745166</v>
      </c>
      <c r="AV74" cm="1">
        <f t="array" ref="AV74">_xlfn.LET(
    _xlpm.row_name, $A74,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0.18611111362598293</v>
      </c>
      <c r="AW74" cm="1">
        <f t="array" ref="AW74">_xlfn.LET(
    _xlpm.row_name, $A74,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0.10183535721398196</v>
      </c>
      <c r="AX74" cm="1">
        <f t="array" ref="AX74">_xlfn.LET(
    _xlpm.row_name, $A74,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0.51352517619458948</v>
      </c>
      <c r="AY74" cm="1">
        <f t="array" ref="AY74">_xlfn.LET(
    _xlpm.row_name, $A74,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0.60509377287443744</v>
      </c>
      <c r="AZ74" cm="1">
        <f t="array" ref="AZ74">_xlfn.LET(
    _xlpm.row_name, $A74,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0.75601090661905734</v>
      </c>
      <c r="BA74" cm="1">
        <f t="array" ref="BA74">_xlfn.LET(
    _xlpm.row_name, $A74,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0.46363428668229789</v>
      </c>
      <c r="BB74" cm="1">
        <f t="array" ref="BB74">_xlfn.LET(
    _xlpm.row_name, $A74,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3.0559354639945302E-2</v>
      </c>
      <c r="BC74" cm="1">
        <f t="array" ref="BC74">_xlfn.LET(
    _xlpm.row_name, $A74,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0.35965370219719406</v>
      </c>
      <c r="BD74" cm="1">
        <f t="array" ref="BD74">_xlfn.LET(
    _xlpm.row_name, $A74,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0.64081661874100748</v>
      </c>
      <c r="BE74" cm="1">
        <f t="array" ref="BE74">_xlfn.LET(
    _xlpm.row_name, $A74,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0.10832752126869433</v>
      </c>
      <c r="BF74" cm="1">
        <f t="array" ref="BF74">_xlfn.LET(
    _xlpm.row_name, $A74,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0.75425380191411051</v>
      </c>
      <c r="BG74" cm="1">
        <f t="array" ref="BG74">_xlfn.LET(
    _xlpm.row_name, $A74,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0.52854906251411715</v>
      </c>
      <c r="BH74" cm="1">
        <f t="array" ref="BH74">_xlfn.LET(
    _xlpm.row_name, $A74,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0.61878130872622794</v>
      </c>
      <c r="BI74" cm="1">
        <f t="array" ref="BI74">_xlfn.LET(
    _xlpm.row_name, $A74,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0.141830413696934</v>
      </c>
      <c r="BJ74" cm="1">
        <f t="array" ref="BJ74">_xlfn.LET(
    _xlpm.row_name, $A74,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0.65784336848689562</v>
      </c>
      <c r="BK74" cm="1">
        <f t="array" ref="BK74">_xlfn.LET(
    _xlpm.row_name, $A74,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0.20587229740660079</v>
      </c>
      <c r="BL74" cm="1">
        <f t="array" ref="BL74">_xlfn.LET(
    _xlpm.row_name, $A74,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0.94090828924973591</v>
      </c>
      <c r="BM74" cm="1">
        <f t="array" ref="BM74">_xlfn.LET(
    _xlpm.row_name, $A74,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0.39935485216451411</v>
      </c>
      <c r="BN74" cm="1">
        <f t="array" ref="BN74">_xlfn.LET(
    _xlpm.row_name, $A74,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8.3377202186621147E-2</v>
      </c>
      <c r="BO74" cm="1">
        <f t="array" ref="BO74">_xlfn.LET(
    _xlpm.row_name, $A74,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0.66540500154239013</v>
      </c>
      <c r="BP74" cm="1">
        <f t="array" ref="BP74">_xlfn.LET(
    _xlpm.row_name, $A74,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0.7048584832989655</v>
      </c>
      <c r="BQ74" cm="1">
        <f t="array" ref="BQ74">_xlfn.LET(
    _xlpm.row_name, $A74,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0.39866560821654634</v>
      </c>
      <c r="BR74" cm="1">
        <f t="array" ref="BR74">_xlfn.LET(
    _xlpm.row_name, $A74,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2.7770209020530401E-2</v>
      </c>
      <c r="BS74" cm="1">
        <f t="array" ref="BS74">_xlfn.LET(
    _xlpm.row_name, $A74,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0.69690021784746969</v>
      </c>
      <c r="BT74" cm="1">
        <f t="array" ref="BT74">_xlfn.LET(
    _xlpm.row_name, $A74,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0.83805876552309666</v>
      </c>
      <c r="BU74" cm="1">
        <f t="array" ref="BU74">_xlfn.LET(
    _xlpm.row_name, $A74,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0.99999999999999989</v>
      </c>
      <c r="BV74" cm="1">
        <f t="array" ref="BV74">_xlfn.LET(
    _xlpm.row_name, $A74,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0.46681272751310909</v>
      </c>
    </row>
    <row r="75" spans="1:74" x14ac:dyDescent="0.3">
      <c r="A75" t="str">
        <v>Milone, Tommy</v>
      </c>
      <c r="B75" cm="1">
        <f t="array" ref="B75">_xlfn.LET(
    _xlpm.row_name, $A75,
    _xlpm.col_name, 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0.56839619969882926</v>
      </c>
      <c r="C75" cm="1">
        <f t="array" ref="C75">_xlfn.LET(
    _xlpm.row_name, $A75,
    _xlpm.col_name, 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0.66143418599161108</v>
      </c>
      <c r="D75" cm="1">
        <f t="array" ref="D75">_xlfn.LET(
    _xlpm.row_name, $A75,
    _xlpm.col_name, 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0.16287986945516264</v>
      </c>
      <c r="E75" cm="1">
        <f t="array" ref="E75">_xlfn.LET(
    _xlpm.row_name, $A75,
    _xlpm.col_name, 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0.78028900420753189</v>
      </c>
      <c r="F75" cm="1">
        <f t="array" ref="F75">_xlfn.LET(
    _xlpm.row_name, $A75,
    _xlpm.col_name, 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0.57547965519280975</v>
      </c>
      <c r="G75" cm="1">
        <f t="array" ref="G75">_xlfn.LET(
    _xlpm.row_name, $A75,
    _xlpm.col_name, 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0.41840835216422262</v>
      </c>
      <c r="H75" cm="1">
        <f t="array" ref="H75">_xlfn.LET(
    _xlpm.row_name, $A75,
    _xlpm.col_name, 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0.44605548011266533</v>
      </c>
      <c r="I75" cm="1">
        <f t="array" ref="I75">_xlfn.LET(
    _xlpm.row_name, $A75,
    _xlpm.col_name, 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0.30066780641327884</v>
      </c>
      <c r="J75" cm="1">
        <f t="array" ref="J75">_xlfn.LET(
    _xlpm.row_name, $A75,
    _xlpm.col_name, 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0.2260487492053026</v>
      </c>
      <c r="K75" cm="1">
        <f t="array" ref="K75">_xlfn.LET(
    _xlpm.row_name, $A75,
    _xlpm.col_name, 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0.83088572894885604</v>
      </c>
      <c r="L75" cm="1">
        <f t="array" ref="L75">_xlfn.LET(
    _xlpm.row_name, $A75,
    _xlpm.col_name, 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0.83382968282331071</v>
      </c>
      <c r="M75" cm="1">
        <f t="array" ref="M75">_xlfn.LET(
    _xlpm.row_name, $A75,
    _xlpm.col_name, 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0.34115493248053641</v>
      </c>
      <c r="N75" cm="1">
        <f t="array" ref="N75">_xlfn.LET(
    _xlpm.row_name, $A75,
    _xlpm.col_name, 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0.37505056391570246</v>
      </c>
      <c r="O75" cm="1">
        <f t="array" ref="O75">_xlfn.LET(
    _xlpm.row_name, $A75,
    _xlpm.col_name, 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0.69613979686519811</v>
      </c>
      <c r="P75" cm="1">
        <f t="array" ref="P75">_xlfn.LET(
    _xlpm.row_name, $A75,
    _xlpm.col_name, 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0.42511916824932544</v>
      </c>
      <c r="Q75" cm="1">
        <f t="array" ref="Q75">_xlfn.LET(
    _xlpm.row_name, $A75,
    _xlpm.col_name, 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0.89240246440481807</v>
      </c>
      <c r="R75" cm="1">
        <f t="array" ref="R75">_xlfn.LET(
    _xlpm.row_name, $A75,
    _xlpm.col_name, 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0.3991706058020118</v>
      </c>
      <c r="S75" cm="1">
        <f t="array" ref="S75">_xlfn.LET(
    _xlpm.row_name, $A75,
    _xlpm.col_name, 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0.63999531436985901</v>
      </c>
      <c r="T75" cm="1">
        <f t="array" ref="T75">_xlfn.LET(
    _xlpm.row_name, $A75,
    _xlpm.col_name, 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0.40670822333442103</v>
      </c>
      <c r="U75" cm="1">
        <f t="array" ref="U75">_xlfn.LET(
    _xlpm.row_name, $A75,
    _xlpm.col_name, 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0.30122532050614648</v>
      </c>
      <c r="V75" cm="1">
        <f t="array" ref="V75">_xlfn.LET(
    _xlpm.row_name, $A75,
    _xlpm.col_name, 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0.83986254712925601</v>
      </c>
      <c r="W75" cm="1">
        <f t="array" ref="W75">_xlfn.LET(
    _xlpm.row_name, $A75,
    _xlpm.col_name, 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0.6879226641365972</v>
      </c>
      <c r="X75" cm="1">
        <f t="array" ref="X75">_xlfn.LET(
    _xlpm.row_name, $A75,
    _xlpm.col_name, 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0.25177665593820131</v>
      </c>
      <c r="Y75" cm="1">
        <f t="array" ref="Y75">_xlfn.LET(
    _xlpm.row_name, $A75,
    _xlpm.col_name, 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0.4327059070634186</v>
      </c>
      <c r="Z75" cm="1">
        <f t="array" ref="Z75">_xlfn.LET(
    _xlpm.row_name, $A75,
    _xlpm.col_name, 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0.22701041993345988</v>
      </c>
      <c r="AA75" cm="1">
        <f t="array" ref="AA75">_xlfn.LET(
    _xlpm.row_name, $A75,
    _xlpm.col_name, AA$2,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0.70023439537569487</v>
      </c>
      <c r="AB75" cm="1">
        <f t="array" ref="AB75">_xlfn.LET(
    _xlpm.row_name, $A75,
    _xlpm.col_name, AB$2,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0.37134430595253476</v>
      </c>
      <c r="AC75" cm="1">
        <f t="array" ref="AC75">_xlfn.LET(
    _xlpm.row_name, $A75,
    _xlpm.col_name, AC$2,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0.69831291846200449</v>
      </c>
      <c r="AD75" cm="1">
        <f t="array" ref="AD75">_xlfn.LET(
    _xlpm.row_name, $A75,
    _xlpm.col_name, AD$2,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0.36799037633500387</v>
      </c>
      <c r="AE75" cm="1">
        <f t="array" ref="AE75">_xlfn.LET(
    _xlpm.row_name, $A75,
    _xlpm.col_name, AE$2,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0.25186137924054752</v>
      </c>
      <c r="AF75" cm="1">
        <f t="array" ref="AF75">_xlfn.LET(
    _xlpm.row_name, $A75,
    _xlpm.col_name, AF$2,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0.8041774076978172</v>
      </c>
      <c r="AG75" cm="1">
        <f t="array" ref="AG75">_xlfn.LET(
    _xlpm.row_name, $A75,
    _xlpm.col_name, AG$2,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0.6220257289708675</v>
      </c>
      <c r="AH75" cm="1">
        <f t="array" ref="AH75">_xlfn.LET(
    _xlpm.row_name, $A75,
    _xlpm.col_name, AH$2,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0.45182648388688956</v>
      </c>
      <c r="AI75" cm="1">
        <f t="array" ref="AI75">_xlfn.LET(
    _xlpm.row_name, $A75,
    _xlpm.col_name, AI$2,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0.59077029800928471</v>
      </c>
      <c r="AJ75" cm="1">
        <f t="array" ref="AJ75">_xlfn.LET(
    _xlpm.row_name, $A75,
    _xlpm.col_name, AJ$2,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0.42829004559161288</v>
      </c>
      <c r="AK75" cm="1">
        <f t="array" ref="AK75">_xlfn.LET(
    _xlpm.row_name, $A75,
    _xlpm.col_name, AK$2,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0.88213792140636582</v>
      </c>
      <c r="AL75" cm="1">
        <f t="array" ref="AL75">_xlfn.LET(
    _xlpm.row_name, $A75,
    _xlpm.col_name, AL$2,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0.13024192814699176</v>
      </c>
      <c r="AM75" cm="1">
        <f t="array" ref="AM75">_xlfn.LET(
    _xlpm.row_name, $A75,
    _xlpm.col_name, AM$2,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0.87671336796045596</v>
      </c>
      <c r="AN75" cm="1">
        <f t="array" ref="AN75">_xlfn.LET(
    _xlpm.row_name, $A75,
    _xlpm.col_name, AN$2,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0.45050509646251796</v>
      </c>
      <c r="AO75" cm="1">
        <f t="array" ref="AO75">_xlfn.LET(
    _xlpm.row_name, $A75,
    _xlpm.col_name, AO$2,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0.36811480631645133</v>
      </c>
      <c r="AP75" cm="1">
        <f t="array" ref="AP75">_xlfn.LET(
    _xlpm.row_name, $A75,
    _xlpm.col_name, AP$2,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0.1541930073568607</v>
      </c>
      <c r="AQ75" cm="1">
        <f t="array" ref="AQ75">_xlfn.LET(
    _xlpm.row_name, $A75,
    _xlpm.col_name, AQ$2,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0.89226748141564771</v>
      </c>
      <c r="AR75" cm="1">
        <f t="array" ref="AR75">_xlfn.LET(
    _xlpm.row_name, $A75,
    _xlpm.col_name, AR$2,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0.62427568335071226</v>
      </c>
      <c r="AS75" cm="1">
        <f t="array" ref="AS75">_xlfn.LET(
    _xlpm.row_name, $A75,
    _xlpm.col_name, AS$2,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0.87164447359760966</v>
      </c>
      <c r="AT75" cm="1">
        <f t="array" ref="AT75">_xlfn.LET(
    _xlpm.row_name, $A75,
    _xlpm.col_name, AT$2,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0.72287706090772552</v>
      </c>
      <c r="AU75" cm="1">
        <f t="array" ref="AU75">_xlfn.LET(
    _xlpm.row_name, $A75,
    _xlpm.col_name, AU$2,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0.30662008517578643</v>
      </c>
      <c r="AV75" cm="1">
        <f t="array" ref="AV75">_xlfn.LET(
    _xlpm.row_name, $A75,
    _xlpm.col_name, AV$2,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0.82161644579351811</v>
      </c>
      <c r="AW75" cm="1">
        <f t="array" ref="AW75">_xlfn.LET(
    _xlpm.row_name, $A75,
    _xlpm.col_name, AW$2,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0.59046479246596595</v>
      </c>
      <c r="AX75" cm="1">
        <f t="array" ref="AX75">_xlfn.LET(
    _xlpm.row_name, $A75,
    _xlpm.col_name, AX$2,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0.7208094406633736</v>
      </c>
      <c r="AY75" cm="1">
        <f t="array" ref="AY75">_xlfn.LET(
    _xlpm.row_name, $A75,
    _xlpm.col_name, AY$2,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0.57199740610303551</v>
      </c>
      <c r="AZ75" cm="1">
        <f t="array" ref="AZ75">_xlfn.LET(
    _xlpm.row_name, $A75,
    _xlpm.col_name, AZ$2,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0.4747703486705766</v>
      </c>
      <c r="BA75" cm="1">
        <f t="array" ref="BA75">_xlfn.LET(
    _xlpm.row_name, $A75,
    _xlpm.col_name, BA$2,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0.53257039386706351</v>
      </c>
      <c r="BB75" cm="1">
        <f t="array" ref="BB75">_xlfn.LET(
    _xlpm.row_name, $A75,
    _xlpm.col_name, BB$2,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0.53742785909292701</v>
      </c>
      <c r="BC75" cm="1">
        <f t="array" ref="BC75">_xlfn.LET(
    _xlpm.row_name, $A75,
    _xlpm.col_name, BC$2,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0.86342286198111551</v>
      </c>
      <c r="BD75" cm="1">
        <f t="array" ref="BD75">_xlfn.LET(
    _xlpm.row_name, $A75,
    _xlpm.col_name, BD$2,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0.45047046806496538</v>
      </c>
      <c r="BE75" cm="1">
        <f t="array" ref="BE75">_xlfn.LET(
    _xlpm.row_name, $A75,
    _xlpm.col_name, BE$2,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0.54919304526594259</v>
      </c>
      <c r="BF75" cm="1">
        <f t="array" ref="BF75">_xlfn.LET(
    _xlpm.row_name, $A75,
    _xlpm.col_name, BF$2,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0.33347521165598226</v>
      </c>
      <c r="BG75" cm="1">
        <f t="array" ref="BG75">_xlfn.LET(
    _xlpm.row_name, $A75,
    _xlpm.col_name, BG$2,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0.57117731151070161</v>
      </c>
      <c r="BH75" cm="1">
        <f t="array" ref="BH75">_xlfn.LET(
    _xlpm.row_name, $A75,
    _xlpm.col_name, BH$2,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0.94301930587990834</v>
      </c>
      <c r="BI75" cm="1">
        <f t="array" ref="BI75">_xlfn.LET(
    _xlpm.row_name, $A75,
    _xlpm.col_name, BI$2,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0.40119284688557344</v>
      </c>
      <c r="BJ75" cm="1">
        <f t="array" ref="BJ75">_xlfn.LET(
    _xlpm.row_name, $A75,
    _xlpm.col_name, BJ$2,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0.51505561245689091</v>
      </c>
      <c r="BK75" cm="1">
        <f t="array" ref="BK75">_xlfn.LET(
    _xlpm.row_name, $A75,
    _xlpm.col_name, BK$2,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0.5531764427274809</v>
      </c>
      <c r="BL75" cm="1">
        <f t="array" ref="BL75">_xlfn.LET(
    _xlpm.row_name, $A75,
    _xlpm.col_name, BL$2,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0.36829518981317033</v>
      </c>
      <c r="BM75" cm="1">
        <f t="array" ref="BM75">_xlfn.LET(
    _xlpm.row_name, $A75,
    _xlpm.col_name, BM$2,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0.75259741364510824</v>
      </c>
      <c r="BN75" cm="1">
        <f t="array" ref="BN75">_xlfn.LET(
    _xlpm.row_name, $A75,
    _xlpm.col_name, BN$2,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0.33836818042362304</v>
      </c>
      <c r="BO75" cm="1">
        <f t="array" ref="BO75">_xlfn.LET(
    _xlpm.row_name, $A75,
    _xlpm.col_name, BO$2,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0.28825418656467416</v>
      </c>
      <c r="BP75" cm="1">
        <f t="array" ref="BP75">_xlfn.LET(
    _xlpm.row_name, $A75,
    _xlpm.col_name, BP$2,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0.25944779232802939</v>
      </c>
      <c r="BQ75" cm="1">
        <f t="array" ref="BQ75">_xlfn.LET(
    _xlpm.row_name, $A75,
    _xlpm.col_name, BQ$2,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0.65033156609994991</v>
      </c>
      <c r="BR75" cm="1">
        <f t="array" ref="BR75">_xlfn.LET(
    _xlpm.row_name, $A75,
    _xlpm.col_name, BR$2,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0.6634396569022446</v>
      </c>
      <c r="BS75" cm="1">
        <f t="array" ref="BS75">_xlfn.LET(
    _xlpm.row_name, $A75,
    _xlpm.col_name, BS$2,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0.22375792095717989</v>
      </c>
      <c r="BT75" cm="1">
        <f t="array" ref="BT75">_xlfn.LET(
    _xlpm.row_name, $A75,
    _xlpm.col_name, BT$2,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0.28737422108950128</v>
      </c>
      <c r="BU75" cm="1">
        <f t="array" ref="BU75">_xlfn.LET(
    _xlpm.row_name, $A75,
    _xlpm.col_name, BU$2,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0.46681272751310909</v>
      </c>
      <c r="BV75" cm="1">
        <f t="array" ref="BV75">_xlfn.LET(
    _xlpm.row_name, $A75,
    _xlpm.col_name, BV$2,
    _xlpm.names, 'Movement Profile'!$A$80:$A$152,
    _xlpm.raw,   'Movement Profile'!$B$80:$F$152,
    _xlpm.slot_names, 'Arm Slot Profile'!$A$3:$A$75,
    _xlpm.slot_vals,  'Arm Slot Profile'!$C$3:$C$75,
    _xlpm.weights, {1,1,1,0.8,0.8},
    _xlpm.row_i, MATCH(_xlpm.row_name, _xlpm.names, 0),
    _xlpm.col_i, MATCH(_xlpm.col_name, _xlpm.names, 0),
    _xlpm.row_slot, INDEX(_xlpm.slot_vals, MATCH(_xlpm.row_name, _xlpm.slot_names, 0)),
    _xlpm.col_slot, INDEX(_xlpm.slot_vals, MATCH(_xlpm.col_name, _xlpm.slot_names, 0)),
    _xlpm.hand_row, IF(_xlpm.row_slot&gt;0,-1,1),
    _xlpm.hand_col, IF(_xlpm.col_slot&gt;0,-1,1),
    _xlpm.means,   _xlfn.BYCOL(_xlpm.raw, _xlfn.LAMBDA(_xlpm.c, AVERAGE(_xlpm.c))),
    _xlpm.stdevs,  _xlfn.BYCOL(_xlpm.raw, _xlfn.LAMBDA(_xlpm.c, _xlfn.STDEV.P(_xlpm.c))),
    _xlpm.row_raw, INDEX(_xlpm.raw, _xlpm.row_i, 0),
    _xlpm.col_raw, INDEX(_xlpm.raw, _xlpm.col_i, 0),
    _xlpm.row_norm, (_xlpm.row_raw - _xlpm.means) / _xlpm.stdevs,
    _xlpm.col_norm, (_xlpm.col_raw - _xlpm.means) / _xlpm.stdevs,
    _xlpm.row_vec, CHOOSE({1,2,3,4,5},
        INDEX(_xlpm.row_norm,1),
        INDEX(_xlpm.row_norm,2),
        INDEX(_xlpm.row_norm,3),
        INDEX(_xlpm.row_norm,4) * _xlpm.hand_row,
        INDEX(_xlpm.row_norm,5) * _xlpm.hand_row
    ),
    _xlpm.col_vec, CHOOSE({1,2,3,4,5},
        INDEX(_xlpm.col_norm,1),
        INDEX(_xlpm.col_norm,2),
        INDEX(_xlpm.col_norm,3),
        INDEX(_xlpm.col_norm,4) * _xlpm.hand_col,
        INDEX(_xlpm.col_norm,5) * _xlpm.hand_col
    ),
    _xlpm.w_row, _xlpm.row_vec * _xlpm.weights,
    _xlpm.w_col, _xlpm.col_vec * _xlpm.weights,
    _xlpm.dot, SUMPRODUCT(_xlpm.w_row, _xlpm.w_col),
    _xlpm.mag_row, SQRT(SUMSQ(_xlpm.w_row)),
    _xlpm.mag_col, SQRT(SUMSQ(_xlpm.w_col)),
    _xlpm.cos_sim, IF(OR(_xlpm.mag_row=0, _xlpm.mag_col=0), 0, _xlpm.dot / (_xlpm.mag_row * _xlpm.mag_col)),
    (_xlpm.cos_sim + 1) / 2
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31B076-67A6-4387-B5C3-7814C17C7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braves_19_25</vt:lpstr>
      <vt:lpstr>Arsenal Profile</vt:lpstr>
      <vt:lpstr>Arm Slot Profile</vt:lpstr>
      <vt:lpstr>Movement Profile</vt:lpstr>
      <vt:lpstr>Movement Matrices</vt:lpstr>
      <vt:lpstr>FamilyWeightMatrix</vt:lpstr>
      <vt:lpstr>PitchClass</vt:lpstr>
      <vt:lpstr>PlayerArsenalVectors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Cort</dc:creator>
  <cp:lastModifiedBy>Caleb Cort</cp:lastModifiedBy>
  <dcterms:created xsi:type="dcterms:W3CDTF">2015-06-05T18:17:20Z</dcterms:created>
  <dcterms:modified xsi:type="dcterms:W3CDTF">2026-07-01T17:45:18Z</dcterms:modified>
</cp:coreProperties>
</file>